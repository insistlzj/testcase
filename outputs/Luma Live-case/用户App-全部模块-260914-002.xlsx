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c0388b32e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571a24ee433b41a2"/>
    <x:sheet xmlns:r="http://schemas.openxmlformats.org/officeDocument/2006/relationships" name="功能测试用例" sheetId="2" r:id="R01ce063d40e24204"/>
    <x:sheet xmlns:r="http://schemas.openxmlformats.org/officeDocument/2006/relationships" name="需求待确认" sheetId="3" r:id="R2e26d1b867244a87"/>
    <x:sheet xmlns:r="http://schemas.openxmlformats.org/officeDocument/2006/relationships" name="覆盖核验清单" sheetId="4" r:id="Rb1b6f57bd405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FFF1D6"/>
      </x:patternFill>
    </x:fill>
    <x:fill>
      <x:patternFill patternType="solid">
        <x:fgColor rgb="FF7C4A03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0"/>
    </x:xf>
    <x:xf numFmtId="0" fontId="1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f5c4054454bff" /><Relationship Type="http://schemas.openxmlformats.org/officeDocument/2006/relationships/theme" Target="/xl/theme/theme1.xml" Id="R4994f0ee08c64e0a" /><Relationship Type="http://schemas.openxmlformats.org/officeDocument/2006/relationships/sharedStrings" Target="/xl/sharedStrings.xml" Id="R42d49fe339724906" /><Relationship Type="http://schemas.openxmlformats.org/officeDocument/2006/relationships/worksheet" Target="/xl/worksheets/sheet1.xml" Id="R571a24ee433b41a2" /><Relationship Type="http://schemas.openxmlformats.org/officeDocument/2006/relationships/worksheet" Target="/xl/worksheets/sheet2.xml" Id="R01ce063d40e24204" /><Relationship Type="http://schemas.openxmlformats.org/officeDocument/2006/relationships/worksheet" Target="/xl/worksheets/sheet3.xml" Id="R2e26d1b867244a87" /><Relationship Type="http://schemas.openxmlformats.org/officeDocument/2006/relationships/worksheet" Target="/xl/worksheets/sheet4.xml" Id="Rb1b6f57bd40544e1" /></Relationships>
</file>

<file path=xl/tables/table1.xml><?xml version="1.0" encoding="utf-8"?>
<x:table xmlns:x="http://schemas.openxmlformats.org/spreadsheetml/2006/main" id="1" name="LiveCasesTable" displayName="LiveCasesTable" ref="A1:O799" headerRowCount="1" totalsRowCount="0" totalsRowShown="0">
  <x:autoFilter ref="A1:O79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40" headerRowCount="1" totalsRowCount="0" totalsRowShown="0">
  <x:autoFilter ref="A1:T4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ReviewTable" displayName="CoverageReviewTable" ref="A1:G1288" headerRowCount="1" totalsRowCount="0" totalsRowShown="0">
  <x:tableColumns count="7">
    <x:tableColumn id="1" name="需求编号"/>
    <x:tableColumn id="2" name="功能模块"/>
    <x:tableColumn id="3" name="来源行"/>
    <x:tableColumn id="4" name="需求内容"/>
    <x:tableColumn id="5" name="处理状态"/>
    <x:tableColumn id="6" name="关联正式用例"/>
    <x:tableColumn id="7" name="待完成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c2e5bddfa04d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0fee3e98724c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ad1b11888b47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用户App-全部模块-260914-002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COUNTA('需求待确认'!$A$2:$A$40)</x:f>
        <x:v>39</x:v>
      </x:c>
      <x:c r="C5" s="13"/>
      <x:c r="D5" s="20" t="str">
        <x:v>阻塞测试</x:v>
      </x:c>
      <x:c r="E5" s="22" t="n">
        <x:f>COUNTIFS('需求待确认'!$E$2:$E$40,"阻塞测试",'需求待确认'!$T$2:$T$40,"待确认")</x:f>
        <x:v>0</x:v>
      </x:c>
      <x:c r="F5" s="13"/>
      <x:c r="G5" s="20" t="str">
        <x:v>产品</x:v>
      </x:c>
      <x:c r="H5" s="22" t="n">
        <x:f>COUNTIFS('需求待确认'!$R$2:$R$40,"产品",'需求待确认'!$T$2:$T$40,"待确认")</x:f>
        <x:v>36</x:v>
      </x:c>
    </x:row>
    <x:row r="6">
      <x:c r="A6" s="20" t="str">
        <x:v>当前可回答</x:v>
      </x:c>
      <x:c r="B6" s="22" t="n">
        <x:f>COUNTIF('需求待确认'!$T$2:$T$40,"待确认")</x:f>
        <x:v>38</x:v>
      </x:c>
      <x:c r="C6" s="13"/>
      <x:c r="D6" s="20" t="str">
        <x:v>部分阻塞</x:v>
      </x:c>
      <x:c r="E6" s="22" t="n">
        <x:f>COUNTIFS('需求待确认'!$E$2:$E$40,"部分阻塞",'需求待确认'!$T$2:$T$40,"待确认")</x:f>
        <x:v>38</x:v>
      </x:c>
      <x:c r="F6" s="13"/>
      <x:c r="G6" s="20" t="str">
        <x:v>交互</x:v>
      </x:c>
      <x:c r="H6" s="22" t="n">
        <x:f>COUNTIFS('需求待确认'!$R$2:$R$40,"交互",'需求待确认'!$T$2:$T$40,"待确认")</x:f>
        <x:v>0</x:v>
      </x:c>
    </x:row>
    <x:row r="7">
      <x:c r="A7" s="20" t="str">
        <x:v>待前置结论</x:v>
      </x:c>
      <x:c r="B7" s="22" t="n">
        <x:f>COUNTIF('需求待确认'!$T$2:$T$40,"待前置结论")</x:f>
        <x:v>0</x:v>
      </x:c>
      <x:c r="C7" s="13"/>
      <x:c r="D7" s="20" t="str">
        <x:v>不阻塞</x:v>
      </x:c>
      <x:c r="E7" s="22" t="n">
        <x:f>COUNTIFS('需求待确认'!$E$2:$E$40,"不阻塞",'需求待确认'!$T$2:$T$40,"待确认")</x:f>
        <x:v>0</x:v>
      </x:c>
      <x:c r="F7" s="13"/>
      <x:c r="G7" s="20" t="str">
        <x:v>技术</x:v>
      </x:c>
      <x:c r="H7" s="22" t="n">
        <x:f>COUNTIFS('需求待确认'!$R$2:$R$40,"技术",'需求待确认'!$T$2:$T$40,"待确认")</x:f>
        <x:v>0</x:v>
      </x:c>
    </x:row>
    <x:row r="8">
      <x:c r="A8" s="20" t="str">
        <x:v>确认中</x:v>
      </x:c>
      <x:c r="B8" s="22" t="n">
        <x:f>COUNTIF('需求待确认'!$T$2:$T$40,"确认中")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COUNTIFS('需求待确认'!$R$2:$R$40,"多方确认",'需求待确认'!$T$2:$T$40,"待确认")</x:f>
        <x:v>2</x:v>
      </x:c>
    </x:row>
    <x:row r="9">
      <x:c r="A9" s="20" t="str">
        <x:v>已确认</x:v>
      </x:c>
      <x:c r="B9" s="22" t="n">
        <x:f>COUNTIF('需求待确认'!$T$2:$T$40,"已确认")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COUNTIF('需求待确认'!$T$2:$T$40,"无需处理")</x:f>
        <x:v>1</x:v>
      </x:c>
      <x:c r="C10" s="13"/>
      <x:c r="D10" s="13"/>
      <x:c r="E10" s="13"/>
      <x:c r="F10" s="13"/>
      <x:c r="G10" s="13"/>
      <x:c r="H10" s="13"/>
    </x:row>
    <x:row r="12" ht="30" customHeight="1">
      <x:c r="A12" s="25" t="str">
        <x:v>用例交付</x:v>
      </x:c>
      <x:c r="B12" s="25" t="str">
        <x:v>当前已确认部分</x:v>
      </x:c>
      <x:c r="D12" s="27" t="str">
        <x:v>覆盖说明</x:v>
      </x:c>
      <x:c r="E12" s="27" t="str"/>
      <x:c r="F12" s="27" t="str"/>
      <x:c r="G12" s="27" t="str"/>
      <x:c r="H12" s="27" t="str"/>
    </x:row>
    <x:row r="13" ht="30" customHeight="1">
      <x:c r="A13" s="26" t="str">
        <x:v>完整覆盖校验</x:v>
      </x:c>
      <x:c r="B13" s="26" t="str">
        <x:v>未通过</x:v>
      </x:c>
      <x:c r="D13" s="27" t="str">
        <x:v>三端全部模块均有用例；完整需求分支核验尚未闭合。</x:v>
      </x:c>
      <x:c r="E13" s="27" t="str"/>
      <x:c r="F13" s="27" t="str"/>
      <x:c r="G13" s="27" t="str"/>
      <x:c r="H13" s="27" t="str"/>
    </x:row>
    <x:row r="14" ht="30" customHeight="1">
      <x:c r="A14" s="25" t="str">
        <x:v>正式用例数</x:v>
      </x:c>
      <x:c r="B14" s="25" t="n">
        <x:v>798</x:v>
      </x:c>
      <x:c r="D14" s="27" t="str">
        <x:v>“覆盖核验清单”中的未映射或未核验条款必须继续处理。</x:v>
      </x:c>
      <x:c r="E14" s="27" t="str"/>
      <x:c r="F14" s="27" t="str"/>
      <x:c r="G14" s="27" t="str"/>
      <x:c r="H14" s="27" t="str"/>
    </x:row>
    <x:row r="15" ht="30" customHeight="1">
      <x:c r="A15" s="25" t="str">
        <x:v>本端模块数</x:v>
      </x:c>
      <x:c r="B15" s="25" t="n">
        <x:v>9</x:v>
      </x:c>
      <x:c r="D15" s="27" t="str">
        <x:v>需求待确认单列；不把生成缺口转成产品问题。</x:v>
      </x:c>
      <x:c r="E15" s="27" t="str"/>
      <x:c r="F15" s="27" t="str"/>
      <x:c r="G15" s="27" t="str"/>
      <x:c r="H15" s="27" t="str"/>
    </x:row>
    <x:row r="16" ht="30" customHeight="1">
      <x:c r="A16" s="25" t="str">
        <x:v>执行状态</x:v>
      </x:c>
      <x:c r="B16" s="25" t="str">
        <x:v>全部未测</x:v>
      </x:c>
      <x:c r="D16" s="27" t="str">
        <x:v>计数用于追溯，不代表业务覆盖率或测试通过率。</x:v>
      </x:c>
      <x:c r="E16" s="27" t="str"/>
      <x:c r="F16" s="27" t="str"/>
      <x:c r="G16" s="27" t="str"/>
      <x:c r="H16" s="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220" customHeight="1">
      <x:c r="A2" s="10" t="n">
        <x:v>1</x:v>
      </x:c>
      <x:c r="B2" s="10" t="str">
        <x:v>USER-0001</x:v>
      </x:c>
      <x:c r="C2" s="10" t="str">
        <x:v>公会管理</x:v>
      </x:c>
      <x:c r="D2" s="10" t="str">
        <x:v>申请加入公会（用户）</x:v>
      </x:c>
      <x:c r="E2" s="10" t="str">
        <x:v>功能需求</x:v>
      </x:c>
      <x:c r="F2" s="10" t="str">
        <x:v>P2</x:v>
      </x:c>
      <x:c r="G2" s="9" t="str">
        <x:v>验证提交资料完整的入会申请</x:v>
      </x:c>
      <x:c r="H2" s="9" t="str">
        <x:v>申请初始状态</x:v>
      </x:c>
      <x:c r="I2" s="9" t="str">
        <x:v>1. 用户为本条执行者
2. 申请人甲未加入任何公会，姓名“测试甲”，手机号 81234567890，国家区号 +62，持有可通过认证的 KTP 正反面测试图片</x:v>
      </x:c>
      <x:c r="J2" s="9" t="str">
        <x:v>1. 打开公会甲的申请加入公会
2. 填写姓名“测试甲”
3. 填写手机号 81234567890
4. 选择 KTP 并上传正反面测试图片
5. 上传申请人本人测试照片
6. 点击提交</x:v>
      </x:c>
      <x:c r="K2" s="9" t="str">
        <x:v>公会甲申请显示待公会审核</x:v>
      </x:c>
      <x:c r="L2" s="10" t="str">
        <x:v>FLOW-B8276CAE</x:v>
      </x:c>
      <x:c r="M2" s="10" t="str">
        <x:v>未测</x:v>
      </x:c>
      <x:c r="N2" s="10" t="str"/>
      <x:c r="O2" s="9" t="str">
        <x:v>1. 来源（当前证据）：liveshow-proto/MainBasis/统一需求文档.md；位置：第 978 行；REQ-ceba4c98a7af、第 979 行；REQ-346431dc118a、第 980 行；REQ-90b7bc82b314、第 982 行；REQ-eea2fc98ca34、第 985 行；REQ-ba11a1e6ab77、第 986 行；REQ-462242468d38、第 987 行；REQ-fff97e38fbb4、第 988 行；REQ-d2fbf9922c0b、第 975 行
2. 规则：BR-7D4095C91265CF
3. 未动态验证
4. 示例账号、编号、金额与日期是本条测试数据；执行前按前置条件准备，未填写的产品决策不得自行假定。</x:v>
      </x:c>
    </x:row>
    <x:row r="3" ht="175" customHeight="1">
      <x:c r="A3" s="10" t="n">
        <x:v>2</x:v>
      </x:c>
      <x:c r="B3" s="10" t="str">
        <x:v>USER-0002</x:v>
      </x:c>
      <x:c r="C3" s="10" t="str">
        <x:v>公会管理</x:v>
      </x:c>
      <x:c r="D3" s="10" t="str">
        <x:v>申请加入公会（用户）</x:v>
      </x:c>
      <x:c r="E3" s="10" t="str">
        <x:v>功能需求</x:v>
      </x:c>
      <x:c r="F3" s="10" t="str">
        <x:v>P1</x:v>
      </x:c>
      <x:c r="G3" s="9" t="str">
        <x:v>验证已有待公会审核申请时再次申请公会</x:v>
      </x:c>
      <x:c r="H3" s="9" t="str">
        <x:v>处理中申请唯一性</x:v>
      </x:c>
      <x:c r="I3" s="9" t="str">
        <x:v>1. 用户为本条执行者
2. 申请人甲未加入任何公会，姓名“测试甲”，手机号 81234567890，国家区号 +62，持有可通过认证的 KTP 正反面测试图片
3. 申请人甲已有公会乙的待公会审核申请</x:v>
      </x:c>
      <x:c r="J3" s="9" t="str">
        <x:v>1. 打开公会甲的申请加入公会
2. 点击提交</x:v>
      </x:c>
      <x:c r="K3" s="9" t="str">
        <x:v>未新增第二笔入会申请</x:v>
      </x:c>
      <x:c r="L3" s="10" t="str">
        <x:v>FLOW-B8276CAE</x:v>
      </x:c>
      <x:c r="M3" s="10" t="str">
        <x:v>未测</x:v>
      </x:c>
      <x:c r="N3" s="10" t="str"/>
      <x:c r="O3" s="9" t="str">
        <x:v>1. 来源（当前证据）：liveshow-proto/MainBasis/统一需求文档.md；位置：第 984 行；REQ-6d8fea947ce0、第 985 行；REQ-ba11a1e6ab77、第 986 行；REQ-462242468d38、第 987 行；REQ-fff97e38fbb4、第 988 行；REQ-d2fbf9922c0b、第 975 行
2. 规则：BR-003BBBA902CBA2
3. 未动态验证
4. 示例账号、编号、金额与日期是本条测试数据；执行前按前置条件准备，未填写的产品决策不得自行假定。</x:v>
      </x:c>
    </x:row>
    <x:row r="4" ht="175" customHeight="1">
      <x:c r="A4" s="10" t="n">
        <x:v>3</x:v>
      </x:c>
      <x:c r="B4" s="10" t="str">
        <x:v>USER-0003</x:v>
      </x:c>
      <x:c r="C4" s="10" t="str">
        <x:v>公会管理</x:v>
      </x:c>
      <x:c r="D4" s="10" t="str">
        <x:v>申请加入公会（用户）</x:v>
      </x:c>
      <x:c r="E4" s="10" t="str">
        <x:v>功能需求</x:v>
      </x:c>
      <x:c r="F4" s="10" t="str">
        <x:v>P1</x:v>
      </x:c>
      <x:c r="G4" s="9" t="str">
        <x:v>验证已有待平台审核申请时再次申请公会</x:v>
      </x:c>
      <x:c r="H4" s="9" t="str">
        <x:v>处理中申请唯一性</x:v>
      </x:c>
      <x:c r="I4" s="9" t="str">
        <x:v>1. 用户为本条执行者
2. 申请人甲未加入任何公会，姓名“测试甲”，手机号 81234567890，国家区号 +62，持有可通过认证的 KTP 正反面测试图片
3. 申请人甲已有公会乙的待平台审核申请</x:v>
      </x:c>
      <x:c r="J4" s="9" t="str">
        <x:v>1. 打开公会甲的申请加入公会
2. 点击提交</x:v>
      </x:c>
      <x:c r="K4" s="9" t="str">
        <x:v>未新增第二笔入会申请</x:v>
      </x:c>
      <x:c r="L4" s="10" t="str">
        <x:v>FLOW-B8276CAE</x:v>
      </x:c>
      <x:c r="M4" s="10" t="str">
        <x:v>未测</x:v>
      </x:c>
      <x:c r="N4" s="10" t="str"/>
      <x:c r="O4" s="9" t="str">
        <x:v>1. 来源（当前证据）：liveshow-proto/MainBasis/统一需求文档.md；位置：第 984 行；REQ-6d8fea947ce0、第 985 行；REQ-ba11a1e6ab77、第 986 行；REQ-462242468d38、第 987 行；REQ-fff97e38fbb4、第 988 行；REQ-d2fbf9922c0b、第 975 行
2. 规则：BR-53A8E2FD0A5990
3. 未动态验证
4. 示例账号、编号、金额与日期是本条测试数据；执行前按前置条件准备，未填写的产品决策不得自行假定。</x:v>
      </x:c>
    </x:row>
    <x:row r="5" ht="145" customHeight="1">
      <x:c r="A5" s="10" t="n">
        <x:v>4</x:v>
      </x:c>
      <x:c r="B5" s="10" t="str">
        <x:v>USER-0004</x:v>
      </x:c>
      <x:c r="C5" s="10" t="str">
        <x:v>公会管理</x:v>
      </x:c>
      <x:c r="D5" s="10" t="str">
        <x:v>我的公会（用户）</x:v>
      </x:c>
      <x:c r="E5" s="10" t="str">
        <x:v>功能需求</x:v>
      </x:c>
      <x:c r="F5" s="10" t="str">
        <x:v>P2</x:v>
      </x:c>
      <x:c r="G5" s="9" t="str">
        <x:v>验证公会初审通过后查看入会申请</x:v>
      </x:c>
      <x:c r="H5" s="9" t="str">
        <x:v>平台终审进度</x:v>
      </x:c>
      <x:c r="I5" s="9" t="str">
        <x:v>1. 用户为本条执行者
2. 申请人甲的申请单为 J001
3. 公会长已对 J001 执行通过，平台尚未终审</x:v>
      </x:c>
      <x:c r="J5" s="9" t="str">
        <x:v>1. 打开我的公会
2. 查看公会甲申请进度</x:v>
      </x:c>
      <x:c r="K5" s="9" t="str">
        <x:v>公会甲申请显示待平台审核</x:v>
      </x:c>
      <x:c r="L5" s="10" t="str">
        <x:v>FLOW-B8276CAE</x:v>
      </x:c>
      <x:c r="M5" s="10" t="str">
        <x:v>未测</x:v>
      </x:c>
      <x:c r="N5" s="10" t="str"/>
      <x:c r="O5" s="9" t="str">
        <x:v>1. 来源（当前证据）：liveshow-proto/MainBasis/统一需求文档.md；位置：第 997 行；REQ-a12fc7f0f101、第 1001 行；REQ-a8135e417055、第 992 行
2. 规则：BR-7FDAB3725CB7FC
3. 未动态验证
4. 示例账号、编号、金额与日期是本条测试数据；执行前按前置条件准备，未填写的产品决策不得自行假定。</x:v>
      </x:c>
    </x:row>
    <x:row r="6" ht="220" customHeight="1">
      <x:c r="A6" s="10" t="n">
        <x:v>5</x:v>
      </x:c>
      <x:c r="B6" s="10" t="str">
        <x:v>USER-0005</x:v>
      </x:c>
      <x:c r="C6" s="10" t="str">
        <x:v>公会管理</x:v>
      </x:c>
      <x:c r="D6" s="10" t="str">
        <x:v>我的公会（用户）</x:v>
      </x:c>
      <x:c r="E6" s="10" t="str">
        <x:v>功能需求</x:v>
      </x:c>
      <x:c r="F6" s="10" t="str">
        <x:v>P2</x:v>
      </x:c>
      <x:c r="G6" s="9" t="str">
        <x:v>验证平台终审通过后查看公会关系</x:v>
      </x:c>
      <x:c r="H6" s="9" t="str">
        <x:v>当前公会归属</x:v>
      </x:c>
      <x:c r="I6" s="9" t="str">
        <x:v>1. 用户为本条执行者
2. 申请人甲的申请单为 J001
3. 平台已对 J001 执行通过</x:v>
      </x:c>
      <x:c r="J6" s="9" t="str">
        <x:v>1. 打开我的公会
2. 查看公会甲</x:v>
      </x:c>
      <x:c r="K6" s="9" t="str">
        <x:v>公会甲显示为申请人甲当前所属公会</x:v>
      </x:c>
      <x:c r="L6" s="10" t="str">
        <x:v>FLOW-B8276CAE</x:v>
      </x:c>
      <x:c r="M6" s="10" t="str">
        <x:v>未测</x:v>
      </x:c>
      <x:c r="N6" s="10" t="str"/>
      <x:c r="O6" s="9" t="str">
        <x:v>1. 来源（当前证据）：liveshow-proto/MainBasis/统一需求文档.md；位置：第 994 行；REQ-d72906c23271、第 995 行；REQ-a928c89adce3、第 996 行；REQ-d51b9931ad53、第 997 行；REQ-a12fc7f0f101、第 998 行；REQ-79ac284bd1ea、第 999 行；REQ-3a4e7948c61c、第 1000 行；REQ-33be2218af0e、第 1001 行；REQ-a8135e417055、第 1002 行；REQ-8d7f1a453117、第 992 行
2. 规则：BR-C5C1B47D757E79
3. 未动态验证
4. 示例账号、编号、金额与日期是本条测试数据；执行前按前置条件准备，未填写的产品决策不得自行假定。</x:v>
      </x:c>
    </x:row>
    <x:row r="7" ht="160" customHeight="1">
      <x:c r="A7" s="10" t="n">
        <x:v>6</x:v>
      </x:c>
      <x:c r="B7" s="10" t="str">
        <x:v>USER-0006</x:v>
      </x:c>
      <x:c r="C7" s="10" t="str">
        <x:v>公会管理</x:v>
      </x:c>
      <x:c r="D7" s="10" t="str">
        <x:v>我的公会（用户）</x:v>
      </x:c>
      <x:c r="E7" s="10" t="str">
        <x:v>功能需求</x:v>
      </x:c>
      <x:c r="F7" s="10" t="str">
        <x:v>P2</x:v>
      </x:c>
      <x:c r="G7" s="9" t="str">
        <x:v>验证查看公会驳回的申请</x:v>
      </x:c>
      <x:c r="H7" s="9" t="str">
        <x:v>驳回原因</x:v>
      </x:c>
      <x:c r="I7" s="9" t="str">
        <x:v>1. 用户为本条执行者
2. 申请人甲的申请单为 J001
3. 公会已将 J001 驳回，原因为“认证资料需要补正”</x:v>
      </x:c>
      <x:c r="J7" s="9" t="str">
        <x:v>1. 打开我的公会
2. 查看申请 J001</x:v>
      </x:c>
      <x:c r="K7" s="9" t="str">
        <x:v>申请记录显示“认证资料需要补正”</x:v>
      </x:c>
      <x:c r="L7" s="10" t="str">
        <x:v>FLOW-B8276CAE</x:v>
      </x:c>
      <x:c r="M7" s="10" t="str">
        <x:v>未测</x:v>
      </x:c>
      <x:c r="N7" s="10" t="str"/>
      <x:c r="O7" s="9" t="str">
        <x:v>1. 来源（当前证据）：liveshow-proto/MainBasis/统一需求文档.md；位置：第 997 行；REQ-a12fc7f0f101、第 998 行；REQ-79ac284bd1ea、第 1001 行；REQ-a8135e417055、第 992 行
2. 规则：BR-A448E3473C7370
3. 未动态验证
4. 示例账号、编号、金额与日期是本条测试数据；执行前按前置条件准备，未填写的产品决策不得自行假定。</x:v>
      </x:c>
    </x:row>
    <x:row r="8" ht="175" customHeight="1">
      <x:c r="A8" s="10" t="n">
        <x:v>7</x:v>
      </x:c>
      <x:c r="B8" s="10" t="str">
        <x:v>USER-0007</x:v>
      </x:c>
      <x:c r="C8" s="10" t="str">
        <x:v>公会管理</x:v>
      </x:c>
      <x:c r="D8" s="10" t="str">
        <x:v>申请加入公会（用户）</x:v>
      </x:c>
      <x:c r="E8" s="10" t="str">
        <x:v>功能需求</x:v>
      </x:c>
      <x:c r="F8" s="10" t="str">
        <x:v>P2</x:v>
      </x:c>
      <x:c r="G8" s="9" t="str">
        <x:v>验证公会驳回后重新提交入会申请</x:v>
      </x:c>
      <x:c r="H8" s="9" t="str">
        <x:v>重新申请审核起点</x:v>
      </x:c>
      <x:c r="I8" s="9" t="str">
        <x:v>1. 用户为本条执行者
2. 申请人甲未加入任何公会，姓名“测试甲”，手机号 81234567890，国家区号 +62，持有可通过认证的 KTP 正反面测试图片
3. J001 已被公会驳回且作废</x:v>
      </x:c>
      <x:c r="J8" s="9" t="str">
        <x:v>1. 打开公会甲的申请加入公会
2. 填写姓名“测试甲”和手机号 81234567890
3. 选择 KTP 并上传正反面测试图片
4. 上传申请人本人测试照片
5. 点击提交</x:v>
      </x:c>
      <x:c r="K8" s="9" t="str">
        <x:v>新申请处于待公会审核</x:v>
      </x:c>
      <x:c r="L8" s="10" t="str">
        <x:v>FLOW-B8276CAE</x:v>
      </x:c>
      <x:c r="M8" s="10" t="str">
        <x:v>未测</x:v>
      </x:c>
      <x:c r="N8" s="10" t="str"/>
      <x:c r="O8" s="9" t="str">
        <x:v>1. 来源（当前证据）：liveshow-proto/MainBasis/统一需求文档.md；位置：第 985 行；REQ-ba11a1e6ab77、第 986 行；REQ-462242468d38、第 987 行；REQ-fff97e38fbb4、第 988 行；REQ-d2fbf9922c0b、第 975 行
2. 规则：BR-A666469F72850A
3. 未动态验证
4. 示例账号、编号、金额与日期是本条测试数据；执行前按前置条件准备，未填写的产品决策不得自行假定。</x:v>
      </x:c>
    </x:row>
    <x:row r="9" ht="160" customHeight="1">
      <x:c r="A9" s="10" t="n">
        <x:v>8</x:v>
      </x:c>
      <x:c r="B9" s="10" t="str">
        <x:v>USER-0008</x:v>
      </x:c>
      <x:c r="C9" s="10" t="str">
        <x:v>公会管理</x:v>
      </x:c>
      <x:c r="D9" s="10" t="str">
        <x:v>我的公会（用户）</x:v>
      </x:c>
      <x:c r="E9" s="10" t="str">
        <x:v>功能需求</x:v>
      </x:c>
      <x:c r="F9" s="10" t="str">
        <x:v>P2</x:v>
      </x:c>
      <x:c r="G9" s="9" t="str">
        <x:v>验证查看平台驳回的申请</x:v>
      </x:c>
      <x:c r="H9" s="9" t="str">
        <x:v>驳回原因</x:v>
      </x:c>
      <x:c r="I9" s="9" t="str">
        <x:v>1. 用户为本条执行者
2. 申请人甲的申请单为 J001
3. 平台已将 J001 驳回，原因为“认证资料需要补正”</x:v>
      </x:c>
      <x:c r="J9" s="9" t="str">
        <x:v>1. 打开我的公会
2. 查看申请 J001</x:v>
      </x:c>
      <x:c r="K9" s="9" t="str">
        <x:v>申请记录显示“认证资料需要补正”</x:v>
      </x:c>
      <x:c r="L9" s="10" t="str">
        <x:v>FLOW-B8276CAE</x:v>
      </x:c>
      <x:c r="M9" s="10" t="str">
        <x:v>未测</x:v>
      </x:c>
      <x:c r="N9" s="10" t="str"/>
      <x:c r="O9" s="9" t="str">
        <x:v>1. 来源（当前证据）：liveshow-proto/MainBasis/统一需求文档.md；位置：第 997 行；REQ-a12fc7f0f101、第 998 行；REQ-79ac284bd1ea、第 1001 行；REQ-a8135e417055、第 992 行
2. 规则：BR-29772F684D4EF3
3. 未动态验证
4. 示例账号、编号、金额与日期是本条测试数据；执行前按前置条件准备，未填写的产品决策不得自行假定。</x:v>
      </x:c>
    </x:row>
    <x:row r="10" ht="175" customHeight="1">
      <x:c r="A10" s="10" t="n">
        <x:v>9</x:v>
      </x:c>
      <x:c r="B10" s="10" t="str">
        <x:v>USER-0009</x:v>
      </x:c>
      <x:c r="C10" s="10" t="str">
        <x:v>公会管理</x:v>
      </x:c>
      <x:c r="D10" s="10" t="str">
        <x:v>申请加入公会（用户）</x:v>
      </x:c>
      <x:c r="E10" s="10" t="str">
        <x:v>功能需求</x:v>
      </x:c>
      <x:c r="F10" s="10" t="str">
        <x:v>P2</x:v>
      </x:c>
      <x:c r="G10" s="9" t="str">
        <x:v>验证平台驳回后重新提交入会申请</x:v>
      </x:c>
      <x:c r="H10" s="9" t="str">
        <x:v>重新申请审核起点</x:v>
      </x:c>
      <x:c r="I10" s="9" t="str">
        <x:v>1. 用户为本条执行者
2. 申请人甲未加入任何公会，姓名“测试甲”，手机号 81234567890，国家区号 +62，持有可通过认证的 KTP 正反面测试图片
3. J001 已被平台驳回且作废</x:v>
      </x:c>
      <x:c r="J10" s="9" t="str">
        <x:v>1. 打开公会甲的申请加入公会
2. 填写姓名“测试甲”和手机号 81234567890
3. 选择 KTP 并上传正反面测试图片
4. 上传申请人本人测试照片
5. 点击提交</x:v>
      </x:c>
      <x:c r="K10" s="9" t="str">
        <x:v>新申请处于待公会审核</x:v>
      </x:c>
      <x:c r="L10" s="10" t="str">
        <x:v>FLOW-B8276CAE</x:v>
      </x:c>
      <x:c r="M10" s="10" t="str">
        <x:v>未测</x:v>
      </x:c>
      <x:c r="N10" s="10" t="str"/>
      <x:c r="O10" s="9" t="str">
        <x:v>1. 来源（当前证据）：liveshow-proto/MainBasis/统一需求文档.md；位置：第 985 行；REQ-ba11a1e6ab77、第 986 行；REQ-462242468d38、第 987 行；REQ-fff97e38fbb4、第 988 行；REQ-d2fbf9922c0b、第 975 行
2. 规则：BR-3264A7E60A3DFA
3. 未动态验证
4. 示例账号、编号、金额与日期是本条测试数据；执行前按前置条件准备，未填写的产品决策不得自行假定。</x:v>
      </x:c>
    </x:row>
    <x:row r="11" ht="175" customHeight="1">
      <x:c r="A11" s="10" t="n">
        <x:v>10</x:v>
      </x:c>
      <x:c r="B11" s="10" t="str">
        <x:v>USER-0010</x:v>
      </x:c>
      <x:c r="C11" s="10" t="str">
        <x:v>公会管理</x:v>
      </x:c>
      <x:c r="D11" s="10" t="str">
        <x:v>申请退出公会（主播）</x:v>
      </x:c>
      <x:c r="E11" s="10" t="str">
        <x:v>功能需求</x:v>
      </x:c>
      <x:c r="F11" s="10" t="str">
        <x:v>P2</x:v>
      </x:c>
      <x:c r="G11" s="9" t="str">
        <x:v>验证主播提交退会申请</x:v>
      </x:c>
      <x:c r="H11" s="9" t="str">
        <x:v>退会待审状态</x:v>
      </x:c>
      <x:c r="I11" s="9" t="str">
        <x:v>1. 主播为本条执行者
2. 主播甲当前属于公会甲，尚无处理中退会申请</x:v>
      </x:c>
      <x:c r="J11" s="9" t="str">
        <x:v>1. 打开申请退出公会
2. 输入退会原因“个人安排调整”
3. 点击提交</x:v>
      </x:c>
      <x:c r="K11" s="9" t="str">
        <x:v>退会申请显示待审核</x:v>
      </x:c>
      <x:c r="L11" s="10" t="str">
        <x:v>FLOW-289CDBD1</x:v>
      </x:c>
      <x:c r="M11" s="10" t="str">
        <x:v>未测</x:v>
      </x:c>
      <x:c r="N11" s="10" t="str"/>
      <x:c r="O11" s="9" t="str">
        <x:v>1. 来源（当前证据）：liveshow-proto/MainBasis/统一需求文档.md；位置：第 1031 行；REQ-02d8a01510f8、第 1033 行；REQ-07eddabd29bb、第 1035 行；REQ-f73c1b223eaa、第 1036 行；REQ-fd33dcc75cb2、第 1028 行
2. 规则：BR-D6357A3267A8E9
3. 未动态验证
4. 示例账号、编号、金额与日期是本条测试数据；执行前按前置条件准备，未填写的产品决策不得自行假定。</x:v>
      </x:c>
    </x:row>
    <x:row r="12" ht="205" customHeight="1">
      <x:c r="A12" s="10" t="n">
        <x:v>11</x:v>
      </x:c>
      <x:c r="B12" s="10" t="str">
        <x:v>USER-0011</x:v>
      </x:c>
      <x:c r="C12" s="10" t="str">
        <x:v>公会管理</x:v>
      </x:c>
      <x:c r="D12" s="10" t="str">
        <x:v>我的公会（用户）</x:v>
      </x:c>
      <x:c r="E12" s="10" t="str">
        <x:v>功能需求</x:v>
      </x:c>
      <x:c r="F12" s="10" t="str">
        <x:v>P2</x:v>
      </x:c>
      <x:c r="G12" s="9" t="str">
        <x:v>验证退会通过后查看公会关系</x:v>
      </x:c>
      <x:c r="H12" s="9" t="str">
        <x:v>退会后关系</x:v>
      </x:c>
      <x:c r="I12" s="9" t="str">
        <x:v>1. 用户为本条执行者
2. 申请人甲的申请单为 J001
3. L001 已由公会甲同意</x:v>
      </x:c>
      <x:c r="J12" s="9" t="str">
        <x:v>1. 打开我的公会
2. 查看公会甲</x:v>
      </x:c>
      <x:c r="K12" s="9" t="str">
        <x:v>公会甲记录显示已退出</x:v>
      </x:c>
      <x:c r="L12" s="10" t="str">
        <x:v>FLOW-289CDBD1</x:v>
      </x:c>
      <x:c r="M12" s="10" t="str">
        <x:v>未测</x:v>
      </x:c>
      <x:c r="N12" s="10" t="str"/>
      <x:c r="O12" s="9" t="str">
        <x:v>1. 来源（当前证据）：liveshow-proto/MainBasis/统一需求文档.md；位置：第 995 行；REQ-a928c89adce3、第 997 行；REQ-a12fc7f0f101、第 998 行；REQ-79ac284bd1ea、第 999 行；REQ-3a4e7948c61c、第 1000 行；REQ-33be2218af0e、第 1001 行；REQ-a8135e417055、第 1002 行；REQ-8d7f1a453117、第 992 行
2. 规则：BR-BED1F5A16798E2
3. 未动态验证
4. 示例账号、编号、金额与日期是本条测试数据；执行前按前置条件准备，未填写的产品决策不得自行假定。</x:v>
      </x:c>
    </x:row>
    <x:row r="13" ht="205" customHeight="1">
      <x:c r="A13" s="10" t="n">
        <x:v>12</x:v>
      </x:c>
      <x:c r="B13" s="10" t="str">
        <x:v>USER-0012</x:v>
      </x:c>
      <x:c r="C13" s="10" t="str">
        <x:v>公会管理</x:v>
      </x:c>
      <x:c r="D13" s="10" t="str">
        <x:v>我的公会（用户）</x:v>
      </x:c>
      <x:c r="E13" s="10" t="str">
        <x:v>功能需求</x:v>
      </x:c>
      <x:c r="F13" s="10" t="str">
        <x:v>P2</x:v>
      </x:c>
      <x:c r="G13" s="9" t="str">
        <x:v>验证退会驳回后查看公会关系</x:v>
      </x:c>
      <x:c r="H13" s="9" t="str">
        <x:v>退会后关系</x:v>
      </x:c>
      <x:c r="I13" s="9" t="str">
        <x:v>1. 用户为本条执行者
2. 申请人甲的申请单为 J001
3. L001 已由公会甲驳回</x:v>
      </x:c>
      <x:c r="J13" s="9" t="str">
        <x:v>1. 打开我的公会
2. 查看公会甲</x:v>
      </x:c>
      <x:c r="K13" s="9" t="str">
        <x:v>公会甲仍显示为当前所属公会</x:v>
      </x:c>
      <x:c r="L13" s="10" t="str">
        <x:v>FLOW-289CDBD1</x:v>
      </x:c>
      <x:c r="M13" s="10" t="str">
        <x:v>未测</x:v>
      </x:c>
      <x:c r="N13" s="10" t="str"/>
      <x:c r="O13" s="9" t="str">
        <x:v>1. 来源（当前证据）：liveshow-proto/MainBasis/统一需求文档.md；位置：第 995 行；REQ-a928c89adce3、第 997 行；REQ-a12fc7f0f101、第 998 行；REQ-79ac284bd1ea、第 999 行；REQ-3a4e7948c61c、第 1000 行；REQ-33be2218af0e、第 1001 行；REQ-a8135e417055、第 1002 行；REQ-8d7f1a453117、第 992 行
2. 规则：BR-4684BF66DDC534
3. 未动态验证
4. 示例账号、编号、金额与日期是本条测试数据；执行前按前置条件准备，未填写的产品决策不得自行假定。</x:v>
      </x:c>
    </x:row>
    <x:row r="14" ht="220" customHeight="1">
      <x:c r="A14" s="10" t="n">
        <x:v>13</x:v>
      </x:c>
      <x:c r="B14" s="10" t="str">
        <x:v>USER-0013</x:v>
      </x:c>
      <x:c r="C14" s="10" t="str">
        <x:v>主播管理</x:v>
      </x:c>
      <x:c r="D14" s="10" t="str">
        <x:v>开播设置（主播）</x:v>
      </x:c>
      <x:c r="E14" s="10" t="str">
        <x:v>功能需求</x:v>
      </x:c>
      <x:c r="F14" s="10" t="str">
        <x:v>P2</x:v>
      </x:c>
      <x:c r="G14" s="9" t="str">
        <x:v>验证平台关、锁定否、公会原设置关的开播判定</x:v>
      </x:c>
      <x:c r="H14" s="9" t="str">
        <x:v>最终开播权限</x:v>
      </x:c>
      <x:c r="I14" s="9" t="str">
        <x:v>1. 主播为本条执行者
2. 主播甲认证通过，公会甲有效，账号未封禁；相机和麦克风权限已授权；普通房封面、主题“测试直播”、分类均已设置
3. 平台开播开关为关闭，公会原开关为关闭，平台未锁定公会权限</x:v>
      </x:c>
      <x:c r="J14" s="9" t="str">
        <x:v>1. 打开开播设置
2. 点击开始直播</x:v>
      </x:c>
      <x:c r="K14" s="9" t="str">
        <x:v>未创建新直播场次</x:v>
      </x:c>
      <x:c r="L14" s="10" t="str">
        <x:v>FLOW-B5CAB366</x:v>
      </x:c>
      <x:c r="M14" s="10" t="str">
        <x:v>未测</x:v>
      </x:c>
      <x:c r="N14" s="10" t="str"/>
      <x:c r="O14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规则：BR-8122A57D273C9A
3. 未动态验证
4. 示例账号、编号、金额与日期是本条测试数据；执行前按前置条件准备，未填写的产品决策不得自行假定。</x:v>
      </x:c>
    </x:row>
    <x:row r="15" ht="220" customHeight="1">
      <x:c r="A15" s="10" t="n">
        <x:v>14</x:v>
      </x:c>
      <x:c r="B15" s="10" t="str">
        <x:v>USER-0014</x:v>
      </x:c>
      <x:c r="C15" s="10" t="str">
        <x:v>主播管理</x:v>
      </x:c>
      <x:c r="D15" s="10" t="str">
        <x:v>开播设置（主播）</x:v>
      </x:c>
      <x:c r="E15" s="10" t="str">
        <x:v>功能需求</x:v>
      </x:c>
      <x:c r="F15" s="10" t="str">
        <x:v>P2</x:v>
      </x:c>
      <x:c r="G15" s="9" t="str">
        <x:v>验证平台关、锁定否、公会原设置开的开播判定</x:v>
      </x:c>
      <x:c r="H15" s="9" t="str">
        <x:v>最终开播权限</x:v>
      </x:c>
      <x:c r="I15" s="9" t="str">
        <x:v>1. 主播为本条执行者
2. 主播甲认证通过，公会甲有效，账号未封禁；相机和麦克风权限已授权；普通房封面、主题“测试直播”、分类均已设置
3. 平台开播开关为关闭，公会原开关为开启，平台未锁定公会权限</x:v>
      </x:c>
      <x:c r="J15" s="9" t="str">
        <x:v>1. 打开开播设置
2. 点击开始直播</x:v>
      </x:c>
      <x:c r="K15" s="9" t="str">
        <x:v>未创建新直播场次</x:v>
      </x:c>
      <x:c r="L15" s="10" t="str">
        <x:v>FLOW-B5CAB366</x:v>
      </x:c>
      <x:c r="M15" s="10" t="str">
        <x:v>未测</x:v>
      </x:c>
      <x:c r="N15" s="10" t="str"/>
      <x:c r="O15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规则：BR-6BA94A5FB1B8C4
3. 未动态验证
4. 示例账号、编号、金额与日期是本条测试数据；执行前按前置条件准备，未填写的产品决策不得自行假定。</x:v>
      </x:c>
    </x:row>
    <x:row r="16" ht="220" customHeight="1">
      <x:c r="A16" s="10" t="n">
        <x:v>15</x:v>
      </x:c>
      <x:c r="B16" s="10" t="str">
        <x:v>USER-0015</x:v>
      </x:c>
      <x:c r="C16" s="10" t="str">
        <x:v>主播管理</x:v>
      </x:c>
      <x:c r="D16" s="10" t="str">
        <x:v>开播设置（主播）</x:v>
      </x:c>
      <x:c r="E16" s="10" t="str">
        <x:v>功能需求</x:v>
      </x:c>
      <x:c r="F16" s="10" t="str">
        <x:v>P2</x:v>
      </x:c>
      <x:c r="G16" s="9" t="str">
        <x:v>验证平台关、锁定是、公会原设置关的开播判定</x:v>
      </x:c>
      <x:c r="H16" s="9" t="str">
        <x:v>最终开播权限</x:v>
      </x:c>
      <x:c r="I16" s="9" t="str">
        <x:v>1. 主播为本条执行者
2. 主播甲认证通过，公会甲有效，账号未封禁；相机和麦克风权限已授权；普通房封面、主题“测试直播”、分类均已设置
3. 平台开播开关为关闭，公会原开关为关闭，平台已锁定公会权限</x:v>
      </x:c>
      <x:c r="J16" s="9" t="str">
        <x:v>1. 打开开播设置
2. 点击开始直播</x:v>
      </x:c>
      <x:c r="K16" s="9" t="str">
        <x:v>未创建新直播场次</x:v>
      </x:c>
      <x:c r="L16" s="10" t="str">
        <x:v>FLOW-B5CAB366</x:v>
      </x:c>
      <x:c r="M16" s="10" t="str">
        <x:v>未测</x:v>
      </x:c>
      <x:c r="N16" s="10" t="str"/>
      <x:c r="O16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规则：BR-D49A1B001F37E3
3. 未动态验证
4. 示例账号、编号、金额与日期是本条测试数据；执行前按前置条件准备，未填写的产品决策不得自行假定。</x:v>
      </x:c>
    </x:row>
    <x:row r="17" ht="220" customHeight="1">
      <x:c r="A17" s="10" t="n">
        <x:v>16</x:v>
      </x:c>
      <x:c r="B17" s="10" t="str">
        <x:v>USER-0016</x:v>
      </x:c>
      <x:c r="C17" s="10" t="str">
        <x:v>主播管理</x:v>
      </x:c>
      <x:c r="D17" s="10" t="str">
        <x:v>开播设置（主播）</x:v>
      </x:c>
      <x:c r="E17" s="10" t="str">
        <x:v>功能需求</x:v>
      </x:c>
      <x:c r="F17" s="10" t="str">
        <x:v>P2</x:v>
      </x:c>
      <x:c r="G17" s="9" t="str">
        <x:v>验证平台关、锁定是、公会原设置开的开播判定</x:v>
      </x:c>
      <x:c r="H17" s="9" t="str">
        <x:v>最终开播权限</x:v>
      </x:c>
      <x:c r="I17" s="9" t="str">
        <x:v>1. 主播为本条执行者
2. 主播甲认证通过，公会甲有效，账号未封禁；相机和麦克风权限已授权；普通房封面、主题“测试直播”、分类均已设置
3. 平台开播开关为关闭，公会原开关为开启，平台已锁定公会权限</x:v>
      </x:c>
      <x:c r="J17" s="9" t="str">
        <x:v>1. 打开开播设置
2. 点击开始直播</x:v>
      </x:c>
      <x:c r="K17" s="9" t="str">
        <x:v>未创建新直播场次</x:v>
      </x:c>
      <x:c r="L17" s="10" t="str">
        <x:v>FLOW-B5CAB366</x:v>
      </x:c>
      <x:c r="M17" s="10" t="str">
        <x:v>未测</x:v>
      </x:c>
      <x:c r="N17" s="10" t="str"/>
      <x:c r="O17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规则：BR-30166CE7BFF88F
3. 未动态验证
4. 示例账号、编号、金额与日期是本条测试数据；执行前按前置条件准备，未填写的产品决策不得自行假定。</x:v>
      </x:c>
    </x:row>
    <x:row r="18" ht="220" customHeight="1">
      <x:c r="A18" s="10" t="n">
        <x:v>17</x:v>
      </x:c>
      <x:c r="B18" s="10" t="str">
        <x:v>USER-0017</x:v>
      </x:c>
      <x:c r="C18" s="10" t="str">
        <x:v>主播管理</x:v>
      </x:c>
      <x:c r="D18" s="10" t="str">
        <x:v>开播设置（主播）</x:v>
      </x:c>
      <x:c r="E18" s="10" t="str">
        <x:v>功能需求</x:v>
      </x:c>
      <x:c r="F18" s="10" t="str">
        <x:v>P2</x:v>
      </x:c>
      <x:c r="G18" s="9" t="str">
        <x:v>验证平台开、锁定否、公会原设置关的开播判定</x:v>
      </x:c>
      <x:c r="H18" s="9" t="str">
        <x:v>最终开播权限</x:v>
      </x:c>
      <x:c r="I18" s="9" t="str">
        <x:v>1. 主播为本条执行者
2. 主播甲认证通过，公会甲有效，账号未封禁；相机和麦克风权限已授权；普通房封面、主题“测试直播”、分类均已设置
3. 平台开播开关为开启，公会原开关为关闭，平台未锁定公会权限</x:v>
      </x:c>
      <x:c r="J18" s="9" t="str">
        <x:v>1. 打开开播设置
2. 点击开始直播</x:v>
      </x:c>
      <x:c r="K18" s="9" t="str">
        <x:v>未创建新直播场次</x:v>
      </x:c>
      <x:c r="L18" s="10" t="str">
        <x:v>FLOW-B5CAB366</x:v>
      </x:c>
      <x:c r="M18" s="10" t="str">
        <x:v>未测</x:v>
      </x:c>
      <x:c r="N18" s="10" t="str"/>
      <x:c r="O18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规则：BR-1A723DFE803957
3. 未动态验证
4. 示例账号、编号、金额与日期是本条测试数据；执行前按前置条件准备，未填写的产品决策不得自行假定。</x:v>
      </x:c>
    </x:row>
    <x:row r="19" ht="220" customHeight="1">
      <x:c r="A19" s="10" t="n">
        <x:v>18</x:v>
      </x:c>
      <x:c r="B19" s="10" t="str">
        <x:v>USER-0018</x:v>
      </x:c>
      <x:c r="C19" s="10" t="str">
        <x:v>主播管理</x:v>
      </x:c>
      <x:c r="D19" s="10" t="str">
        <x:v>开播设置（主播）</x:v>
      </x:c>
      <x:c r="E19" s="10" t="str">
        <x:v>功能需求</x:v>
      </x:c>
      <x:c r="F19" s="10" t="str">
        <x:v>P2</x:v>
      </x:c>
      <x:c r="G19" s="9" t="str">
        <x:v>验证平台开、锁定否、公会原设置开的开播判定</x:v>
      </x:c>
      <x:c r="H19" s="9" t="str">
        <x:v>最终开播权限</x:v>
      </x:c>
      <x:c r="I19" s="9" t="str">
        <x:v>1. 主播为本条执行者
2. 主播甲认证通过，公会甲有效，账号未封禁；相机和麦克风权限已授权；普通房封面、主题“测试直播”、分类均已设置
3. 平台开播开关为开启，公会原开关为开启，平台未锁定公会权限</x:v>
      </x:c>
      <x:c r="J19" s="9" t="str">
        <x:v>1. 打开开播设置
2. 点击开始直播</x:v>
      </x:c>
      <x:c r="K19" s="9" t="str">
        <x:v>进入主播直播间</x:v>
      </x:c>
      <x:c r="L19" s="10" t="str">
        <x:v>FLOW-B5CAB366</x:v>
      </x:c>
      <x:c r="M19" s="10" t="str">
        <x:v>未测</x:v>
      </x:c>
      <x:c r="N19" s="10" t="str"/>
      <x:c r="O19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规则：BR-64C6C68B6921B5
3. 未动态验证
4. 示例账号、编号、金额与日期是本条测试数据；执行前按前置条件准备，未填写的产品决策不得自行假定。</x:v>
      </x:c>
    </x:row>
    <x:row r="20" ht="220" customHeight="1">
      <x:c r="A20" s="10" t="n">
        <x:v>19</x:v>
      </x:c>
      <x:c r="B20" s="10" t="str">
        <x:v>USER-0019</x:v>
      </x:c>
      <x:c r="C20" s="10" t="str">
        <x:v>主播管理</x:v>
      </x:c>
      <x:c r="D20" s="10" t="str">
        <x:v>开播设置（主播）</x:v>
      </x:c>
      <x:c r="E20" s="10" t="str">
        <x:v>功能需求</x:v>
      </x:c>
      <x:c r="F20" s="10" t="str">
        <x:v>P2</x:v>
      </x:c>
      <x:c r="G20" s="9" t="str">
        <x:v>验证平台开、锁定是、公会原设置关的开播判定</x:v>
      </x:c>
      <x:c r="H20" s="9" t="str">
        <x:v>最终开播权限</x:v>
      </x:c>
      <x:c r="I20" s="9" t="str">
        <x:v>1. 主播为本条执行者
2. 主播甲认证通过，公会甲有效，账号未封禁；相机和麦克风权限已授权；普通房封面、主题“测试直播”、分类均已设置
3. 平台开播开关为开启，公会原开关为关闭，平台已锁定公会权限</x:v>
      </x:c>
      <x:c r="J20" s="9" t="str">
        <x:v>1. 打开开播设置
2. 点击开始直播</x:v>
      </x:c>
      <x:c r="K20" s="9" t="str">
        <x:v>进入主播直播间</x:v>
      </x:c>
      <x:c r="L20" s="10" t="str">
        <x:v>FLOW-B5CAB366</x:v>
      </x:c>
      <x:c r="M20" s="10" t="str">
        <x:v>未测</x:v>
      </x:c>
      <x:c r="N20" s="10" t="str"/>
      <x:c r="O20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规则：BR-DD7BE9DAAC886F
3. 未动态验证
4. 示例账号、编号、金额与日期是本条测试数据；执行前按前置条件准备，未填写的产品决策不得自行假定。</x:v>
      </x:c>
    </x:row>
    <x:row r="21" ht="220" customHeight="1">
      <x:c r="A21" s="10" t="n">
        <x:v>20</x:v>
      </x:c>
      <x:c r="B21" s="10" t="str">
        <x:v>USER-0020</x:v>
      </x:c>
      <x:c r="C21" s="10" t="str">
        <x:v>主播管理</x:v>
      </x:c>
      <x:c r="D21" s="10" t="str">
        <x:v>开播设置（主播）</x:v>
      </x:c>
      <x:c r="E21" s="10" t="str">
        <x:v>功能需求</x:v>
      </x:c>
      <x:c r="F21" s="10" t="str">
        <x:v>P2</x:v>
      </x:c>
      <x:c r="G21" s="9" t="str">
        <x:v>验证平台开、锁定是、公会原设置开的开播判定</x:v>
      </x:c>
      <x:c r="H21" s="9" t="str">
        <x:v>最终开播权限</x:v>
      </x:c>
      <x:c r="I21" s="9" t="str">
        <x:v>1. 主播为本条执行者
2. 主播甲认证通过，公会甲有效，账号未封禁；相机和麦克风权限已授权；普通房封面、主题“测试直播”、分类均已设置
3. 平台开播开关为开启，公会原开关为开启，平台已锁定公会权限</x:v>
      </x:c>
      <x:c r="J21" s="9" t="str">
        <x:v>1. 打开开播设置
2. 点击开始直播</x:v>
      </x:c>
      <x:c r="K21" s="9" t="str">
        <x:v>进入主播直播间</x:v>
      </x:c>
      <x:c r="L21" s="10" t="str">
        <x:v>FLOW-B5CAB366</x:v>
      </x:c>
      <x:c r="M21" s="10" t="str">
        <x:v>未测</x:v>
      </x:c>
      <x:c r="N21" s="10" t="str"/>
      <x:c r="O21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规则：BR-391F87FC89BFD0
3. 未动态验证
4. 示例账号、编号、金额与日期是本条测试数据；执行前按前置条件准备，未填写的产品决策不得自行假定。</x:v>
      </x:c>
    </x:row>
    <x:row r="22" ht="220" customHeight="1">
      <x:c r="A22" s="10" t="n">
        <x:v>21</x:v>
      </x:c>
      <x:c r="B22" s="10" t="str">
        <x:v>USER-0021</x:v>
      </x:c>
      <x:c r="C22" s="10" t="str">
        <x:v>主播管理</x:v>
      </x:c>
      <x:c r="D22" s="10" t="str">
        <x:v>开播设置（主播）</x:v>
      </x:c>
      <x:c r="E22" s="10" t="str">
        <x:v>功能需求</x:v>
      </x:c>
      <x:c r="F22" s="10" t="str">
        <x:v>P2</x:v>
      </x:c>
      <x:c r="G22" s="9" t="str">
        <x:v>验证平台解锁后原公会关闭设置阻止开播</x:v>
      </x:c>
      <x:c r="H22" s="9" t="str">
        <x:v>解锁后的开播拒绝</x:v>
      </x:c>
      <x:c r="I22" s="9" t="str">
        <x:v>1. 主播为本条执行者
2. 主播甲认证通过，公会甲有效，账号未封禁；相机和麦克风权限已授权；普通房封面、主题“测试直播”、分类均已设置
3. 平台开启，锁定期间公会原设置关闭，平台已解除锁定</x:v>
      </x:c>
      <x:c r="J22" s="9" t="str">
        <x:v>1. 打开开播设置
2. 点击开始直播</x:v>
      </x:c>
      <x:c r="K22" s="9" t="str">
        <x:v>未创建新直播场次</x:v>
      </x:c>
      <x:c r="L22" s="10" t="str">
        <x:v>FLOW-B5CAB366</x:v>
      </x:c>
      <x:c r="M22" s="10" t="str">
        <x:v>未测</x:v>
      </x:c>
      <x:c r="N22" s="10" t="str"/>
      <x:c r="O22" s="9" t="str">
        <x:v>1. 来源（当前证据）：liveshow-proto/MainBasis/统一需求文档.md；位置：第 1190 行；REQ-f3cafeef850c、第 1191 行；REQ-87ffa9153ad7、第 1196 行；REQ-d3dcb9f11f0e、第 1197 行；REQ-c746884dbbc3、第 1199 行；REQ-9c8b33e8ea5e、第 1200 行；REQ-b6bddb65ebc8、第 1206 行；REQ-2afca99fcc33、第 1207 行；REQ-e9225b315300、第 1186 行
2. 规则：BR-60E3D57585C98B
3. 未动态验证
4. 示例账号、编号、金额与日期是本条测试数据；执行前按前置条件准备，未填写的产品决策不得自行假定。</x:v>
      </x:c>
    </x:row>
    <x:row r="23" ht="160" customHeight="1">
      <x:c r="A23" s="10" t="n">
        <x:v>22</x:v>
      </x:c>
      <x:c r="B23" s="10" t="str">
        <x:v>USER-0022</x:v>
      </x:c>
      <x:c r="C23" s="10" t="str">
        <x:v>直播</x:v>
      </x:c>
      <x:c r="D23" s="10" t="str">
        <x:v>直播间（主播）（主播）</x:v>
      </x:c>
      <x:c r="E23" s="10" t="str">
        <x:v>功能需求</x:v>
      </x:c>
      <x:c r="F23" s="10" t="str">
        <x:v>P1</x:v>
      </x:c>
      <x:c r="G23" s="9" t="str">
        <x:v>验证平台关闭权限结束主播当前场次</x:v>
      </x:c>
      <x:c r="H23" s="9" t="str">
        <x:v>强制结束场次</x:v>
      </x:c>
      <x:c r="I23" s="9" t="str">
        <x:v>1. 主播为本条执行者
2. 主播甲正在普通房场次 S001 直播
3. 平台管理员已关闭主播甲直播权限</x:v>
      </x:c>
      <x:c r="J23" s="9" t="str">
        <x:v>1. 查看当前主播直播间</x:v>
      </x:c>
      <x:c r="K23" s="9" t="str">
        <x:v>当前直播场次 S001 已结束</x:v>
      </x:c>
      <x:c r="L23" s="10" t="str">
        <x:v>FLOW-3316A78D</x:v>
      </x:c>
      <x:c r="M23" s="10" t="str">
        <x:v>未测</x:v>
      </x:c>
      <x:c r="N23" s="10" t="str"/>
      <x:c r="O23" s="9" t="str">
        <x:v>1. 来源（当前证据）：liveshow-proto/MainBasis/统一需求文档.md；位置：第 802 行；REQ-5ebd79b1bbf8、第 805 行；REQ-dd74c6de0e69、第 807 行；REQ-5d70e4b3fe67、第 796 行
2. 规则：BR-06FF5AC16DBB42
3. 未动态验证
4. 示例账号、编号、金额与日期是本条测试数据；执行前按前置条件准备，未填写的产品决策不得自行假定。</x:v>
      </x:c>
    </x:row>
    <x:row r="24" ht="235" customHeight="1">
      <x:c r="A24" s="10" t="n">
        <x:v>23</x:v>
      </x:c>
      <x:c r="B24" s="10" t="str">
        <x:v>USER-0023</x:v>
      </x:c>
      <x:c r="C24" s="10" t="str">
        <x:v>账号与登录</x:v>
      </x:c>
      <x:c r="D24" s="10" t="str">
        <x:v>登录与注册（用户）</x:v>
      </x:c>
      <x:c r="E24" s="10" t="str">
        <x:v>功能需求</x:v>
      </x:c>
      <x:c r="F24" s="10" t="str">
        <x:v>P1</x:v>
      </x:c>
      <x:c r="G24" s="9" t="str">
        <x:v>验证未同意协议时点击 Google</x:v>
      </x:c>
      <x:c r="H24" s="9" t="str">
        <x:v>授权前协议确认</x:v>
      </x:c>
      <x:c r="I24" s="9" t="str">
        <x:v>1. 用户为本条执行者
2. 当前未登录</x:v>
      </x:c>
      <x:c r="J24" s="9" t="str">
        <x:v>1. 打开登录与注册
2. 点击 Google</x:v>
      </x:c>
      <x:c r="K24" s="9" t="str">
        <x:v>未唤起 Google 授权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 1349 行；REQ-40eeb040fd0b、第 1350 行；REQ-fd8fa4b8e076、第 1351 行；REQ-b89d6085cb6c、第 1352 行；REQ-7cace569fd6a、第 1356 行；REQ-4ad5d176f4e9、第 1364 行；REQ-527b389bdcda、第 1365 行；REQ-76e70fcba89b、第 1366 行；REQ-a018ce659c74、第 1371 行；REQ-34712a13e43f、第 1347 行
2. 规则：BR-A0BE77F2875784
3. 未动态验证
4. 示例账号、编号、金额与日期是本条测试数据；执行前按前置条件准备，未填写的产品决策不得自行假定。</x:v>
      </x:c>
    </x:row>
    <x:row r="25" ht="220" customHeight="1">
      <x:c r="A25" s="10" t="n">
        <x:v>24</x:v>
      </x:c>
      <x:c r="B25" s="10" t="str">
        <x:v>USER-0024</x:v>
      </x:c>
      <x:c r="C25" s="10" t="str">
        <x:v>账号与登录</x:v>
      </x:c>
      <x:c r="D25" s="10" t="str">
        <x:v>登录与注册（用户）</x:v>
      </x:c>
      <x:c r="E25" s="10" t="str">
        <x:v>功能需求</x:v>
      </x:c>
      <x:c r="F25" s="10" t="str">
        <x:v>P1</x:v>
      </x:c>
      <x:c r="G25" s="9" t="str">
        <x:v>验证同意协议后点击 Google</x:v>
      </x:c>
      <x:c r="H25" s="9" t="str">
        <x:v>第三方授权入口</x:v>
      </x:c>
      <x:c r="I25" s="9" t="str">
        <x:v>1. 用户为本条执行者
2. 当前未登录</x:v>
      </x:c>
      <x:c r="J25" s="9" t="str">
        <x:v>1. 打开登录与注册
2. 勾选用户协议和隐私政策
3. 点击 Google</x:v>
      </x:c>
      <x:c r="K25" s="9" t="str">
        <x:v>显示 Google 授权界面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 1349 行；REQ-40eeb040fd0b、第 1350 行；REQ-fd8fa4b8e076、第 1351 行；REQ-b89d6085cb6c、第 1352 行；REQ-7cace569fd6a、第 1357 行；REQ-b176b815ee3f、第 1364 行；REQ-527b389bdcda、第 1365 行；REQ-76e70fcba89b、第 1366 行；REQ-a018ce659c74、第 1347 行
2. 规则：BR-D4EE375B7239ED
3. 未动态验证
4. 示例账号、编号、金额与日期是本条测试数据；执行前按前置条件准备，未填写的产品决策不得自行假定。</x:v>
      </x:c>
    </x:row>
    <x:row r="26" ht="175" customHeight="1">
      <x:c r="A26" s="10" t="n">
        <x:v>25</x:v>
      </x:c>
      <x:c r="B26" s="10" t="str">
        <x:v>USER-0025</x:v>
      </x:c>
      <x:c r="C26" s="10" t="str">
        <x:v>账号与登录</x:v>
      </x:c>
      <x:c r="D26" s="10" t="str">
        <x:v>登录与注册（用户）</x:v>
      </x:c>
      <x:c r="E26" s="10" t="str">
        <x:v>功能需求</x:v>
      </x:c>
      <x:c r="F26" s="10" t="str">
        <x:v>P1</x:v>
      </x:c>
      <x:c r="G26" s="9" t="str">
        <x:v>验证Google 未注册账号授权成功</x:v>
      </x:c>
      <x:c r="H26" s="9" t="str">
        <x:v>新老账号分流</x:v>
      </x:c>
      <x:c r="I26" s="9" t="str">
        <x:v>1. 用户为本条执行者
2. 当前未登录
3. Google 测试身份甲尚未关联 Luma Live 账号</x:v>
      </x:c>
      <x:c r="J26" s="9" t="str">
        <x:v>1. 打开登录与注册
2. 勾选用户协议和隐私政策
3. 点击 Google
4. 点击授权页的确认授权</x:v>
      </x:c>
      <x:c r="K26" s="9" t="str">
        <x:v>进入资料补全页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规则：BR-5E026135F532D5
3. 未动态验证
4. 示例账号、编号、金额与日期是本条测试数据；执行前按前置条件准备，未填写的产品决策不得自行假定。</x:v>
      </x:c>
    </x:row>
    <x:row r="27" ht="175" customHeight="1">
      <x:c r="A27" s="10" t="n">
        <x:v>26</x:v>
      </x:c>
      <x:c r="B27" s="10" t="str">
        <x:v>USER-0026</x:v>
      </x:c>
      <x:c r="C27" s="10" t="str">
        <x:v>账号与登录</x:v>
      </x:c>
      <x:c r="D27" s="10" t="str">
        <x:v>登录与注册（用户）</x:v>
      </x:c>
      <x:c r="E27" s="10" t="str">
        <x:v>功能需求</x:v>
      </x:c>
      <x:c r="F27" s="10" t="str">
        <x:v>P1</x:v>
      </x:c>
      <x:c r="G27" s="9" t="str">
        <x:v>验证Google 已有账号授权成功</x:v>
      </x:c>
      <x:c r="H27" s="9" t="str">
        <x:v>新老账号分流</x:v>
      </x:c>
      <x:c r="I27" s="9" t="str">
        <x:v>1. 用户为本条执行者
2. 当前未登录
3. Google 测试身份甲已关联一个 Luma Live 账号</x:v>
      </x:c>
      <x:c r="J27" s="9" t="str">
        <x:v>1. 打开登录与注册
2. 勾选用户协议和隐私政策
3. 点击 Google
4. 点击授权页的确认授权</x:v>
      </x:c>
      <x:c r="K27" s="9" t="str">
        <x:v>进入首页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规则：BR-C103FE2C932D04
3. 未动态验证
4. 示例账号、编号、金额与日期是本条测试数据；执行前按前置条件准备，未填写的产品决策不得自行假定。</x:v>
      </x:c>
    </x:row>
    <x:row r="28" ht="145" customHeight="1">
      <x:c r="A28" s="10" t="n">
        <x:v>27</x:v>
      </x:c>
      <x:c r="B28" s="10" t="str">
        <x:v>USER-0027</x:v>
      </x:c>
      <x:c r="C28" s="10" t="str">
        <x:v>账号与登录</x:v>
      </x:c>
      <x:c r="D28" s="10" t="str">
        <x:v>登录与注册（用户）</x:v>
      </x:c>
      <x:c r="E28" s="10" t="str">
        <x:v>功能需求</x:v>
      </x:c>
      <x:c r="F28" s="10" t="str">
        <x:v>P1</x:v>
      </x:c>
      <x:c r="G28" s="9" t="str">
        <x:v>验证Google 授权取消</x:v>
      </x:c>
      <x:c r="H28" s="9" t="str">
        <x:v>授权结果提示</x:v>
      </x:c>
      <x:c r="I28" s="9" t="str">
        <x:v>1. 用户为本条执行者
2. 当前未登录</x:v>
      </x:c>
      <x:c r="J28" s="9" t="str">
        <x:v>1. 打开登录与注册
2. 勾选用户协议和隐私政策
3. 点击 Google
4. 取消第三方授权</x:v>
      </x:c>
      <x:c r="K28" s="9" t="str">
        <x:v>提示“已取消授权”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 1359 行；REQ-d73f453a6aba、第 1366 行；REQ-a018ce659c74、第 1347 行
2. 规则：BR-63D1A4B042DF71
3. 未动态验证
4. 示例账号、编号、金额与日期是本条测试数据；执行前按前置条件准备，未填写的产品决策不得自行假定。</x:v>
      </x:c>
    </x:row>
    <x:row r="29" ht="145" customHeight="1">
      <x:c r="A29" s="10" t="n">
        <x:v>28</x:v>
      </x:c>
      <x:c r="B29" s="10" t="str">
        <x:v>USER-0028</x:v>
      </x:c>
      <x:c r="C29" s="10" t="str">
        <x:v>账号与登录</x:v>
      </x:c>
      <x:c r="D29" s="10" t="str">
        <x:v>登录与注册（用户）</x:v>
      </x:c>
      <x:c r="E29" s="10" t="str">
        <x:v>异常用例</x:v>
      </x:c>
      <x:c r="F29" s="10" t="str">
        <x:v>P1</x:v>
      </x:c>
      <x:c r="G29" s="9" t="str">
        <x:v>验证Google 授权失败</x:v>
      </x:c>
      <x:c r="H29" s="9" t="str">
        <x:v>授权结果提示</x:v>
      </x:c>
      <x:c r="I29" s="9" t="str">
        <x:v>1. 用户为本条执行者
2. 当前未登录</x:v>
      </x:c>
      <x:c r="J29" s="9" t="str">
        <x:v>1. 打开登录与注册
2. 勾选用户协议和隐私政策
3. 点击 Google
4. 登录会返回授权失败的测试账号并点击确认授权</x:v>
      </x:c>
      <x:c r="K29" s="9" t="str">
        <x:v>提示“登录失败，请重试”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 1359 行；REQ-d73f453a6aba、第 1366 行；REQ-a018ce659c74、第 1347 行
2. 规则：BR-E4A88E8DC4304C
3. 未动态验证
4. 示例账号、编号、金额与日期是本条测试数据；执行前按前置条件准备，未填写的产品决策不得自行假定。</x:v>
      </x:c>
    </x:row>
    <x:row r="30" ht="235" customHeight="1">
      <x:c r="A30" s="10" t="n">
        <x:v>29</x:v>
      </x:c>
      <x:c r="B30" s="10" t="str">
        <x:v>USER-0029</x:v>
      </x:c>
      <x:c r="C30" s="10" t="str">
        <x:v>账号与登录</x:v>
      </x:c>
      <x:c r="D30" s="10" t="str">
        <x:v>登录与注册（用户）</x:v>
      </x:c>
      <x:c r="E30" s="10" t="str">
        <x:v>功能需求</x:v>
      </x:c>
      <x:c r="F30" s="10" t="str">
        <x:v>P1</x:v>
      </x:c>
      <x:c r="G30" s="9" t="str">
        <x:v>验证未同意协议时点击 Facebook</x:v>
      </x:c>
      <x:c r="H30" s="9" t="str">
        <x:v>授权前协议确认</x:v>
      </x:c>
      <x:c r="I30" s="9" t="str">
        <x:v>1. 用户为本条执行者
2. 当前未登录</x:v>
      </x:c>
      <x:c r="J30" s="9" t="str">
        <x:v>1. 打开登录与注册
2. 点击 Facebook</x:v>
      </x:c>
      <x:c r="K30" s="9" t="str">
        <x:v>未唤起 Facebook 授权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 1349 行；REQ-40eeb040fd0b、第 1350 行；REQ-fd8fa4b8e076、第 1351 行；REQ-b89d6085cb6c、第 1352 行；REQ-7cace569fd6a、第 1356 行；REQ-4ad5d176f4e9、第 1364 行；REQ-527b389bdcda、第 1365 行；REQ-76e70fcba89b、第 1366 行；REQ-a018ce659c74、第 1371 行；REQ-34712a13e43f、第 1347 行
2. 规则：BR-59D4D1D6D630DA
3. 未动态验证
4. 示例账号、编号、金额与日期是本条测试数据；执行前按前置条件准备，未填写的产品决策不得自行假定。</x:v>
      </x:c>
    </x:row>
    <x:row r="31" ht="220" customHeight="1">
      <x:c r="A31" s="10" t="n">
        <x:v>30</x:v>
      </x:c>
      <x:c r="B31" s="10" t="str">
        <x:v>USER-0030</x:v>
      </x:c>
      <x:c r="C31" s="10" t="str">
        <x:v>账号与登录</x:v>
      </x:c>
      <x:c r="D31" s="10" t="str">
        <x:v>登录与注册（用户）</x:v>
      </x:c>
      <x:c r="E31" s="10" t="str">
        <x:v>功能需求</x:v>
      </x:c>
      <x:c r="F31" s="10" t="str">
        <x:v>P1</x:v>
      </x:c>
      <x:c r="G31" s="9" t="str">
        <x:v>验证同意协议后点击 Facebook</x:v>
      </x:c>
      <x:c r="H31" s="9" t="str">
        <x:v>第三方授权入口</x:v>
      </x:c>
      <x:c r="I31" s="9" t="str">
        <x:v>1. 用户为本条执行者
2. 当前未登录</x:v>
      </x:c>
      <x:c r="J31" s="9" t="str">
        <x:v>1. 打开登录与注册
2. 勾选用户协议和隐私政策
3. 点击 Facebook</x:v>
      </x:c>
      <x:c r="K31" s="9" t="str">
        <x:v>显示 Facebook 授权界面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 1349 行；REQ-40eeb040fd0b、第 1350 行；REQ-fd8fa4b8e076、第 1351 行；REQ-b89d6085cb6c、第 1352 行；REQ-7cace569fd6a、第 1357 行；REQ-b176b815ee3f、第 1364 行；REQ-527b389bdcda、第 1365 行；REQ-76e70fcba89b、第 1366 行；REQ-a018ce659c74、第 1347 行
2. 规则：BR-8FE8D8B3ED9822
3. 未动态验证
4. 示例账号、编号、金额与日期是本条测试数据；执行前按前置条件准备，未填写的产品决策不得自行假定。</x:v>
      </x:c>
    </x:row>
    <x:row r="32" ht="175" customHeight="1">
      <x:c r="A32" s="10" t="n">
        <x:v>31</x:v>
      </x:c>
      <x:c r="B32" s="10" t="str">
        <x:v>USER-0031</x:v>
      </x:c>
      <x:c r="C32" s="10" t="str">
        <x:v>账号与登录</x:v>
      </x:c>
      <x:c r="D32" s="10" t="str">
        <x:v>登录与注册（用户）</x:v>
      </x:c>
      <x:c r="E32" s="10" t="str">
        <x:v>功能需求</x:v>
      </x:c>
      <x:c r="F32" s="10" t="str">
        <x:v>P1</x:v>
      </x:c>
      <x:c r="G32" s="9" t="str">
        <x:v>验证Facebook 未注册账号授权成功</x:v>
      </x:c>
      <x:c r="H32" s="9" t="str">
        <x:v>新老账号分流</x:v>
      </x:c>
      <x:c r="I32" s="9" t="str">
        <x:v>1. 用户为本条执行者
2. 当前未登录
3. Facebook 测试身份甲尚未关联 Luma Live 账号</x:v>
      </x:c>
      <x:c r="J32" s="9" t="str">
        <x:v>1. 打开登录与注册
2. 勾选用户协议和隐私政策
3. 点击 Facebook
4. 点击授权页的确认授权</x:v>
      </x:c>
      <x:c r="K32" s="9" t="str">
        <x:v>进入资料补全页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规则：BR-520F41C5BDE6F8
3. 未动态验证
4. 示例账号、编号、金额与日期是本条测试数据；执行前按前置条件准备，未填写的产品决策不得自行假定。</x:v>
      </x:c>
    </x:row>
    <x:row r="33" ht="175" customHeight="1">
      <x:c r="A33" s="10" t="n">
        <x:v>32</x:v>
      </x:c>
      <x:c r="B33" s="10" t="str">
        <x:v>USER-0032</x:v>
      </x:c>
      <x:c r="C33" s="10" t="str">
        <x:v>账号与登录</x:v>
      </x:c>
      <x:c r="D33" s="10" t="str">
        <x:v>登录与注册（用户）</x:v>
      </x:c>
      <x:c r="E33" s="10" t="str">
        <x:v>功能需求</x:v>
      </x:c>
      <x:c r="F33" s="10" t="str">
        <x:v>P1</x:v>
      </x:c>
      <x:c r="G33" s="9" t="str">
        <x:v>验证Facebook 已有账号授权成功</x:v>
      </x:c>
      <x:c r="H33" s="9" t="str">
        <x:v>新老账号分流</x:v>
      </x:c>
      <x:c r="I33" s="9" t="str">
        <x:v>1. 用户为本条执行者
2. 当前未登录
3. Facebook 测试身份甲已关联一个 Luma Live 账号</x:v>
      </x:c>
      <x:c r="J33" s="9" t="str">
        <x:v>1. 打开登录与注册
2. 勾选用户协议和隐私政策
3. 点击 Facebook
4. 点击授权页的确认授权</x:v>
      </x:c>
      <x:c r="K33" s="9" t="str">
        <x:v>进入首页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规则：BR-88D89E188E536E
3. 未动态验证
4. 示例账号、编号、金额与日期是本条测试数据；执行前按前置条件准备，未填写的产品决策不得自行假定。</x:v>
      </x:c>
    </x:row>
    <x:row r="34" ht="145" customHeight="1">
      <x:c r="A34" s="10" t="n">
        <x:v>33</x:v>
      </x:c>
      <x:c r="B34" s="10" t="str">
        <x:v>USER-0033</x:v>
      </x:c>
      <x:c r="C34" s="10" t="str">
        <x:v>账号与登录</x:v>
      </x:c>
      <x:c r="D34" s="10" t="str">
        <x:v>登录与注册（用户）</x:v>
      </x:c>
      <x:c r="E34" s="10" t="str">
        <x:v>功能需求</x:v>
      </x:c>
      <x:c r="F34" s="10" t="str">
        <x:v>P1</x:v>
      </x:c>
      <x:c r="G34" s="9" t="str">
        <x:v>验证Facebook 授权取消</x:v>
      </x:c>
      <x:c r="H34" s="9" t="str">
        <x:v>授权结果提示</x:v>
      </x:c>
      <x:c r="I34" s="9" t="str">
        <x:v>1. 用户为本条执行者
2. 当前未登录</x:v>
      </x:c>
      <x:c r="J34" s="9" t="str">
        <x:v>1. 打开登录与注册
2. 勾选用户协议和隐私政策
3. 点击 Facebook
4. 取消第三方授权</x:v>
      </x:c>
      <x:c r="K34" s="9" t="str">
        <x:v>提示“已取消授权”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 1359 行；REQ-d73f453a6aba、第 1366 行；REQ-a018ce659c74、第 1347 行
2. 规则：BR-125F5EFAB283BE
3. 未动态验证
4. 示例账号、编号、金额与日期是本条测试数据；执行前按前置条件准备，未填写的产品决策不得自行假定。</x:v>
      </x:c>
    </x:row>
    <x:row r="35" ht="145" customHeight="1">
      <x:c r="A35" s="10" t="n">
        <x:v>34</x:v>
      </x:c>
      <x:c r="B35" s="10" t="str">
        <x:v>USER-0034</x:v>
      </x:c>
      <x:c r="C35" s="10" t="str">
        <x:v>账号与登录</x:v>
      </x:c>
      <x:c r="D35" s="10" t="str">
        <x:v>登录与注册（用户）</x:v>
      </x:c>
      <x:c r="E35" s="10" t="str">
        <x:v>异常用例</x:v>
      </x:c>
      <x:c r="F35" s="10" t="str">
        <x:v>P1</x:v>
      </x:c>
      <x:c r="G35" s="9" t="str">
        <x:v>验证Facebook 授权失败</x:v>
      </x:c>
      <x:c r="H35" s="9" t="str">
        <x:v>授权结果提示</x:v>
      </x:c>
      <x:c r="I35" s="9" t="str">
        <x:v>1. 用户为本条执行者
2. 当前未登录</x:v>
      </x:c>
      <x:c r="J35" s="9" t="str">
        <x:v>1. 打开登录与注册
2. 勾选用户协议和隐私政策
3. 点击 Facebook
4. 登录会返回授权失败的测试账号并点击确认授权</x:v>
      </x:c>
      <x:c r="K35" s="9" t="str">
        <x:v>提示“登录失败，请重试”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 1359 行；REQ-d73f453a6aba、第 1366 行；REQ-a018ce659c74、第 1347 行
2. 规则：BR-131B0336E49BC2
3. 未动态验证
4. 示例账号、编号、金额与日期是本条测试数据；执行前按前置条件准备，未填写的产品决策不得自行假定。</x:v>
      </x:c>
    </x:row>
    <x:row r="36" ht="235" customHeight="1">
      <x:c r="A36" s="10" t="n">
        <x:v>35</x:v>
      </x:c>
      <x:c r="B36" s="10" t="str">
        <x:v>USER-0035</x:v>
      </x:c>
      <x:c r="C36" s="10" t="str">
        <x:v>账号与登录</x:v>
      </x:c>
      <x:c r="D36" s="10" t="str">
        <x:v>登录与注册（用户）</x:v>
      </x:c>
      <x:c r="E36" s="10" t="str">
        <x:v>功能需求</x:v>
      </x:c>
      <x:c r="F36" s="10" t="str">
        <x:v>P1</x:v>
      </x:c>
      <x:c r="G36" s="9" t="str">
        <x:v>验证未同意协议时点击 Apple ID</x:v>
      </x:c>
      <x:c r="H36" s="9" t="str">
        <x:v>授权前协议确认</x:v>
      </x:c>
      <x:c r="I36" s="9" t="str">
        <x:v>1. 用户为本条执行者
2. 当前未登录
3. 设备为 iOS</x:v>
      </x:c>
      <x:c r="J36" s="9" t="str">
        <x:v>1. 打开登录与注册
2. 点击 Apple ID</x:v>
      </x:c>
      <x:c r="K36" s="9" t="str">
        <x:v>未唤起 Apple ID 授权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 1349 行；REQ-40eeb040fd0b、第 1350 行；REQ-fd8fa4b8e076、第 1351 行；REQ-b89d6085cb6c、第 1352 行；REQ-7cace569fd6a、第 1356 行；REQ-4ad5d176f4e9、第 1364 行；REQ-527b389bdcda、第 1365 行；REQ-76e70fcba89b、第 1366 行；REQ-a018ce659c74、第 1371 行；REQ-34712a13e43f、第 1347 行
2. 规则：BR-2C8ADFB6481EB5
3. 未动态验证
4. 示例账号、编号、金额与日期是本条测试数据；执行前按前置条件准备，未填写的产品决策不得自行假定。</x:v>
      </x:c>
    </x:row>
    <x:row r="37" ht="235" customHeight="1">
      <x:c r="A37" s="10" t="n">
        <x:v>36</x:v>
      </x:c>
      <x:c r="B37" s="10" t="str">
        <x:v>USER-0036</x:v>
      </x:c>
      <x:c r="C37" s="10" t="str">
        <x:v>账号与登录</x:v>
      </x:c>
      <x:c r="D37" s="10" t="str">
        <x:v>登录与注册（用户）</x:v>
      </x:c>
      <x:c r="E37" s="10" t="str">
        <x:v>功能需求</x:v>
      </x:c>
      <x:c r="F37" s="10" t="str">
        <x:v>P1</x:v>
      </x:c>
      <x:c r="G37" s="9" t="str">
        <x:v>验证同意协议后点击 Apple ID</x:v>
      </x:c>
      <x:c r="H37" s="9" t="str">
        <x:v>第三方授权入口</x:v>
      </x:c>
      <x:c r="I37" s="9" t="str">
        <x:v>1. 用户为本条执行者
2. 当前未登录
3. 设备为 iOS</x:v>
      </x:c>
      <x:c r="J37" s="9" t="str">
        <x:v>1. 打开登录与注册
2. 勾选用户协议和隐私政策
3. 点击 Apple ID</x:v>
      </x:c>
      <x:c r="K37" s="9" t="str">
        <x:v>显示 Apple ID 授权界面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 1349 行；REQ-40eeb040fd0b、第 1350 行；REQ-fd8fa4b8e076、第 1351 行；REQ-b89d6085cb6c、第 1352 行；REQ-7cace569fd6a、第 1357 行；REQ-b176b815ee3f、第 1362 行；REQ-a550afe9b682、第 1364 行；REQ-527b389bdcda、第 1365 行；REQ-76e70fcba89b、第 1366 行；REQ-a018ce659c74、第 1347 行
2. 规则：BR-8CF5AE895F41A5
3. 未动态验证
4. 示例账号、编号、金额与日期是本条测试数据；执行前按前置条件准备，未填写的产品决策不得自行假定。</x:v>
      </x:c>
    </x:row>
    <x:row r="38" ht="175" customHeight="1">
      <x:c r="A38" s="10" t="n">
        <x:v>37</x:v>
      </x:c>
      <x:c r="B38" s="10" t="str">
        <x:v>USER-0037</x:v>
      </x:c>
      <x:c r="C38" s="10" t="str">
        <x:v>账号与登录</x:v>
      </x:c>
      <x:c r="D38" s="10" t="str">
        <x:v>登录与注册（用户）</x:v>
      </x:c>
      <x:c r="E38" s="10" t="str">
        <x:v>功能需求</x:v>
      </x:c>
      <x:c r="F38" s="10" t="str">
        <x:v>P1</x:v>
      </x:c>
      <x:c r="G38" s="9" t="str">
        <x:v>验证Apple ID 未注册账号授权成功</x:v>
      </x:c>
      <x:c r="H38" s="9" t="str">
        <x:v>新老账号分流</x:v>
      </x:c>
      <x:c r="I38" s="9" t="str">
        <x:v>1. 用户为本条执行者
2. 当前未登录
3. 设备为 iOS
4. Apple ID 测试身份甲尚未关联 Luma Live 账号</x:v>
      </x:c>
      <x:c r="J38" s="9" t="str">
        <x:v>1. 打开登录与注册
2. 勾选用户协议和隐私政策
3. 点击 Apple ID
4. 点击授权页的确认授权</x:v>
      </x:c>
      <x:c r="K38" s="9" t="str">
        <x:v>进入资料补全页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规则：BR-AB52F7AD84789F
3. 未动态验证
4. 示例账号、编号、金额与日期是本条测试数据；执行前按前置条件准备，未填写的产品决策不得自行假定。</x:v>
      </x:c>
    </x:row>
    <x:row r="39" ht="175" customHeight="1">
      <x:c r="A39" s="10" t="n">
        <x:v>38</x:v>
      </x:c>
      <x:c r="B39" s="10" t="str">
        <x:v>USER-0038</x:v>
      </x:c>
      <x:c r="C39" s="10" t="str">
        <x:v>账号与登录</x:v>
      </x:c>
      <x:c r="D39" s="10" t="str">
        <x:v>登录与注册（用户）</x:v>
      </x:c>
      <x:c r="E39" s="10" t="str">
        <x:v>功能需求</x:v>
      </x:c>
      <x:c r="F39" s="10" t="str">
        <x:v>P1</x:v>
      </x:c>
      <x:c r="G39" s="9" t="str">
        <x:v>验证Apple ID 已有账号授权成功</x:v>
      </x:c>
      <x:c r="H39" s="9" t="str">
        <x:v>新老账号分流</x:v>
      </x:c>
      <x:c r="I39" s="9" t="str">
        <x:v>1. 用户为本条执行者
2. 当前未登录
3. 设备为 iOS
4. Apple ID 测试身份甲已关联一个 Luma Live 账号</x:v>
      </x:c>
      <x:c r="J39" s="9" t="str">
        <x:v>1. 打开登录与注册
2. 勾选用户协议和隐私政策
3. 点击 Apple ID
4. 点击授权页的确认授权</x:v>
      </x:c>
      <x:c r="K39" s="9" t="str">
        <x:v>进入首页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规则：BR-01E519BF1AB89E
3. 未动态验证
4. 示例账号、编号、金额与日期是本条测试数据；执行前按前置条件准备，未填写的产品决策不得自行假定。</x:v>
      </x:c>
    </x:row>
    <x:row r="40" ht="145" customHeight="1">
      <x:c r="A40" s="10" t="n">
        <x:v>39</x:v>
      </x:c>
      <x:c r="B40" s="10" t="str">
        <x:v>USER-0039</x:v>
      </x:c>
      <x:c r="C40" s="10" t="str">
        <x:v>账号与登录</x:v>
      </x:c>
      <x:c r="D40" s="10" t="str">
        <x:v>登录与注册（用户）</x:v>
      </x:c>
      <x:c r="E40" s="10" t="str">
        <x:v>功能需求</x:v>
      </x:c>
      <x:c r="F40" s="10" t="str">
        <x:v>P1</x:v>
      </x:c>
      <x:c r="G40" s="9" t="str">
        <x:v>验证Apple ID 授权取消</x:v>
      </x:c>
      <x:c r="H40" s="9" t="str">
        <x:v>授权结果提示</x:v>
      </x:c>
      <x:c r="I40" s="9" t="str">
        <x:v>1. 用户为本条执行者
2. 当前未登录
3. 设备为 iOS</x:v>
      </x:c>
      <x:c r="J40" s="9" t="str">
        <x:v>1. 打开登录与注册
2. 勾选用户协议和隐私政策
3. 点击 Apple ID
4. 取消第三方授权</x:v>
      </x:c>
      <x:c r="K40" s="9" t="str">
        <x:v>提示“已取消授权”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 1359 行；REQ-d73f453a6aba、第 1366 行；REQ-a018ce659c74、第 1347 行
2. 规则：BR-005124F241CD3E
3. 未动态验证
4. 示例账号、编号、金额与日期是本条测试数据；执行前按前置条件准备，未填写的产品决策不得自行假定。</x:v>
      </x:c>
    </x:row>
    <x:row r="41" ht="145" customHeight="1">
      <x:c r="A41" s="10" t="n">
        <x:v>40</x:v>
      </x:c>
      <x:c r="B41" s="10" t="str">
        <x:v>USER-0040</x:v>
      </x:c>
      <x:c r="C41" s="10" t="str">
        <x:v>账号与登录</x:v>
      </x:c>
      <x:c r="D41" s="10" t="str">
        <x:v>登录与注册（用户）</x:v>
      </x:c>
      <x:c r="E41" s="10" t="str">
        <x:v>异常用例</x:v>
      </x:c>
      <x:c r="F41" s="10" t="str">
        <x:v>P1</x:v>
      </x:c>
      <x:c r="G41" s="9" t="str">
        <x:v>验证Apple ID 授权失败</x:v>
      </x:c>
      <x:c r="H41" s="9" t="str">
        <x:v>授权结果提示</x:v>
      </x:c>
      <x:c r="I41" s="9" t="str">
        <x:v>1. 用户为本条执行者
2. 当前未登录
3. 设备为 iOS</x:v>
      </x:c>
      <x:c r="J41" s="9" t="str">
        <x:v>1. 打开登录与注册
2. 勾选用户协议和隐私政策
3. 点击 Apple ID
4. 登录会返回授权失败的测试账号并点击确认授权</x:v>
      </x:c>
      <x:c r="K41" s="9" t="str">
        <x:v>提示“登录失败，请重试”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来源（当前证据）：liveshow-proto/MainBasis/统一需求文档.md；位置：第 1359 行；REQ-d73f453a6aba、第 1366 行；REQ-a018ce659c74、第 1347 行
2. 规则：BR-D59B198458A37E
3. 未动态验证
4. 示例账号、编号、金额与日期是本条测试数据；执行前按前置条件准备，未填写的产品决策不得自行假定。</x:v>
      </x:c>
    </x:row>
    <x:row r="42" ht="235" customHeight="1">
      <x:c r="A42" s="10" t="n">
        <x:v>41</x:v>
      </x:c>
      <x:c r="B42" s="10" t="str">
        <x:v>USER-0041</x:v>
      </x:c>
      <x:c r="C42" s="10" t="str">
        <x:v>账号与登录</x:v>
      </x:c>
      <x:c r="D42" s="10" t="str">
        <x:v>登录与注册（用户）</x:v>
      </x:c>
      <x:c r="E42" s="10" t="str">
        <x:v>功能需求</x:v>
      </x:c>
      <x:c r="F42" s="10" t="str">
        <x:v>P1</x:v>
      </x:c>
      <x:c r="G42" s="9" t="str">
        <x:v>验证未同意协议时点击 TikTok</x:v>
      </x:c>
      <x:c r="H42" s="9" t="str">
        <x:v>授权前协议确认</x:v>
      </x:c>
      <x:c r="I42" s="9" t="str">
        <x:v>1. 用户为本条执行者
2. 当前未登录</x:v>
      </x:c>
      <x:c r="J42" s="9" t="str">
        <x:v>1. 打开登录与注册
2. 点击 TikTok</x:v>
      </x:c>
      <x:c r="K42" s="9" t="str">
        <x:v>未唤起 TikTok 授权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来源（当前证据）：liveshow-proto/MainBasis/统一需求文档.md；位置：第 1349 行；REQ-40eeb040fd0b、第 1350 行；REQ-fd8fa4b8e076、第 1351 行；REQ-b89d6085cb6c、第 1352 行；REQ-7cace569fd6a、第 1356 行；REQ-4ad5d176f4e9、第 1364 行；REQ-527b389bdcda、第 1365 行；REQ-76e70fcba89b、第 1366 行；REQ-a018ce659c74、第 1371 行；REQ-34712a13e43f、第 1347 行
2. 规则：BR-A85BE703BFC6C8
3. 未动态验证
4. 示例账号、编号、金额与日期是本条测试数据；执行前按前置条件准备，未填写的产品决策不得自行假定。</x:v>
      </x:c>
    </x:row>
    <x:row r="43" ht="220" customHeight="1">
      <x:c r="A43" s="10" t="n">
        <x:v>42</x:v>
      </x:c>
      <x:c r="B43" s="10" t="str">
        <x:v>USER-0042</x:v>
      </x:c>
      <x:c r="C43" s="10" t="str">
        <x:v>账号与登录</x:v>
      </x:c>
      <x:c r="D43" s="10" t="str">
        <x:v>登录与注册（用户）</x:v>
      </x:c>
      <x:c r="E43" s="10" t="str">
        <x:v>功能需求</x:v>
      </x:c>
      <x:c r="F43" s="10" t="str">
        <x:v>P1</x:v>
      </x:c>
      <x:c r="G43" s="9" t="str">
        <x:v>验证同意协议后点击 TikTok</x:v>
      </x:c>
      <x:c r="H43" s="9" t="str">
        <x:v>第三方授权入口</x:v>
      </x:c>
      <x:c r="I43" s="9" t="str">
        <x:v>1. 用户为本条执行者
2. 当前未登录</x:v>
      </x:c>
      <x:c r="J43" s="9" t="str">
        <x:v>1. 打开登录与注册
2. 勾选用户协议和隐私政策
3. 点击 TikTok</x:v>
      </x:c>
      <x:c r="K43" s="9" t="str">
        <x:v>显示 TikTok 授权界面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 1349 行；REQ-40eeb040fd0b、第 1350 行；REQ-fd8fa4b8e076、第 1351 行；REQ-b89d6085cb6c、第 1352 行；REQ-7cace569fd6a、第 1357 行；REQ-b176b815ee3f、第 1364 行；REQ-527b389bdcda、第 1365 行；REQ-76e70fcba89b、第 1366 行；REQ-a018ce659c74、第 1347 行
2. 规则：BR-F8A4E22FB97075
3. 未动态验证
4. 示例账号、编号、金额与日期是本条测试数据；执行前按前置条件准备，未填写的产品决策不得自行假定。</x:v>
      </x:c>
    </x:row>
    <x:row r="44" ht="175" customHeight="1">
      <x:c r="A44" s="10" t="n">
        <x:v>43</x:v>
      </x:c>
      <x:c r="B44" s="10" t="str">
        <x:v>USER-0043</x:v>
      </x:c>
      <x:c r="C44" s="10" t="str">
        <x:v>账号与登录</x:v>
      </x:c>
      <x:c r="D44" s="10" t="str">
        <x:v>登录与注册（用户）</x:v>
      </x:c>
      <x:c r="E44" s="10" t="str">
        <x:v>功能需求</x:v>
      </x:c>
      <x:c r="F44" s="10" t="str">
        <x:v>P1</x:v>
      </x:c>
      <x:c r="G44" s="9" t="str">
        <x:v>验证TikTok 未注册账号授权成功</x:v>
      </x:c>
      <x:c r="H44" s="9" t="str">
        <x:v>新老账号分流</x:v>
      </x:c>
      <x:c r="I44" s="9" t="str">
        <x:v>1. 用户为本条执行者
2. 当前未登录
3. TikTok 测试身份甲尚未关联 Luma Live 账号</x:v>
      </x:c>
      <x:c r="J44" s="9" t="str">
        <x:v>1. 打开登录与注册
2. 勾选用户协议和隐私政策
3. 点击 TikTok
4. 点击授权页的确认授权</x:v>
      </x:c>
      <x:c r="K44" s="9" t="str">
        <x:v>进入资料补全页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规则：BR-319560E1A0FDA8
3. 未动态验证
4. 示例账号、编号、金额与日期是本条测试数据；执行前按前置条件准备，未填写的产品决策不得自行假定。</x:v>
      </x:c>
    </x:row>
    <x:row r="45" ht="175" customHeight="1">
      <x:c r="A45" s="10" t="n">
        <x:v>44</x:v>
      </x:c>
      <x:c r="B45" s="10" t="str">
        <x:v>USER-0044</x:v>
      </x:c>
      <x:c r="C45" s="10" t="str">
        <x:v>账号与登录</x:v>
      </x:c>
      <x:c r="D45" s="10" t="str">
        <x:v>登录与注册（用户）</x:v>
      </x:c>
      <x:c r="E45" s="10" t="str">
        <x:v>功能需求</x:v>
      </x:c>
      <x:c r="F45" s="10" t="str">
        <x:v>P1</x:v>
      </x:c>
      <x:c r="G45" s="9" t="str">
        <x:v>验证TikTok 已有账号授权成功</x:v>
      </x:c>
      <x:c r="H45" s="9" t="str">
        <x:v>新老账号分流</x:v>
      </x:c>
      <x:c r="I45" s="9" t="str">
        <x:v>1. 用户为本条执行者
2. 当前未登录
3. TikTok 测试身份甲已关联一个 Luma Live 账号</x:v>
      </x:c>
      <x:c r="J45" s="9" t="str">
        <x:v>1. 打开登录与注册
2. 勾选用户协议和隐私政策
3. 点击 TikTok
4. 点击授权页的确认授权</x:v>
      </x:c>
      <x:c r="K45" s="9" t="str">
        <x:v>进入首页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 1357 行；REQ-b176b815ee3f、第 1358 行；REQ-af1de9dc6f1d、第 1365 行；REQ-76e70fcba89b、第 1367 行；REQ-f07ba4f39c72、第 1347 行
2. 规则：BR-F4589758C3B9EB
3. 未动态验证
4. 示例账号、编号、金额与日期是本条测试数据；执行前按前置条件准备，未填写的产品决策不得自行假定。</x:v>
      </x:c>
    </x:row>
    <x:row r="46" ht="145" customHeight="1">
      <x:c r="A46" s="10" t="n">
        <x:v>45</x:v>
      </x:c>
      <x:c r="B46" s="10" t="str">
        <x:v>USER-0045</x:v>
      </x:c>
      <x:c r="C46" s="10" t="str">
        <x:v>账号与登录</x:v>
      </x:c>
      <x:c r="D46" s="10" t="str">
        <x:v>登录与注册（用户）</x:v>
      </x:c>
      <x:c r="E46" s="10" t="str">
        <x:v>功能需求</x:v>
      </x:c>
      <x:c r="F46" s="10" t="str">
        <x:v>P1</x:v>
      </x:c>
      <x:c r="G46" s="9" t="str">
        <x:v>验证TikTok 授权取消</x:v>
      </x:c>
      <x:c r="H46" s="9" t="str">
        <x:v>授权结果提示</x:v>
      </x:c>
      <x:c r="I46" s="9" t="str">
        <x:v>1. 用户为本条执行者
2. 当前未登录</x:v>
      </x:c>
      <x:c r="J46" s="9" t="str">
        <x:v>1. 打开登录与注册
2. 勾选用户协议和隐私政策
3. 点击 TikTok
4. 取消第三方授权</x:v>
      </x:c>
      <x:c r="K46" s="9" t="str">
        <x:v>提示“已取消授权”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 1359 行；REQ-d73f453a6aba、第 1366 行；REQ-a018ce659c74、第 1347 行
2. 规则：BR-6D6858120A7E77
3. 未动态验证
4. 示例账号、编号、金额与日期是本条测试数据；执行前按前置条件准备，未填写的产品决策不得自行假定。</x:v>
      </x:c>
    </x:row>
    <x:row r="47" ht="145" customHeight="1">
      <x:c r="A47" s="10" t="n">
        <x:v>46</x:v>
      </x:c>
      <x:c r="B47" s="10" t="str">
        <x:v>USER-0046</x:v>
      </x:c>
      <x:c r="C47" s="10" t="str">
        <x:v>账号与登录</x:v>
      </x:c>
      <x:c r="D47" s="10" t="str">
        <x:v>登录与注册（用户）</x:v>
      </x:c>
      <x:c r="E47" s="10" t="str">
        <x:v>异常用例</x:v>
      </x:c>
      <x:c r="F47" s="10" t="str">
        <x:v>P1</x:v>
      </x:c>
      <x:c r="G47" s="9" t="str">
        <x:v>验证TikTok 授权失败</x:v>
      </x:c>
      <x:c r="H47" s="9" t="str">
        <x:v>授权结果提示</x:v>
      </x:c>
      <x:c r="I47" s="9" t="str">
        <x:v>1. 用户为本条执行者
2. 当前未登录</x:v>
      </x:c>
      <x:c r="J47" s="9" t="str">
        <x:v>1. 打开登录与注册
2. 勾选用户协议和隐私政策
3. 点击 TikTok
4. 登录会返回授权失败的测试账号并点击确认授权</x:v>
      </x:c>
      <x:c r="K47" s="9" t="str">
        <x:v>提示“登录失败，请重试”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来源（当前证据）：liveshow-proto/MainBasis/统一需求文档.md；位置：第 1359 行；REQ-d73f453a6aba、第 1366 行；REQ-a018ce659c74、第 1347 行
2. 规则：BR-E679F0AC19F5B9
3. 未动态验证
4. 示例账号、编号、金额与日期是本条测试数据；执行前按前置条件准备，未填写的产品决策不得自行假定。</x:v>
      </x:c>
    </x:row>
    <x:row r="48" ht="175" customHeight="1">
      <x:c r="A48" s="10" t="n">
        <x:v>47</x:v>
      </x:c>
      <x:c r="B48" s="10" t="str">
        <x:v>USER-0047</x:v>
      </x:c>
      <x:c r="C48" s="10" t="str">
        <x:v>账号与登录</x:v>
      </x:c>
      <x:c r="D48" s="10" t="str">
        <x:v>登录与注册（用户）</x:v>
      </x:c>
      <x:c r="E48" s="10" t="str">
        <x:v>功能需求</x:v>
      </x:c>
      <x:c r="F48" s="10" t="str">
        <x:v>P1</x:v>
      </x:c>
      <x:c r="G48" s="9" t="str">
        <x:v>验证iOS 的 Apple 登录入口</x:v>
      </x:c>
      <x:c r="H48" s="9" t="str">
        <x:v>Apple 入口平台范围</x:v>
      </x:c>
      <x:c r="I48" s="9" t="str">
        <x:v>1. 用户为本条执行者
2. 当前未登录
3. 设备系统为 iOS</x:v>
      </x:c>
      <x:c r="J48" s="9" t="str">
        <x:v>1. 打开登录与注册</x:v>
      </x:c>
      <x:c r="K48" s="9" t="str">
        <x:v>显示 Apple ID 登录入口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来源（当前证据）：liveshow-proto/MainBasis/统一需求文档.md；位置：第 1351 行；REQ-b89d6085cb6c、第 1357 行；REQ-b176b815ee3f、第 1362 行；REQ-a550afe9b682、第 1364 行；REQ-527b389bdcda、第 1347 行
2. 规则：BR-7162B4B196DCE1
3. 未动态验证
4. 示例账号、编号、金额与日期是本条测试数据；执行前按前置条件准备，未填写的产品决策不得自行假定。</x:v>
      </x:c>
    </x:row>
    <x:row r="49" ht="175" customHeight="1">
      <x:c r="A49" s="10" t="n">
        <x:v>48</x:v>
      </x:c>
      <x:c r="B49" s="10" t="str">
        <x:v>USER-0048</x:v>
      </x:c>
      <x:c r="C49" s="10" t="str">
        <x:v>账号与登录</x:v>
      </x:c>
      <x:c r="D49" s="10" t="str">
        <x:v>登录与注册（用户）</x:v>
      </x:c>
      <x:c r="E49" s="10" t="str">
        <x:v>功能需求</x:v>
      </x:c>
      <x:c r="F49" s="10" t="str">
        <x:v>P1</x:v>
      </x:c>
      <x:c r="G49" s="9" t="str">
        <x:v>验证Android 的 Apple 登录入口</x:v>
      </x:c>
      <x:c r="H49" s="9" t="str">
        <x:v>Apple 入口平台范围</x:v>
      </x:c>
      <x:c r="I49" s="9" t="str">
        <x:v>1. 用户为本条执行者
2. 当前未登录
3. 设备系统为 Android</x:v>
      </x:c>
      <x:c r="J49" s="9" t="str">
        <x:v>1. 打开登录与注册</x:v>
      </x:c>
      <x:c r="K49" s="9" t="str">
        <x:v>不显示 Apple ID 登录入口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 1351 行；REQ-b89d6085cb6c、第 1357 行；REQ-b176b815ee3f、第 1362 行；REQ-a550afe9b682、第 1364 行；REQ-527b389bdcda、第 1347 行
2. 规则：BR-E0DD773D69F76C
3. 未动态验证
4. 示例账号、编号、金额与日期是本条测试数据；执行前按前置条件准备，未填写的产品决策不得自行假定。</x:v>
      </x:c>
    </x:row>
    <x:row r="50" ht="145" customHeight="1">
      <x:c r="A50" s="10" t="n">
        <x:v>49</x:v>
      </x:c>
      <x:c r="B50" s="10" t="str">
        <x:v>USER-0049</x:v>
      </x:c>
      <x:c r="C50" s="10" t="str">
        <x:v>账号与登录</x:v>
      </x:c>
      <x:c r="D50" s="10" t="str">
        <x:v>登录与注册（用户）</x:v>
      </x:c>
      <x:c r="E50" s="10" t="str">
        <x:v>功能需求</x:v>
      </x:c>
      <x:c r="F50" s="10" t="str">
        <x:v>P1</x:v>
      </x:c>
      <x:c r="G50" s="9" t="str">
        <x:v>验证登录页使用手机号登录</x:v>
      </x:c>
      <x:c r="H50" s="9" t="str">
        <x:v>登录入口导航</x:v>
      </x:c>
      <x:c r="I50" s="9" t="str">
        <x:v>1. 用户为本条执行者
2. 当前未登录</x:v>
      </x:c>
      <x:c r="J50" s="9" t="str">
        <x:v>1. 打开登录与注册
2. 点击手机号登录</x:v>
      </x:c>
      <x:c r="K50" s="9" t="str">
        <x:v>进入手机号登录页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来源（当前证据）：liveshow-proto/MainBasis/统一需求文档.md；位置：第 1353 行；REQ-38961d098c06、第 1369 行；REQ-5747707e2366、第 1347 行
2. 规则：BR-521587FB0E8F81
3. 未动态验证
4. 示例账号、编号、金额与日期是本条测试数据；执行前按前置条件准备，未填写的产品决策不得自行假定。</x:v>
      </x:c>
    </x:row>
    <x:row r="51" ht="145" customHeight="1">
      <x:c r="A51" s="10" t="n">
        <x:v>50</x:v>
      </x:c>
      <x:c r="B51" s="10" t="str">
        <x:v>USER-0050</x:v>
      </x:c>
      <x:c r="C51" s="10" t="str">
        <x:v>账号与登录</x:v>
      </x:c>
      <x:c r="D51" s="10" t="str">
        <x:v>登录与注册（用户）</x:v>
      </x:c>
      <x:c r="E51" s="10" t="str">
        <x:v>功能需求</x:v>
      </x:c>
      <x:c r="F51" s="10" t="str">
        <x:v>P1</x:v>
      </x:c>
      <x:c r="G51" s="9" t="str">
        <x:v>验证登录页使用邮箱</x:v>
      </x:c>
      <x:c r="H51" s="9" t="str">
        <x:v>登录入口导航</x:v>
      </x:c>
      <x:c r="I51" s="9" t="str">
        <x:v>1. 用户为本条执行者
2. 当前未登录</x:v>
      </x:c>
      <x:c r="J51" s="9" t="str">
        <x:v>1. 打开登录与注册
2. 点击邮箱</x:v>
      </x:c>
      <x:c r="K51" s="9" t="str">
        <x:v>进入邮箱登录页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来源（当前证据）：liveshow-proto/MainBasis/统一需求文档.md；位置：第 1354 行；REQ-848f796728b0、第 1370 行；REQ-33b03452c3c7、第 1347 行
2. 规则：BR-862A4D63F82C54
3. 未动态验证
4. 示例账号、编号、金额与日期是本条测试数据；执行前按前置条件准备，未填写的产品决策不得自行假定。</x:v>
      </x:c>
    </x:row>
    <x:row r="52" ht="160" customHeight="1">
      <x:c r="A52" s="10" t="n">
        <x:v>51</x:v>
      </x:c>
      <x:c r="B52" s="10" t="str">
        <x:v>USER-0051</x:v>
      </x:c>
      <x:c r="C52" s="10" t="str">
        <x:v>账号与登录</x:v>
      </x:c>
      <x:c r="D52" s="10" t="str">
        <x:v>登录与注册（用户）</x:v>
      </x:c>
      <x:c r="E52" s="10" t="str">
        <x:v>功能需求</x:v>
      </x:c>
      <x:c r="F52" s="10" t="str">
        <x:v>P1</x:v>
      </x:c>
      <x:c r="G52" s="9" t="str">
        <x:v>验证登录页使用游客进入</x:v>
      </x:c>
      <x:c r="H52" s="9" t="str">
        <x:v>登录入口导航</x:v>
      </x:c>
      <x:c r="I52" s="9" t="str">
        <x:v>1. 用户为本条执行者
2. 当前未登录</x:v>
      </x:c>
      <x:c r="J52" s="9" t="str">
        <x:v>1. 打开登录与注册
2. 点击游客进入</x:v>
      </x:c>
      <x:c r="K52" s="9" t="str">
        <x:v>进入首页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来源（当前证据）：liveshow-proto/MainBasis/统一需求文档.md；位置：第 1355 行；REQ-99f5b6a332c2、第 1363 行；REQ-cd0830f37016、第 1371 行；REQ-34712a13e43f、第 1347 行
2. 规则：BR-224E9F36585D77
3. 未动态验证
4. 示例账号、编号、金额与日期是本条测试数据；执行前按前置条件准备，未填写的产品决策不得自行假定。</x:v>
      </x:c>
    </x:row>
    <x:row r="53" ht="160" customHeight="1">
      <x:c r="A53" s="10" t="n">
        <x:v>52</x:v>
      </x:c>
      <x:c r="B53" s="10" t="str">
        <x:v>USER-0052</x:v>
      </x:c>
      <x:c r="C53" s="10" t="str">
        <x:v>账号与登录</x:v>
      </x:c>
      <x:c r="D53" s="10" t="str">
        <x:v>登录与注册（游客）</x:v>
      </x:c>
      <x:c r="E53" s="10" t="str">
        <x:v>功能需求</x:v>
      </x:c>
      <x:c r="F53" s="10" t="str">
        <x:v>P1</x:v>
      </x:c>
      <x:c r="G53" s="9" t="str">
        <x:v>验证游客访问首页</x:v>
      </x:c>
      <x:c r="H53" s="9" t="str">
        <x:v>游客白名单</x:v>
      </x:c>
      <x:c r="I53" s="9" t="str">
        <x:v>1. 游客为本条执行者
2. 当前未登录</x:v>
      </x:c>
      <x:c r="J53" s="9" t="str">
        <x:v>1. 点击游客进入
2. 打开首页</x:v>
      </x:c>
      <x:c r="K53" s="9" t="str">
        <x:v>展示首页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 1355 行；REQ-99f5b6a332c2、第 1363 行；REQ-cd0830f37016、第 1371 行；REQ-34712a13e43f、第 1347 行
2. 规则：BR-B7AF930D82CCA0
3. 未动态验证
4. 示例账号、编号、金额与日期是本条测试数据；执行前按前置条件准备，未填写的产品决策不得自行假定。</x:v>
      </x:c>
    </x:row>
    <x:row r="54" ht="160" customHeight="1">
      <x:c r="A54" s="10" t="n">
        <x:v>53</x:v>
      </x:c>
      <x:c r="B54" s="10" t="str">
        <x:v>USER-0053</x:v>
      </x:c>
      <x:c r="C54" s="10" t="str">
        <x:v>账号与登录</x:v>
      </x:c>
      <x:c r="D54" s="10" t="str">
        <x:v>登录与注册（游客）</x:v>
      </x:c>
      <x:c r="E54" s="10" t="str">
        <x:v>功能需求</x:v>
      </x:c>
      <x:c r="F54" s="10" t="str">
        <x:v>P1</x:v>
      </x:c>
      <x:c r="G54" s="9" t="str">
        <x:v>验证游客访问主播榜</x:v>
      </x:c>
      <x:c r="H54" s="9" t="str">
        <x:v>游客白名单</x:v>
      </x:c>
      <x:c r="I54" s="9" t="str">
        <x:v>1. 游客为本条执行者
2. 当前未登录</x:v>
      </x:c>
      <x:c r="J54" s="9" t="str">
        <x:v>1. 点击游客进入
2. 打开主播榜</x:v>
      </x:c>
      <x:c r="K54" s="9" t="str">
        <x:v>展示主播榜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来源（当前证据）：liveshow-proto/MainBasis/统一需求文档.md；位置：第 1355 行；REQ-99f5b6a332c2、第 1363 行；REQ-cd0830f37016、第 1371 行；REQ-34712a13e43f、第 1347 行
2. 规则：BR-D2F62BB0D37DD0
3. 未动态验证
4. 示例账号、编号、金额与日期是本条测试数据；执行前按前置条件准备，未填写的产品决策不得自行假定。</x:v>
      </x:c>
    </x:row>
    <x:row r="55" ht="160" customHeight="1">
      <x:c r="A55" s="10" t="n">
        <x:v>54</x:v>
      </x:c>
      <x:c r="B55" s="10" t="str">
        <x:v>USER-0054</x:v>
      </x:c>
      <x:c r="C55" s="10" t="str">
        <x:v>账号与登录</x:v>
      </x:c>
      <x:c r="D55" s="10" t="str">
        <x:v>登录与注册（游客）</x:v>
      </x:c>
      <x:c r="E55" s="10" t="str">
        <x:v>功能需求</x:v>
      </x:c>
      <x:c r="F55" s="10" t="str">
        <x:v>P1</x:v>
      </x:c>
      <x:c r="G55" s="9" t="str">
        <x:v>验证游客访问贡献榜</x:v>
      </x:c>
      <x:c r="H55" s="9" t="str">
        <x:v>游客白名单</x:v>
      </x:c>
      <x:c r="I55" s="9" t="str">
        <x:v>1. 游客为本条执行者
2. 当前未登录</x:v>
      </x:c>
      <x:c r="J55" s="9" t="str">
        <x:v>1. 点击游客进入
2. 打开贡献榜</x:v>
      </x:c>
      <x:c r="K55" s="9" t="str">
        <x:v>展示贡献榜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 1355 行；REQ-99f5b6a332c2、第 1363 行；REQ-cd0830f37016、第 1371 行；REQ-34712a13e43f、第 1347 行
2. 规则：BR-E66BDDE869C172
3. 未动态验证
4. 示例账号、编号、金额与日期是本条测试数据；执行前按前置条件准备，未填写的产品决策不得自行假定。</x:v>
      </x:c>
    </x:row>
    <x:row r="56" ht="160" customHeight="1">
      <x:c r="A56" s="10" t="n">
        <x:v>55</x:v>
      </x:c>
      <x:c r="B56" s="10" t="str">
        <x:v>USER-0055</x:v>
      </x:c>
      <x:c r="C56" s="10" t="str">
        <x:v>账号与登录</x:v>
      </x:c>
      <x:c r="D56" s="10" t="str">
        <x:v>登录与注册（游客）</x:v>
      </x:c>
      <x:c r="E56" s="10" t="str">
        <x:v>功能需求</x:v>
      </x:c>
      <x:c r="F56" s="10" t="str">
        <x:v>P1</x:v>
      </x:c>
      <x:c r="G56" s="9" t="str">
        <x:v>验证游客访问福利页</x:v>
      </x:c>
      <x:c r="H56" s="9" t="str">
        <x:v>游客白名单</x:v>
      </x:c>
      <x:c r="I56" s="9" t="str">
        <x:v>1. 游客为本条执行者
2. 当前未登录</x:v>
      </x:c>
      <x:c r="J56" s="9" t="str">
        <x:v>1. 点击游客进入
2. 打开福利页</x:v>
      </x:c>
      <x:c r="K56" s="9" t="str">
        <x:v>展示福利页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 1355 行；REQ-99f5b6a332c2、第 1363 行；REQ-cd0830f37016、第 1371 行；REQ-34712a13e43f、第 1347 行
2. 规则：BR-45C7A295C8F4F2
3. 未动态验证
4. 示例账号、编号、金额与日期是本条测试数据；执行前按前置条件准备，未填写的产品决策不得自行假定。</x:v>
      </x:c>
    </x:row>
    <x:row r="57" ht="160" customHeight="1">
      <x:c r="A57" s="10" t="n">
        <x:v>56</x:v>
      </x:c>
      <x:c r="B57" s="10" t="str">
        <x:v>USER-0056</x:v>
      </x:c>
      <x:c r="C57" s="10" t="str">
        <x:v>账号与登录</x:v>
      </x:c>
      <x:c r="D57" s="10" t="str">
        <x:v>登录与注册（游客）</x:v>
      </x:c>
      <x:c r="E57" s="10" t="str">
        <x:v>功能需求</x:v>
      </x:c>
      <x:c r="F57" s="10" t="str">
        <x:v>P1</x:v>
      </x:c>
      <x:c r="G57" s="9" t="str">
        <x:v>验证游客访问邀请好友页</x:v>
      </x:c>
      <x:c r="H57" s="9" t="str">
        <x:v>游客白名单</x:v>
      </x:c>
      <x:c r="I57" s="9" t="str">
        <x:v>1. 游客为本条执行者
2. 当前未登录</x:v>
      </x:c>
      <x:c r="J57" s="9" t="str">
        <x:v>1. 点击游客进入
2. 打开邀请好友页</x:v>
      </x:c>
      <x:c r="K57" s="9" t="str">
        <x:v>展示邀请好友页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 1355 行；REQ-99f5b6a332c2、第 1363 行；REQ-cd0830f37016、第 1371 行；REQ-34712a13e43f、第 1347 行
2. 规则：BR-ACA95841E781F8
3. 未动态验证
4. 示例账号、编号、金额与日期是本条测试数据；执行前按前置条件准备，未填写的产品决策不得自行假定。</x:v>
      </x:c>
    </x:row>
    <x:row r="58" ht="175" customHeight="1">
      <x:c r="A58" s="10" t="n">
        <x:v>57</x:v>
      </x:c>
      <x:c r="B58" s="10" t="str">
        <x:v>USER-0057</x:v>
      </x:c>
      <x:c r="C58" s="10" t="str">
        <x:v>账号与登录</x:v>
      </x:c>
      <x:c r="D58" s="10" t="str">
        <x:v>手机号登录（用户）</x:v>
      </x:c>
      <x:c r="E58" s="10" t="str">
        <x:v>功能需求</x:v>
      </x:c>
      <x:c r="F58" s="10" t="str">
        <x:v>P1</x:v>
      </x:c>
      <x:c r="G58" s="9" t="str">
        <x:v>验证手机号输入 7 位数字</x:v>
      </x:c>
      <x:c r="H58" s="9" t="str">
        <x:v>手机号长度范围</x:v>
      </x:c>
      <x:c r="I58" s="9" t="str">
        <x:v>1. 用户为本条执行者
2. 账号甲绑定 +62 81234567890，已同意当前协议</x:v>
      </x:c>
      <x:c r="J58" s="9" t="str">
        <x:v>1. 打开手机号登录
2. 输入由 7 个数字 8 组成的手机号
3. 点击获取验证码</x:v>
      </x:c>
      <x:c r="K58" s="9" t="str">
        <x:v>未进入验证码发送倒计时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 1386 行；REQ-769e98db4e74、第 1390 行；REQ-235781692515、第 1392 行；REQ-d11325bdaeb3、第 1393 行；REQ-710f264aa1d8、第 1383 行
2. 规则：BR-B925A29433E303
3. 未动态验证
4. 示例账号、编号、金额与日期是本条测试数据；执行前按前置条件准备，未填写的产品决策不得自行假定。</x:v>
      </x:c>
    </x:row>
    <x:row r="59" ht="175" customHeight="1">
      <x:c r="A59" s="10" t="n">
        <x:v>58</x:v>
      </x:c>
      <x:c r="B59" s="10" t="str">
        <x:v>USER-0058</x:v>
      </x:c>
      <x:c r="C59" s="10" t="str">
        <x:v>账号与登录</x:v>
      </x:c>
      <x:c r="D59" s="10" t="str">
        <x:v>手机号登录（用户）</x:v>
      </x:c>
      <x:c r="E59" s="10" t="str">
        <x:v>功能需求</x:v>
      </x:c>
      <x:c r="F59" s="10" t="str">
        <x:v>P1</x:v>
      </x:c>
      <x:c r="G59" s="9" t="str">
        <x:v>验证手机号输入 8 位数字</x:v>
      </x:c>
      <x:c r="H59" s="9" t="str">
        <x:v>手机号长度范围</x:v>
      </x:c>
      <x:c r="I59" s="9" t="str">
        <x:v>1. 用户为本条执行者
2. 账号甲绑定 +62 81234567890，已同意当前协议</x:v>
      </x:c>
      <x:c r="J59" s="9" t="str">
        <x:v>1. 打开手机号登录
2. 输入由 8 个数字 8 组成的手机号
3. 点击获取验证码</x:v>
      </x:c>
      <x:c r="K59" s="9" t="str">
        <x:v>获取验证码按钮进入 60 秒倒计时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来源（当前证据）：liveshow-proto/MainBasis/统一需求文档.md；位置：第 1386 行；REQ-769e98db4e74、第 1390 行；REQ-235781692515、第 1392 行；REQ-d11325bdaeb3、第 1393 行；REQ-710f264aa1d8、第 1383 行
2. 规则：BR-23B8AA71DAAE34
3. 未动态验证
4. 示例账号、编号、金额与日期是本条测试数据；执行前按前置条件准备，未填写的产品决策不得自行假定。</x:v>
      </x:c>
    </x:row>
    <x:row r="60" ht="175" customHeight="1">
      <x:c r="A60" s="10" t="n">
        <x:v>59</x:v>
      </x:c>
      <x:c r="B60" s="10" t="str">
        <x:v>USER-0059</x:v>
      </x:c>
      <x:c r="C60" s="10" t="str">
        <x:v>账号与登录</x:v>
      </x:c>
      <x:c r="D60" s="10" t="str">
        <x:v>手机号登录（用户）</x:v>
      </x:c>
      <x:c r="E60" s="10" t="str">
        <x:v>功能需求</x:v>
      </x:c>
      <x:c r="F60" s="10" t="str">
        <x:v>P1</x:v>
      </x:c>
      <x:c r="G60" s="9" t="str">
        <x:v>验证手机号输入 15 位数字</x:v>
      </x:c>
      <x:c r="H60" s="9" t="str">
        <x:v>手机号长度范围</x:v>
      </x:c>
      <x:c r="I60" s="9" t="str">
        <x:v>1. 用户为本条执行者
2. 账号甲绑定 +62 81234567890，已同意当前协议</x:v>
      </x:c>
      <x:c r="J60" s="9" t="str">
        <x:v>1. 打开手机号登录
2. 输入由 15 个数字 8 组成的手机号
3. 点击获取验证码</x:v>
      </x:c>
      <x:c r="K60" s="9" t="str">
        <x:v>获取验证码按钮进入 60 秒倒计时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来源（当前证据）：liveshow-proto/MainBasis/统一需求文档.md；位置：第 1386 行；REQ-769e98db4e74、第 1390 行；REQ-235781692515、第 1392 行；REQ-d11325bdaeb3、第 1393 行；REQ-710f264aa1d8、第 1383 行
2. 规则：BR-B11EFD24D7647F
3. 未动态验证
4. 示例账号、编号、金额与日期是本条测试数据；执行前按前置条件准备，未填写的产品决策不得自行假定。</x:v>
      </x:c>
    </x:row>
    <x:row r="61" ht="175" customHeight="1">
      <x:c r="A61" s="10" t="n">
        <x:v>60</x:v>
      </x:c>
      <x:c r="B61" s="10" t="str">
        <x:v>USER-0060</x:v>
      </x:c>
      <x:c r="C61" s="10" t="str">
        <x:v>账号与登录</x:v>
      </x:c>
      <x:c r="D61" s="10" t="str">
        <x:v>手机号登录（用户）</x:v>
      </x:c>
      <x:c r="E61" s="10" t="str">
        <x:v>功能需求</x:v>
      </x:c>
      <x:c r="F61" s="10" t="str">
        <x:v>P1</x:v>
      </x:c>
      <x:c r="G61" s="9" t="str">
        <x:v>验证手机号输入 16 位数字</x:v>
      </x:c>
      <x:c r="H61" s="9" t="str">
        <x:v>手机号长度范围</x:v>
      </x:c>
      <x:c r="I61" s="9" t="str">
        <x:v>1. 用户为本条执行者
2. 账号甲绑定 +62 81234567890，已同意当前协议</x:v>
      </x:c>
      <x:c r="J61" s="9" t="str">
        <x:v>1. 打开手机号登录
2. 输入由 16 个数字 8 组成的手机号
3. 点击获取验证码</x:v>
      </x:c>
      <x:c r="K61" s="9" t="str">
        <x:v>未进入验证码发送倒计时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 1386 行；REQ-769e98db4e74、第 1390 行；REQ-235781692515、第 1392 行；REQ-d11325bdaeb3、第 1393 行；REQ-710f264aa1d8、第 1383 行
2. 规则：BR-A2E8EA1004080E
3. 未动态验证
4. 示例账号、编号、金额与日期是本条测试数据；执行前按前置条件准备，未填写的产品决策不得自行假定。</x:v>
      </x:c>
    </x:row>
    <x:row r="62" ht="175" customHeight="1">
      <x:c r="A62" s="10" t="n">
        <x:v>61</x:v>
      </x:c>
      <x:c r="B62" s="10" t="str">
        <x:v>USER-0061</x:v>
      </x:c>
      <x:c r="C62" s="10" t="str">
        <x:v>账号与登录</x:v>
      </x:c>
      <x:c r="D62" s="10" t="str">
        <x:v>手机号登录（用户）</x:v>
      </x:c>
      <x:c r="E62" s="10" t="str">
        <x:v>功能需求</x:v>
      </x:c>
      <x:c r="F62" s="10" t="str">
        <x:v>P1</x:v>
      </x:c>
      <x:c r="G62" s="9" t="str">
        <x:v>验证手机号包含字母时获取验证码</x:v>
      </x:c>
      <x:c r="H62" s="9" t="str">
        <x:v>手机号字符类型</x:v>
      </x:c>
      <x:c r="I62" s="9" t="str">
        <x:v>1. 用户为本条执行者
2. 账号甲绑定 +62 81234567890，已同意当前协议</x:v>
      </x:c>
      <x:c r="J62" s="9" t="str">
        <x:v>1. 打开手机号登录
2. 输入手机号 8123456a
3. 点击获取验证码</x:v>
      </x:c>
      <x:c r="K62" s="9" t="str">
        <x:v>未进入验证码发送倒计时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 1386 行；REQ-769e98db4e74、第 1387 行；REQ-43f78ae14856、第 1390 行；REQ-235781692515、第 1392 行；REQ-d11325bdaeb3、第 1393 行；REQ-710f264aa1d8、第 1383 行
2. 规则：BR-BDB8587F62595F
3. 未动态验证
4. 示例账号、编号、金额与日期是本条测试数据；执行前按前置条件准备，未填写的产品决策不得自行假定。</x:v>
      </x:c>
    </x:row>
    <x:row r="63" ht="175" customHeight="1">
      <x:c r="A63" s="10" t="n">
        <x:v>62</x:v>
      </x:c>
      <x:c r="B63" s="10" t="str">
        <x:v>USER-0062</x:v>
      </x:c>
      <x:c r="C63" s="10" t="str">
        <x:v>账号与登录</x:v>
      </x:c>
      <x:c r="D63" s="10" t="str">
        <x:v>手机号登录（用户）</x:v>
      </x:c>
      <x:c r="E63" s="10" t="str">
        <x:v>功能需求</x:v>
      </x:c>
      <x:c r="F63" s="10" t="str">
        <x:v>P1</x:v>
      </x:c>
      <x:c r="G63" s="9" t="str">
        <x:v>验证设备地区无法识别时使用默认区号</x:v>
      </x:c>
      <x:c r="H63" s="9" t="str">
        <x:v>区号回退</x:v>
      </x:c>
      <x:c r="I63" s="9" t="str">
        <x:v>1. 用户为本条执行者
2. 账号甲绑定 +62 81234567890，已同意当前协议
3. 设备地区无法映射到可选国家</x:v>
      </x:c>
      <x:c r="J63" s="9" t="str">
        <x:v>1. 打开手机号登录</x:v>
      </x:c>
      <x:c r="K63" s="9" t="str">
        <x:v>区号显示 +62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 1385 行；REQ-1c46961734ed、第 1389 行；REQ-efd41a453368、第 1390 行；REQ-235781692515、第 1394 行；REQ-b16a9f3760bc、第 1383 行
2. 规则：BR-24FA755FF74BB3
3. 未动态验证
4. 示例账号、编号、金额与日期是本条测试数据；执行前按前置条件准备，未填写的产品决策不得自行假定。</x:v>
      </x:c>
    </x:row>
    <x:row r="64" ht="145" customHeight="1">
      <x:c r="A64" s="10" t="n">
        <x:v>63</x:v>
      </x:c>
      <x:c r="B64" s="10" t="str">
        <x:v>USER-0063</x:v>
      </x:c>
      <x:c r="C64" s="10" t="str">
        <x:v>账号与登录</x:v>
      </x:c>
      <x:c r="D64" s="10" t="str">
        <x:v>手机号登录（用户）</x:v>
      </x:c>
      <x:c r="E64" s="10" t="str">
        <x:v>功能需求</x:v>
      </x:c>
      <x:c r="F64" s="10" t="str">
        <x:v>P1</x:v>
      </x:c>
      <x:c r="G64" s="9" t="str">
        <x:v>验证选择地区后恢复原登录表单</x:v>
      </x:c>
      <x:c r="H64" s="9" t="str">
        <x:v>手机号保留</x:v>
      </x:c>
      <x:c r="I64" s="9" t="str">
        <x:v>1. 用户为本条执行者
2. 账号甲绑定 +62 81234567890，已同意当前协议
3. 手机号框为 81234567890，密码方式已选，协议已勾选</x:v>
      </x:c>
      <x:c r="J64" s="9" t="str">
        <x:v>1. 点击区号
2. 选择印度尼西亚 +62</x:v>
      </x:c>
      <x:c r="K64" s="9" t="str">
        <x:v>手机号仍为 81234567890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 1390 行；REQ-235781692515、第 1394 行；REQ-b16a9f3760bc、第 1383 行
2. 规则：BR-E3A2AE65D43B3E
3. 未动态验证
4. 示例账号、编号、金额与日期是本条测试数据；执行前按前置条件准备，未填写的产品决策不得自行假定。</x:v>
      </x:c>
    </x:row>
    <x:row r="65" ht="145" customHeight="1">
      <x:c r="A65" s="10" t="n">
        <x:v>64</x:v>
      </x:c>
      <x:c r="B65" s="10" t="str">
        <x:v>USER-0064</x:v>
      </x:c>
      <x:c r="C65" s="10" t="str">
        <x:v>账号与登录</x:v>
      </x:c>
      <x:c r="D65" s="10" t="str">
        <x:v>手机号登录（用户）</x:v>
      </x:c>
      <x:c r="E65" s="10" t="str">
        <x:v>功能需求</x:v>
      </x:c>
      <x:c r="F65" s="10" t="str">
        <x:v>P1</x:v>
      </x:c>
      <x:c r="G65" s="9" t="str">
        <x:v>验证选择地区后恢复原登录表单</x:v>
      </x:c>
      <x:c r="H65" s="9" t="str">
        <x:v>登录方式保留</x:v>
      </x:c>
      <x:c r="I65" s="9" t="str">
        <x:v>1. 用户为本条执行者
2. 账号甲绑定 +62 81234567890，已同意当前协议
3. 手机号框为 81234567890，密码方式已选，协议已勾选</x:v>
      </x:c>
      <x:c r="J65" s="9" t="str">
        <x:v>1. 点击区号
2. 选择印度尼西亚 +62</x:v>
      </x:c>
      <x:c r="K65" s="9" t="str">
        <x:v>登录方式仍为密码登录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 1390 行；REQ-235781692515、第 1394 行；REQ-b16a9f3760bc、第 1383 行
2. 规则：BR-60DDECA53E5B41
3. 未动态验证
4. 示例账号、编号、金额与日期是本条测试数据；执行前按前置条件准备，未填写的产品决策不得自行假定。</x:v>
      </x:c>
    </x:row>
    <x:row r="66" ht="145" customHeight="1">
      <x:c r="A66" s="10" t="n">
        <x:v>65</x:v>
      </x:c>
      <x:c r="B66" s="10" t="str">
        <x:v>USER-0065</x:v>
      </x:c>
      <x:c r="C66" s="10" t="str">
        <x:v>账号与登录</x:v>
      </x:c>
      <x:c r="D66" s="10" t="str">
        <x:v>手机号登录（用户）</x:v>
      </x:c>
      <x:c r="E66" s="10" t="str">
        <x:v>功能需求</x:v>
      </x:c>
      <x:c r="F66" s="10" t="str">
        <x:v>P1</x:v>
      </x:c>
      <x:c r="G66" s="9" t="str">
        <x:v>验证选择地区后恢复原登录表单</x:v>
      </x:c>
      <x:c r="H66" s="9" t="str">
        <x:v>协议选择保留</x:v>
      </x:c>
      <x:c r="I66" s="9" t="str">
        <x:v>1. 用户为本条执行者
2. 账号甲绑定 +62 81234567890，已同意当前协议
3. 手机号框为 81234567890，密码方式已选，协议已勾选</x:v>
      </x:c>
      <x:c r="J66" s="9" t="str">
        <x:v>1. 点击区号
2. 选择印度尼西亚 +62</x:v>
      </x:c>
      <x:c r="K66" s="9" t="str">
        <x:v>协议仍为勾选状态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 1390 行；REQ-235781692515、第 1394 行；REQ-b16a9f3760bc、第 1383 行
2. 规则：BR-150F3BD3C8580D
3. 未动态验证
4. 示例账号、编号、金额与日期是本条测试数据；执行前按前置条件准备，未填写的产品决策不得自行假定。</x:v>
      </x:c>
    </x:row>
    <x:row r="67" ht="160" customHeight="1">
      <x:c r="A67" s="10" t="n">
        <x:v>66</x:v>
      </x:c>
      <x:c r="B67" s="10" t="str">
        <x:v>USER-0066</x:v>
      </x:c>
      <x:c r="C67" s="10" t="str">
        <x:v>账号与登录</x:v>
      </x:c>
      <x:c r="D67" s="10" t="str">
        <x:v>选择国家/地区（用户）</x:v>
      </x:c>
      <x:c r="E67" s="10" t="str">
        <x:v>功能需求</x:v>
      </x:c>
      <x:c r="F67" s="10" t="str">
        <x:v>P1</x:v>
      </x:c>
      <x:c r="G67" s="9" t="str">
        <x:v>验证通过印度尼西亚检索地区</x:v>
      </x:c>
      <x:c r="H67" s="9" t="str">
        <x:v>地区检索</x:v>
      </x:c>
      <x:c r="I67" s="9" t="str">
        <x:v>1. 用户为本条执行者
2. 原区号为 +62</x:v>
      </x:c>
      <x:c r="J67" s="9" t="str">
        <x:v>1. 打开选择国家/地区
2. 输入搜索词 印度尼西亚</x:v>
      </x:c>
      <x:c r="K67" s="9" t="str">
        <x:v>搜索结果包含印度尼西亚 +62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 1401 行；REQ-016b98abdeb4、第 1406 行；REQ-7ebdd25780d5、第 1407 行；REQ-5efb5b6424f2、第 1399 行
2. 规则：BR-0521E20E07DCF1
3. 未动态验证
4. 示例账号、编号、金额与日期是本条测试数据；执行前按前置条件准备，未填写的产品决策不得自行假定。</x:v>
      </x:c>
    </x:row>
    <x:row r="68" ht="160" customHeight="1">
      <x:c r="A68" s="10" t="n">
        <x:v>67</x:v>
      </x:c>
      <x:c r="B68" s="10" t="str">
        <x:v>USER-0067</x:v>
      </x:c>
      <x:c r="C68" s="10" t="str">
        <x:v>账号与登录</x:v>
      </x:c>
      <x:c r="D68" s="10" t="str">
        <x:v>选择国家/地区（用户）</x:v>
      </x:c>
      <x:c r="E68" s="10" t="str">
        <x:v>功能需求</x:v>
      </x:c>
      <x:c r="F68" s="10" t="str">
        <x:v>P1</x:v>
      </x:c>
      <x:c r="G68" s="9" t="str">
        <x:v>验证通过+62检索地区</x:v>
      </x:c>
      <x:c r="H68" s="9" t="str">
        <x:v>地区检索</x:v>
      </x:c>
      <x:c r="I68" s="9" t="str">
        <x:v>1. 用户为本条执行者
2. 原区号为 +62</x:v>
      </x:c>
      <x:c r="J68" s="9" t="str">
        <x:v>1. 打开选择国家/地区
2. 输入搜索词 +62</x:v>
      </x:c>
      <x:c r="K68" s="9" t="str">
        <x:v>搜索结果包含印度尼西亚 +62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 1401 行；REQ-016b98abdeb4、第 1406 行；REQ-7ebdd25780d5、第 1407 行；REQ-5efb5b6424f2、第 1399 行
2. 规则：BR-7418BA68B6C5C8
3. 未动态验证
4. 示例账号、编号、金额与日期是本条测试数据；执行前按前置条件准备，未填写的产品决策不得自行假定。</x:v>
      </x:c>
    </x:row>
    <x:row r="69" ht="145" customHeight="1">
      <x:c r="A69" s="10" t="n">
        <x:v>68</x:v>
      </x:c>
      <x:c r="B69" s="10" t="str">
        <x:v>USER-0068</x:v>
      </x:c>
      <x:c r="C69" s="10" t="str">
        <x:v>账号与登录</x:v>
      </x:c>
      <x:c r="D69" s="10" t="str">
        <x:v>选择国家/地区（用户）</x:v>
      </x:c>
      <x:c r="E69" s="10" t="str">
        <x:v>功能需求</x:v>
      </x:c>
      <x:c r="F69" s="10" t="str">
        <x:v>P1</x:v>
      </x:c>
      <x:c r="G69" s="9" t="str">
        <x:v>验证不支持中国大陆手机区号</x:v>
      </x:c>
      <x:c r="H69" s="9" t="str">
        <x:v>排除区号</x:v>
      </x:c>
      <x:c r="I69" s="9" t="str">
        <x:v>1. 用户为本条执行者
2. 原区号为 +62</x:v>
      </x:c>
      <x:c r="J69" s="9" t="str">
        <x:v>1. 打开选择国家/地区
2. 输入搜索词 +86</x:v>
      </x:c>
      <x:c r="K69" s="9" t="str">
        <x:v>可选结果中没有中国大陆 +86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 1402 行；REQ-9964c7ed44cf、第 1404 行；REQ-69c9aabd57c2、第 1399 行
2. 规则：BR-DD483C55E83977
3. 未动态验证
4. 示例账号、编号、金额与日期是本条测试数据；执行前按前置条件准备，未填写的产品决策不得自行假定。</x:v>
      </x:c>
    </x:row>
    <x:row r="70" ht="160" customHeight="1">
      <x:c r="A70" s="10" t="n">
        <x:v>69</x:v>
      </x:c>
      <x:c r="B70" s="10" t="str">
        <x:v>USER-0069</x:v>
      </x:c>
      <x:c r="C70" s="10" t="str">
        <x:v>账号与登录</x:v>
      </x:c>
      <x:c r="D70" s="10" t="str">
        <x:v>选择国家/地区（用户）</x:v>
      </x:c>
      <x:c r="E70" s="10" t="str">
        <x:v>功能需求</x:v>
      </x:c>
      <x:c r="F70" s="10" t="str">
        <x:v>P1</x:v>
      </x:c>
      <x:c r="G70" s="9" t="str">
        <x:v>验证区号检索无匹配结果</x:v>
      </x:c>
      <x:c r="H70" s="9" t="str">
        <x:v>地区搜索空态</x:v>
      </x:c>
      <x:c r="I70" s="9" t="str">
        <x:v>1. 用户为本条执行者
2. 原区号为 +62</x:v>
      </x:c>
      <x:c r="J70" s="9" t="str">
        <x:v>1. 打开选择国家/地区
2. 输入搜索词 NoCountry9001</x:v>
      </x:c>
      <x:c r="K70" s="9" t="str">
        <x:v>地区列表显示空状态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 1401 行；REQ-016b98abdeb4、第 1406 行；REQ-7ebdd25780d5、第 1407 行；REQ-5efb5b6424f2、第 1399 行
2. 规则：BR-23E593E1E9FB94
3. 未动态验证
4. 示例账号、编号、金额与日期是本条测试数据；执行前按前置条件准备，未填写的产品决策不得自行假定。</x:v>
      </x:c>
    </x:row>
    <x:row r="71" ht="160" customHeight="1">
      <x:c r="A71" s="10" t="n">
        <x:v>70</x:v>
      </x:c>
      <x:c r="B71" s="10" t="str">
        <x:v>USER-0070</x:v>
      </x:c>
      <x:c r="C71" s="10" t="str">
        <x:v>账号与登录</x:v>
      </x:c>
      <x:c r="D71" s="10" t="str">
        <x:v>选择国家/地区（用户）</x:v>
      </x:c>
      <x:c r="E71" s="10" t="str">
        <x:v>功能需求</x:v>
      </x:c>
      <x:c r="F71" s="10" t="str">
        <x:v>P1</x:v>
      </x:c>
      <x:c r="G71" s="9" t="str">
        <x:v>验证取消地区选择保留原区号</x:v>
      </x:c>
      <x:c r="H71" s="9" t="str">
        <x:v>区号选择取消</x:v>
      </x:c>
      <x:c r="I71" s="9" t="str">
        <x:v>1. 用户为本条执行者
2. 原区号为 +62</x:v>
      </x:c>
      <x:c r="J71" s="9" t="str">
        <x:v>1. 打开选择国家/地区
2. 点击返回</x:v>
      </x:c>
      <x:c r="K71" s="9" t="str">
        <x:v>手机号登录页仍显示 +62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 1405 行；REQ-9ac0d78eb22f、第 1408 行；REQ-dde5b29e8c31、第 1409 行；REQ-b77a464b1c11、第 1399 行
2. 规则：BR-95BD1F0529D8DC
3. 未动态验证
4. 示例账号、编号、金额与日期是本条测试数据；执行前按前置条件准备，未填写的产品决策不得自行假定。</x:v>
      </x:c>
    </x:row>
    <x:row r="72" ht="145" customHeight="1">
      <x:c r="A72" s="10" t="n">
        <x:v>71</x:v>
      </x:c>
      <x:c r="B72" s="10" t="str">
        <x:v>USER-0071</x:v>
      </x:c>
      <x:c r="C72" s="10" t="str">
        <x:v>账号与登录</x:v>
      </x:c>
      <x:c r="D72" s="10" t="str">
        <x:v>手机号登录（用户）</x:v>
      </x:c>
      <x:c r="E72" s="10" t="str">
        <x:v>功能需求</x:v>
      </x:c>
      <x:c r="F72" s="10" t="str">
        <x:v>P1</x:v>
      </x:c>
      <x:c r="G72" s="9" t="str">
        <x:v>验证短信登录默认使用验证码</x:v>
      </x:c>
      <x:c r="H72" s="9" t="str">
        <x:v>默认登录方式</x:v>
      </x:c>
      <x:c r="I72" s="9" t="str">
        <x:v>1. 用户为本条执行者
2. 测试账号甲的手机号为 +62 81234567890；当前协议已勾选</x:v>
      </x:c>
      <x:c r="J72" s="9" t="str">
        <x:v>1. 打开手机号登录</x:v>
      </x:c>
      <x:c r="K72" s="9" t="str">
        <x:v>显示短信验证码登录表单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 1385 行；REQ-1c46961734ed、第 1389 行；REQ-efd41a453368、第 1383 行
2. 规则：BR-386504DB48B345
3. 未动态验证
4. 示例账号、编号、金额与日期是本条测试数据；执行前按前置条件准备，未填写的产品决策不得自行假定。</x:v>
      </x:c>
    </x:row>
    <x:row r="73" ht="175" customHeight="1">
      <x:c r="A73" s="10" t="n">
        <x:v>72</x:v>
      </x:c>
      <x:c r="B73" s="10" t="str">
        <x:v>USER-0072</x:v>
      </x:c>
      <x:c r="C73" s="10" t="str">
        <x:v>账号与登录</x:v>
      </x:c>
      <x:c r="D73" s="10" t="str">
        <x:v>手机号登录（用户）</x:v>
      </x:c>
      <x:c r="E73" s="10" t="str">
        <x:v>功能需求</x:v>
      </x:c>
      <x:c r="F73" s="10" t="str">
        <x:v>P1</x:v>
      </x:c>
      <x:c r="G73" s="9" t="str">
        <x:v>验证短信验证码输入 5 位</x:v>
      </x:c>
      <x:c r="H73" s="9" t="str">
        <x:v>验证码长度</x:v>
      </x:c>
      <x:c r="I73" s="9" t="str">
        <x:v>1. 用户为本条执行者
2. 测试账号甲的手机号为 +62 81234567890；当前协议已勾选
3. 有效测试验证码为 123456，获取后未超过 5 分钟</x:v>
      </x:c>
      <x:c r="J73" s="9" t="str">
        <x:v>1. 打开手机号登录
2. 填写手机号 +62 81234567890
3. 输入验证码 11111</x:v>
      </x:c>
      <x:c r="K73" s="9" t="str">
        <x:v>继续按钮不可用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 1387 行；REQ-43f78ae14856、第 1389 行；REQ-efd41a453368、第 1392 行；REQ-d11325bdaeb3、第 1393 行；REQ-710f264aa1d8、第 1395 行；REQ-d2a5c2bc5ab7、第 1383 行
2. 规则：BR-025EFB9B106063
3. 未动态验证
4. 示例账号、编号、金额与日期是本条测试数据；执行前按前置条件准备，未填写的产品决策不得自行假定。</x:v>
      </x:c>
    </x:row>
    <x:row r="74" ht="175" customHeight="1">
      <x:c r="A74" s="10" t="n">
        <x:v>73</x:v>
      </x:c>
      <x:c r="B74" s="10" t="str">
        <x:v>USER-0073</x:v>
      </x:c>
      <x:c r="C74" s="10" t="str">
        <x:v>账号与登录</x:v>
      </x:c>
      <x:c r="D74" s="10" t="str">
        <x:v>手机号登录（用户）</x:v>
      </x:c>
      <x:c r="E74" s="10" t="str">
        <x:v>功能需求</x:v>
      </x:c>
      <x:c r="F74" s="10" t="str">
        <x:v>P1</x:v>
      </x:c>
      <x:c r="G74" s="9" t="str">
        <x:v>验证短信验证码输入 6 位</x:v>
      </x:c>
      <x:c r="H74" s="9" t="str">
        <x:v>验证码长度</x:v>
      </x:c>
      <x:c r="I74" s="9" t="str">
        <x:v>1. 用户为本条执行者
2. 测试账号甲的手机号为 +62 81234567890；当前协议已勾选
3. 有效测试验证码为 123456，获取后未超过 5 分钟</x:v>
      </x:c>
      <x:c r="J74" s="9" t="str">
        <x:v>1. 打开手机号登录
2. 填写手机号 +62 81234567890
3. 输入验证码 123456</x:v>
      </x:c>
      <x:c r="K74" s="9" t="str">
        <x:v>继续按钮可用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 1387 行；REQ-43f78ae14856、第 1389 行；REQ-efd41a453368、第 1392 行；REQ-d11325bdaeb3、第 1393 行；REQ-710f264aa1d8、第 1395 行；REQ-d2a5c2bc5ab7、第 1383 行
2. 规则：BR-3C3FC6F9779387
3. 未动态验证
4. 示例账号、编号、金额与日期是本条测试数据；执行前按前置条件准备，未填写的产品决策不得自行假定。</x:v>
      </x:c>
    </x:row>
    <x:row r="75" ht="175" customHeight="1">
      <x:c r="A75" s="10" t="n">
        <x:v>74</x:v>
      </x:c>
      <x:c r="B75" s="10" t="str">
        <x:v>USER-0074</x:v>
      </x:c>
      <x:c r="C75" s="10" t="str">
        <x:v>账号与登录</x:v>
      </x:c>
      <x:c r="D75" s="10" t="str">
        <x:v>手机号登录（用户）</x:v>
      </x:c>
      <x:c r="E75" s="10" t="str">
        <x:v>功能需求</x:v>
      </x:c>
      <x:c r="F75" s="10" t="str">
        <x:v>P1</x:v>
      </x:c>
      <x:c r="G75" s="9" t="str">
        <x:v>验证短信验证码输入 7 位</x:v>
      </x:c>
      <x:c r="H75" s="9" t="str">
        <x:v>验证码长度</x:v>
      </x:c>
      <x:c r="I75" s="9" t="str">
        <x:v>1. 用户为本条执行者
2. 测试账号甲的手机号为 +62 81234567890；当前协议已勾选
3. 有效测试验证码为 123456，获取后未超过 5 分钟</x:v>
      </x:c>
      <x:c r="J75" s="9" t="str">
        <x:v>1. 打开手机号登录
2. 填写手机号 +62 81234567890
3. 输入验证码 1111111</x:v>
      </x:c>
      <x:c r="K75" s="9" t="str">
        <x:v>继续按钮不可用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 1387 行；REQ-43f78ae14856、第 1389 行；REQ-efd41a453368、第 1392 行；REQ-d11325bdaeb3、第 1393 行；REQ-710f264aa1d8、第 1395 行；REQ-d2a5c2bc5ab7、第 1383 行
2. 规则：BR-A615351311FFD4
3. 未动态验证
4. 示例账号、编号、金额与日期是本条测试数据；执行前按前置条件准备，未填写的产品决策不得自行假定。</x:v>
      </x:c>
    </x:row>
    <x:row r="76" ht="130" customHeight="1">
      <x:c r="A76" s="10" t="n">
        <x:v>75</x:v>
      </x:c>
      <x:c r="B76" s="10" t="str">
        <x:v>USER-0075</x:v>
      </x:c>
      <x:c r="C76" s="10" t="str">
        <x:v>账号与登录</x:v>
      </x:c>
      <x:c r="D76" s="10" t="str">
        <x:v>手机号登录（用户）</x:v>
      </x:c>
      <x:c r="E76" s="10" t="str">
        <x:v>功能需求</x:v>
      </x:c>
      <x:c r="F76" s="10" t="str">
        <x:v>P1</x:v>
      </x:c>
      <x:c r="G76" s="9" t="str">
        <x:v>验证短信验证码发送后 59 秒再次获取</x:v>
      </x:c>
      <x:c r="H76" s="9" t="str">
        <x:v>重新发送等待时间</x:v>
      </x:c>
      <x:c r="I76" s="9" t="str">
        <x:v>1. 用户为本条执行者
2. 测试账号甲的手机号为 +62 81234567890；当前协议已勾选
3. 测试联系方式可接收验证码</x:v>
      </x:c>
      <x:c r="J76" s="9" t="str">
        <x:v>1. 打开手机号登录
2. 填写手机号 +62 81234567890
3. 点击获取验证码
4. 在倒计时开始后第 59 秒查看获取验证码按钮</x:v>
      </x:c>
      <x:c r="K76" s="9" t="str">
        <x:v>获取验证码按钮不可用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 1392 行；REQ-d11325bdaeb3、第 1383 行
2. 规则：BR-939B59C767A856
3. 未动态验证
4. 示例账号、编号、金额与日期是本条测试数据；执行前按前置条件准备，未填写的产品决策不得自行假定。</x:v>
      </x:c>
    </x:row>
    <x:row r="77" ht="130" customHeight="1">
      <x:c r="A77" s="10" t="n">
        <x:v>76</x:v>
      </x:c>
      <x:c r="B77" s="10" t="str">
        <x:v>USER-0076</x:v>
      </x:c>
      <x:c r="C77" s="10" t="str">
        <x:v>账号与登录</x:v>
      </x:c>
      <x:c r="D77" s="10" t="str">
        <x:v>手机号登录（用户）</x:v>
      </x:c>
      <x:c r="E77" s="10" t="str">
        <x:v>功能需求</x:v>
      </x:c>
      <x:c r="F77" s="10" t="str">
        <x:v>P1</x:v>
      </x:c>
      <x:c r="G77" s="9" t="str">
        <x:v>验证短信验证码发送后 60 秒再次获取</x:v>
      </x:c>
      <x:c r="H77" s="9" t="str">
        <x:v>重新发送等待时间</x:v>
      </x:c>
      <x:c r="I77" s="9" t="str">
        <x:v>1. 用户为本条执行者
2. 测试账号甲的手机号为 +62 81234567890；当前协议已勾选
3. 测试联系方式可接收验证码</x:v>
      </x:c>
      <x:c r="J77" s="9" t="str">
        <x:v>1. 打开手机号登录
2. 填写手机号 +62 81234567890
3. 点击获取验证码
4. 在倒计时开始后第 60 秒查看获取验证码按钮</x:v>
      </x:c>
      <x:c r="K77" s="9" t="str">
        <x:v>获取验证码按钮可用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 1392 行；REQ-d11325bdaeb3、第 1383 行
2. 规则：BR-E5D34D58697DB5
3. 未动态验证
4. 示例账号、编号、金额与日期是本条测试数据；执行前按前置条件准备，未填写的产品决策不得自行假定。</x:v>
      </x:c>
    </x:row>
    <x:row r="78" ht="175" customHeight="1">
      <x:c r="A78" s="10" t="n">
        <x:v>77</x:v>
      </x:c>
      <x:c r="B78" s="10" t="str">
        <x:v>USER-0077</x:v>
      </x:c>
      <x:c r="C78" s="10" t="str">
        <x:v>账号与登录</x:v>
      </x:c>
      <x:c r="D78" s="10" t="str">
        <x:v>手机号登录（用户）</x:v>
      </x:c>
      <x:c r="E78" s="10" t="str">
        <x:v>功能需求</x:v>
      </x:c>
      <x:c r="F78" s="10" t="str">
        <x:v>P1</x:v>
      </x:c>
      <x:c r="G78" s="9" t="str">
        <x:v>验证短信验证码生成后 299 秒登录</x:v>
      </x:c>
      <x:c r="H78" s="9" t="str">
        <x:v>验证码有效期</x:v>
      </x:c>
      <x:c r="I78" s="9" t="str">
        <x:v>1. 用户为本条执行者
2. 测试账号甲的手机号为 +62 81234567890；当前协议已勾选
3. 有效验证码为 123456，生成时间距本次提交 299 秒，尚未错误使用</x:v>
      </x:c>
      <x:c r="J78" s="9" t="str">
        <x:v>1. 打开手机号登录
2. 填写手机号 +62 81234567890
3. 输入验证码 123456
4. 点击继续</x:v>
      </x:c>
      <x:c r="K78" s="9" t="str">
        <x:v>进入首页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 1387 行；REQ-43f78ae14856、第 1389 行；REQ-efd41a453368、第 1392 行；REQ-d11325bdaeb3、第 1393 行；REQ-710f264aa1d8、第 1395 行；REQ-d2a5c2bc5ab7、第 1383 行
2. 规则：BR-A43A991A6E3D5B
3. 未动态验证
4. 示例账号、编号、金额与日期是本条测试数据；执行前按前置条件准备，未填写的产品决策不得自行假定。</x:v>
      </x:c>
    </x:row>
    <x:row r="79" ht="175" customHeight="1">
      <x:c r="A79" s="10" t="n">
        <x:v>78</x:v>
      </x:c>
      <x:c r="B79" s="10" t="str">
        <x:v>USER-0078</x:v>
      </x:c>
      <x:c r="C79" s="10" t="str">
        <x:v>账号与登录</x:v>
      </x:c>
      <x:c r="D79" s="10" t="str">
        <x:v>手机号登录（用户）</x:v>
      </x:c>
      <x:c r="E79" s="10" t="str">
        <x:v>功能需求</x:v>
      </x:c>
      <x:c r="F79" s="10" t="str">
        <x:v>P1</x:v>
      </x:c>
      <x:c r="G79" s="9" t="str">
        <x:v>验证短信验证码生成后 301 秒登录</x:v>
      </x:c>
      <x:c r="H79" s="9" t="str">
        <x:v>验证码有效期</x:v>
      </x:c>
      <x:c r="I79" s="9" t="str">
        <x:v>1. 用户为本条执行者
2. 测试账号甲的手机号为 +62 81234567890；当前协议已勾选
3. 有效验证码为 123456，生成时间距本次提交 301 秒，尚未错误使用</x:v>
      </x:c>
      <x:c r="J79" s="9" t="str">
        <x:v>1. 打开手机号登录
2. 填写手机号 +62 81234567890
3. 输入验证码 123456
4. 点击继续</x:v>
      </x:c>
      <x:c r="K79" s="9" t="str">
        <x:v>未进入首页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 1387 行；REQ-43f78ae14856、第 1389 行；REQ-efd41a453368、第 1392 行；REQ-d11325bdaeb3、第 1393 行；REQ-710f264aa1d8、第 1395 行；REQ-d2a5c2bc5ab7、第 1383 行
2. 规则：BR-2E3A5E221DD6EB
3. 未动态验证
4. 示例账号、编号、金额与日期是本条测试数据；执行前按前置条件准备，未填写的产品决策不得自行假定。</x:v>
      </x:c>
    </x:row>
    <x:row r="80" ht="130" customHeight="1">
      <x:c r="A80" s="10" t="n">
        <x:v>79</x:v>
      </x:c>
      <x:c r="B80" s="10" t="str">
        <x:v>USER-0079</x:v>
      </x:c>
      <x:c r="C80" s="10" t="str">
        <x:v>账号与登录</x:v>
      </x:c>
      <x:c r="D80" s="10" t="str">
        <x:v>手机号登录（用户）</x:v>
      </x:c>
      <x:c r="E80" s="10" t="str">
        <x:v>功能需求</x:v>
      </x:c>
      <x:c r="F80" s="10" t="str">
        <x:v>P1</x:v>
      </x:c>
      <x:c r="G80" s="9" t="str">
        <x:v>验证短信验证码连续错误五次后失效</x:v>
      </x:c>
      <x:c r="H80" s="9" t="str">
        <x:v>错误次数上限</x:v>
      </x:c>
      <x:c r="I80" s="9" t="str">
        <x:v>1. 用户为本条执行者
2. 测试账号甲的手机号为 +62 81234567890；当前协议已勾选
3. 当前验证码 123456 尚在有效期，已连续输入错误验证码四次</x:v>
      </x:c>
      <x:c r="J80" s="9" t="str">
        <x:v>1. 打开手机号登录
2. 填写手机号 +62 81234567890
3. 输入错误验证码 654321
4. 点击继续
5. 改为输入验证码 123456
6. 点击继续</x:v>
      </x:c>
      <x:c r="K80" s="9" t="str">
        <x:v>未进入首页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 1387 行；REQ-43f78ae14856、第 1383 行
2. 规则：BR-B0A028F5BACBB8
3. 未动态验证
4. 示例账号、编号、金额与日期是本条测试数据；执行前按前置条件准备，未填写的产品决策不得自行假定。</x:v>
      </x:c>
    </x:row>
    <x:row r="81" ht="130" customHeight="1">
      <x:c r="A81" s="10" t="n">
        <x:v>80</x:v>
      </x:c>
      <x:c r="B81" s="10" t="str">
        <x:v>USER-0080</x:v>
      </x:c>
      <x:c r="C81" s="10" t="str">
        <x:v>账号与登录</x:v>
      </x:c>
      <x:c r="D81" s="10" t="str">
        <x:v>手机号登录（用户）</x:v>
      </x:c>
      <x:c r="E81" s="10" t="str">
        <x:v>功能需求</x:v>
      </x:c>
      <x:c r="F81" s="10" t="str">
        <x:v>P1</x:v>
      </x:c>
      <x:c r="G81" s="9" t="str">
        <x:v>验证切换到密码登录</x:v>
      </x:c>
      <x:c r="H81" s="9" t="str">
        <x:v>登录方式切换</x:v>
      </x:c>
      <x:c r="I81" s="9" t="str">
        <x:v>1. 用户为本条执行者
2. 测试账号甲的手机号为 +62 81234567890；当前协议已勾选</x:v>
      </x:c>
      <x:c r="J81" s="9" t="str">
        <x:v>1. 打开手机号登录
2. 点击使用密码登录</x:v>
      </x:c>
      <x:c r="K81" s="9" t="str">
        <x:v>显示密码登录表单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 1395 行；REQ-d2a5c2bc5ab7、第 1383 行
2. 规则：BR-955BB3AA03B75B
3. 未动态验证
4. 示例账号、编号、金额与日期是本条测试数据；执行前按前置条件准备，未填写的产品决策不得自行假定。</x:v>
      </x:c>
    </x:row>
    <x:row r="82" ht="130" customHeight="1">
      <x:c r="A82" s="10" t="n">
        <x:v>81</x:v>
      </x:c>
      <x:c r="B82" s="10" t="str">
        <x:v>USER-0081</x:v>
      </x:c>
      <x:c r="C82" s="10" t="str">
        <x:v>账号与登录</x:v>
      </x:c>
      <x:c r="D82" s="10" t="str">
        <x:v>手机号登录（用户）</x:v>
      </x:c>
      <x:c r="E82" s="10" t="str">
        <x:v>功能需求</x:v>
      </x:c>
      <x:c r="F82" s="10" t="str">
        <x:v>P1</x:v>
      </x:c>
      <x:c r="G82" s="9" t="str">
        <x:v>验证切换到短信验证码登录</x:v>
      </x:c>
      <x:c r="H82" s="9" t="str">
        <x:v>登录方式切换</x:v>
      </x:c>
      <x:c r="I82" s="9" t="str">
        <x:v>1. 用户为本条执行者
2. 测试账号甲的手机号为 +62 81234567890；当前协议已勾选</x:v>
      </x:c>
      <x:c r="J82" s="9" t="str">
        <x:v>1. 打开手机号登录
2. 点击使用短信验证码登录</x:v>
      </x:c>
      <x:c r="K82" s="9" t="str">
        <x:v>显示短信验证码登录表单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 1395 行；REQ-d2a5c2bc5ab7、第 1383 行
2. 规则：BR-D3DDB871283D23
3. 未动态验证
4. 示例账号、编号、金额与日期是本条测试数据；执行前按前置条件准备，未填写的产品决策不得自行假定。</x:v>
      </x:c>
    </x:row>
    <x:row r="83" ht="145" customHeight="1">
      <x:c r="A83" s="10" t="n">
        <x:v>82</x:v>
      </x:c>
      <x:c r="B83" s="10" t="str">
        <x:v>USER-0082</x:v>
      </x:c>
      <x:c r="C83" s="10" t="str">
        <x:v>账号与登录</x:v>
      </x:c>
      <x:c r="D83" s="10" t="str">
        <x:v>手机号登录（用户）</x:v>
      </x:c>
      <x:c r="E83" s="10" t="str">
        <x:v>功能需求</x:v>
      </x:c>
      <x:c r="F83" s="10" t="str">
        <x:v>P1</x:v>
      </x:c>
      <x:c r="G83" s="9" t="str">
        <x:v>验证短信账号凭证有效但处于注销冷静期</x:v>
      </x:c>
      <x:c r="H83" s="9" t="str">
        <x:v>冷静期登录分流</x:v>
      </x:c>
      <x:c r="I83" s="9" t="str">
        <x:v>1. 用户为本条执行者
2. 测试账号甲的手机号为 +62 81234567890；当前协议已勾选
3. 账号甲的注销申请尚在七日冷静期</x:v>
      </x:c>
      <x:c r="J83" s="9" t="str">
        <x:v>1. 打开手机号登录
2. 填写手机号 +62 81234567890
3. 输入本次收到的六位验证码
4. 点击继续</x:v>
      </x:c>
      <x:c r="K83" s="9" t="str">
        <x:v>登录与注册页显示注销冷静期弹窗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 1391 行；REQ-89e915f8f5a2、第 1396 行；REQ-97f1a2157119、第 1383 行
2. 规则：BR-4E59D2533D20C7
3. 未动态验证
4. 示例账号、编号、金额与日期是本条测试数据；执行前按前置条件准备，未填写的产品决策不得自行假定。</x:v>
      </x:c>
    </x:row>
    <x:row r="84" ht="130" customHeight="1">
      <x:c r="A84" s="10" t="n">
        <x:v>83</x:v>
      </x:c>
      <x:c r="B84" s="10" t="str">
        <x:v>USER-0083</x:v>
      </x:c>
      <x:c r="C84" s="10" t="str">
        <x:v>账号与登录</x:v>
      </x:c>
      <x:c r="D84" s="10" t="str">
        <x:v>邮箱登录（用户）</x:v>
      </x:c>
      <x:c r="E84" s="10" t="str">
        <x:v>功能需求</x:v>
      </x:c>
      <x:c r="F84" s="10" t="str">
        <x:v>P1</x:v>
      </x:c>
      <x:c r="G84" s="9" t="str">
        <x:v>验证邮箱登录默认使用验证码</x:v>
      </x:c>
      <x:c r="H84" s="9" t="str">
        <x:v>默认登录方式</x:v>
      </x:c>
      <x:c r="I84" s="9" t="str">
        <x:v>1. 用户为本条执行者
2. 测试账号甲的邮箱为 qa.test@example.com；当前协议已勾选</x:v>
      </x:c>
      <x:c r="J84" s="9" t="str">
        <x:v>1. 打开邮箱登录</x:v>
      </x:c>
      <x:c r="K84" s="9" t="str">
        <x:v>显示邮箱验证码登录表单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 1417 行；REQ-76e9f678da24、第 1412 行
2. 规则：BR-0707836086150A
3. 未动态验证
4. 示例账号、编号、金额与日期是本条测试数据；执行前按前置条件准备，未填写的产品决策不得自行假定。</x:v>
      </x:c>
    </x:row>
    <x:row r="85" ht="175" customHeight="1">
      <x:c r="A85" s="10" t="n">
        <x:v>84</x:v>
      </x:c>
      <x:c r="B85" s="10" t="str">
        <x:v>USER-0084</x:v>
      </x:c>
      <x:c r="C85" s="10" t="str">
        <x:v>账号与登录</x:v>
      </x:c>
      <x:c r="D85" s="10" t="str">
        <x:v>邮箱登录（用户）</x:v>
      </x:c>
      <x:c r="E85" s="10" t="str">
        <x:v>功能需求</x:v>
      </x:c>
      <x:c r="F85" s="10" t="str">
        <x:v>P1</x:v>
      </x:c>
      <x:c r="G85" s="9" t="str">
        <x:v>验证邮箱验证码输入 5 位</x:v>
      </x:c>
      <x:c r="H85" s="9" t="str">
        <x:v>验证码长度</x:v>
      </x:c>
      <x:c r="I85" s="9" t="str">
        <x:v>1. 用户为本条执行者
2. 测试账号甲的邮箱为 qa.test@example.com；当前协议已勾选
3. 有效测试验证码为 123456，获取后未超过 5 分钟</x:v>
      </x:c>
      <x:c r="J85" s="9" t="str">
        <x:v>1. 打开邮箱登录
2. 填写邮箱 qa.test@example.com
3. 输入验证码 11111</x:v>
      </x:c>
      <x:c r="K85" s="9" t="str">
        <x:v>继续按钮不可用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 1415 行；REQ-6093735e3bc3、第 1417 行；REQ-76e9f678da24、第 1419 行；REQ-73f4f8991460、第 1420 行；REQ-b92d5c7ef6a0、第 1421 行；REQ-6369e820dcd5、第 1412 行
2. 规则：BR-EA33A1B003F65C
3. 未动态验证
4. 示例账号、编号、金额与日期是本条测试数据；执行前按前置条件准备，未填写的产品决策不得自行假定。</x:v>
      </x:c>
    </x:row>
    <x:row r="86" ht="175" customHeight="1">
      <x:c r="A86" s="10" t="n">
        <x:v>85</x:v>
      </x:c>
      <x:c r="B86" s="10" t="str">
        <x:v>USER-0085</x:v>
      </x:c>
      <x:c r="C86" s="10" t="str">
        <x:v>账号与登录</x:v>
      </x:c>
      <x:c r="D86" s="10" t="str">
        <x:v>邮箱登录（用户）</x:v>
      </x:c>
      <x:c r="E86" s="10" t="str">
        <x:v>功能需求</x:v>
      </x:c>
      <x:c r="F86" s="10" t="str">
        <x:v>P1</x:v>
      </x:c>
      <x:c r="G86" s="9" t="str">
        <x:v>验证邮箱验证码输入 6 位</x:v>
      </x:c>
      <x:c r="H86" s="9" t="str">
        <x:v>验证码长度</x:v>
      </x:c>
      <x:c r="I86" s="9" t="str">
        <x:v>1. 用户为本条执行者
2. 测试账号甲的邮箱为 qa.test@example.com；当前协议已勾选
3. 有效测试验证码为 123456，获取后未超过 5 分钟</x:v>
      </x:c>
      <x:c r="J86" s="9" t="str">
        <x:v>1. 打开邮箱登录
2. 填写邮箱 qa.test@example.com
3. 输入验证码 123456</x:v>
      </x:c>
      <x:c r="K86" s="9" t="str">
        <x:v>继续按钮可用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 1415 行；REQ-6093735e3bc3、第 1417 行；REQ-76e9f678da24、第 1419 行；REQ-73f4f8991460、第 1420 行；REQ-b92d5c7ef6a0、第 1421 行；REQ-6369e820dcd5、第 1412 行
2. 规则：BR-5B957017C73D78
3. 未动态验证
4. 示例账号、编号、金额与日期是本条测试数据；执行前按前置条件准备，未填写的产品决策不得自行假定。</x:v>
      </x:c>
    </x:row>
    <x:row r="87" ht="175" customHeight="1">
      <x:c r="A87" s="10" t="n">
        <x:v>86</x:v>
      </x:c>
      <x:c r="B87" s="10" t="str">
        <x:v>USER-0086</x:v>
      </x:c>
      <x:c r="C87" s="10" t="str">
        <x:v>账号与登录</x:v>
      </x:c>
      <x:c r="D87" s="10" t="str">
        <x:v>邮箱登录（用户）</x:v>
      </x:c>
      <x:c r="E87" s="10" t="str">
        <x:v>功能需求</x:v>
      </x:c>
      <x:c r="F87" s="10" t="str">
        <x:v>P1</x:v>
      </x:c>
      <x:c r="G87" s="9" t="str">
        <x:v>验证邮箱验证码输入 7 位</x:v>
      </x:c>
      <x:c r="H87" s="9" t="str">
        <x:v>验证码长度</x:v>
      </x:c>
      <x:c r="I87" s="9" t="str">
        <x:v>1. 用户为本条执行者
2. 测试账号甲的邮箱为 qa.test@example.com；当前协议已勾选
3. 有效测试验证码为 123456，获取后未超过 5 分钟</x:v>
      </x:c>
      <x:c r="J87" s="9" t="str">
        <x:v>1. 打开邮箱登录
2. 填写邮箱 qa.test@example.com
3. 输入验证码 1111111</x:v>
      </x:c>
      <x:c r="K87" s="9" t="str">
        <x:v>继续按钮不可用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 1415 行；REQ-6093735e3bc3、第 1417 行；REQ-76e9f678da24、第 1419 行；REQ-73f4f8991460、第 1420 行；REQ-b92d5c7ef6a0、第 1421 行；REQ-6369e820dcd5、第 1412 行
2. 规则：BR-1F949637F72150
3. 未动态验证
4. 示例账号、编号、金额与日期是本条测试数据；执行前按前置条件准备，未填写的产品决策不得自行假定。</x:v>
      </x:c>
    </x:row>
    <x:row r="88" ht="130" customHeight="1">
      <x:c r="A88" s="10" t="n">
        <x:v>87</x:v>
      </x:c>
      <x:c r="B88" s="10" t="str">
        <x:v>USER-0087</x:v>
      </x:c>
      <x:c r="C88" s="10" t="str">
        <x:v>账号与登录</x:v>
      </x:c>
      <x:c r="D88" s="10" t="str">
        <x:v>邮箱登录（用户）</x:v>
      </x:c>
      <x:c r="E88" s="10" t="str">
        <x:v>功能需求</x:v>
      </x:c>
      <x:c r="F88" s="10" t="str">
        <x:v>P1</x:v>
      </x:c>
      <x:c r="G88" s="9" t="str">
        <x:v>验证邮箱验证码发送后 59 秒再次获取</x:v>
      </x:c>
      <x:c r="H88" s="9" t="str">
        <x:v>重新发送等待时间</x:v>
      </x:c>
      <x:c r="I88" s="9" t="str">
        <x:v>1. 用户为本条执行者
2. 测试账号甲的邮箱为 qa.test@example.com；当前协议已勾选
3. 测试联系方式可接收验证码</x:v>
      </x:c>
      <x:c r="J88" s="9" t="str">
        <x:v>1. 打开邮箱登录
2. 填写邮箱 qa.test@example.com
3. 点击获取验证码
4. 在倒计时开始后第 59 秒查看获取验证码按钮</x:v>
      </x:c>
      <x:c r="K88" s="9" t="str">
        <x:v>获取验证码按钮不可用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 1419 行；REQ-73f4f8991460、第 1412 行
2. 规则：BR-E542424AD4B244
3. 未动态验证
4. 示例账号、编号、金额与日期是本条测试数据；执行前按前置条件准备，未填写的产品决策不得自行假定。</x:v>
      </x:c>
    </x:row>
    <x:row r="89" ht="130" customHeight="1">
      <x:c r="A89" s="10" t="n">
        <x:v>88</x:v>
      </x:c>
      <x:c r="B89" s="10" t="str">
        <x:v>USER-0088</x:v>
      </x:c>
      <x:c r="C89" s="10" t="str">
        <x:v>账号与登录</x:v>
      </x:c>
      <x:c r="D89" s="10" t="str">
        <x:v>邮箱登录（用户）</x:v>
      </x:c>
      <x:c r="E89" s="10" t="str">
        <x:v>功能需求</x:v>
      </x:c>
      <x:c r="F89" s="10" t="str">
        <x:v>P1</x:v>
      </x:c>
      <x:c r="G89" s="9" t="str">
        <x:v>验证邮箱验证码发送后 60 秒再次获取</x:v>
      </x:c>
      <x:c r="H89" s="9" t="str">
        <x:v>重新发送等待时间</x:v>
      </x:c>
      <x:c r="I89" s="9" t="str">
        <x:v>1. 用户为本条执行者
2. 测试账号甲的邮箱为 qa.test@example.com；当前协议已勾选
3. 测试联系方式可接收验证码</x:v>
      </x:c>
      <x:c r="J89" s="9" t="str">
        <x:v>1. 打开邮箱登录
2. 填写邮箱 qa.test@example.com
3. 点击获取验证码
4. 在倒计时开始后第 60 秒查看获取验证码按钮</x:v>
      </x:c>
      <x:c r="K89" s="9" t="str">
        <x:v>获取验证码按钮可用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 1419 行；REQ-73f4f8991460、第 1412 行
2. 规则：BR-8C13FA26477293
3. 未动态验证
4. 示例账号、编号、金额与日期是本条测试数据；执行前按前置条件准备，未填写的产品决策不得自行假定。</x:v>
      </x:c>
    </x:row>
    <x:row r="90" ht="175" customHeight="1">
      <x:c r="A90" s="10" t="n">
        <x:v>89</x:v>
      </x:c>
      <x:c r="B90" s="10" t="str">
        <x:v>USER-0089</x:v>
      </x:c>
      <x:c r="C90" s="10" t="str">
        <x:v>账号与登录</x:v>
      </x:c>
      <x:c r="D90" s="10" t="str">
        <x:v>邮箱登录（用户）</x:v>
      </x:c>
      <x:c r="E90" s="10" t="str">
        <x:v>功能需求</x:v>
      </x:c>
      <x:c r="F90" s="10" t="str">
        <x:v>P1</x:v>
      </x:c>
      <x:c r="G90" s="9" t="str">
        <x:v>验证邮箱验证码生成后 299 秒登录</x:v>
      </x:c>
      <x:c r="H90" s="9" t="str">
        <x:v>验证码有效期</x:v>
      </x:c>
      <x:c r="I90" s="9" t="str">
        <x:v>1. 用户为本条执行者
2. 测试账号甲的邮箱为 qa.test@example.com；当前协议已勾选
3. 有效验证码为 123456，生成时间距本次提交 299 秒，尚未错误使用</x:v>
      </x:c>
      <x:c r="J90" s="9" t="str">
        <x:v>1. 打开邮箱登录
2. 填写邮箱 qa.test@example.com
3. 输入验证码 123456
4. 点击继续</x:v>
      </x:c>
      <x:c r="K90" s="9" t="str">
        <x:v>进入首页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 1415 行；REQ-6093735e3bc3、第 1417 行；REQ-76e9f678da24、第 1419 行；REQ-73f4f8991460、第 1420 行；REQ-b92d5c7ef6a0、第 1421 行；REQ-6369e820dcd5、第 1412 行
2. 规则：BR-633D80FFB80758
3. 未动态验证
4. 示例账号、编号、金额与日期是本条测试数据；执行前按前置条件准备，未填写的产品决策不得自行假定。</x:v>
      </x:c>
    </x:row>
    <x:row r="91" ht="175" customHeight="1">
      <x:c r="A91" s="10" t="n">
        <x:v>90</x:v>
      </x:c>
      <x:c r="B91" s="10" t="str">
        <x:v>USER-0090</x:v>
      </x:c>
      <x:c r="C91" s="10" t="str">
        <x:v>账号与登录</x:v>
      </x:c>
      <x:c r="D91" s="10" t="str">
        <x:v>邮箱登录（用户）</x:v>
      </x:c>
      <x:c r="E91" s="10" t="str">
        <x:v>功能需求</x:v>
      </x:c>
      <x:c r="F91" s="10" t="str">
        <x:v>P1</x:v>
      </x:c>
      <x:c r="G91" s="9" t="str">
        <x:v>验证邮箱验证码生成后 301 秒登录</x:v>
      </x:c>
      <x:c r="H91" s="9" t="str">
        <x:v>验证码有效期</x:v>
      </x:c>
      <x:c r="I91" s="9" t="str">
        <x:v>1. 用户为本条执行者
2. 测试账号甲的邮箱为 qa.test@example.com；当前协议已勾选
3. 有效验证码为 123456，生成时间距本次提交 301 秒，尚未错误使用</x:v>
      </x:c>
      <x:c r="J91" s="9" t="str">
        <x:v>1. 打开邮箱登录
2. 填写邮箱 qa.test@example.com
3. 输入验证码 123456
4. 点击继续</x:v>
      </x:c>
      <x:c r="K91" s="9" t="str">
        <x:v>未进入首页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 1415 行；REQ-6093735e3bc3、第 1417 行；REQ-76e9f678da24、第 1419 行；REQ-73f4f8991460、第 1420 行；REQ-b92d5c7ef6a0、第 1421 行；REQ-6369e820dcd5、第 1412 行
2. 规则：BR-E2EC1B8F3CD9EA
3. 未动态验证
4. 示例账号、编号、金额与日期是本条测试数据；执行前按前置条件准备，未填写的产品决策不得自行假定。</x:v>
      </x:c>
    </x:row>
    <x:row r="92" ht="130" customHeight="1">
      <x:c r="A92" s="10" t="n">
        <x:v>91</x:v>
      </x:c>
      <x:c r="B92" s="10" t="str">
        <x:v>USER-0091</x:v>
      </x:c>
      <x:c r="C92" s="10" t="str">
        <x:v>账号与登录</x:v>
      </x:c>
      <x:c r="D92" s="10" t="str">
        <x:v>邮箱登录（用户）</x:v>
      </x:c>
      <x:c r="E92" s="10" t="str">
        <x:v>功能需求</x:v>
      </x:c>
      <x:c r="F92" s="10" t="str">
        <x:v>P1</x:v>
      </x:c>
      <x:c r="G92" s="9" t="str">
        <x:v>验证邮箱验证码连续错误五次后失效</x:v>
      </x:c>
      <x:c r="H92" s="9" t="str">
        <x:v>错误次数上限</x:v>
      </x:c>
      <x:c r="I92" s="9" t="str">
        <x:v>1. 用户为本条执行者
2. 测试账号甲的邮箱为 qa.test@example.com；当前协议已勾选
3. 当前验证码 123456 尚在有效期，已连续输入错误验证码四次</x:v>
      </x:c>
      <x:c r="J92" s="9" t="str">
        <x:v>1. 打开邮箱登录
2. 填写邮箱 qa.test@example.com
3. 输入错误验证码 654321
4. 点击继续
5. 改为输入验证码 123456
6. 点击继续</x:v>
      </x:c>
      <x:c r="K92" s="9" t="str">
        <x:v>未进入首页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 1415 行；REQ-6093735e3bc3、第 1412 行
2. 规则：BR-98AE379049B480
3. 未动态验证
4. 示例账号、编号、金额与日期是本条测试数据；执行前按前置条件准备，未填写的产品决策不得自行假定。</x:v>
      </x:c>
    </x:row>
    <x:row r="93" ht="130" customHeight="1">
      <x:c r="A93" s="10" t="n">
        <x:v>92</x:v>
      </x:c>
      <x:c r="B93" s="10" t="str">
        <x:v>USER-0092</x:v>
      </x:c>
      <x:c r="C93" s="10" t="str">
        <x:v>账号与登录</x:v>
      </x:c>
      <x:c r="D93" s="10" t="str">
        <x:v>邮箱登录（用户）</x:v>
      </x:c>
      <x:c r="E93" s="10" t="str">
        <x:v>功能需求</x:v>
      </x:c>
      <x:c r="F93" s="10" t="str">
        <x:v>P1</x:v>
      </x:c>
      <x:c r="G93" s="9" t="str">
        <x:v>验证切换到密码登录</x:v>
      </x:c>
      <x:c r="H93" s="9" t="str">
        <x:v>登录方式切换</x:v>
      </x:c>
      <x:c r="I93" s="9" t="str">
        <x:v>1. 用户为本条执行者
2. 测试账号甲的邮箱为 qa.test@example.com；当前协议已勾选</x:v>
      </x:c>
      <x:c r="J93" s="9" t="str">
        <x:v>1. 打开邮箱登录
2. 点击使用密码登录</x:v>
      </x:c>
      <x:c r="K93" s="9" t="str">
        <x:v>显示密码登录表单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 1421 行；REQ-6369e820dcd5、第 1412 行
2. 规则：BR-C4D55D136A56D3
3. 未动态验证
4. 示例账号、编号、金额与日期是本条测试数据；执行前按前置条件准备，未填写的产品决策不得自行假定。</x:v>
      </x:c>
    </x:row>
    <x:row r="94" ht="130" customHeight="1">
      <x:c r="A94" s="10" t="n">
        <x:v>93</x:v>
      </x:c>
      <x:c r="B94" s="10" t="str">
        <x:v>USER-0093</x:v>
      </x:c>
      <x:c r="C94" s="10" t="str">
        <x:v>账号与登录</x:v>
      </x:c>
      <x:c r="D94" s="10" t="str">
        <x:v>邮箱登录（用户）</x:v>
      </x:c>
      <x:c r="E94" s="10" t="str">
        <x:v>功能需求</x:v>
      </x:c>
      <x:c r="F94" s="10" t="str">
        <x:v>P1</x:v>
      </x:c>
      <x:c r="G94" s="9" t="str">
        <x:v>验证切换到邮箱验证码登录</x:v>
      </x:c>
      <x:c r="H94" s="9" t="str">
        <x:v>登录方式切换</x:v>
      </x:c>
      <x:c r="I94" s="9" t="str">
        <x:v>1. 用户为本条执行者
2. 测试账号甲的邮箱为 qa.test@example.com；当前协议已勾选</x:v>
      </x:c>
      <x:c r="J94" s="9" t="str">
        <x:v>1. 打开邮箱登录
2. 点击使用邮箱验证码登录</x:v>
      </x:c>
      <x:c r="K94" s="9" t="str">
        <x:v>显示邮箱验证码登录表单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 1421 行；REQ-6369e820dcd5、第 1412 行
2. 规则：BR-F4E5D1FA6C085A
3. 未动态验证
4. 示例账号、编号、金额与日期是本条测试数据；执行前按前置条件准备，未填写的产品决策不得自行假定。</x:v>
      </x:c>
    </x:row>
    <x:row r="95" ht="145" customHeight="1">
      <x:c r="A95" s="10" t="n">
        <x:v>94</x:v>
      </x:c>
      <x:c r="B95" s="10" t="str">
        <x:v>USER-0094</x:v>
      </x:c>
      <x:c r="C95" s="10" t="str">
        <x:v>账号与登录</x:v>
      </x:c>
      <x:c r="D95" s="10" t="str">
        <x:v>邮箱登录（用户）</x:v>
      </x:c>
      <x:c r="E95" s="10" t="str">
        <x:v>功能需求</x:v>
      </x:c>
      <x:c r="F95" s="10" t="str">
        <x:v>P1</x:v>
      </x:c>
      <x:c r="G95" s="9" t="str">
        <x:v>验证邮箱账号凭证有效但处于注销冷静期</x:v>
      </x:c>
      <x:c r="H95" s="9" t="str">
        <x:v>冷静期登录分流</x:v>
      </x:c>
      <x:c r="I95" s="9" t="str">
        <x:v>1. 用户为本条执行者
2. 测试账号甲的邮箱为 qa.test@example.com；当前协议已勾选
3. 账号甲的注销申请尚在七日冷静期</x:v>
      </x:c>
      <x:c r="J95" s="9" t="str">
        <x:v>1. 打开邮箱登录
2. 填写邮箱 qa.test@example.com
3. 输入本次收到的六位验证码
4. 点击继续</x:v>
      </x:c>
      <x:c r="K95" s="9" t="str">
        <x:v>登录与注册页显示注销冷静期弹窗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 1418 行；REQ-23a6b59cab38、第 1422 行；REQ-a2908a770369、第 1412 行
2. 规则：BR-ABC7E0F481E278
3. 未动态验证
4. 示例账号、编号、金额与日期是本条测试数据；执行前按前置条件准备，未填写的产品决策不得自行假定。</x:v>
      </x:c>
    </x:row>
    <x:row r="96" ht="190" customHeight="1">
      <x:c r="A96" s="10" t="n">
        <x:v>95</x:v>
      </x:c>
      <x:c r="B96" s="10" t="str">
        <x:v>USER-0095</x:v>
      </x:c>
      <x:c r="C96" s="10" t="str">
        <x:v>账号与登录</x:v>
      </x:c>
      <x:c r="D96" s="10" t="str">
        <x:v>邮箱登录（用户）</x:v>
      </x:c>
      <x:c r="E96" s="10" t="str">
        <x:v>功能需求</x:v>
      </x:c>
      <x:c r="F96" s="10" t="str">
        <x:v>P1</x:v>
      </x:c>
      <x:c r="G96" s="9" t="str">
        <x:v>验证邮箱格式输入空值</x:v>
      </x:c>
      <x:c r="H96" s="9" t="str">
        <x:v>邮箱地址格式</x:v>
      </x:c>
      <x:c r="I96" s="9" t="str">
        <x:v>1. 用户为本条执行者
2. 协议已勾选</x:v>
      </x:c>
      <x:c r="J96" s="9" t="str">
        <x:v>1. 打开邮箱登录
2. 输入邮箱“”
3. 点击获取验证码</x:v>
      </x:c>
      <x:c r="K96" s="9" t="str">
        <x:v>未进入验证码发送倒计时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 1414 行；REQ-830b83c03a0b、第 1415 行；REQ-6093735e3bc3、第 1417 行；REQ-76e9f678da24、第 1419 行；REQ-73f4f8991460、第 1420 行；REQ-b92d5c7ef6a0、第 1421 行；REQ-6369e820dcd5、第 1412 行
2. 规则：BR-EE9B6C1A221263
3. 未动态验证
4. 示例账号、编号、金额与日期是本条测试数据；执行前按前置条件准备，未填写的产品决策不得自行假定。</x:v>
      </x:c>
    </x:row>
    <x:row r="97" ht="190" customHeight="1">
      <x:c r="A97" s="10" t="n">
        <x:v>96</x:v>
      </x:c>
      <x:c r="B97" s="10" t="str">
        <x:v>USER-0096</x:v>
      </x:c>
      <x:c r="C97" s="10" t="str">
        <x:v>账号与登录</x:v>
      </x:c>
      <x:c r="D97" s="10" t="str">
        <x:v>邮箱登录（用户）</x:v>
      </x:c>
      <x:c r="E97" s="10" t="str">
        <x:v>功能需求</x:v>
      </x:c>
      <x:c r="F97" s="10" t="str">
        <x:v>P1</x:v>
      </x:c>
      <x:c r="G97" s="9" t="str">
        <x:v>验证邮箱格式输入qatest</x:v>
      </x:c>
      <x:c r="H97" s="9" t="str">
        <x:v>邮箱地址格式</x:v>
      </x:c>
      <x:c r="I97" s="9" t="str">
        <x:v>1. 用户为本条执行者
2. 协议已勾选</x:v>
      </x:c>
      <x:c r="J97" s="9" t="str">
        <x:v>1. 打开邮箱登录
2. 输入邮箱“qatest”
3. 点击获取验证码</x:v>
      </x:c>
      <x:c r="K97" s="9" t="str">
        <x:v>未进入验证码发送倒计时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 1414 行；REQ-830b83c03a0b、第 1415 行；REQ-6093735e3bc3、第 1417 行；REQ-76e9f678da24、第 1419 行；REQ-73f4f8991460、第 1420 行；REQ-b92d5c7ef6a0、第 1421 行；REQ-6369e820dcd5、第 1412 行
2. 规则：BR-DBDCF22C596EAD
3. 未动态验证
4. 示例账号、编号、金额与日期是本条测试数据；执行前按前置条件准备，未填写的产品决策不得自行假定。</x:v>
      </x:c>
    </x:row>
    <x:row r="98" ht="190" customHeight="1">
      <x:c r="A98" s="10" t="n">
        <x:v>97</x:v>
      </x:c>
      <x:c r="B98" s="10" t="str">
        <x:v>USER-0097</x:v>
      </x:c>
      <x:c r="C98" s="10" t="str">
        <x:v>账号与登录</x:v>
      </x:c>
      <x:c r="D98" s="10" t="str">
        <x:v>邮箱登录（用户）</x:v>
      </x:c>
      <x:c r="E98" s="10" t="str">
        <x:v>功能需求</x:v>
      </x:c>
      <x:c r="F98" s="10" t="str">
        <x:v>P1</x:v>
      </x:c>
      <x:c r="G98" s="9" t="str">
        <x:v>验证邮箱格式输入qatest@</x:v>
      </x:c>
      <x:c r="H98" s="9" t="str">
        <x:v>邮箱地址格式</x:v>
      </x:c>
      <x:c r="I98" s="9" t="str">
        <x:v>1. 用户为本条执行者
2. 协议已勾选</x:v>
      </x:c>
      <x:c r="J98" s="9" t="str">
        <x:v>1. 打开邮箱登录
2. 输入邮箱“qatest@”
3. 点击获取验证码</x:v>
      </x:c>
      <x:c r="K98" s="9" t="str">
        <x:v>未进入验证码发送倒计时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 1414 行；REQ-830b83c03a0b、第 1415 行；REQ-6093735e3bc3、第 1417 行；REQ-76e9f678da24、第 1419 行；REQ-73f4f8991460、第 1420 行；REQ-b92d5c7ef6a0、第 1421 行；REQ-6369e820dcd5、第 1412 行
2. 规则：BR-5FB4F9E18D29F5
3. 未动态验证
4. 示例账号、编号、金额与日期是本条测试数据；执行前按前置条件准备，未填写的产品决策不得自行假定。</x:v>
      </x:c>
    </x:row>
    <x:row r="99" ht="190" customHeight="1">
      <x:c r="A99" s="10" t="n">
        <x:v>98</x:v>
      </x:c>
      <x:c r="B99" s="10" t="str">
        <x:v>USER-0098</x:v>
      </x:c>
      <x:c r="C99" s="10" t="str">
        <x:v>账号与登录</x:v>
      </x:c>
      <x:c r="D99" s="10" t="str">
        <x:v>邮箱登录（用户）</x:v>
      </x:c>
      <x:c r="E99" s="10" t="str">
        <x:v>功能需求</x:v>
      </x:c>
      <x:c r="F99" s="10" t="str">
        <x:v>P1</x:v>
      </x:c>
      <x:c r="G99" s="9" t="str">
        <x:v>验证邮箱格式输入qa.test@example.com</x:v>
      </x:c>
      <x:c r="H99" s="9" t="str">
        <x:v>邮箱地址格式</x:v>
      </x:c>
      <x:c r="I99" s="9" t="str">
        <x:v>1. 用户为本条执行者
2. 协议已勾选</x:v>
      </x:c>
      <x:c r="J99" s="9" t="str">
        <x:v>1. 打开邮箱登录
2. 输入邮箱“qa.test@example.com”
3. 点击获取验证码</x:v>
      </x:c>
      <x:c r="K99" s="9" t="str">
        <x:v>获取验证码按钮进入 60 秒倒计时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 1414 行；REQ-830b83c03a0b、第 1415 行；REQ-6093735e3bc3、第 1417 行；REQ-76e9f678da24、第 1419 行；REQ-73f4f8991460、第 1420 行；REQ-b92d5c7ef6a0、第 1421 行；REQ-6369e820dcd5、第 1412 行
2. 规则：BR-3EFDB143445526
3. 未动态验证
4. 示例账号、编号、金额与日期是本条测试数据；执行前按前置条件准备，未填写的产品决策不得自行假定。</x:v>
      </x:c>
    </x:row>
    <x:row r="100" ht="175" customHeight="1">
      <x:c r="A100" s="10" t="n">
        <x:v>99</x:v>
      </x:c>
      <x:c r="B100" s="10" t="str">
        <x:v>USER-0099</x:v>
      </x:c>
      <x:c r="C100" s="10" t="str">
        <x:v>账号与登录</x:v>
      </x:c>
      <x:c r="D100" s="10" t="str">
        <x:v>资料补全（用户）</x:v>
      </x:c>
      <x:c r="E100" s="10" t="str">
        <x:v>功能需求</x:v>
      </x:c>
      <x:c r="F100" s="10" t="str">
        <x:v>P1</x:v>
      </x:c>
      <x:c r="G100" s="9" t="str">
        <x:v>验证首次资料补全跳过</x:v>
      </x:c>
      <x:c r="H100" s="9" t="str">
        <x:v>跳过后的昵称</x:v>
      </x:c>
      <x:c r="I100" s="9" t="str">
        <x:v>1. 用户为本条执行者
2. 账号甲首次注册，系统默认昵称为用户9001，默认头像为头像甲</x:v>
      </x:c>
      <x:c r="J100" s="9" t="str">
        <x:v>1. 打开资料补全
2. 点击跳过</x:v>
      </x:c>
      <x:c r="K100" s="9" t="str">
        <x:v>首页中的账号昵称仍为用户9001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 1376 行；REQ-4fbd7f2670b0、第 1377 行；REQ-01f0e1f8b741、第 1378 行；REQ-52eaf2e65674、第 1380 行；REQ-92108788a9ad、第 1374 行
2. 规则：BR-9535CFB6F579EA
3. 未动态验证
4. 示例账号、编号、金额与日期是本条测试数据；执行前按前置条件准备，未填写的产品决策不得自行假定。</x:v>
      </x:c>
    </x:row>
    <x:row r="101" ht="175" customHeight="1">
      <x:c r="A101" s="10" t="n">
        <x:v>100</x:v>
      </x:c>
      <x:c r="B101" s="10" t="str">
        <x:v>USER-0100</x:v>
      </x:c>
      <x:c r="C101" s="10" t="str">
        <x:v>账号与登录</x:v>
      </x:c>
      <x:c r="D101" s="10" t="str">
        <x:v>资料补全（用户）</x:v>
      </x:c>
      <x:c r="E101" s="10" t="str">
        <x:v>功能需求</x:v>
      </x:c>
      <x:c r="F101" s="10" t="str">
        <x:v>P1</x:v>
      </x:c>
      <x:c r="G101" s="9" t="str">
        <x:v>验证首次资料补全跳过</x:v>
      </x:c>
      <x:c r="H101" s="9" t="str">
        <x:v>跳过后的头像</x:v>
      </x:c>
      <x:c r="I101" s="9" t="str">
        <x:v>1. 用户为本条执行者
2. 账号甲首次注册，系统默认昵称为用户9001，默认头像为头像甲</x:v>
      </x:c>
      <x:c r="J101" s="9" t="str">
        <x:v>1. 打开资料补全
2. 点击跳过</x:v>
      </x:c>
      <x:c r="K101" s="9" t="str">
        <x:v>账号头像仍为头像甲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 1376 行；REQ-4fbd7f2670b0、第 1377 行；REQ-01f0e1f8b741、第 1378 行；REQ-52eaf2e65674、第 1380 行；REQ-92108788a9ad、第 1374 行
2. 规则：BR-733CEADB575216
3. 未动态验证
4. 示例账号、编号、金额与日期是本条测试数据；执行前按前置条件准备，未填写的产品决策不得自行假定。</x:v>
      </x:c>
    </x:row>
    <x:row r="102" ht="160" customHeight="1">
      <x:c r="A102" s="10" t="n">
        <x:v>101</x:v>
      </x:c>
      <x:c r="B102" s="10" t="str">
        <x:v>USER-0101</x:v>
      </x:c>
      <x:c r="C102" s="10" t="str">
        <x:v>账号与登录</x:v>
      </x:c>
      <x:c r="D102" s="10" t="str">
        <x:v>资料补全（用户）</x:v>
      </x:c>
      <x:c r="E102" s="10" t="str">
        <x:v>功能需求</x:v>
      </x:c>
      <x:c r="F102" s="10" t="str">
        <x:v>P1</x:v>
      </x:c>
      <x:c r="G102" s="9" t="str">
        <x:v>验证补全昵称为 0 个字符</x:v>
      </x:c>
      <x:c r="H102" s="9" t="str">
        <x:v>补全昵称长度</x:v>
      </x:c>
      <x:c r="I102" s="9" t="str">
        <x:v>1. 用户为本条执行者
2. 账号甲首次注册，系统默认昵称为用户9001，默认头像为头像甲</x:v>
      </x:c>
      <x:c r="J102" s="9" t="str">
        <x:v>1. 打开资料补全
2. 清空昵称
3. 点击保存</x:v>
      </x:c>
      <x:c r="K102" s="9" t="str">
        <x:v>未保存该昵称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 1377 行；REQ-01f0e1f8b741、第 1378 行；REQ-52eaf2e65674、第 1379 行；REQ-aa7f3f33dfc4、第 1374 行
2. 规则：BR-C72FE36C12D611
3. 未动态验证
4. 示例账号、编号、金额与日期是本条测试数据；执行前按前置条件准备，未填写的产品决策不得自行假定。</x:v>
      </x:c>
    </x:row>
    <x:row r="103" ht="160" customHeight="1">
      <x:c r="A103" s="10" t="n">
        <x:v>102</x:v>
      </x:c>
      <x:c r="B103" s="10" t="str">
        <x:v>USER-0102</x:v>
      </x:c>
      <x:c r="C103" s="10" t="str">
        <x:v>账号与登录</x:v>
      </x:c>
      <x:c r="D103" s="10" t="str">
        <x:v>资料补全（用户）</x:v>
      </x:c>
      <x:c r="E103" s="10" t="str">
        <x:v>功能需求</x:v>
      </x:c>
      <x:c r="F103" s="10" t="str">
        <x:v>P1</x:v>
      </x:c>
      <x:c r="G103" s="9" t="str">
        <x:v>验证补全昵称为 1 个字符</x:v>
      </x:c>
      <x:c r="H103" s="9" t="str">
        <x:v>补全昵称长度</x:v>
      </x:c>
      <x:c r="I103" s="9" t="str">
        <x:v>1. 用户为本条执行者
2. 账号甲首次注册，系统默认昵称为用户9001，默认头像为头像甲</x:v>
      </x:c>
      <x:c r="J103" s="9" t="str">
        <x:v>1. 打开资料补全
2. 输入由 1 个“测”组成的昵称
3. 点击保存</x:v>
      </x:c>
      <x:c r="K103" s="9" t="str">
        <x:v>账号昵称保存为 1 个“测”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 1377 行；REQ-01f0e1f8b741、第 1378 行；REQ-52eaf2e65674、第 1379 行；REQ-aa7f3f33dfc4、第 1374 行
2. 规则：BR-98AA4645B5F176
3. 未动态验证
4. 示例账号、编号、金额与日期是本条测试数据；执行前按前置条件准备，未填写的产品决策不得自行假定。</x:v>
      </x:c>
    </x:row>
    <x:row r="104" ht="160" customHeight="1">
      <x:c r="A104" s="10" t="n">
        <x:v>103</x:v>
      </x:c>
      <x:c r="B104" s="10" t="str">
        <x:v>USER-0103</x:v>
      </x:c>
      <x:c r="C104" s="10" t="str">
        <x:v>账号与登录</x:v>
      </x:c>
      <x:c r="D104" s="10" t="str">
        <x:v>资料补全（用户）</x:v>
      </x:c>
      <x:c r="E104" s="10" t="str">
        <x:v>功能需求</x:v>
      </x:c>
      <x:c r="F104" s="10" t="str">
        <x:v>P1</x:v>
      </x:c>
      <x:c r="G104" s="9" t="str">
        <x:v>验证补全昵称为 20 个字符</x:v>
      </x:c>
      <x:c r="H104" s="9" t="str">
        <x:v>补全昵称长度</x:v>
      </x:c>
      <x:c r="I104" s="9" t="str">
        <x:v>1. 用户为本条执行者
2. 账号甲首次注册，系统默认昵称为用户9001，默认头像为头像甲</x:v>
      </x:c>
      <x:c r="J104" s="9" t="str">
        <x:v>1. 打开资料补全
2. 输入由 20 个“测”组成的昵称
3. 点击保存</x:v>
      </x:c>
      <x:c r="K104" s="9" t="str">
        <x:v>账号昵称保存为 20 个“测”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 1377 行；REQ-01f0e1f8b741、第 1378 行；REQ-52eaf2e65674、第 1379 行；REQ-aa7f3f33dfc4、第 1374 行
2. 规则：BR-602A9618D621B1
3. 未动态验证
4. 示例账号、编号、金额与日期是本条测试数据；执行前按前置条件准备，未填写的产品决策不得自行假定。</x:v>
      </x:c>
    </x:row>
    <x:row r="105" ht="160" customHeight="1">
      <x:c r="A105" s="10" t="n">
        <x:v>104</x:v>
      </x:c>
      <x:c r="B105" s="10" t="str">
        <x:v>USER-0104</x:v>
      </x:c>
      <x:c r="C105" s="10" t="str">
        <x:v>账号与登录</x:v>
      </x:c>
      <x:c r="D105" s="10" t="str">
        <x:v>资料补全（用户）</x:v>
      </x:c>
      <x:c r="E105" s="10" t="str">
        <x:v>功能需求</x:v>
      </x:c>
      <x:c r="F105" s="10" t="str">
        <x:v>P1</x:v>
      </x:c>
      <x:c r="G105" s="9" t="str">
        <x:v>验证补全昵称为 21 个字符</x:v>
      </x:c>
      <x:c r="H105" s="9" t="str">
        <x:v>补全昵称长度</x:v>
      </x:c>
      <x:c r="I105" s="9" t="str">
        <x:v>1. 用户为本条执行者
2. 账号甲首次注册，系统默认昵称为用户9001，默认头像为头像甲</x:v>
      </x:c>
      <x:c r="J105" s="9" t="str">
        <x:v>1. 打开资料补全
2. 输入由 21 个“测”组成的昵称
3. 点击保存</x:v>
      </x:c>
      <x:c r="K105" s="9" t="str">
        <x:v>未保存该昵称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 1377 行；REQ-01f0e1f8b741、第 1378 行；REQ-52eaf2e65674、第 1379 行；REQ-aa7f3f33dfc4、第 1374 行
2. 规则：BR-1741BEFCA92CF0
3. 未动态验证
4. 示例账号、编号、金额与日期是本条测试数据；执行前按前置条件准备，未填写的产品决策不得自行假定。</x:v>
      </x:c>
    </x:row>
    <x:row r="106" ht="190" customHeight="1">
      <x:c r="A106" s="10" t="n">
        <x:v>105</x:v>
      </x:c>
      <x:c r="B106" s="10" t="str">
        <x:v>USER-0105</x:v>
      </x:c>
      <x:c r="C106" s="10" t="str">
        <x:v>个人中心</x:v>
      </x:c>
      <x:c r="D106" s="10" t="str">
        <x:v>资料编辑（用户）</x:v>
      </x:c>
      <x:c r="E106" s="10" t="str">
        <x:v>功能需求</x:v>
      </x:c>
      <x:c r="F106" s="10" t="str">
        <x:v>P2</x:v>
      </x:c>
      <x:c r="G106" s="9" t="str">
        <x:v>验证昵称输入 19 个字符</x:v>
      </x:c>
      <x:c r="H106" s="9" t="str">
        <x:v>昵称长度上界</x:v>
      </x:c>
      <x:c r="I106" s="9" t="str">
        <x:v>1. 用户为本条执行者
2. 用户甲当前昵称为旧昵称，头像为头像甲，已有背景图背景甲</x:v>
      </x:c>
      <x:c r="J106" s="9" t="str">
        <x:v>1. 打开资料编辑
2. 输入由 19 个“测”组成的昵称</x:v>
      </x:c>
      <x:c r="K106" s="9" t="str">
        <x:v>昵称输入框保留 19 个“测”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 1430 行；REQ-41075150ffa5、第 1435 行；REQ-7e0f389ab1db、第 1436 行；REQ-8ab770457b43、第 1437 行；REQ-8a531c0c3ed1、第 1438 行；REQ-5aba1b5144e9、第 1439 行；REQ-cdf78baeafcf、第 1425 行
2. 规则：BR-3F119A4269A30C
3. 未动态验证
4. 示例账号、编号、金额与日期是本条测试数据；执行前按前置条件准备，未填写的产品决策不得自行假定。</x:v>
      </x:c>
    </x:row>
    <x:row r="107" ht="190" customHeight="1">
      <x:c r="A107" s="10" t="n">
        <x:v>106</x:v>
      </x:c>
      <x:c r="B107" s="10" t="str">
        <x:v>USER-0106</x:v>
      </x:c>
      <x:c r="C107" s="10" t="str">
        <x:v>个人中心</x:v>
      </x:c>
      <x:c r="D107" s="10" t="str">
        <x:v>资料编辑（用户）</x:v>
      </x:c>
      <x:c r="E107" s="10" t="str">
        <x:v>功能需求</x:v>
      </x:c>
      <x:c r="F107" s="10" t="str">
        <x:v>P2</x:v>
      </x:c>
      <x:c r="G107" s="9" t="str">
        <x:v>验证昵称输入 20 个字符</x:v>
      </x:c>
      <x:c r="H107" s="9" t="str">
        <x:v>昵称长度上界</x:v>
      </x:c>
      <x:c r="I107" s="9" t="str">
        <x:v>1. 用户为本条执行者
2. 用户甲当前昵称为旧昵称，头像为头像甲，已有背景图背景甲</x:v>
      </x:c>
      <x:c r="J107" s="9" t="str">
        <x:v>1. 打开资料编辑
2. 输入由 20 个“测”组成的昵称</x:v>
      </x:c>
      <x:c r="K107" s="9" t="str">
        <x:v>昵称输入框保留 20 个“测”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来源（当前证据）：liveshow-proto/MainBasis/统一需求文档.md；位置：第 1430 行；REQ-41075150ffa5、第 1435 行；REQ-7e0f389ab1db、第 1436 行；REQ-8ab770457b43、第 1437 行；REQ-8a531c0c3ed1、第 1438 行；REQ-5aba1b5144e9、第 1439 行；REQ-cdf78baeafcf、第 1425 行
2. 规则：BR-0F25B907DF11E0
3. 未动态验证
4. 示例账号、编号、金额与日期是本条测试数据；执行前按前置条件准备，未填写的产品决策不得自行假定。</x:v>
      </x:c>
    </x:row>
    <x:row r="108" ht="190" customHeight="1">
      <x:c r="A108" s="10" t="n">
        <x:v>107</x:v>
      </x:c>
      <x:c r="B108" s="10" t="str">
        <x:v>USER-0107</x:v>
      </x:c>
      <x:c r="C108" s="10" t="str">
        <x:v>个人中心</x:v>
      </x:c>
      <x:c r="D108" s="10" t="str">
        <x:v>资料编辑（用户）</x:v>
      </x:c>
      <x:c r="E108" s="10" t="str">
        <x:v>功能需求</x:v>
      </x:c>
      <x:c r="F108" s="10" t="str">
        <x:v>P2</x:v>
      </x:c>
      <x:c r="G108" s="9" t="str">
        <x:v>验证昵称输入 21 个字符</x:v>
      </x:c>
      <x:c r="H108" s="9" t="str">
        <x:v>昵称长度上界</x:v>
      </x:c>
      <x:c r="I108" s="9" t="str">
        <x:v>1. 用户为本条执行者
2. 用户甲当前昵称为旧昵称，头像为头像甲，已有背景图背景甲</x:v>
      </x:c>
      <x:c r="J108" s="9" t="str">
        <x:v>1. 打开资料编辑
2. 输入由 21 个“测”组成的昵称</x:v>
      </x:c>
      <x:c r="K108" s="9" t="str">
        <x:v>昵称输入框保留 20 个“测”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来源（当前证据）：liveshow-proto/MainBasis/统一需求文档.md；位置：第 1430 行；REQ-41075150ffa5、第 1435 行；REQ-7e0f389ab1db、第 1436 行；REQ-8ab770457b43、第 1437 行；REQ-8a531c0c3ed1、第 1438 行；REQ-5aba1b5144e9、第 1439 行；REQ-cdf78baeafcf、第 1425 行
2. 规则：BR-CD4AA65E1A76BE
3. 未动态验证
4. 示例账号、编号、金额与日期是本条测试数据；执行前按前置条件准备，未填写的产品决策不得自行假定。</x:v>
      </x:c>
    </x:row>
    <x:row r="109" ht="145" customHeight="1">
      <x:c r="A109" s="10" t="n">
        <x:v>108</x:v>
      </x:c>
      <x:c r="B109" s="10" t="str">
        <x:v>USER-0108</x:v>
      </x:c>
      <x:c r="C109" s="10" t="str">
        <x:v>个人中心</x:v>
      </x:c>
      <x:c r="D109" s="10" t="str">
        <x:v>资料编辑（用户）</x:v>
      </x:c>
      <x:c r="E109" s="10" t="str">
        <x:v>功能需求</x:v>
      </x:c>
      <x:c r="F109" s="10" t="str">
        <x:v>P2</x:v>
      </x:c>
      <x:c r="G109" s="9" t="str">
        <x:v>验证签名输入 79 个字符</x:v>
      </x:c>
      <x:c r="H109" s="9" t="str">
        <x:v>签名长度上界</x:v>
      </x:c>
      <x:c r="I109" s="9" t="str">
        <x:v>1. 用户为本条执行者
2. 用户甲当前昵称为旧昵称，头像为头像甲，已有背景图背景甲</x:v>
      </x:c>
      <x:c r="J109" s="9" t="str">
        <x:v>1. 打开资料编辑
2. 输入由 79 个“测”组成的签名</x:v>
      </x:c>
      <x:c r="K109" s="9" t="str">
        <x:v>签名输入框保留 79 个“测”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 1431 行；REQ-4cae8cac1309、第 1436 行；REQ-8ab770457b43、第 1425 行
2. 规则：BR-761B8E85B4D4CB
3. 未动态验证
4. 示例账号、编号、金额与日期是本条测试数据；执行前按前置条件准备，未填写的产品决策不得自行假定。</x:v>
      </x:c>
    </x:row>
    <x:row r="110" ht="145" customHeight="1">
      <x:c r="A110" s="10" t="n">
        <x:v>109</x:v>
      </x:c>
      <x:c r="B110" s="10" t="str">
        <x:v>USER-0109</x:v>
      </x:c>
      <x:c r="C110" s="10" t="str">
        <x:v>个人中心</x:v>
      </x:c>
      <x:c r="D110" s="10" t="str">
        <x:v>资料编辑（用户）</x:v>
      </x:c>
      <x:c r="E110" s="10" t="str">
        <x:v>功能需求</x:v>
      </x:c>
      <x:c r="F110" s="10" t="str">
        <x:v>P2</x:v>
      </x:c>
      <x:c r="G110" s="9" t="str">
        <x:v>验证签名输入 80 个字符</x:v>
      </x:c>
      <x:c r="H110" s="9" t="str">
        <x:v>签名长度上界</x:v>
      </x:c>
      <x:c r="I110" s="9" t="str">
        <x:v>1. 用户为本条执行者
2. 用户甲当前昵称为旧昵称，头像为头像甲，已有背景图背景甲</x:v>
      </x:c>
      <x:c r="J110" s="9" t="str">
        <x:v>1. 打开资料编辑
2. 输入由 80 个“测”组成的签名</x:v>
      </x:c>
      <x:c r="K110" s="9" t="str">
        <x:v>签名输入框保留 80 个“测”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 1431 行；REQ-4cae8cac1309、第 1436 行；REQ-8ab770457b43、第 1425 行
2. 规则：BR-675C890589CCE1
3. 未动态验证
4. 示例账号、编号、金额与日期是本条测试数据；执行前按前置条件准备，未填写的产品决策不得自行假定。</x:v>
      </x:c>
    </x:row>
    <x:row r="111" ht="145" customHeight="1">
      <x:c r="A111" s="10" t="n">
        <x:v>110</x:v>
      </x:c>
      <x:c r="B111" s="10" t="str">
        <x:v>USER-0110</x:v>
      </x:c>
      <x:c r="C111" s="10" t="str">
        <x:v>个人中心</x:v>
      </x:c>
      <x:c r="D111" s="10" t="str">
        <x:v>资料编辑（用户）</x:v>
      </x:c>
      <x:c r="E111" s="10" t="str">
        <x:v>功能需求</x:v>
      </x:c>
      <x:c r="F111" s="10" t="str">
        <x:v>P2</x:v>
      </x:c>
      <x:c r="G111" s="9" t="str">
        <x:v>验证签名输入 81 个字符</x:v>
      </x:c>
      <x:c r="H111" s="9" t="str">
        <x:v>签名长度上界</x:v>
      </x:c>
      <x:c r="I111" s="9" t="str">
        <x:v>1. 用户为本条执行者
2. 用户甲当前昵称为旧昵称，头像为头像甲，已有背景图背景甲</x:v>
      </x:c>
      <x:c r="J111" s="9" t="str">
        <x:v>1. 打开资料编辑
2. 输入由 81 个“测”组成的签名</x:v>
      </x:c>
      <x:c r="K111" s="9" t="str">
        <x:v>签名输入框保留 80 个“测”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 1431 行；REQ-4cae8cac1309、第 1436 行；REQ-8ab770457b43、第 1425 行
2. 规则：BR-D68EC931628399
3. 未动态验证
4. 示例账号、编号、金额与日期是本条测试数据；执行前按前置条件准备，未填写的产品决策不得自行假定。</x:v>
      </x:c>
    </x:row>
    <x:row r="112" ht="145" customHeight="1">
      <x:c r="A112" s="10" t="n">
        <x:v>111</x:v>
      </x:c>
      <x:c r="B112" s="10" t="str">
        <x:v>USER-0111</x:v>
      </x:c>
      <x:c r="C112" s="10" t="str">
        <x:v>个人中心</x:v>
      </x:c>
      <x:c r="D112" s="10" t="str">
        <x:v>资料编辑（用户）</x:v>
      </x:c>
      <x:c r="E112" s="10" t="str">
        <x:v>功能需求</x:v>
      </x:c>
      <x:c r="F112" s="10" t="str">
        <x:v>P2</x:v>
      </x:c>
      <x:c r="G112" s="9" t="str">
        <x:v>验证地区输入 29 个字符</x:v>
      </x:c>
      <x:c r="H112" s="9" t="str">
        <x:v>地区长度上界</x:v>
      </x:c>
      <x:c r="I112" s="9" t="str">
        <x:v>1. 用户为本条执行者
2. 用户甲当前昵称为旧昵称，头像为头像甲，已有背景图背景甲</x:v>
      </x:c>
      <x:c r="J112" s="9" t="str">
        <x:v>1. 打开资料编辑
2. 输入由 29 个“测”组成的地区</x:v>
      </x:c>
      <x:c r="K112" s="9" t="str">
        <x:v>地区输入框保留 29 个“测”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 1433 行；REQ-9e1bd4a47438、第 1436 行；REQ-8ab770457b43、第 1425 行
2. 规则：BR-88F72798A4612A
3. 未动态验证
4. 示例账号、编号、金额与日期是本条测试数据；执行前按前置条件准备，未填写的产品决策不得自行假定。</x:v>
      </x:c>
    </x:row>
    <x:row r="113" ht="145" customHeight="1">
      <x:c r="A113" s="10" t="n">
        <x:v>112</x:v>
      </x:c>
      <x:c r="B113" s="10" t="str">
        <x:v>USER-0112</x:v>
      </x:c>
      <x:c r="C113" s="10" t="str">
        <x:v>个人中心</x:v>
      </x:c>
      <x:c r="D113" s="10" t="str">
        <x:v>资料编辑（用户）</x:v>
      </x:c>
      <x:c r="E113" s="10" t="str">
        <x:v>功能需求</x:v>
      </x:c>
      <x:c r="F113" s="10" t="str">
        <x:v>P2</x:v>
      </x:c>
      <x:c r="G113" s="9" t="str">
        <x:v>验证地区输入 30 个字符</x:v>
      </x:c>
      <x:c r="H113" s="9" t="str">
        <x:v>地区长度上界</x:v>
      </x:c>
      <x:c r="I113" s="9" t="str">
        <x:v>1. 用户为本条执行者
2. 用户甲当前昵称为旧昵称，头像为头像甲，已有背景图背景甲</x:v>
      </x:c>
      <x:c r="J113" s="9" t="str">
        <x:v>1. 打开资料编辑
2. 输入由 30 个“测”组成的地区</x:v>
      </x:c>
      <x:c r="K113" s="9" t="str">
        <x:v>地区输入框保留 30 个“测”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 1433 行；REQ-9e1bd4a47438、第 1436 行；REQ-8ab770457b43、第 1425 行
2. 规则：BR-309A2F3CFD2981
3. 未动态验证
4. 示例账号、编号、金额与日期是本条测试数据；执行前按前置条件准备，未填写的产品决策不得自行假定。</x:v>
      </x:c>
    </x:row>
    <x:row r="114" ht="145" customHeight="1">
      <x:c r="A114" s="10" t="n">
        <x:v>113</x:v>
      </x:c>
      <x:c r="B114" s="10" t="str">
        <x:v>USER-0113</x:v>
      </x:c>
      <x:c r="C114" s="10" t="str">
        <x:v>个人中心</x:v>
      </x:c>
      <x:c r="D114" s="10" t="str">
        <x:v>资料编辑（用户）</x:v>
      </x:c>
      <x:c r="E114" s="10" t="str">
        <x:v>功能需求</x:v>
      </x:c>
      <x:c r="F114" s="10" t="str">
        <x:v>P2</x:v>
      </x:c>
      <x:c r="G114" s="9" t="str">
        <x:v>验证地区输入 31 个字符</x:v>
      </x:c>
      <x:c r="H114" s="9" t="str">
        <x:v>地区长度上界</x:v>
      </x:c>
      <x:c r="I114" s="9" t="str">
        <x:v>1. 用户为本条执行者
2. 用户甲当前昵称为旧昵称，头像为头像甲，已有背景图背景甲</x:v>
      </x:c>
      <x:c r="J114" s="9" t="str">
        <x:v>1. 打开资料编辑
2. 输入由 31 个“测”组成的地区</x:v>
      </x:c>
      <x:c r="K114" s="9" t="str">
        <x:v>地区输入框保留 30 个“测”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 1433 行；REQ-9e1bd4a47438、第 1436 行；REQ-8ab770457b43、第 1425 行
2. 规则：BR-703C9EC83CE5A3
3. 未动态验证
4. 示例账号、编号、金额与日期是本条测试数据；执行前按前置条件准备，未填写的产品决策不得自行假定。</x:v>
      </x:c>
    </x:row>
    <x:row r="115" ht="130" customHeight="1">
      <x:c r="A115" s="10" t="n">
        <x:v>114</x:v>
      </x:c>
      <x:c r="B115" s="10" t="str">
        <x:v>USER-0114</x:v>
      </x:c>
      <x:c r="C115" s="10" t="str">
        <x:v>个人中心</x:v>
      </x:c>
      <x:c r="D115" s="10" t="str">
        <x:v>资料编辑（用户）</x:v>
      </x:c>
      <x:c r="E115" s="10" t="str">
        <x:v>异常用例</x:v>
      </x:c>
      <x:c r="F115" s="10" t="str">
        <x:v>P2</x:v>
      </x:c>
      <x:c r="G115" s="9" t="str">
        <x:v>验证昵称为空不能保存</x:v>
      </x:c>
      <x:c r="H115" s="9" t="str">
        <x:v>昵称必填性</x:v>
      </x:c>
      <x:c r="I115" s="9" t="str">
        <x:v>1. 用户为本条执行者
2. 用户甲当前昵称为旧昵称，头像为头像甲，已有背景图背景甲</x:v>
      </x:c>
      <x:c r="J115" s="9" t="str">
        <x:v>1. 打开资料编辑
2. 清空昵称</x:v>
      </x:c>
      <x:c r="K115" s="9" t="str">
        <x:v>保存按钮不可用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 1436 行；REQ-8ab770457b43、第 1425 行
2. 规则：BR-F58F35AE140A1F
3. 未动态验证
4. 示例账号、编号、金额与日期是本条测试数据；执行前按前置条件准备，未填写的产品决策不得自行假定。</x:v>
      </x:c>
    </x:row>
    <x:row r="116" ht="190" customHeight="1">
      <x:c r="A116" s="10" t="n">
        <x:v>115</x:v>
      </x:c>
      <x:c r="B116" s="10" t="str">
        <x:v>USER-0115</x:v>
      </x:c>
      <x:c r="C116" s="10" t="str">
        <x:v>个人中心</x:v>
      </x:c>
      <x:c r="D116" s="10" t="str">
        <x:v>资料编辑（用户）</x:v>
      </x:c>
      <x:c r="E116" s="10" t="str">
        <x:v>功能需求</x:v>
      </x:c>
      <x:c r="F116" s="10" t="str">
        <x:v>P2</x:v>
      </x:c>
      <x:c r="G116" s="9" t="str">
        <x:v>验证昵称保存遇到通过</x:v>
      </x:c>
      <x:c r="H116" s="9" t="str">
        <x:v>昵称合规保存结果</x:v>
      </x:c>
      <x:c r="I116" s="9" t="str">
        <x:v>1. 用户为本条执行者
2. 用户甲当前昵称为旧昵称，头像为头像甲，已有背景图背景甲
3. 测试环境资料合规校验返回通过</x:v>
      </x:c>
      <x:c r="J116" s="9" t="str">
        <x:v>1. 打开资料编辑
2. 输入昵称“新昵称”
3. 点击保存</x:v>
      </x:c>
      <x:c r="K116" s="9" t="str">
        <x:v>账号昵称变为新昵称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 1430 行；REQ-41075150ffa5、第 1435 行；REQ-7e0f389ab1db、第 1436 行；REQ-8ab770457b43、第 1437 行；REQ-8a531c0c3ed1、第 1438 行；REQ-5aba1b5144e9、第 1439 行；REQ-cdf78baeafcf、第 1425 行
2. 规则：BR-91DEE04A20BAED
3. 未动态验证
4. 示例账号、编号、金额与日期是本条测试数据；执行前按前置条件准备，未填写的产品决策不得自行假定。</x:v>
      </x:c>
    </x:row>
    <x:row r="117" ht="190" customHeight="1">
      <x:c r="A117" s="10" t="n">
        <x:v>116</x:v>
      </x:c>
      <x:c r="B117" s="10" t="str">
        <x:v>USER-0116</x:v>
      </x:c>
      <x:c r="C117" s="10" t="str">
        <x:v>个人中心</x:v>
      </x:c>
      <x:c r="D117" s="10" t="str">
        <x:v>资料编辑（用户）</x:v>
      </x:c>
      <x:c r="E117" s="10" t="str">
        <x:v>功能需求</x:v>
      </x:c>
      <x:c r="F117" s="10" t="str">
        <x:v>P2</x:v>
      </x:c>
      <x:c r="G117" s="9" t="str">
        <x:v>验证昵称保存遇到不合规</x:v>
      </x:c>
      <x:c r="H117" s="9" t="str">
        <x:v>昵称合规保存结果</x:v>
      </x:c>
      <x:c r="I117" s="9" t="str">
        <x:v>1. 用户为本条执行者
2. 用户甲当前昵称为旧昵称，头像为头像甲，已有背景图背景甲
3. 测试环境资料合规校验返回不合规</x:v>
      </x:c>
      <x:c r="J117" s="9" t="str">
        <x:v>1. 打开资料编辑
2. 输入昵称“新昵称”
3. 点击保存</x:v>
      </x:c>
      <x:c r="K117" s="9" t="str">
        <x:v>提示“头像或昵称不合规”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 1430 行；REQ-41075150ffa5、第 1435 行；REQ-7e0f389ab1db、第 1436 行；REQ-8ab770457b43、第 1437 行；REQ-8a531c0c3ed1、第 1438 行；REQ-5aba1b5144e9、第 1439 行；REQ-cdf78baeafcf、第 1425 行
2. 规则：BR-8CAE9B9DB7ADC6
3. 未动态验证
4. 示例账号、编号、金额与日期是本条测试数据；执行前按前置条件准备，未填写的产品决策不得自行假定。</x:v>
      </x:c>
    </x:row>
    <x:row r="118" ht="190" customHeight="1">
      <x:c r="A118" s="10" t="n">
        <x:v>117</x:v>
      </x:c>
      <x:c r="B118" s="10" t="str">
        <x:v>USER-0117</x:v>
      </x:c>
      <x:c r="C118" s="10" t="str">
        <x:v>个人中心</x:v>
      </x:c>
      <x:c r="D118" s="10" t="str">
        <x:v>资料编辑（用户）</x:v>
      </x:c>
      <x:c r="E118" s="10" t="str">
        <x:v>功能需求</x:v>
      </x:c>
      <x:c r="F118" s="10" t="str">
        <x:v>P2</x:v>
      </x:c>
      <x:c r="G118" s="9" t="str">
        <x:v>验证昵称保存遇到网络异常</x:v>
      </x:c>
      <x:c r="H118" s="9" t="str">
        <x:v>昵称合规保存结果</x:v>
      </x:c>
      <x:c r="I118" s="9" t="str">
        <x:v>1. 用户为本条执行者
2. 用户甲当前昵称为旧昵称，头像为头像甲，已有背景图背景甲
3. 测试环境资料合规校验返回网络异常</x:v>
      </x:c>
      <x:c r="J118" s="9" t="str">
        <x:v>1. 打开资料编辑
2. 输入昵称“新昵称”
3. 点击保存</x:v>
      </x:c>
      <x:c r="K118" s="9" t="str">
        <x:v>提示“网络异常，请重试”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 1430 行；REQ-41075150ffa5、第 1435 行；REQ-7e0f389ab1db、第 1436 行；REQ-8ab770457b43、第 1437 行；REQ-8a531c0c3ed1、第 1438 行；REQ-5aba1b5144e9、第 1439 行；REQ-cdf78baeafcf、第 1425 行
2. 规则：BR-B671A4B758AA13
3. 未动态验证
4. 示例账号、编号、金额与日期是本条测试数据；执行前按前置条件准备，未填写的产品决策不得自行假定。</x:v>
      </x:c>
    </x:row>
    <x:row r="119" ht="145" customHeight="1">
      <x:c r="A119" s="10" t="n">
        <x:v>118</x:v>
      </x:c>
      <x:c r="B119" s="10" t="str">
        <x:v>USER-0118</x:v>
      </x:c>
      <x:c r="C119" s="10" t="str">
        <x:v>个人中心</x:v>
      </x:c>
      <x:c r="D119" s="10" t="str">
        <x:v>资料编辑（用户）</x:v>
      </x:c>
      <x:c r="E119" s="10" t="str">
        <x:v>功能需求</x:v>
      </x:c>
      <x:c r="F119" s="10" t="str">
        <x:v>P2</x:v>
      </x:c>
      <x:c r="G119" s="9" t="str">
        <x:v>验证资料校验不合规保留编辑</x:v>
      </x:c>
      <x:c r="H119" s="9" t="str">
        <x:v>失败编辑内容保留</x:v>
      </x:c>
      <x:c r="I119" s="9" t="str">
        <x:v>1. 用户为本条执行者
2. 用户甲当前昵称为旧昵称，头像为头像甲，已有背景图背景甲
3. 测试环境资料合规校验返回不合规</x:v>
      </x:c>
      <x:c r="J119" s="9" t="str">
        <x:v>1. 打开资料编辑
2. 输入昵称“新昵称”
3. 点击保存</x:v>
      </x:c>
      <x:c r="K119" s="9" t="str">
        <x:v>昵称输入框仍为“新昵称”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 1435 行；REQ-7e0f389ab1db、第 1439 行；REQ-cdf78baeafcf、第 1425 行
2. 规则：BR-04284D9244FABC
3. 未动态验证
4. 示例账号、编号、金额与日期是本条测试数据；执行前按前置条件准备，未填写的产品决策不得自行假定。</x:v>
      </x:c>
    </x:row>
    <x:row r="120" ht="145" customHeight="1">
      <x:c r="A120" s="10" t="n">
        <x:v>119</x:v>
      </x:c>
      <x:c r="B120" s="10" t="str">
        <x:v>USER-0119</x:v>
      </x:c>
      <x:c r="C120" s="10" t="str">
        <x:v>个人中心</x:v>
      </x:c>
      <x:c r="D120" s="10" t="str">
        <x:v>资料编辑（用户）</x:v>
      </x:c>
      <x:c r="E120" s="10" t="str">
        <x:v>功能需求</x:v>
      </x:c>
      <x:c r="F120" s="10" t="str">
        <x:v>P2</x:v>
      </x:c>
      <x:c r="G120" s="9" t="str">
        <x:v>验证资料校验不合规保留编辑</x:v>
      </x:c>
      <x:c r="H120" s="9" t="str">
        <x:v>失败不更新生效资料</x:v>
      </x:c>
      <x:c r="I120" s="9" t="str">
        <x:v>1. 用户为本条执行者
2. 用户甲当前昵称为旧昵称，头像为头像甲，已有背景图背景甲
3. 测试环境资料合规校验返回不合规</x:v>
      </x:c>
      <x:c r="J120" s="9" t="str">
        <x:v>1. 打开资料编辑
2. 输入昵称“新昵称”
3. 点击保存</x:v>
      </x:c>
      <x:c r="K120" s="9" t="str">
        <x:v>已生效账号昵称仍为“旧昵称”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来源（当前证据）：liveshow-proto/MainBasis/统一需求文档.md；位置：第 1435 行；REQ-7e0f389ab1db、第 1439 行；REQ-cdf78baeafcf、第 1425 行
2. 规则：BR-96410903A3B6DF
3. 未动态验证
4. 示例账号、编号、金额与日期是本条测试数据；执行前按前置条件准备，未填写的产品决策不得自行假定。</x:v>
      </x:c>
    </x:row>
    <x:row r="121" ht="145" customHeight="1">
      <x:c r="A121" s="10" t="n">
        <x:v>120</x:v>
      </x:c>
      <x:c r="B121" s="10" t="str">
        <x:v>USER-0120</x:v>
      </x:c>
      <x:c r="C121" s="10" t="str">
        <x:v>个人中心</x:v>
      </x:c>
      <x:c r="D121" s="10" t="str">
        <x:v>资料编辑（用户）</x:v>
      </x:c>
      <x:c r="E121" s="10" t="str">
        <x:v>功能需求</x:v>
      </x:c>
      <x:c r="F121" s="10" t="str">
        <x:v>P2</x:v>
      </x:c>
      <x:c r="G121" s="9" t="str">
        <x:v>验证资料校验网络异常保留编辑</x:v>
      </x:c>
      <x:c r="H121" s="9" t="str">
        <x:v>失败编辑内容保留</x:v>
      </x:c>
      <x:c r="I121" s="9" t="str">
        <x:v>1. 用户为本条执行者
2. 用户甲当前昵称为旧昵称，头像为头像甲，已有背景图背景甲
3. 测试环境资料合规校验返回网络异常</x:v>
      </x:c>
      <x:c r="J121" s="9" t="str">
        <x:v>1. 打开资料编辑
2. 输入昵称“新昵称”
3. 点击保存</x:v>
      </x:c>
      <x:c r="K121" s="9" t="str">
        <x:v>昵称输入框仍为“新昵称”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 1435 行；REQ-7e0f389ab1db、第 1439 行；REQ-cdf78baeafcf、第 1425 行
2. 规则：BR-3C15C9C5F72594
3. 未动态验证
4. 示例账号、编号、金额与日期是本条测试数据；执行前按前置条件准备，未填写的产品决策不得自行假定。</x:v>
      </x:c>
    </x:row>
    <x:row r="122" ht="145" customHeight="1">
      <x:c r="A122" s="10" t="n">
        <x:v>121</x:v>
      </x:c>
      <x:c r="B122" s="10" t="str">
        <x:v>USER-0121</x:v>
      </x:c>
      <x:c r="C122" s="10" t="str">
        <x:v>个人中心</x:v>
      </x:c>
      <x:c r="D122" s="10" t="str">
        <x:v>资料编辑（用户）</x:v>
      </x:c>
      <x:c r="E122" s="10" t="str">
        <x:v>功能需求</x:v>
      </x:c>
      <x:c r="F122" s="10" t="str">
        <x:v>P2</x:v>
      </x:c>
      <x:c r="G122" s="9" t="str">
        <x:v>验证资料校验网络异常保留编辑</x:v>
      </x:c>
      <x:c r="H122" s="9" t="str">
        <x:v>失败不更新生效资料</x:v>
      </x:c>
      <x:c r="I122" s="9" t="str">
        <x:v>1. 用户为本条执行者
2. 用户甲当前昵称为旧昵称，头像为头像甲，已有背景图背景甲
3. 测试环境资料合规校验返回网络异常</x:v>
      </x:c>
      <x:c r="J122" s="9" t="str">
        <x:v>1. 打开资料编辑
2. 输入昵称“新昵称”
3. 点击保存</x:v>
      </x:c>
      <x:c r="K122" s="9" t="str">
        <x:v>已生效账号昵称仍为“旧昵称”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 1435 行；REQ-7e0f389ab1db、第 1439 行；REQ-cdf78baeafcf、第 1425 行
2. 规则：BR-723783A183BC8E
3. 未动态验证
4. 示例账号、编号、金额与日期是本条测试数据；执行前按前置条件准备，未填写的产品决策不得自行假定。</x:v>
      </x:c>
    </x:row>
    <x:row r="123" ht="145" customHeight="1">
      <x:c r="A123" s="10" t="n">
        <x:v>122</x:v>
      </x:c>
      <x:c r="B123" s="10" t="str">
        <x:v>USER-0122</x:v>
      </x:c>
      <x:c r="C123" s="10" t="str">
        <x:v>个人中心</x:v>
      </x:c>
      <x:c r="D123" s="10" t="str">
        <x:v>资料编辑（用户）</x:v>
      </x:c>
      <x:c r="E123" s="10" t="str">
        <x:v>功能需求</x:v>
      </x:c>
      <x:c r="F123" s="10" t="str">
        <x:v>P2</x:v>
      </x:c>
      <x:c r="G123" s="9" t="str">
        <x:v>验证资料性别选择男</x:v>
      </x:c>
      <x:c r="H123" s="9" t="str">
        <x:v>性别枚举</x:v>
      </x:c>
      <x:c r="I123" s="9" t="str">
        <x:v>1. 用户为本条执行者
2. 用户甲当前昵称为旧昵称，头像为头像甲，已有背景图背景甲</x:v>
      </x:c>
      <x:c r="J123" s="9" t="str">
        <x:v>1. 打开资料编辑
2. 选择性别男
3. 点击保存</x:v>
      </x:c>
      <x:c r="K123" s="9" t="str">
        <x:v>账号性别保存为男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 1432 行；REQ-532d60fbd167、第 1435 行；REQ-7e0f389ab1db、第 1425 行
2. 规则：BR-B9A4B9AB446595
3. 未动态验证
4. 示例账号、编号、金额与日期是本条测试数据；执行前按前置条件准备，未填写的产品决策不得自行假定。</x:v>
      </x:c>
    </x:row>
    <x:row r="124" ht="145" customHeight="1">
      <x:c r="A124" s="10" t="n">
        <x:v>123</x:v>
      </x:c>
      <x:c r="B124" s="10" t="str">
        <x:v>USER-0123</x:v>
      </x:c>
      <x:c r="C124" s="10" t="str">
        <x:v>个人中心</x:v>
      </x:c>
      <x:c r="D124" s="10" t="str">
        <x:v>资料编辑（用户）</x:v>
      </x:c>
      <x:c r="E124" s="10" t="str">
        <x:v>功能需求</x:v>
      </x:c>
      <x:c r="F124" s="10" t="str">
        <x:v>P2</x:v>
      </x:c>
      <x:c r="G124" s="9" t="str">
        <x:v>验证资料性别选择女</x:v>
      </x:c>
      <x:c r="H124" s="9" t="str">
        <x:v>性别枚举</x:v>
      </x:c>
      <x:c r="I124" s="9" t="str">
        <x:v>1. 用户为本条执行者
2. 用户甲当前昵称为旧昵称，头像为头像甲，已有背景图背景甲</x:v>
      </x:c>
      <x:c r="J124" s="9" t="str">
        <x:v>1. 打开资料编辑
2. 选择性别女
3. 点击保存</x:v>
      </x:c>
      <x:c r="K124" s="9" t="str">
        <x:v>账号性别保存为女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来源（当前证据）：liveshow-proto/MainBasis/统一需求文档.md；位置：第 1432 行；REQ-532d60fbd167、第 1435 行；REQ-7e0f389ab1db、第 1425 行
2. 规则：BR-933DF09371DC3A
3. 未动态验证
4. 示例账号、编号、金额与日期是本条测试数据；执行前按前置条件准备，未填写的产品决策不得自行假定。</x:v>
      </x:c>
    </x:row>
    <x:row r="125" ht="145" customHeight="1">
      <x:c r="A125" s="10" t="n">
        <x:v>124</x:v>
      </x:c>
      <x:c r="B125" s="10" t="str">
        <x:v>USER-0124</x:v>
      </x:c>
      <x:c r="C125" s="10" t="str">
        <x:v>个人中心</x:v>
      </x:c>
      <x:c r="D125" s="10" t="str">
        <x:v>资料编辑（用户）</x:v>
      </x:c>
      <x:c r="E125" s="10" t="str">
        <x:v>功能需求</x:v>
      </x:c>
      <x:c r="F125" s="10" t="str">
        <x:v>P2</x:v>
      </x:c>
      <x:c r="G125" s="9" t="str">
        <x:v>验证资料性别选择不公开</x:v>
      </x:c>
      <x:c r="H125" s="9" t="str">
        <x:v>性别枚举</x:v>
      </x:c>
      <x:c r="I125" s="9" t="str">
        <x:v>1. 用户为本条执行者
2. 用户甲当前昵称为旧昵称，头像为头像甲，已有背景图背景甲</x:v>
      </x:c>
      <x:c r="J125" s="9" t="str">
        <x:v>1. 打开资料编辑
2. 选择性别不公开
3. 点击保存</x:v>
      </x:c>
      <x:c r="K125" s="9" t="str">
        <x:v>账号性别保存为不公开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 1432 行；REQ-532d60fbd167、第 1435 行；REQ-7e0f389ab1db、第 1425 行
2. 规则：BR-99DE44A6733858
3. 未动态验证
4. 示例账号、编号、金额与日期是本条测试数据；执行前按前置条件准备，未填写的产品决策不得自行假定。</x:v>
      </x:c>
    </x:row>
    <x:row r="126" ht="130" customHeight="1">
      <x:c r="A126" s="10" t="n">
        <x:v>125</x:v>
      </x:c>
      <x:c r="B126" s="10" t="str">
        <x:v>USER-0125</x:v>
      </x:c>
      <x:c r="C126" s="10" t="str">
        <x:v>个人中心</x:v>
      </x:c>
      <x:c r="D126" s="10" t="str">
        <x:v>资料编辑（用户）</x:v>
      </x:c>
      <x:c r="E126" s="10" t="str">
        <x:v>功能需求</x:v>
      </x:c>
      <x:c r="F126" s="10" t="str">
        <x:v>P2</x:v>
      </x:c>
      <x:c r="G126" s="9" t="str">
        <x:v>验证生日选择昨天</x:v>
      </x:c>
      <x:c r="H126" s="9" t="str">
        <x:v>生日日期上界</x:v>
      </x:c>
      <x:c r="I126" s="9" t="str">
        <x:v>1. 用户为本条执行者
2. 用户甲当前昵称为旧昵称，头像为头像甲，已有背景图背景甲</x:v>
      </x:c>
      <x:c r="J126" s="9" t="str">
        <x:v>1. 打开资料编辑
2. 选择生日为昨天
3. 点击保存</x:v>
      </x:c>
      <x:c r="K126" s="9" t="str">
        <x:v>生日保存为昨天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来源（当前证据）：liveshow-proto/MainBasis/统一需求文档.md；位置：第 1434 行；REQ-98f890ca51ec、第 1425 行
2. 规则：BR-E3CA15045C5926
3. 未动态验证
4. 示例账号、编号、金额与日期是本条测试数据；执行前按前置条件准备，未填写的产品决策不得自行假定。</x:v>
      </x:c>
    </x:row>
    <x:row r="127" ht="130" customHeight="1">
      <x:c r="A127" s="10" t="n">
        <x:v>126</x:v>
      </x:c>
      <x:c r="B127" s="10" t="str">
        <x:v>USER-0126</x:v>
      </x:c>
      <x:c r="C127" s="10" t="str">
        <x:v>个人中心</x:v>
      </x:c>
      <x:c r="D127" s="10" t="str">
        <x:v>资料编辑（用户）</x:v>
      </x:c>
      <x:c r="E127" s="10" t="str">
        <x:v>功能需求</x:v>
      </x:c>
      <x:c r="F127" s="10" t="str">
        <x:v>P2</x:v>
      </x:c>
      <x:c r="G127" s="9" t="str">
        <x:v>验证生日选择今天</x:v>
      </x:c>
      <x:c r="H127" s="9" t="str">
        <x:v>生日日期上界</x:v>
      </x:c>
      <x:c r="I127" s="9" t="str">
        <x:v>1. 用户为本条执行者
2. 用户甲当前昵称为旧昵称，头像为头像甲，已有背景图背景甲</x:v>
      </x:c>
      <x:c r="J127" s="9" t="str">
        <x:v>1. 打开资料编辑
2. 选择生日为今天
3. 点击保存</x:v>
      </x:c>
      <x:c r="K127" s="9" t="str">
        <x:v>生日保存为今天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 1434 行；REQ-98f890ca51ec、第 1425 行
2. 规则：BR-318FA11118674A
3. 未动态验证
4. 示例账号、编号、金额与日期是本条测试数据；执行前按前置条件准备，未填写的产品决策不得自行假定。</x:v>
      </x:c>
    </x:row>
    <x:row r="128" ht="130" customHeight="1">
      <x:c r="A128" s="10" t="n">
        <x:v>127</x:v>
      </x:c>
      <x:c r="B128" s="10" t="str">
        <x:v>USER-0127</x:v>
      </x:c>
      <x:c r="C128" s="10" t="str">
        <x:v>个人中心</x:v>
      </x:c>
      <x:c r="D128" s="10" t="str">
        <x:v>资料编辑（用户）</x:v>
      </x:c>
      <x:c r="E128" s="10" t="str">
        <x:v>功能需求</x:v>
      </x:c>
      <x:c r="F128" s="10" t="str">
        <x:v>P2</x:v>
      </x:c>
      <x:c r="G128" s="9" t="str">
        <x:v>验证生日选择明天</x:v>
      </x:c>
      <x:c r="H128" s="9" t="str">
        <x:v>生日日期上界</x:v>
      </x:c>
      <x:c r="I128" s="9" t="str">
        <x:v>1. 用户为本条执行者
2. 用户甲当前昵称为旧昵称，头像为头像甲，已有背景图背景甲</x:v>
      </x:c>
      <x:c r="J128" s="9" t="str">
        <x:v>1. 打开资料编辑
2. 选择生日为明天
3. 点击保存</x:v>
      </x:c>
      <x:c r="K128" s="9" t="str">
        <x:v>未保存明天作为生日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 1434 行；REQ-98f890ca51ec、第 1425 行
2. 规则：BR-8F06AD62A8B255
3. 未动态验证
4. 示例账号、编号、金额与日期是本条测试数据；执行前按前置条件准备，未填写的产品决策不得自行假定。</x:v>
      </x:c>
    </x:row>
    <x:row r="129" ht="145" customHeight="1">
      <x:c r="A129" s="10" t="n">
        <x:v>128</x:v>
      </x:c>
      <x:c r="B129" s="10" t="str">
        <x:v>USER-0128</x:v>
      </x:c>
      <x:c r="C129" s="10" t="str">
        <x:v>个人中心</x:v>
      </x:c>
      <x:c r="D129" s="10" t="str">
        <x:v>设置（用户）</x:v>
      </x:c>
      <x:c r="E129" s="10" t="str">
        <x:v>功能需求</x:v>
      </x:c>
      <x:c r="F129" s="10" t="str">
        <x:v>P2</x:v>
      </x:c>
      <x:c r="G129" s="9" t="str">
        <x:v>验证设置界面切换为中文</x:v>
      </x:c>
      <x:c r="H129" s="9" t="str">
        <x:v>账号语言选项</x:v>
      </x:c>
      <x:c r="I129" s="9" t="str">
        <x:v>1. 用户为本条执行者
2. 用户甲已登录，密码已设置，绑定手机号 +62 81234567890 及邮箱 qa.test@example.com</x:v>
      </x:c>
      <x:c r="J129" s="9" t="str">
        <x:v>1. 打开设置
2. 点击语言
3. 选择 中文</x:v>
      </x:c>
      <x:c r="K129" s="9" t="str">
        <x:v>当前语言显示 中文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来源（当前证据）：liveshow-proto/MainBasis/统一需求文档.md；位置：第 1449 行；REQ-3ee060d90dc8、第 1462 行；REQ-3d4e3a11a99d、第 1442 行
2. 规则：BR-8E90C733C89B05
3. 未动态验证
4. 示例账号、编号、金额与日期是本条测试数据；执行前按前置条件准备，未填写的产品决策不得自行假定。</x:v>
      </x:c>
    </x:row>
    <x:row r="130" ht="145" customHeight="1">
      <x:c r="A130" s="10" t="n">
        <x:v>129</x:v>
      </x:c>
      <x:c r="B130" s="10" t="str">
        <x:v>USER-0129</x:v>
      </x:c>
      <x:c r="C130" s="10" t="str">
        <x:v>个人中心</x:v>
      </x:c>
      <x:c r="D130" s="10" t="str">
        <x:v>设置（用户）</x:v>
      </x:c>
      <x:c r="E130" s="10" t="str">
        <x:v>功能需求</x:v>
      </x:c>
      <x:c r="F130" s="10" t="str">
        <x:v>P2</x:v>
      </x:c>
      <x:c r="G130" s="9" t="str">
        <x:v>验证设置界面切换为English</x:v>
      </x:c>
      <x:c r="H130" s="9" t="str">
        <x:v>账号语言选项</x:v>
      </x:c>
      <x:c r="I130" s="9" t="str">
        <x:v>1. 用户为本条执行者
2. 用户甲已登录，密码已设置，绑定手机号 +62 81234567890 及邮箱 qa.test@example.com</x:v>
      </x:c>
      <x:c r="J130" s="9" t="str">
        <x:v>1. 打开设置
2. 点击语言
3. 选择 English</x:v>
      </x:c>
      <x:c r="K130" s="9" t="str">
        <x:v>当前语言显示 English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来源（当前证据）：liveshow-proto/MainBasis/统一需求文档.md；位置：第 1449 行；REQ-3ee060d90dc8、第 1462 行；REQ-3d4e3a11a99d、第 1442 行
2. 规则：BR-23DF8CD48AFE54
3. 未动态验证
4. 示例账号、编号、金额与日期是本条测试数据；执行前按前置条件准备，未填写的产品决策不得自行假定。</x:v>
      </x:c>
    </x:row>
    <x:row r="131" ht="145" customHeight="1">
      <x:c r="A131" s="10" t="n">
        <x:v>130</x:v>
      </x:c>
      <x:c r="B131" s="10" t="str">
        <x:v>USER-0130</x:v>
      </x:c>
      <x:c r="C131" s="10" t="str">
        <x:v>个人中心</x:v>
      </x:c>
      <x:c r="D131" s="10" t="str">
        <x:v>设置（用户）</x:v>
      </x:c>
      <x:c r="E131" s="10" t="str">
        <x:v>功能需求</x:v>
      </x:c>
      <x:c r="F131" s="10" t="str">
        <x:v>P2</x:v>
      </x:c>
      <x:c r="G131" s="9" t="str">
        <x:v>验证设置界面切换为Bahasa Indonesia</x:v>
      </x:c>
      <x:c r="H131" s="9" t="str">
        <x:v>账号语言选项</x:v>
      </x:c>
      <x:c r="I131" s="9" t="str">
        <x:v>1. 用户为本条执行者
2. 用户甲已登录，密码已设置，绑定手机号 +62 81234567890 及邮箱 qa.test@example.com</x:v>
      </x:c>
      <x:c r="J131" s="9" t="str">
        <x:v>1. 打开设置
2. 点击语言
3. 选择 Bahasa Indonesia</x:v>
      </x:c>
      <x:c r="K131" s="9" t="str">
        <x:v>当前语言显示 Bahasa Indonesia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来源（当前证据）：liveshow-proto/MainBasis/统一需求文档.md；位置：第 1449 行；REQ-3ee060d90dc8、第 1462 行；REQ-3d4e3a11a99d、第 1442 行
2. 规则：BR-6D65850D27B1F4
3. 未动态验证
4. 示例账号、编号、金额与日期是本条测试数据；执行前按前置条件准备，未填写的产品决策不得自行假定。</x:v>
      </x:c>
    </x:row>
    <x:row r="132" ht="145" customHeight="1">
      <x:c r="A132" s="10" t="n">
        <x:v>131</x:v>
      </x:c>
      <x:c r="B132" s="10" t="str">
        <x:v>USER-0131</x:v>
      </x:c>
      <x:c r="C132" s="10" t="str">
        <x:v>个人中心</x:v>
      </x:c>
      <x:c r="D132" s="10" t="str">
        <x:v>设置（用户）</x:v>
      </x:c>
      <x:c r="E132" s="10" t="str">
        <x:v>功能需求</x:v>
      </x:c>
      <x:c r="F132" s="10" t="str">
        <x:v>P2</x:v>
      </x:c>
      <x:c r="G132" s="9" t="str">
        <x:v>验证设置界面切换为Bahasa Melayu</x:v>
      </x:c>
      <x:c r="H132" s="9" t="str">
        <x:v>账号语言选项</x:v>
      </x:c>
      <x:c r="I132" s="9" t="str">
        <x:v>1. 用户为本条执行者
2. 用户甲已登录，密码已设置，绑定手机号 +62 81234567890 及邮箱 qa.test@example.com</x:v>
      </x:c>
      <x:c r="J132" s="9" t="str">
        <x:v>1. 打开设置
2. 点击语言
3. 选择 Bahasa Melayu</x:v>
      </x:c>
      <x:c r="K132" s="9" t="str">
        <x:v>当前语言显示 Bahasa Melayu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 1449 行；REQ-3ee060d90dc8、第 1462 行；REQ-3d4e3a11a99d、第 1442 行
2. 规则：BR-D43D436E3B7EAB
3. 未动态验证
4. 示例账号、编号、金额与日期是本条测试数据；执行前按前置条件准备，未填写的产品决策不得自行假定。</x:v>
      </x:c>
    </x:row>
    <x:row r="133" ht="205" customHeight="1">
      <x:c r="A133" s="10" t="n">
        <x:v>132</x:v>
      </x:c>
      <x:c r="B133" s="10" t="str">
        <x:v>USER-0132</x:v>
      </x:c>
      <x:c r="C133" s="10" t="str">
        <x:v>个人中心</x:v>
      </x:c>
      <x:c r="D133" s="10" t="str">
        <x:v>设置（用户）</x:v>
      </x:c>
      <x:c r="E133" s="10" t="str">
        <x:v>功能需求</x:v>
      </x:c>
      <x:c r="F133" s="10" t="str">
        <x:v>P1</x:v>
      </x:c>
      <x:c r="G133" s="9" t="str">
        <x:v>验证金币余额为 99 时请求注销</x:v>
      </x:c>
      <x:c r="H133" s="9" t="str">
        <x:v>注销余额门槛</x:v>
      </x:c>
      <x:c r="I133" s="9" t="str">
        <x:v>1. 用户为本条执行者
2. 用户甲已登录，密码已设置，绑定手机号 +62 81234567890 及邮箱 qa.test@example.com
3. 用户甲当前金币余额为 99</x:v>
      </x:c>
      <x:c r="J133" s="9" t="str">
        <x:v>1. 打开设置
2. 点击注销账号</x:v>
      </x:c>
      <x:c r="K133" s="9" t="str">
        <x:v>注销弹窗提供确认注销按钮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 1451 行；REQ-e3bd04a8a537、第 1452 行；REQ-57c184e99e79、第 1458 行；REQ-be3c83058cc1、第 1465 行；REQ-ac7a51ae49a5、第 1466 行；REQ-cfb4ff48756b、第 1467 行；REQ-33f07a94908c、第 1468 行；REQ-24324b2a4408、第 1442 行
2. 规则：BR-F998FCB9CEE3A5
3. 未动态验证
4. 示例账号、编号、金额与日期是本条测试数据；执行前按前置条件准备，未填写的产品决策不得自行假定。</x:v>
      </x:c>
    </x:row>
    <x:row r="134" ht="205" customHeight="1">
      <x:c r="A134" s="10" t="n">
        <x:v>133</x:v>
      </x:c>
      <x:c r="B134" s="10" t="str">
        <x:v>USER-0133</x:v>
      </x:c>
      <x:c r="C134" s="10" t="str">
        <x:v>个人中心</x:v>
      </x:c>
      <x:c r="D134" s="10" t="str">
        <x:v>设置（用户）</x:v>
      </x:c>
      <x:c r="E134" s="10" t="str">
        <x:v>功能需求</x:v>
      </x:c>
      <x:c r="F134" s="10" t="str">
        <x:v>P1</x:v>
      </x:c>
      <x:c r="G134" s="9" t="str">
        <x:v>验证金币余额为 100 时请求注销</x:v>
      </x:c>
      <x:c r="H134" s="9" t="str">
        <x:v>注销余额门槛</x:v>
      </x:c>
      <x:c r="I134" s="9" t="str">
        <x:v>1. 用户为本条执行者
2. 用户甲已登录，密码已设置，绑定手机号 +62 81234567890 及邮箱 qa.test@example.com
3. 用户甲当前金币余额为 100</x:v>
      </x:c>
      <x:c r="J134" s="9" t="str">
        <x:v>1. 打开设置
2. 点击注销账号</x:v>
      </x:c>
      <x:c r="K134" s="9" t="str">
        <x:v>注销弹窗提供查看余额按钮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来源（当前证据）：liveshow-proto/MainBasis/统一需求文档.md；位置：第 1451 行；REQ-e3bd04a8a537、第 1452 行；REQ-57c184e99e79、第 1458 行；REQ-be3c83058cc1、第 1465 行；REQ-ac7a51ae49a5、第 1466 行；REQ-cfb4ff48756b、第 1467 行；REQ-33f07a94908c、第 1468 行；REQ-24324b2a4408、第 1442 行
2. 规则：BR-29A7F2E077AF20
3. 未动态验证
4. 示例账号、编号、金额与日期是本条测试数据；执行前按前置条件准备，未填写的产品决策不得自行假定。</x:v>
      </x:c>
    </x:row>
    <x:row r="135" ht="205" customHeight="1">
      <x:c r="A135" s="10" t="n">
        <x:v>134</x:v>
      </x:c>
      <x:c r="B135" s="10" t="str">
        <x:v>USER-0134</x:v>
      </x:c>
      <x:c r="C135" s="10" t="str">
        <x:v>个人中心</x:v>
      </x:c>
      <x:c r="D135" s="10" t="str">
        <x:v>设置（用户）</x:v>
      </x:c>
      <x:c r="E135" s="10" t="str">
        <x:v>功能需求</x:v>
      </x:c>
      <x:c r="F135" s="10" t="str">
        <x:v>P1</x:v>
      </x:c>
      <x:c r="G135" s="9" t="str">
        <x:v>验证金币余额为 101 时请求注销</x:v>
      </x:c>
      <x:c r="H135" s="9" t="str">
        <x:v>注销余额门槛</x:v>
      </x:c>
      <x:c r="I135" s="9" t="str">
        <x:v>1. 用户为本条执行者
2. 用户甲已登录，密码已设置，绑定手机号 +62 81234567890 及邮箱 qa.test@example.com
3. 用户甲当前金币余额为 101</x:v>
      </x:c>
      <x:c r="J135" s="9" t="str">
        <x:v>1. 打开设置
2. 点击注销账号</x:v>
      </x:c>
      <x:c r="K135" s="9" t="str">
        <x:v>注销弹窗提供查看余额按钮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来源（当前证据）：liveshow-proto/MainBasis/统一需求文档.md；位置：第 1451 行；REQ-e3bd04a8a537、第 1452 行；REQ-57c184e99e79、第 1458 行；REQ-be3c83058cc1、第 1465 行；REQ-ac7a51ae49a5、第 1466 行；REQ-cfb4ff48756b、第 1467 行；REQ-33f07a94908c、第 1468 行；REQ-24324b2a4408、第 1442 行
2. 规则：BR-EF0C7C698BCDEF
3. 未动态验证
4. 示例账号、编号、金额与日期是本条测试数据；执行前按前置条件准备，未填写的产品决策不得自行假定。</x:v>
      </x:c>
    </x:row>
    <x:row r="136" ht="190" customHeight="1">
      <x:c r="A136" s="10" t="n">
        <x:v>135</x:v>
      </x:c>
      <x:c r="B136" s="10" t="str">
        <x:v>USER-0135</x:v>
      </x:c>
      <x:c r="C136" s="10" t="str">
        <x:v>个人中心</x:v>
      </x:c>
      <x:c r="D136" s="10" t="str">
        <x:v>设置（用户）</x:v>
      </x:c>
      <x:c r="E136" s="10" t="str">
        <x:v>功能需求</x:v>
      </x:c>
      <x:c r="F136" s="10" t="str">
        <x:v>P2</x:v>
      </x:c>
      <x:c r="G136" s="9" t="str">
        <x:v>验证注销倒计时内取消</x:v>
      </x:c>
      <x:c r="H136" s="9" t="str">
        <x:v>注销倒计时取消</x:v>
      </x:c>
      <x:c r="I136" s="9" t="str">
        <x:v>1. 用户为本条执行者
2. 用户甲已登录，密码已设置，绑定手机号 +62 81234567890 及邮箱 qa.test@example.com
3. 用户甲金币余额为 99</x:v>
      </x:c>
      <x:c r="J136" s="9" t="str">
        <x:v>1. 打开设置
2. 点击注销账号
3. 点击确认注销
4. 倒计时 10 秒结束前点击取消</x:v>
      </x:c>
      <x:c r="K136" s="9" t="str">
        <x:v>未提交注销申请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来源（当前证据）：liveshow-proto/MainBasis/统一需求文档.md；位置：第 1460 行；REQ-d52be80ea0fa、第 1466 行；REQ-cfb4ff48756b、第 1467 行；REQ-33f07a94908c、第 1468 行；REQ-24324b2a4408、第 1469 行；REQ-68795c484bd7、第 1470 行；REQ-b22f236ee654、第 1442 行
2. 规则：BR-D37494C93CD899
3. 未动态验证
4. 示例账号、编号、金额与日期是本条测试数据；执行前按前置条件准备，未填写的产品决策不得自行假定。</x:v>
      </x:c>
    </x:row>
    <x:row r="137" ht="145" customHeight="1">
      <x:c r="A137" s="10" t="n">
        <x:v>136</x:v>
      </x:c>
      <x:c r="B137" s="10" t="str">
        <x:v>USER-0136</x:v>
      </x:c>
      <x:c r="C137" s="10" t="str">
        <x:v>个人中心</x:v>
      </x:c>
      <x:c r="D137" s="10" t="str">
        <x:v>设置（用户）</x:v>
      </x:c>
      <x:c r="E137" s="10" t="str">
        <x:v>功能需求</x:v>
      </x:c>
      <x:c r="F137" s="10" t="str">
        <x:v>P2</x:v>
      </x:c>
      <x:c r="G137" s="9" t="str">
        <x:v>验证注销确认倒计时结束</x:v>
      </x:c>
      <x:c r="H137" s="9" t="str">
        <x:v>注销申请后的入口</x:v>
      </x:c>
      <x:c r="I137" s="9" t="str">
        <x:v>1. 用户为本条执行者
2. 用户甲已登录，密码已设置，绑定手机号 +62 81234567890 及邮箱 qa.test@example.com
3. 用户甲金币余额为 99</x:v>
      </x:c>
      <x:c r="J137" s="9" t="str">
        <x:v>1. 打开设置
2. 点击注销账号
3. 点击确认注销
4. 查看10秒倒计时结束后的按钮状态</x:v>
      </x:c>
      <x:c r="K137" s="9" t="str">
        <x:v>返回登录与注册页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来源（当前证据）：liveshow-proto/MainBasis/统一需求文档.md；位置：第 1468 行；REQ-24324b2a4408、第 1469 行；REQ-68795c484bd7、第 1442 行
2. 规则：BR-C218A5C01DF6D9
3. 未动态验证
4. 示例账号、编号、金额与日期是本条测试数据；执行前按前置条件准备，未填写的产品决策不得自行假定。</x:v>
      </x:c>
    </x:row>
    <x:row r="138" ht="145" customHeight="1">
      <x:c r="A138" s="10" t="n">
        <x:v>137</x:v>
      </x:c>
      <x:c r="B138" s="10" t="str">
        <x:v>USER-0137</x:v>
      </x:c>
      <x:c r="C138" s="10" t="str">
        <x:v>个人中心</x:v>
      </x:c>
      <x:c r="D138" s="10" t="str">
        <x:v>设置（用户）</x:v>
      </x:c>
      <x:c r="E138" s="10" t="str">
        <x:v>功能需求</x:v>
      </x:c>
      <x:c r="F138" s="10" t="str">
        <x:v>P1</x:v>
      </x:c>
      <x:c r="G138" s="9" t="str">
        <x:v>验证退出登录确认后结束本机会话</x:v>
      </x:c>
      <x:c r="H138" s="9" t="str">
        <x:v>退出登录入口</x:v>
      </x:c>
      <x:c r="I138" s="9" t="str">
        <x:v>1. 用户为本条执行者
2. 用户甲已登录，密码已设置，绑定手机号 +62 81234567890 及邮箱 qa.test@example.com</x:v>
      </x:c>
      <x:c r="J138" s="9" t="str">
        <x:v>1. 打开设置
2. 点击退出登录
3. 确认退出</x:v>
      </x:c>
      <x:c r="K138" s="9" t="str">
        <x:v>返回登录页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 1455 行；REQ-fa68f3aa79be、第 1471 行；REQ-7d818f9c9cf0、第 1442 行
2. 规则：BR-FCEBC1D4FAAB32
3. 未动态验证
4. 示例账号、编号、金额与日期是本条测试数据；执行前按前置条件准备，未填写的产品决策不得自行假定。</x:v>
      </x:c>
    </x:row>
    <x:row r="139" ht="160" customHeight="1">
      <x:c r="A139" s="10" t="n">
        <x:v>138</x:v>
      </x:c>
      <x:c r="B139" s="10" t="str">
        <x:v>USER-0138</x:v>
      </x:c>
      <x:c r="C139" s="10" t="str">
        <x:v>账号与登录</x:v>
      </x:c>
      <x:c r="D139" s="10" t="str">
        <x:v>注销冷静期（用户）</x:v>
      </x:c>
      <x:c r="E139" s="10" t="str">
        <x:v>功能需求</x:v>
      </x:c>
      <x:c r="F139" s="10" t="str">
        <x:v>P1</x:v>
      </x:c>
      <x:c r="G139" s="9" t="str">
        <x:v>验证冷静期取消注销恢复登录</x:v>
      </x:c>
      <x:c r="H139" s="9" t="str">
        <x:v>冷静期处理入口</x:v>
      </x:c>
      <x:c r="I139" s="9" t="str">
        <x:v>1. 用户为本条执行者
2. 用户甲处于七日注销冷静期，原资料、金币及好友关系仍存在</x:v>
      </x:c>
      <x:c r="J139" s="9" t="str">
        <x:v>1. 完成用户甲的登录凭证验证
2. 点击取消注销</x:v>
      </x:c>
      <x:c r="K139" s="9" t="str">
        <x:v>进入首页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来源（当前证据）：liveshow-proto/MainBasis/统一需求文档.md；位置：第 1526 行；REQ-4aba6dda321b、第 1529 行；REQ-8b071c7b7730、第 1530 行；REQ-1cb452c4f51b、第 1523 行
2. 规则：BR-A881EE8077D959
3. 未动态验证
4. 示例账号、编号、金额与日期是本条测试数据；执行前按前置条件准备，未填写的产品决策不得自行假定。</x:v>
      </x:c>
    </x:row>
    <x:row r="140" ht="160" customHeight="1">
      <x:c r="A140" s="10" t="n">
        <x:v>139</x:v>
      </x:c>
      <x:c r="B140" s="10" t="str">
        <x:v>USER-0139</x:v>
      </x:c>
      <x:c r="C140" s="10" t="str">
        <x:v>账号与登录</x:v>
      </x:c>
      <x:c r="D140" s="10" t="str">
        <x:v>注销冷静期（用户）</x:v>
      </x:c>
      <x:c r="E140" s="10" t="str">
        <x:v>功能需求</x:v>
      </x:c>
      <x:c r="F140" s="10" t="str">
        <x:v>P1</x:v>
      </x:c>
      <x:c r="G140" s="9" t="str">
        <x:v>验证冷静期暂不取消注销</x:v>
      </x:c>
      <x:c r="H140" s="9" t="str">
        <x:v>冷静期处理入口</x:v>
      </x:c>
      <x:c r="I140" s="9" t="str">
        <x:v>1. 用户为本条执行者
2. 用户甲处于七日注销冷静期，原资料、金币及好友关系仍存在</x:v>
      </x:c>
      <x:c r="J140" s="9" t="str">
        <x:v>1. 完成用户甲的登录凭证验证
2. 点击暂不取消</x:v>
      </x:c>
      <x:c r="K140" s="9" t="str">
        <x:v>停留登录与注册页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 1526 行；REQ-4aba6dda321b、第 1529 行；REQ-8b071c7b7730、第 1530 行；REQ-1cb452c4f51b、第 1523 行
2. 规则：BR-5A4D422CA15D97
3. 未动态验证
4. 示例账号、编号、金额与日期是本条测试数据；执行前按前置条件准备，未填写的产品决策不得自行假定。</x:v>
      </x:c>
    </x:row>
    <x:row r="141" ht="145" customHeight="1">
      <x:c r="A141" s="10" t="n">
        <x:v>140</x:v>
      </x:c>
      <x:c r="B141" s="10" t="str">
        <x:v>USER-0140</x:v>
      </x:c>
      <x:c r="C141" s="10" t="str">
        <x:v>个人中心</x:v>
      </x:c>
      <x:c r="D141" s="10" t="str">
        <x:v>设置密码（用户）</x:v>
      </x:c>
      <x:c r="E141" s="10" t="str">
        <x:v>功能需求</x:v>
      </x:c>
      <x:c r="F141" s="10" t="str">
        <x:v>P2</x:v>
      </x:c>
      <x:c r="G141" s="9" t="str">
        <x:v>验证设置密码长度为 7</x:v>
      </x:c>
      <x:c r="H141" s="9" t="str">
        <x:v>新密码最小长度</x:v>
      </x:c>
      <x:c r="I141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41" s="9" t="str">
        <x:v>1. 打开设置密码
2. 输入验证码 123456
3. 输入密码 AAAAAAA
4. 输入确认密码 AAAAAAA</x:v>
      </x:c>
      <x:c r="K141" s="9" t="str">
        <x:v>完成按钮不可用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 1486 行；REQ-411887a2a4e8、第 1492 行；REQ-d895775a7fc5、第 1482 行
2. 规则：BR-92F59852888603
3. 未动态验证
4. 示例账号、编号、金额与日期是本条测试数据；执行前按前置条件准备，未填写的产品决策不得自行假定。</x:v>
      </x:c>
    </x:row>
    <x:row r="142" ht="145" customHeight="1">
      <x:c r="A142" s="10" t="n">
        <x:v>141</x:v>
      </x:c>
      <x:c r="B142" s="10" t="str">
        <x:v>USER-0141</x:v>
      </x:c>
      <x:c r="C142" s="10" t="str">
        <x:v>个人中心</x:v>
      </x:c>
      <x:c r="D142" s="10" t="str">
        <x:v>设置密码（用户）</x:v>
      </x:c>
      <x:c r="E142" s="10" t="str">
        <x:v>功能需求</x:v>
      </x:c>
      <x:c r="F142" s="10" t="str">
        <x:v>P2</x:v>
      </x:c>
      <x:c r="G142" s="9" t="str">
        <x:v>验证设置密码长度为 8</x:v>
      </x:c>
      <x:c r="H142" s="9" t="str">
        <x:v>新密码最小长度</x:v>
      </x:c>
      <x:c r="I142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42" s="9" t="str">
        <x:v>1. 打开设置密码
2. 输入验证码 123456
3. 输入密码 AAAAAAAA
4. 输入确认密码 AAAAAAAA</x:v>
      </x:c>
      <x:c r="K142" s="9" t="str">
        <x:v>完成按钮可用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 1486 行；REQ-411887a2a4e8、第 1492 行；REQ-d895775a7fc5、第 1482 行
2. 规则：BR-7F251F8E6E506A
3. 未动态验证
4. 示例账号、编号、金额与日期是本条测试数据；执行前按前置条件准备，未填写的产品决策不得自行假定。</x:v>
      </x:c>
    </x:row>
    <x:row r="143" ht="145" customHeight="1">
      <x:c r="A143" s="10" t="n">
        <x:v>142</x:v>
      </x:c>
      <x:c r="B143" s="10" t="str">
        <x:v>USER-0142</x:v>
      </x:c>
      <x:c r="C143" s="10" t="str">
        <x:v>个人中心</x:v>
      </x:c>
      <x:c r="D143" s="10" t="str">
        <x:v>设置密码（用户）</x:v>
      </x:c>
      <x:c r="E143" s="10" t="str">
        <x:v>功能需求</x:v>
      </x:c>
      <x:c r="F143" s="10" t="str">
        <x:v>P2</x:v>
      </x:c>
      <x:c r="G143" s="9" t="str">
        <x:v>验证设置密码长度为 9</x:v>
      </x:c>
      <x:c r="H143" s="9" t="str">
        <x:v>新密码最小长度</x:v>
      </x:c>
      <x:c r="I143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43" s="9" t="str">
        <x:v>1. 打开设置密码
2. 输入验证码 123456
3. 输入密码 AAAAAAAAA
4. 输入确认密码 AAAAAAAAA</x:v>
      </x:c>
      <x:c r="K143" s="9" t="str">
        <x:v>完成按钮可用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 1486 行；REQ-411887a2a4e8、第 1492 行；REQ-d895775a7fc5、第 1482 行
2. 规则：BR-F39FE589A5B591
3. 未动态验证
4. 示例账号、编号、金额与日期是本条测试数据；执行前按前置条件准备，未填写的产品决策不得自行假定。</x:v>
      </x:c>
    </x:row>
    <x:row r="144" ht="130" customHeight="1">
      <x:c r="A144" s="10" t="n">
        <x:v>143</x:v>
      </x:c>
      <x:c r="B144" s="10" t="str">
        <x:v>USER-0143</x:v>
      </x:c>
      <x:c r="C144" s="10" t="str">
        <x:v>个人中心</x:v>
      </x:c>
      <x:c r="D144" s="10" t="str">
        <x:v>设置密码（用户）</x:v>
      </x:c>
      <x:c r="E144" s="10" t="str">
        <x:v>功能需求</x:v>
      </x:c>
      <x:c r="F144" s="10" t="str">
        <x:v>P2</x:v>
      </x:c>
      <x:c r="G144" s="9" t="str">
        <x:v>验证设置密码使用错误验证码</x:v>
      </x:c>
      <x:c r="H144" s="9" t="str">
        <x:v>验证码可用性</x:v>
      </x:c>
      <x:c r="I144" s="9" t="str">
        <x:v>1. 用户为本条执行者
2. 账号甲绑定手机号 +62 81234567890 及邮箱 qa.test@example.com，选中手机号验证；测试验证码记录值为123456，状态在本条条件指定
3. 验证码 123456 对当前验证方式属于错误验证码</x:v>
      </x:c>
      <x:c r="J144" s="9" t="str">
        <x:v>1. 打开设置密码
2. 输入验证码 123456
3. 输入密码 QaTest#2026
4. 输入确认密码 QaTest#2026
5. 点击完成</x:v>
      </x:c>
      <x:c r="K144" s="9" t="str">
        <x:v>停留当前密码表单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 1489 行；REQ-33ded318ec34、第 1482 行
2. 规则：BR-169FF5303277C6
3. 未动态验证
4. 示例账号、编号、金额与日期是本条测试数据；执行前按前置条件准备，未填写的产品决策不得自行假定。</x:v>
      </x:c>
    </x:row>
    <x:row r="145" ht="130" customHeight="1">
      <x:c r="A145" s="10" t="n">
        <x:v>144</x:v>
      </x:c>
      <x:c r="B145" s="10" t="str">
        <x:v>USER-0144</x:v>
      </x:c>
      <x:c r="C145" s="10" t="str">
        <x:v>个人中心</x:v>
      </x:c>
      <x:c r="D145" s="10" t="str">
        <x:v>设置密码（用户）</x:v>
      </x:c>
      <x:c r="E145" s="10" t="str">
        <x:v>功能需求</x:v>
      </x:c>
      <x:c r="F145" s="10" t="str">
        <x:v>P2</x:v>
      </x:c>
      <x:c r="G145" s="9" t="str">
        <x:v>验证设置密码使用错误验证码</x:v>
      </x:c>
      <x:c r="H145" s="9" t="str">
        <x:v>验证码失败保留输入</x:v>
      </x:c>
      <x:c r="I145" s="9" t="str">
        <x:v>1. 用户为本条执行者
2. 账号甲绑定手机号 +62 81234567890 及邮箱 qa.test@example.com，选中手机号验证；测试验证码记录值为123456，状态在本条条件指定
3. 验证码 123456 对当前验证方式属于错误验证码</x:v>
      </x:c>
      <x:c r="J145" s="9" t="str">
        <x:v>1. 打开设置密码
2. 输入验证码 123456
3. 输入密码 QaTest#2026
4. 输入确认密码 QaTest#2026
5. 点击完成</x:v>
      </x:c>
      <x:c r="K145" s="9" t="str">
        <x:v>密码输入框保留本次输入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 1489 行；REQ-33ded318ec34、第 1482 行
2. 规则：BR-0A427FE51BD311
3. 未动态验证
4. 示例账号、编号、金额与日期是本条测试数据；执行前按前置条件准备，未填写的产品决策不得自行假定。</x:v>
      </x:c>
    </x:row>
    <x:row r="146" ht="130" customHeight="1">
      <x:c r="A146" s="10" t="n">
        <x:v>145</x:v>
      </x:c>
      <x:c r="B146" s="10" t="str">
        <x:v>USER-0145</x:v>
      </x:c>
      <x:c r="C146" s="10" t="str">
        <x:v>个人中心</x:v>
      </x:c>
      <x:c r="D146" s="10" t="str">
        <x:v>设置密码（用户）</x:v>
      </x:c>
      <x:c r="E146" s="10" t="str">
        <x:v>功能需求</x:v>
      </x:c>
      <x:c r="F146" s="10" t="str">
        <x:v>P2</x:v>
      </x:c>
      <x:c r="G146" s="9" t="str">
        <x:v>验证设置密码使用失效验证码</x:v>
      </x:c>
      <x:c r="H146" s="9" t="str">
        <x:v>验证码可用性</x:v>
      </x:c>
      <x:c r="I146" s="9" t="str">
        <x:v>1. 用户为本条执行者
2. 账号甲绑定手机号 +62 81234567890 及邮箱 qa.test@example.com，选中手机号验证；测试验证码记录值为123456，状态在本条条件指定
3. 验证码 123456 对当前验证方式属于失效验证码</x:v>
      </x:c>
      <x:c r="J146" s="9" t="str">
        <x:v>1. 打开设置密码
2. 输入验证码 123456
3. 输入密码 QaTest#2026
4. 输入确认密码 QaTest#2026
5. 点击完成</x:v>
      </x:c>
      <x:c r="K146" s="9" t="str">
        <x:v>停留当前密码表单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 1489 行；REQ-33ded318ec34、第 1482 行
2. 规则：BR-FEC7E3766A6E39
3. 未动态验证
4. 示例账号、编号、金额与日期是本条测试数据；执行前按前置条件准备，未填写的产品决策不得自行假定。</x:v>
      </x:c>
    </x:row>
    <x:row r="147" ht="130" customHeight="1">
      <x:c r="A147" s="10" t="n">
        <x:v>146</x:v>
      </x:c>
      <x:c r="B147" s="10" t="str">
        <x:v>USER-0146</x:v>
      </x:c>
      <x:c r="C147" s="10" t="str">
        <x:v>个人中心</x:v>
      </x:c>
      <x:c r="D147" s="10" t="str">
        <x:v>设置密码（用户）</x:v>
      </x:c>
      <x:c r="E147" s="10" t="str">
        <x:v>功能需求</x:v>
      </x:c>
      <x:c r="F147" s="10" t="str">
        <x:v>P2</x:v>
      </x:c>
      <x:c r="G147" s="9" t="str">
        <x:v>验证设置密码使用失效验证码</x:v>
      </x:c>
      <x:c r="H147" s="9" t="str">
        <x:v>验证码失败保留输入</x:v>
      </x:c>
      <x:c r="I147" s="9" t="str">
        <x:v>1. 用户为本条执行者
2. 账号甲绑定手机号 +62 81234567890 及邮箱 qa.test@example.com，选中手机号验证；测试验证码记录值为123456，状态在本条条件指定
3. 验证码 123456 对当前验证方式属于失效验证码</x:v>
      </x:c>
      <x:c r="J147" s="9" t="str">
        <x:v>1. 打开设置密码
2. 输入验证码 123456
3. 输入密码 QaTest#2026
4. 输入确认密码 QaTest#2026
5. 点击完成</x:v>
      </x:c>
      <x:c r="K147" s="9" t="str">
        <x:v>密码输入框保留本次输入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 1489 行；REQ-33ded318ec34、第 1482 行
2. 规则：BR-D0156BD2F24FDD
3. 未动态验证
4. 示例账号、编号、金额与日期是本条测试数据；执行前按前置条件准备，未填写的产品决策不得自行假定。</x:v>
      </x:c>
    </x:row>
    <x:row r="148" ht="130" customHeight="1">
      <x:c r="A148" s="10" t="n">
        <x:v>147</x:v>
      </x:c>
      <x:c r="B148" s="10" t="str">
        <x:v>USER-0147</x:v>
      </x:c>
      <x:c r="C148" s="10" t="str">
        <x:v>个人中心</x:v>
      </x:c>
      <x:c r="D148" s="10" t="str">
        <x:v>设置密码（用户）</x:v>
      </x:c>
      <x:c r="E148" s="10" t="str">
        <x:v>功能需求</x:v>
      </x:c>
      <x:c r="F148" s="10" t="str">
        <x:v>P2</x:v>
      </x:c>
      <x:c r="G148" s="9" t="str">
        <x:v>验证设置密码使用已使用验证码</x:v>
      </x:c>
      <x:c r="H148" s="9" t="str">
        <x:v>验证码可用性</x:v>
      </x:c>
      <x:c r="I148" s="9" t="str">
        <x:v>1. 用户为本条执行者
2. 账号甲绑定手机号 +62 81234567890 及邮箱 qa.test@example.com，选中手机号验证；测试验证码记录值为123456，状态在本条条件指定
3. 验证码 123456 对当前验证方式属于已使用验证码</x:v>
      </x:c>
      <x:c r="J148" s="9" t="str">
        <x:v>1. 打开设置密码
2. 输入验证码 123456
3. 输入密码 QaTest#2026
4. 输入确认密码 QaTest#2026
5. 点击完成</x:v>
      </x:c>
      <x:c r="K148" s="9" t="str">
        <x:v>停留当前密码表单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 1489 行；REQ-33ded318ec34、第 1482 行
2. 规则：BR-8200EF76C4762D
3. 未动态验证
4. 示例账号、编号、金额与日期是本条测试数据；执行前按前置条件准备，未填写的产品决策不得自行假定。</x:v>
      </x:c>
    </x:row>
    <x:row r="149" ht="130" customHeight="1">
      <x:c r="A149" s="10" t="n">
        <x:v>148</x:v>
      </x:c>
      <x:c r="B149" s="10" t="str">
        <x:v>USER-0148</x:v>
      </x:c>
      <x:c r="C149" s="10" t="str">
        <x:v>个人中心</x:v>
      </x:c>
      <x:c r="D149" s="10" t="str">
        <x:v>设置密码（用户）</x:v>
      </x:c>
      <x:c r="E149" s="10" t="str">
        <x:v>功能需求</x:v>
      </x:c>
      <x:c r="F149" s="10" t="str">
        <x:v>P2</x:v>
      </x:c>
      <x:c r="G149" s="9" t="str">
        <x:v>验证设置密码使用已使用验证码</x:v>
      </x:c>
      <x:c r="H149" s="9" t="str">
        <x:v>验证码失败保留输入</x:v>
      </x:c>
      <x:c r="I149" s="9" t="str">
        <x:v>1. 用户为本条执行者
2. 账号甲绑定手机号 +62 81234567890 及邮箱 qa.test@example.com，选中手机号验证；测试验证码记录值为123456，状态在本条条件指定
3. 验证码 123456 对当前验证方式属于已使用验证码</x:v>
      </x:c>
      <x:c r="J149" s="9" t="str">
        <x:v>1. 打开设置密码
2. 输入验证码 123456
3. 输入密码 QaTest#2026
4. 输入确认密码 QaTest#2026
5. 点击完成</x:v>
      </x:c>
      <x:c r="K149" s="9" t="str">
        <x:v>密码输入框保留本次输入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来源（当前证据）：liveshow-proto/MainBasis/统一需求文档.md；位置：第 1489 行；REQ-33ded318ec34、第 1482 行
2. 规则：BR-C3A6077815B0C3
3. 未动态验证
4. 示例账号、编号、金额与日期是本条测试数据；执行前按前置条件准备，未填写的产品决策不得自行假定。</x:v>
      </x:c>
    </x:row>
    <x:row r="150" ht="145" customHeight="1">
      <x:c r="A150" s="10" t="n">
        <x:v>149</x:v>
      </x:c>
      <x:c r="B150" s="10" t="str">
        <x:v>USER-0149</x:v>
      </x:c>
      <x:c r="C150" s="10" t="str">
        <x:v>个人中心</x:v>
      </x:c>
      <x:c r="D150" s="10" t="str">
        <x:v>设置密码（用户）</x:v>
      </x:c>
      <x:c r="E150" s="10" t="str">
        <x:v>功能需求</x:v>
      </x:c>
      <x:c r="F150" s="10" t="str">
        <x:v>P2</x:v>
      </x:c>
      <x:c r="G150" s="9" t="str">
        <x:v>验证设置密码时确认密码不一致</x:v>
      </x:c>
      <x:c r="H150" s="9" t="str">
        <x:v>确认密码一致性</x:v>
      </x:c>
      <x:c r="I150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50" s="9" t="str">
        <x:v>1. 打开设置密码
2. 输入验证码 123456
3. 输入密码 QaTest#2026
4. 输入确认密码 Different#2026
5. 点击完成</x:v>
      </x:c>
      <x:c r="K150" s="9" t="str">
        <x:v>提示两次密码不一致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来源（当前证据）：liveshow-proto/MainBasis/统一需求文档.md；位置：第 1487 行；REQ-2585099ecfdd、第 1493 行；REQ-d0cbebd513bc、第 1482 行
2. 规则：BR-074FC973F740D5
3. 未动态验证
4. 示例账号、编号、金额与日期是本条测试数据；执行前按前置条件准备，未填写的产品决策不得自行假定。</x:v>
      </x:c>
    </x:row>
    <x:row r="151" ht="160" customHeight="1">
      <x:c r="A151" s="10" t="n">
        <x:v>150</x:v>
      </x:c>
      <x:c r="B151" s="10" t="str">
        <x:v>USER-0150</x:v>
      </x:c>
      <x:c r="C151" s="10" t="str">
        <x:v>个人中心</x:v>
      </x:c>
      <x:c r="D151" s="10" t="str">
        <x:v>设置密码（用户）</x:v>
      </x:c>
      <x:c r="E151" s="10" t="str">
        <x:v>功能需求</x:v>
      </x:c>
      <x:c r="F151" s="10" t="str">
        <x:v>P2</x:v>
      </x:c>
      <x:c r="G151" s="9" t="str">
        <x:v>验证设置密码时不能使用另一个绑定渠道的验证码</x:v>
      </x:c>
      <x:c r="H151" s="9" t="str">
        <x:v>验证码与验证方式绑定</x:v>
      </x:c>
      <x:c r="I151" s="9" t="str">
        <x:v>1. 用户为本条执行者
2. 账号甲绑定手机号 +62 81234567890 及邮箱 qa.test@example.com，选中手机号验证；测试验证码记录值为123456，状态在本条条件指定
3. 123456 是邮箱渠道验证码，当前选中手机号验证</x:v>
      </x:c>
      <x:c r="J151" s="9" t="str">
        <x:v>1. 打开设置密码
2. 输入验证码 123456
3. 输入密码 QaTest#2026
4. 输入确认密码 QaTest#2026
5. 点击完成</x:v>
      </x:c>
      <x:c r="K151" s="9" t="str">
        <x:v>停留当前密码表单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来源（当前证据）：liveshow-proto/MainBasis/统一需求文档.md；位置：第 1484 行；REQ-3c60189f3c4a、第 1485 行；REQ-c07e0565f660、第 1491 行；REQ-60b0a17f6e8a、第 1482 行
2. 规则：BR-D8A5201A628E94
3. 未动态验证
4. 示例账号、编号、金额与日期是本条测试数据；执行前按前置条件准备，未填写的产品决策不得自行假定。</x:v>
      </x:c>
    </x:row>
    <x:row r="152" ht="145" customHeight="1">
      <x:c r="A152" s="10" t="n">
        <x:v>151</x:v>
      </x:c>
      <x:c r="B152" s="10" t="str">
        <x:v>USER-0151</x:v>
      </x:c>
      <x:c r="C152" s="10" t="str">
        <x:v>个人中心</x:v>
      </x:c>
      <x:c r="D152" s="10" t="str">
        <x:v>忘记密码（用户）</x:v>
      </x:c>
      <x:c r="E152" s="10" t="str">
        <x:v>功能需求</x:v>
      </x:c>
      <x:c r="F152" s="10" t="str">
        <x:v>P2</x:v>
      </x:c>
      <x:c r="G152" s="9" t="str">
        <x:v>验证重置密码长度为 7</x:v>
      </x:c>
      <x:c r="H152" s="9" t="str">
        <x:v>新密码最小长度</x:v>
      </x:c>
      <x:c r="I152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52" s="9" t="str">
        <x:v>1. 打开忘记密码
2. 输入验证码 123456
3. 输入密码 AAAAAAA
4. 输入确认密码 AAAAAAA</x:v>
      </x:c>
      <x:c r="K152" s="9" t="str">
        <x:v>重置密码按钮不可用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 1513 行；REQ-4223d6635f79、第 1519 行；REQ-76059c30b9b8、第 1509 行
2. 规则：BR-D32E17089DB4FD
3. 未动态验证
4. 示例账号、编号、金额与日期是本条测试数据；执行前按前置条件准备，未填写的产品决策不得自行假定。</x:v>
      </x:c>
    </x:row>
    <x:row r="153" ht="145" customHeight="1">
      <x:c r="A153" s="10" t="n">
        <x:v>152</x:v>
      </x:c>
      <x:c r="B153" s="10" t="str">
        <x:v>USER-0152</x:v>
      </x:c>
      <x:c r="C153" s="10" t="str">
        <x:v>个人中心</x:v>
      </x:c>
      <x:c r="D153" s="10" t="str">
        <x:v>忘记密码（用户）</x:v>
      </x:c>
      <x:c r="E153" s="10" t="str">
        <x:v>功能需求</x:v>
      </x:c>
      <x:c r="F153" s="10" t="str">
        <x:v>P2</x:v>
      </x:c>
      <x:c r="G153" s="9" t="str">
        <x:v>验证重置密码长度为 8</x:v>
      </x:c>
      <x:c r="H153" s="9" t="str">
        <x:v>新密码最小长度</x:v>
      </x:c>
      <x:c r="I153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53" s="9" t="str">
        <x:v>1. 打开忘记密码
2. 输入验证码 123456
3. 输入密码 AAAAAAAA
4. 输入确认密码 AAAAAAAA</x:v>
      </x:c>
      <x:c r="K153" s="9" t="str">
        <x:v>重置密码按钮可用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来源（当前证据）：liveshow-proto/MainBasis/统一需求文档.md；位置：第 1513 行；REQ-4223d6635f79、第 1519 行；REQ-76059c30b9b8、第 1509 行
2. 规则：BR-E6E98903A3E9B8
3. 未动态验证
4. 示例账号、编号、金额与日期是本条测试数据；执行前按前置条件准备，未填写的产品决策不得自行假定。</x:v>
      </x:c>
    </x:row>
    <x:row r="154" ht="145" customHeight="1">
      <x:c r="A154" s="10" t="n">
        <x:v>153</x:v>
      </x:c>
      <x:c r="B154" s="10" t="str">
        <x:v>USER-0153</x:v>
      </x:c>
      <x:c r="C154" s="10" t="str">
        <x:v>个人中心</x:v>
      </x:c>
      <x:c r="D154" s="10" t="str">
        <x:v>忘记密码（用户）</x:v>
      </x:c>
      <x:c r="E154" s="10" t="str">
        <x:v>功能需求</x:v>
      </x:c>
      <x:c r="F154" s="10" t="str">
        <x:v>P2</x:v>
      </x:c>
      <x:c r="G154" s="9" t="str">
        <x:v>验证重置密码长度为 9</x:v>
      </x:c>
      <x:c r="H154" s="9" t="str">
        <x:v>新密码最小长度</x:v>
      </x:c>
      <x:c r="I154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54" s="9" t="str">
        <x:v>1. 打开忘记密码
2. 输入验证码 123456
3. 输入密码 AAAAAAAAA
4. 输入确认密码 AAAAAAAAA</x:v>
      </x:c>
      <x:c r="K154" s="9" t="str">
        <x:v>重置密码按钮可用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来源（当前证据）：liveshow-proto/MainBasis/统一需求文档.md；位置：第 1513 行；REQ-4223d6635f79、第 1519 行；REQ-76059c30b9b8、第 1509 行
2. 规则：BR-73EDF42FAA4753
3. 未动态验证
4. 示例账号、编号、金额与日期是本条测试数据；执行前按前置条件准备，未填写的产品决策不得自行假定。</x:v>
      </x:c>
    </x:row>
    <x:row r="155" ht="130" customHeight="1">
      <x:c r="A155" s="10" t="n">
        <x:v>154</x:v>
      </x:c>
      <x:c r="B155" s="10" t="str">
        <x:v>USER-0154</x:v>
      </x:c>
      <x:c r="C155" s="10" t="str">
        <x:v>个人中心</x:v>
      </x:c>
      <x:c r="D155" s="10" t="str">
        <x:v>忘记密码（用户）</x:v>
      </x:c>
      <x:c r="E155" s="10" t="str">
        <x:v>功能需求</x:v>
      </x:c>
      <x:c r="F155" s="10" t="str">
        <x:v>P2</x:v>
      </x:c>
      <x:c r="G155" s="9" t="str">
        <x:v>验证重置密码使用错误验证码</x:v>
      </x:c>
      <x:c r="H155" s="9" t="str">
        <x:v>验证码可用性</x:v>
      </x:c>
      <x:c r="I155" s="9" t="str">
        <x:v>1. 用户为本条执行者
2. 账号甲绑定手机号 +62 81234567890 及邮箱 qa.test@example.com，选中手机号验证；测试验证码记录值为123456，状态在本条条件指定
3. 验证码 123456 对当前验证方式属于错误验证码</x:v>
      </x:c>
      <x:c r="J155" s="9" t="str">
        <x:v>1. 打开忘记密码
2. 输入验证码 123456
3. 输入密码 QaTest#2026
4. 输入确认密码 QaTest#2026
5. 点击重置密码</x:v>
      </x:c>
      <x:c r="K155" s="9" t="str">
        <x:v>停留当前密码表单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 1516 行；REQ-31ee1e2d297f、第 1509 行
2. 规则：BR-AAEA8EF2C08136
3. 未动态验证
4. 示例账号、编号、金额与日期是本条测试数据；执行前按前置条件准备，未填写的产品决策不得自行假定。</x:v>
      </x:c>
    </x:row>
    <x:row r="156" ht="130" customHeight="1">
      <x:c r="A156" s="10" t="n">
        <x:v>155</x:v>
      </x:c>
      <x:c r="B156" s="10" t="str">
        <x:v>USER-0155</x:v>
      </x:c>
      <x:c r="C156" s="10" t="str">
        <x:v>个人中心</x:v>
      </x:c>
      <x:c r="D156" s="10" t="str">
        <x:v>忘记密码（用户）</x:v>
      </x:c>
      <x:c r="E156" s="10" t="str">
        <x:v>功能需求</x:v>
      </x:c>
      <x:c r="F156" s="10" t="str">
        <x:v>P2</x:v>
      </x:c>
      <x:c r="G156" s="9" t="str">
        <x:v>验证重置密码使用错误验证码</x:v>
      </x:c>
      <x:c r="H156" s="9" t="str">
        <x:v>验证码失败保留输入</x:v>
      </x:c>
      <x:c r="I156" s="9" t="str">
        <x:v>1. 用户为本条执行者
2. 账号甲绑定手机号 +62 81234567890 及邮箱 qa.test@example.com，选中手机号验证；测试验证码记录值为123456，状态在本条条件指定
3. 验证码 123456 对当前验证方式属于错误验证码</x:v>
      </x:c>
      <x:c r="J156" s="9" t="str">
        <x:v>1. 打开忘记密码
2. 输入验证码 123456
3. 输入密码 QaTest#2026
4. 输入确认密码 QaTest#2026
5. 点击重置密码</x:v>
      </x:c>
      <x:c r="K156" s="9" t="str">
        <x:v>密码输入框保留本次输入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 1516 行；REQ-31ee1e2d297f、第 1509 行
2. 规则：BR-13483FEC64545C
3. 未动态验证
4. 示例账号、编号、金额与日期是本条测试数据；执行前按前置条件准备，未填写的产品决策不得自行假定。</x:v>
      </x:c>
    </x:row>
    <x:row r="157" ht="130" customHeight="1">
      <x:c r="A157" s="10" t="n">
        <x:v>156</x:v>
      </x:c>
      <x:c r="B157" s="10" t="str">
        <x:v>USER-0156</x:v>
      </x:c>
      <x:c r="C157" s="10" t="str">
        <x:v>个人中心</x:v>
      </x:c>
      <x:c r="D157" s="10" t="str">
        <x:v>忘记密码（用户）</x:v>
      </x:c>
      <x:c r="E157" s="10" t="str">
        <x:v>功能需求</x:v>
      </x:c>
      <x:c r="F157" s="10" t="str">
        <x:v>P2</x:v>
      </x:c>
      <x:c r="G157" s="9" t="str">
        <x:v>验证重置密码使用失效验证码</x:v>
      </x:c>
      <x:c r="H157" s="9" t="str">
        <x:v>验证码可用性</x:v>
      </x:c>
      <x:c r="I157" s="9" t="str">
        <x:v>1. 用户为本条执行者
2. 账号甲绑定手机号 +62 81234567890 及邮箱 qa.test@example.com，选中手机号验证；测试验证码记录值为123456，状态在本条条件指定
3. 验证码 123456 对当前验证方式属于失效验证码</x:v>
      </x:c>
      <x:c r="J157" s="9" t="str">
        <x:v>1. 打开忘记密码
2. 输入验证码 123456
3. 输入密码 QaTest#2026
4. 输入确认密码 QaTest#2026
5. 点击重置密码</x:v>
      </x:c>
      <x:c r="K157" s="9" t="str">
        <x:v>停留当前密码表单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 1516 行；REQ-31ee1e2d297f、第 1509 行
2. 规则：BR-50E296873D4613
3. 未动态验证
4. 示例账号、编号、金额与日期是本条测试数据；执行前按前置条件准备，未填写的产品决策不得自行假定。</x:v>
      </x:c>
    </x:row>
    <x:row r="158" ht="130" customHeight="1">
      <x:c r="A158" s="10" t="n">
        <x:v>157</x:v>
      </x:c>
      <x:c r="B158" s="10" t="str">
        <x:v>USER-0157</x:v>
      </x:c>
      <x:c r="C158" s="10" t="str">
        <x:v>个人中心</x:v>
      </x:c>
      <x:c r="D158" s="10" t="str">
        <x:v>忘记密码（用户）</x:v>
      </x:c>
      <x:c r="E158" s="10" t="str">
        <x:v>功能需求</x:v>
      </x:c>
      <x:c r="F158" s="10" t="str">
        <x:v>P2</x:v>
      </x:c>
      <x:c r="G158" s="9" t="str">
        <x:v>验证重置密码使用失效验证码</x:v>
      </x:c>
      <x:c r="H158" s="9" t="str">
        <x:v>验证码失败保留输入</x:v>
      </x:c>
      <x:c r="I158" s="9" t="str">
        <x:v>1. 用户为本条执行者
2. 账号甲绑定手机号 +62 81234567890 及邮箱 qa.test@example.com，选中手机号验证；测试验证码记录值为123456，状态在本条条件指定
3. 验证码 123456 对当前验证方式属于失效验证码</x:v>
      </x:c>
      <x:c r="J158" s="9" t="str">
        <x:v>1. 打开忘记密码
2. 输入验证码 123456
3. 输入密码 QaTest#2026
4. 输入确认密码 QaTest#2026
5. 点击重置密码</x:v>
      </x:c>
      <x:c r="K158" s="9" t="str">
        <x:v>密码输入框保留本次输入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来源（当前证据）：liveshow-proto/MainBasis/统一需求文档.md；位置：第 1516 行；REQ-31ee1e2d297f、第 1509 行
2. 规则：BR-69FD72D42E87A7
3. 未动态验证
4. 示例账号、编号、金额与日期是本条测试数据；执行前按前置条件准备，未填写的产品决策不得自行假定。</x:v>
      </x:c>
    </x:row>
    <x:row r="159" ht="130" customHeight="1">
      <x:c r="A159" s="10" t="n">
        <x:v>158</x:v>
      </x:c>
      <x:c r="B159" s="10" t="str">
        <x:v>USER-0158</x:v>
      </x:c>
      <x:c r="C159" s="10" t="str">
        <x:v>个人中心</x:v>
      </x:c>
      <x:c r="D159" s="10" t="str">
        <x:v>忘记密码（用户）</x:v>
      </x:c>
      <x:c r="E159" s="10" t="str">
        <x:v>功能需求</x:v>
      </x:c>
      <x:c r="F159" s="10" t="str">
        <x:v>P2</x:v>
      </x:c>
      <x:c r="G159" s="9" t="str">
        <x:v>验证重置密码使用已使用验证码</x:v>
      </x:c>
      <x:c r="H159" s="9" t="str">
        <x:v>验证码可用性</x:v>
      </x:c>
      <x:c r="I159" s="9" t="str">
        <x:v>1. 用户为本条执行者
2. 账号甲绑定手机号 +62 81234567890 及邮箱 qa.test@example.com，选中手机号验证；测试验证码记录值为123456，状态在本条条件指定
3. 验证码 123456 对当前验证方式属于已使用验证码</x:v>
      </x:c>
      <x:c r="J159" s="9" t="str">
        <x:v>1. 打开忘记密码
2. 输入验证码 123456
3. 输入密码 QaTest#2026
4. 输入确认密码 QaTest#2026
5. 点击重置密码</x:v>
      </x:c>
      <x:c r="K159" s="9" t="str">
        <x:v>停留当前密码表单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 1516 行；REQ-31ee1e2d297f、第 1509 行
2. 规则：BR-D401754FC84944
3. 未动态验证
4. 示例账号、编号、金额与日期是本条测试数据；执行前按前置条件准备，未填写的产品决策不得自行假定。</x:v>
      </x:c>
    </x:row>
    <x:row r="160" ht="130" customHeight="1">
      <x:c r="A160" s="10" t="n">
        <x:v>159</x:v>
      </x:c>
      <x:c r="B160" s="10" t="str">
        <x:v>USER-0159</x:v>
      </x:c>
      <x:c r="C160" s="10" t="str">
        <x:v>个人中心</x:v>
      </x:c>
      <x:c r="D160" s="10" t="str">
        <x:v>忘记密码（用户）</x:v>
      </x:c>
      <x:c r="E160" s="10" t="str">
        <x:v>功能需求</x:v>
      </x:c>
      <x:c r="F160" s="10" t="str">
        <x:v>P2</x:v>
      </x:c>
      <x:c r="G160" s="9" t="str">
        <x:v>验证重置密码使用已使用验证码</x:v>
      </x:c>
      <x:c r="H160" s="9" t="str">
        <x:v>验证码失败保留输入</x:v>
      </x:c>
      <x:c r="I160" s="9" t="str">
        <x:v>1. 用户为本条执行者
2. 账号甲绑定手机号 +62 81234567890 及邮箱 qa.test@example.com，选中手机号验证；测试验证码记录值为123456，状态在本条条件指定
3. 验证码 123456 对当前验证方式属于已使用验证码</x:v>
      </x:c>
      <x:c r="J160" s="9" t="str">
        <x:v>1. 打开忘记密码
2. 输入验证码 123456
3. 输入密码 QaTest#2026
4. 输入确认密码 QaTest#2026
5. 点击重置密码</x:v>
      </x:c>
      <x:c r="K160" s="9" t="str">
        <x:v>密码输入框保留本次输入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 1516 行；REQ-31ee1e2d297f、第 1509 行
2. 规则：BR-3F2C485AA934AC
3. 未动态验证
4. 示例账号、编号、金额与日期是本条测试数据；执行前按前置条件准备，未填写的产品决策不得自行假定。</x:v>
      </x:c>
    </x:row>
    <x:row r="161" ht="145" customHeight="1">
      <x:c r="A161" s="10" t="n">
        <x:v>160</x:v>
      </x:c>
      <x:c r="B161" s="10" t="str">
        <x:v>USER-0160</x:v>
      </x:c>
      <x:c r="C161" s="10" t="str">
        <x:v>个人中心</x:v>
      </x:c>
      <x:c r="D161" s="10" t="str">
        <x:v>忘记密码（用户）</x:v>
      </x:c>
      <x:c r="E161" s="10" t="str">
        <x:v>功能需求</x:v>
      </x:c>
      <x:c r="F161" s="10" t="str">
        <x:v>P2</x:v>
      </x:c>
      <x:c r="G161" s="9" t="str">
        <x:v>验证重置密码时确认密码不一致</x:v>
      </x:c>
      <x:c r="H161" s="9" t="str">
        <x:v>确认密码一致性</x:v>
      </x:c>
      <x:c r="I161" s="9" t="str">
        <x:v>1. 用户为本条执行者
2. 账号甲绑定手机号 +62 81234567890 及邮箱 qa.test@example.com，选中手机号验证；测试验证码记录值为123456，状态在本条条件指定
3. 123456为当前手机号有效且未使用的验证码</x:v>
      </x:c>
      <x:c r="J161" s="9" t="str">
        <x:v>1. 打开忘记密码
2. 输入验证码 123456
3. 输入密码 QaTest#2026
4. 输入确认密码 Different#2026
5. 点击重置密码</x:v>
      </x:c>
      <x:c r="K161" s="9" t="str">
        <x:v>提示两次密码不一致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 1514 行；REQ-eb63a688e121、第 1520 行；REQ-ab6de0e5ca05、第 1509 行
2. 规则：BR-CCBD50F6BA92B9
3. 未动态验证
4. 示例账号、编号、金额与日期是本条测试数据；执行前按前置条件准备，未填写的产品决策不得自行假定。</x:v>
      </x:c>
    </x:row>
    <x:row r="162" ht="160" customHeight="1">
      <x:c r="A162" s="10" t="n">
        <x:v>161</x:v>
      </x:c>
      <x:c r="B162" s="10" t="str">
        <x:v>USER-0161</x:v>
      </x:c>
      <x:c r="C162" s="10" t="str">
        <x:v>个人中心</x:v>
      </x:c>
      <x:c r="D162" s="10" t="str">
        <x:v>忘记密码（用户）</x:v>
      </x:c>
      <x:c r="E162" s="10" t="str">
        <x:v>功能需求</x:v>
      </x:c>
      <x:c r="F162" s="10" t="str">
        <x:v>P2</x:v>
      </x:c>
      <x:c r="G162" s="9" t="str">
        <x:v>验证重置密码时不能使用另一个绑定渠道的验证码</x:v>
      </x:c>
      <x:c r="H162" s="9" t="str">
        <x:v>验证码与验证方式绑定</x:v>
      </x:c>
      <x:c r="I162" s="9" t="str">
        <x:v>1. 用户为本条执行者
2. 账号甲绑定手机号 +62 81234567890 及邮箱 qa.test@example.com，选中手机号验证；测试验证码记录值为123456，状态在本条条件指定
3. 123456 是邮箱渠道验证码，当前选中手机号验证</x:v>
      </x:c>
      <x:c r="J162" s="9" t="str">
        <x:v>1. 打开忘记密码
2. 输入验证码 123456
3. 输入密码 QaTest#2026
4. 输入确认密码 QaTest#2026
5. 点击重置密码</x:v>
      </x:c>
      <x:c r="K162" s="9" t="str">
        <x:v>停留当前密码表单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 1511 行；REQ-956eee627217、第 1512 行；REQ-da9ec0c10c8c、第 1518 行；REQ-6ab1d015eba7、第 1509 行
2. 规则：BR-E83273E92ECD2C
3. 未动态验证
4. 示例账号、编号、金额与日期是本条测试数据；执行前按前置条件准备，未填写的产品决策不得自行假定。</x:v>
      </x:c>
    </x:row>
    <x:row r="163" ht="220" customHeight="1">
      <x:c r="A163" s="10" t="n">
        <x:v>162</x:v>
      </x:c>
      <x:c r="B163" s="10" t="str">
        <x:v>USER-0162</x:v>
      </x:c>
      <x:c r="C163" s="10" t="str">
        <x:v>个人中心</x:v>
      </x:c>
      <x:c r="D163" s="10" t="str">
        <x:v>修改密码（用户）</x:v>
      </x:c>
      <x:c r="E163" s="10" t="str">
        <x:v>功能需求</x:v>
      </x:c>
      <x:c r="F163" s="10" t="str">
        <x:v>P2</x:v>
      </x:c>
      <x:c r="G163" s="9" t="str">
        <x:v>验证修改密码旧密码错误</x:v>
      </x:c>
      <x:c r="H163" s="9" t="str">
        <x:v>密码修改校验</x:v>
      </x:c>
      <x:c r="I163" s="9" t="str">
        <x:v>1. 用户为本条执行者
2. 用户甲当前有效密码为 OldPass#2026
3. 账号甲绑定邮箱qa.test@example.com；修改前密码OldPass#2026</x:v>
      </x:c>
      <x:c r="J163" s="9" t="str">
        <x:v>1. 打开修改密码
2. 输入当前密码 Wrong#2026
3. 输入新密码 NewPass#2026
4. 输入确认新密码 NewPass#2026
5. 点击完成
6. 打开设置
7. 点击退出登录
8. 确认退出
9. 打开邮箱密码登录
10. 输入邮箱qa.test@example.com
11. 输入密码OldPass#2026
12. 点击登录</x:v>
      </x:c>
      <x:c r="K163" s="9" t="str">
        <x:v>旧密码OldPass#2026仍可登录账号甲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 1498 行；REQ-0817f48c7b49、第 1499 行；REQ-18e752488ec8、第 1500 行；REQ-e92850c13ccf、第 1501 行；REQ-ea6b3f0953a4、第 1503 行；REQ-d64401c506c6、第 1504 行；REQ-fe17f707f9b9、第 1505 行；REQ-6920f539ff83、第 1496 行
2. 规则：BR-9803649D1D0197
3. 未动态验证
4. 示例账号、编号、金额与日期是本条测试数据；执行前按前置条件准备，未填写的产品决策不得自行假定。</x:v>
      </x:c>
    </x:row>
    <x:row r="164" ht="220" customHeight="1">
      <x:c r="A164" s="10" t="n">
        <x:v>163</x:v>
      </x:c>
      <x:c r="B164" s="10" t="str">
        <x:v>USER-0163</x:v>
      </x:c>
      <x:c r="C164" s="10" t="str">
        <x:v>个人中心</x:v>
      </x:c>
      <x:c r="D164" s="10" t="str">
        <x:v>修改密码（用户）</x:v>
      </x:c>
      <x:c r="E164" s="10" t="str">
        <x:v>功能需求</x:v>
      </x:c>
      <x:c r="F164" s="10" t="str">
        <x:v>P2</x:v>
      </x:c>
      <x:c r="G164" s="9" t="str">
        <x:v>验证修改密码新旧密码相同</x:v>
      </x:c>
      <x:c r="H164" s="9" t="str">
        <x:v>密码修改校验</x:v>
      </x:c>
      <x:c r="I164" s="9" t="str">
        <x:v>1. 用户为本条执行者
2. 用户甲当前有效密码为 OldPass#2026
3. 账号甲绑定邮箱qa.test@example.com；修改前密码OldPass#2026</x:v>
      </x:c>
      <x:c r="J164" s="9" t="str">
        <x:v>1. 打开修改密码
2. 输入当前密码 OldPass#2026
3. 输入新密码 OldPass#2026
4. 输入确认新密码 OldPass#2026
5. 点击完成
6. 打开设置
7. 点击退出登录
8. 确认退出
9. 打开邮箱密码登录
10. 输入邮箱qa.test@example.com
11. 输入密码OldPass#2026
12. 点击登录</x:v>
      </x:c>
      <x:c r="K164" s="9" t="str">
        <x:v>旧密码OldPass#2026仍可登录账号甲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 1498 行；REQ-0817f48c7b49、第 1499 行；REQ-18e752488ec8、第 1500 行；REQ-e92850c13ccf、第 1501 行；REQ-ea6b3f0953a4、第 1503 行；REQ-d64401c506c6、第 1504 行；REQ-fe17f707f9b9、第 1505 行；REQ-6920f539ff83、第 1496 行
2. 规则：BR-5B02EC2C6346E9
3. 未动态验证
4. 示例账号、编号、金额与日期是本条测试数据；执行前按前置条件准备，未填写的产品决策不得自行假定。</x:v>
      </x:c>
    </x:row>
    <x:row r="165" ht="205" customHeight="1">
      <x:c r="A165" s="10" t="n">
        <x:v>164</x:v>
      </x:c>
      <x:c r="B165" s="10" t="str">
        <x:v>USER-0164</x:v>
      </x:c>
      <x:c r="C165" s="10" t="str">
        <x:v>个人中心</x:v>
      </x:c>
      <x:c r="D165" s="10" t="str">
        <x:v>修改密码（用户）</x:v>
      </x:c>
      <x:c r="E165" s="10" t="str">
        <x:v>功能需求</x:v>
      </x:c>
      <x:c r="F165" s="10" t="str">
        <x:v>P2</x:v>
      </x:c>
      <x:c r="G165" s="9" t="str">
        <x:v>验证修改密码两次新密码不同</x:v>
      </x:c>
      <x:c r="H165" s="9" t="str">
        <x:v>密码修改校验</x:v>
      </x:c>
      <x:c r="I165" s="9" t="str">
        <x:v>1. 用户为本条执行者
2. 用户甲当前有效密码为 OldPass#2026
3. 账号甲绑定邮箱qa.test@example.com；修改前密码OldPass#2026</x:v>
      </x:c>
      <x:c r="J165" s="9" t="str">
        <x:v>1. 打开修改密码
2. 输入当前密码 OldPass#2026
3. 输入新密码 NewPass#2026
4. 输入确认新密码 Other#2026
5. 点击完成
6. 打开设置
7. 点击退出登录
8. 确认退出
9. 打开邮箱密码登录
10. 输入邮箱qa.test@example.com
11. 输入密码OldPass#2026
12. 点击登录</x:v>
      </x:c>
      <x:c r="K165" s="9" t="str">
        <x:v>旧密码OldPass#2026仍可登录账号甲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 1498 行；REQ-0817f48c7b49、第 1499 行；REQ-18e752488ec8、第 1500 行；REQ-e92850c13ccf、第 1501 行；REQ-ea6b3f0953a4、第 1503 行；REQ-d64401c506c6、第 1504 行；REQ-fe17f707f9b9、第 1505 行；REQ-6920f539ff83、第 1496 行
2. 规则：BR-53B1EB2AFC7452
3. 未动态验证
4. 示例账号、编号、金额与日期是本条测试数据；执行前按前置条件准备，未填写的产品决策不得自行假定。</x:v>
      </x:c>
    </x:row>
    <x:row r="166" ht="145" customHeight="1">
      <x:c r="A166" s="10" t="n">
        <x:v>165</x:v>
      </x:c>
      <x:c r="B166" s="10" t="str">
        <x:v>USER-0165</x:v>
      </x:c>
      <x:c r="C166" s="10" t="str">
        <x:v>个人中心</x:v>
      </x:c>
      <x:c r="D166" s="10" t="str">
        <x:v>修改密码（用户）</x:v>
      </x:c>
      <x:c r="E166" s="10" t="str">
        <x:v>功能需求</x:v>
      </x:c>
      <x:c r="F166" s="10" t="str">
        <x:v>P2</x:v>
      </x:c>
      <x:c r="G166" s="9" t="str">
        <x:v>验证忘记旧密码进入验证重置</x:v>
      </x:c>
      <x:c r="H166" s="9" t="str">
        <x:v>验证重置入口</x:v>
      </x:c>
      <x:c r="I166" s="9" t="str">
        <x:v>1. 用户为本条执行者
2. 用户甲当前有效密码为 OldPass#2026</x:v>
      </x:c>
      <x:c r="J166" s="9" t="str">
        <x:v>1. 打开修改密码
2. 点击忘记当前密码</x:v>
      </x:c>
      <x:c r="K166" s="9" t="str">
        <x:v>进入忘记密码页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 1503 行；REQ-d64401c506c6、第 1505 行；REQ-6920f539ff83、第 1496 行
2. 规则：BR-CA74FADF30F105
3. 未动态验证
4. 示例账号、编号、金额与日期是本条测试数据；执行前按前置条件准备，未填写的产品决策不得自行假定。</x:v>
      </x:c>
    </x:row>
    <x:row r="167" ht="175" customHeight="1">
      <x:c r="A167" s="10" t="n">
        <x:v>166</x:v>
      </x:c>
      <x:c r="B167" s="10" t="str">
        <x:v>USER-0166</x:v>
      </x:c>
      <x:c r="C167" s="10" t="str">
        <x:v>钱包与充值</x:v>
      </x:c>
      <x:c r="D167" s="10" t="str">
        <x:v>余额充值（用户）</x:v>
      </x:c>
      <x:c r="E167" s="10" t="str">
        <x:v>功能需求</x:v>
      </x:c>
      <x:c r="F167" s="10" t="str">
        <x:v>P1</x:v>
      </x:c>
      <x:c r="G167" s="9" t="str">
        <x:v>验证充值套餐分别显示基础金币与赠送金币</x:v>
      </x:c>
      <x:c r="H167" s="9" t="str">
        <x:v>基础金币</x:v>
      </x:c>
      <x:c r="I167" s="9" t="str">
        <x:v>1. 用户为本条执行者
2. 普通用户甲已登录，本充值流程开始前真实金币余额为 200；上架套餐 P001 为 1.50 USD、基础金币 100、赠送金币 20，处于可购有效期</x:v>
      </x:c>
      <x:c r="J167" s="9" t="str">
        <x:v>1. 打开余额充值
2. 查看套餐 P001</x:v>
      </x:c>
      <x:c r="K167" s="9" t="str">
        <x:v>套餐 P001 基础金币显示 100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 1294 行；REQ-22e4a9e542d4、第 1295 行；REQ-afb2e3c341b6、第 1296 行；REQ-052afe1173a5、第 1299 行；REQ-b605fa170d72、第 1305 行；REQ-75ea9808f9ef、第 1289 行
2. 规则：BR-54E7B1A882C2B3
3. 未动态验证
4. 示例账号、编号、金额与日期是本条测试数据；执行前按前置条件准备，未填写的产品决策不得自行假定。</x:v>
      </x:c>
    </x:row>
    <x:row r="168" ht="175" customHeight="1">
      <x:c r="A168" s="10" t="n">
        <x:v>167</x:v>
      </x:c>
      <x:c r="B168" s="10" t="str">
        <x:v>USER-0167</x:v>
      </x:c>
      <x:c r="C168" s="10" t="str">
        <x:v>钱包与充值</x:v>
      </x:c>
      <x:c r="D168" s="10" t="str">
        <x:v>余额充值（用户）</x:v>
      </x:c>
      <x:c r="E168" s="10" t="str">
        <x:v>功能需求</x:v>
      </x:c>
      <x:c r="F168" s="10" t="str">
        <x:v>P1</x:v>
      </x:c>
      <x:c r="G168" s="9" t="str">
        <x:v>验证充值套餐分别显示基础金币与赠送金币</x:v>
      </x:c>
      <x:c r="H168" s="9" t="str">
        <x:v>赠送金币</x:v>
      </x:c>
      <x:c r="I168" s="9" t="str">
        <x:v>1. 用户为本条执行者
2. 普通用户甲已登录，本充值流程开始前真实金币余额为 200；上架套餐 P001 为 1.50 USD、基础金币 100、赠送金币 20，处于可购有效期</x:v>
      </x:c>
      <x:c r="J168" s="9" t="str">
        <x:v>1. 打开余额充值
2. 查看套餐 P001</x:v>
      </x:c>
      <x:c r="K168" s="9" t="str">
        <x:v>套餐 P001 赠送金币显示 +20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 1294 行；REQ-22e4a9e542d4、第 1295 行；REQ-afb2e3c341b6、第 1296 行；REQ-052afe1173a5、第 1299 行；REQ-b605fa170d72、第 1305 行；REQ-75ea9808f9ef、第 1289 行
2. 规则：BR-7D3ABD65457F73
3. 未动态验证
4. 示例账号、编号、金额与日期是本条测试数据；执行前按前置条件准备，未填写的产品决策不得自行假定。</x:v>
      </x:c>
    </x:row>
    <x:row r="169" ht="175" customHeight="1">
      <x:c r="A169" s="10" t="n">
        <x:v>168</x:v>
      </x:c>
      <x:c r="B169" s="10" t="str">
        <x:v>USER-0168</x:v>
      </x:c>
      <x:c r="C169" s="10" t="str">
        <x:v>钱包与充值</x:v>
      </x:c>
      <x:c r="D169" s="10" t="str">
        <x:v>余额充值（用户）</x:v>
      </x:c>
      <x:c r="E169" s="10" t="str">
        <x:v>功能需求</x:v>
      </x:c>
      <x:c r="F169" s="10" t="str">
        <x:v>P1</x:v>
      </x:c>
      <x:c r="G169" s="9" t="str">
        <x:v>验证充值套餐分别显示基础金币与赠送金币</x:v>
      </x:c>
      <x:c r="H169" s="9" t="str">
        <x:v>美元价格</x:v>
      </x:c>
      <x:c r="I169" s="9" t="str">
        <x:v>1. 用户为本条执行者
2. 普通用户甲已登录，本充值流程开始前真实金币余额为 200；上架套餐 P001 为 1.50 USD、基础金币 100、赠送金币 20，处于可购有效期</x:v>
      </x:c>
      <x:c r="J169" s="9" t="str">
        <x:v>1. 打开余额充值
2. 查看套餐 P001</x:v>
      </x:c>
      <x:c r="K169" s="9" t="str">
        <x:v>套餐 P001 价格显示 1.50 USD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 1294 行；REQ-22e4a9e542d4、第 1295 行；REQ-afb2e3c341b6、第 1296 行；REQ-052afe1173a5、第 1299 行；REQ-b605fa170d72、第 1305 行；REQ-75ea9808f9ef、第 1289 行
2. 规则：BR-10F6F5B1876271
3. 未动态验证
4. 示例账号、编号、金额与日期是本条测试数据；执行前按前置条件准备，未填写的产品决策不得自行假定。</x:v>
      </x:c>
    </x:row>
    <x:row r="170" ht="175" customHeight="1">
      <x:c r="A170" s="10" t="n">
        <x:v>169</x:v>
      </x:c>
      <x:c r="B170" s="10" t="str">
        <x:v>USER-0169</x:v>
      </x:c>
      <x:c r="C170" s="10" t="str">
        <x:v>钱包与充值</x:v>
      </x:c>
      <x:c r="D170" s="10" t="str">
        <x:v>余额充值（用户）</x:v>
      </x:c>
      <x:c r="E170" s="10" t="str">
        <x:v>功能需求</x:v>
      </x:c>
      <x:c r="F170" s="10" t="str">
        <x:v>P1</x:v>
      </x:c>
      <x:c r="G170" s="9" t="str">
        <x:v>验证充值套餐分别显示基础金币与赠送金币</x:v>
      </x:c>
      <x:c r="H170" s="9" t="str">
        <x:v>赠送比例</x:v>
      </x:c>
      <x:c r="I170" s="9" t="str">
        <x:v>1. 用户为本条执行者
2. 普通用户甲已登录，本充值流程开始前真实金币余额为 200；上架套餐 P001 为 1.50 USD、基础金币 100、赠送金币 20，处于可购有效期</x:v>
      </x:c>
      <x:c r="J170" s="9" t="str">
        <x:v>1. 打开余额充值
2. 查看套餐 P001</x:v>
      </x:c>
      <x:c r="K170" s="9" t="str">
        <x:v>赠送比例 = 20 %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 1294 行；REQ-22e4a9e542d4、第 1295 行；REQ-afb2e3c341b6、第 1296 行；REQ-052afe1173a5、第 1299 行；REQ-b605fa170d72、第 1305 行；REQ-75ea9808f9ef、第 1289 行
2. 规则：BR-4739B8B0CF4BDA
3. 未动态验证
4. 示例账号、编号、金额与日期是本条测试数据；执行前按前置条件准备，未填写的产品决策不得自行假定。</x:v>
      </x:c>
    </x:row>
    <x:row r="171" ht="220" customHeight="1">
      <x:c r="A171" s="10" t="n">
        <x:v>170</x:v>
      </x:c>
      <x:c r="B171" s="10" t="str">
        <x:v>USER-0170</x:v>
      </x:c>
      <x:c r="C171" s="10" t="str">
        <x:v>钱包与充值</x:v>
      </x:c>
      <x:c r="D171" s="10" t="str">
        <x:v>余额充值（用户）</x:v>
      </x:c>
      <x:c r="E171" s="10" t="str">
        <x:v>功能需求</x:v>
      </x:c>
      <x:c r="F171" s="10" t="str">
        <x:v>P1</x:v>
      </x:c>
      <x:c r="G171" s="9" t="str">
        <x:v>验证支付成功后充值金币到账</x:v>
      </x:c>
      <x:c r="H171" s="9" t="str">
        <x:v>金币余额</x:v>
      </x:c>
      <x:c r="I171" s="9" t="str">
        <x:v>1. 用户为本条执行者
2. 普通用户甲已登录，本充值流程开始前真实金币余额为 200；上架套餐 P001 为 1.50 USD、基础金币 100、赠送金币 20，处于可购有效期</x:v>
      </x:c>
      <x:c r="J171" s="9" t="str">
        <x:v>1. 打开余额充值
2. 点击套餐 P001 的价格按钮
3. 完成测试渠道支付
4. 查看金币余额</x:v>
      </x:c>
      <x:c r="K171" s="9" t="str">
        <x:v>金币余额 = 320 金币</x:v>
      </x:c>
      <x:c r="L171" s="10" t="str">
        <x:v>FLOW-2BA2481A</x:v>
      </x:c>
      <x:c r="M171" s="10" t="str">
        <x:v>未测</x:v>
      </x:c>
      <x:c r="N171" s="10" t="str"/>
      <x:c r="O171" s="9" t="str">
        <x:v>1. 来源（当前证据）：liveshow-proto/MainBasis/统一需求文档.md；位置：第 1291 行；REQ-b1863c50e3dc、第 1292 行；REQ-df533863abd0、第 1295 行；REQ-afb2e3c341b6、第 1301 行；REQ-eccfb73ebed1、第 1302 行；REQ-7f4554ffc2b6、第 1303 行；REQ-33923242e1a4、第 1306 行；REQ-dd6df4e4ca51、第 1307 行；REQ-60ec2f938995、第 1289 行
2. 规则：BR-A125C546E1613F
3. 未动态验证
4. 示例账号、编号、金额与日期是本条测试数据；执行前按前置条件准备，未填写的产品决策不得自行假定。</x:v>
      </x:c>
    </x:row>
    <x:row r="172" ht="145" customHeight="1">
      <x:c r="A172" s="10" t="n">
        <x:v>171</x:v>
      </x:c>
      <x:c r="B172" s="10" t="str">
        <x:v>USER-0171</x:v>
      </x:c>
      <x:c r="C172" s="10" t="str">
        <x:v>钱包与充值</x:v>
      </x:c>
      <x:c r="D172" s="10" t="str">
        <x:v>余额充值（用户）</x:v>
      </x:c>
      <x:c r="E172" s="10" t="str">
        <x:v>异常用例</x:v>
      </x:c>
      <x:c r="F172" s="10" t="str">
        <x:v>P1</x:v>
      </x:c>
      <x:c r="G172" s="9" t="str">
        <x:v>验证支付失败不增加金币</x:v>
      </x:c>
      <x:c r="H172" s="9" t="str">
        <x:v>支付未完成的余额</x:v>
      </x:c>
      <x:c r="I172" s="9" t="str">
        <x:v>1. 用户为本条执行者
2. 普通用户甲已登录，本充值流程开始前真实金币余额为 200；上架套餐 P001 为 1.50 USD、基础金币 100、赠送金币 20，处于可购有效期</x:v>
      </x:c>
      <x:c r="J172" s="9" t="str">
        <x:v>1. 打开余额充值
2. 点击套餐 P001 的价格按钮
3. 使用测试渠道产生支付失败
4. 查看金币余额</x:v>
      </x:c>
      <x:c r="K172" s="9" t="str">
        <x:v>金币余额仍为 200</x:v>
      </x:c>
      <x:c r="L172" s="10" t="str">
        <x:v>FLOW-2BA2481A</x:v>
      </x:c>
      <x:c r="M172" s="10" t="str">
        <x:v>未测</x:v>
      </x:c>
      <x:c r="N172" s="10" t="str"/>
      <x:c r="O172" s="9" t="str">
        <x:v>1. 来源（当前证据）：liveshow-proto/MainBasis/统一需求文档.md；位置：第 1302 行；REQ-7f4554ffc2b6、第 1306 行；REQ-dd6df4e4ca51、第 1289 行
2. 规则：BR-A1CAB797170208
3. 未动态验证
4. 示例账号、编号、金额与日期是本条测试数据；执行前按前置条件准备，未填写的产品决策不得自行假定。</x:v>
      </x:c>
    </x:row>
    <x:row r="173" ht="145" customHeight="1">
      <x:c r="A173" s="10" t="n">
        <x:v>172</x:v>
      </x:c>
      <x:c r="B173" s="10" t="str">
        <x:v>USER-0172</x:v>
      </x:c>
      <x:c r="C173" s="10" t="str">
        <x:v>钱包与充值</x:v>
      </x:c>
      <x:c r="D173" s="10" t="str">
        <x:v>余额充值（用户）</x:v>
      </x:c>
      <x:c r="E173" s="10" t="str">
        <x:v>功能需求</x:v>
      </x:c>
      <x:c r="F173" s="10" t="str">
        <x:v>P1</x:v>
      </x:c>
      <x:c r="G173" s="9" t="str">
        <x:v>验证支付超时不增加金币</x:v>
      </x:c>
      <x:c r="H173" s="9" t="str">
        <x:v>支付未完成的余额</x:v>
      </x:c>
      <x:c r="I173" s="9" t="str">
        <x:v>1. 用户为本条执行者
2. 普通用户甲已登录，本充值流程开始前真实金币余额为 200；上架套餐 P001 为 1.50 USD、基础金币 100、赠送金币 20，处于可购有效期</x:v>
      </x:c>
      <x:c r="J173" s="9" t="str">
        <x:v>1. 打开余额充值
2. 点击套餐 P001 的价格按钮
3. 使用测试渠道产生支付超时
4. 查看金币余额</x:v>
      </x:c>
      <x:c r="K173" s="9" t="str">
        <x:v>金币余额仍为 200</x:v>
      </x:c>
      <x:c r="L173" s="10" t="str">
        <x:v>FLOW-2BA2481A</x:v>
      </x:c>
      <x:c r="M173" s="10" t="str">
        <x:v>未测</x:v>
      </x:c>
      <x:c r="N173" s="10" t="str"/>
      <x:c r="O173" s="9" t="str">
        <x:v>1. 来源（当前证据）：liveshow-proto/MainBasis/统一需求文档.md；位置：第 1302 行；REQ-7f4554ffc2b6、第 1306 行；REQ-dd6df4e4ca51、第 1289 行
2. 规则：BR-0558B16119CB48
3. 未动态验证
4. 示例账号、编号、金额与日期是本条测试数据；执行前按前置条件准备，未填写的产品决策不得自行假定。</x:v>
      </x:c>
    </x:row>
    <x:row r="174" ht="145" customHeight="1">
      <x:c r="A174" s="10" t="n">
        <x:v>173</x:v>
      </x:c>
      <x:c r="B174" s="10" t="str">
        <x:v>USER-0173</x:v>
      </x:c>
      <x:c r="C174" s="10" t="str">
        <x:v>钱包与充值</x:v>
      </x:c>
      <x:c r="D174" s="10" t="str">
        <x:v>余额充值（用户）</x:v>
      </x:c>
      <x:c r="E174" s="10" t="str">
        <x:v>功能需求</x:v>
      </x:c>
      <x:c r="F174" s="10" t="str">
        <x:v>P1</x:v>
      </x:c>
      <x:c r="G174" s="9" t="str">
        <x:v>验证取消支付不增加金币</x:v>
      </x:c>
      <x:c r="H174" s="9" t="str">
        <x:v>支付未完成的余额</x:v>
      </x:c>
      <x:c r="I174" s="9" t="str">
        <x:v>1. 用户为本条执行者
2. 普通用户甲已登录，本充值流程开始前真实金币余额为 200；上架套餐 P001 为 1.50 USD、基础金币 100、赠送金币 20，处于可购有效期</x:v>
      </x:c>
      <x:c r="J174" s="9" t="str">
        <x:v>1. 打开余额充值
2. 点击套餐 P001 的价格按钮
3. 取消支付
4. 查看金币余额</x:v>
      </x:c>
      <x:c r="K174" s="9" t="str">
        <x:v>金币余额仍为 200</x:v>
      </x:c>
      <x:c r="L174" s="10" t="str">
        <x:v>FLOW-2BA2481A</x:v>
      </x:c>
      <x:c r="M174" s="10" t="str">
        <x:v>未测</x:v>
      </x:c>
      <x:c r="N174" s="10" t="str"/>
      <x:c r="O174" s="9" t="str">
        <x:v>1. 来源（当前证据）：liveshow-proto/MainBasis/统一需求文档.md；位置：第 1302 行；REQ-7f4554ffc2b6、第 1306 行；REQ-dd6df4e4ca51、第 1289 行
2. 规则：BR-78C945BF1BAD07
3. 未动态验证
4. 示例账号、编号、金额与日期是本条测试数据；执行前按前置条件准备，未填写的产品决策不得自行假定。</x:v>
      </x:c>
    </x:row>
    <x:row r="175" ht="160" customHeight="1">
      <x:c r="A175" s="10" t="n">
        <x:v>174</x:v>
      </x:c>
      <x:c r="B175" s="10" t="str">
        <x:v>USER-0174</x:v>
      </x:c>
      <x:c r="C175" s="10" t="str">
        <x:v>钱包与充值</x:v>
      </x:c>
      <x:c r="D175" s="10" t="str">
        <x:v>余额充值（用户）</x:v>
      </x:c>
      <x:c r="E175" s="10" t="str">
        <x:v>功能需求</x:v>
      </x:c>
      <x:c r="F175" s="10" t="str">
        <x:v>P1</x:v>
      </x:c>
      <x:c r="G175" s="9" t="str">
        <x:v>验证同一支付订单重复回调只入账一次</x:v>
      </x:c>
      <x:c r="H175" s="9" t="str">
        <x:v>充值回调幂等</x:v>
      </x:c>
      <x:c r="I175" s="9" t="str">
        <x:v>1. 用户为本条执行者
2. 普通用户甲已登录，本充值流程开始前真实金币余额为 200；上架套餐 P001 为 1.50 USD、基础金币 100、赠送金币 20，处于可购有效期
3. 订单 C001 已成功入账 120 金币，账号当前余额为 320；测试支付渠道对 C001 重放同一成功回调</x:v>
      </x:c>
      <x:c r="J175" s="9" t="str">
        <x:v>1. 打开余额充值
2. 查看金币余额</x:v>
      </x:c>
      <x:c r="K175" s="9" t="str">
        <x:v>金币余额仍为 320</x:v>
      </x:c>
      <x:c r="L175" s="10" t="str">
        <x:v>FLOW-2BA2481A</x:v>
      </x:c>
      <x:c r="M175" s="10" t="str">
        <x:v>未测</x:v>
      </x:c>
      <x:c r="N175" s="10" t="str"/>
      <x:c r="O175" s="9" t="str">
        <x:v>1. 来源（当前证据）：liveshow-proto/MainBasis/统一需求文档.md；位置：第 1302 行；REQ-7f4554ffc2b6、第 1289 行
2. 规则：BR-A2EA5E73CFCAC3
3. 未动态验证
4. 示例账号、编号、金额与日期是本条测试数据；执行前按前置条件准备，未填写的产品决策不得自行假定。</x:v>
      </x:c>
    </x:row>
    <x:row r="176" ht="145" customHeight="1">
      <x:c r="A176" s="10" t="n">
        <x:v>175</x:v>
      </x:c>
      <x:c r="B176" s="10" t="str">
        <x:v>USER-0175</x:v>
      </x:c>
      <x:c r="C176" s="10" t="str">
        <x:v>钱包与充值</x:v>
      </x:c>
      <x:c r="D176" s="10" t="str">
        <x:v>余额充值（用户）</x:v>
      </x:c>
      <x:c r="E176" s="10" t="str">
        <x:v>功能需求</x:v>
      </x:c>
      <x:c r="F176" s="10" t="str">
        <x:v>P1</x:v>
      </x:c>
      <x:c r="G176" s="9" t="str">
        <x:v>验证支付使用下单时套餐快照</x:v>
      </x:c>
      <x:c r="H176" s="9" t="str">
        <x:v>金币余额</x:v>
      </x:c>
      <x:c r="I176" s="9" t="str">
        <x:v>1. 用户为本条执行者
2. 普通用户甲已登录，本充值流程开始前真实金币余额为 200；上架套餐 P001 为 1.50 USD、基础金币 100、赠送金币 20，处于可购有效期
3. 订单 C001 下单时金币为 100+20；管理员在下单后将 P001 改为 200+40</x:v>
      </x:c>
      <x:c r="J176" s="9" t="str">
        <x:v>1. 完成订单 C001 的支付
2. 打开余额充值
3. 查看金币余额</x:v>
      </x:c>
      <x:c r="K176" s="9" t="str">
        <x:v>金币余额 = 320 金币</x:v>
      </x:c>
      <x:c r="L176" s="10" t="str">
        <x:v>FLOW-2BA2481A</x:v>
      </x:c>
      <x:c r="M176" s="10" t="str">
        <x:v>未测</x:v>
      </x:c>
      <x:c r="N176" s="10" t="str"/>
      <x:c r="O176" s="9" t="str">
        <x:v>1. 来源（当前证据）：liveshow-proto/MainBasis/统一需求文档.md；位置：第 1302 行；REQ-7f4554ffc2b6、第 1289 行
2. 规则：BR-AD3D8371EF183E
3. 未动态验证
4. 示例账号、编号、金额与日期是本条测试数据；执行前按前置条件准备，未填写的产品决策不得自行假定。</x:v>
      </x:c>
    </x:row>
    <x:row r="177" ht="175" customHeight="1">
      <x:c r="A177" s="10" t="n">
        <x:v>176</x:v>
      </x:c>
      <x:c r="B177" s="10" t="str">
        <x:v>USER-0176</x:v>
      </x:c>
      <x:c r="C177" s="10" t="str">
        <x:v>钱包与充值</x:v>
      </x:c>
      <x:c r="D177" s="10" t="str">
        <x:v>余额充值（用户）</x:v>
      </x:c>
      <x:c r="E177" s="10" t="str">
        <x:v>功能需求</x:v>
      </x:c>
      <x:c r="F177" s="10" t="str">
        <x:v>P1</x:v>
      </x:c>
      <x:c r="G177" s="9" t="str">
        <x:v>验证活动限购两次且已成功购买 0 次</x:v>
      </x:c>
      <x:c r="H177" s="9" t="str">
        <x:v>活动限购可购性</x:v>
      </x:c>
      <x:c r="I177" s="9" t="str">
        <x:v>1. 用户为本条执行者
2. 普通用户甲已登录，本充值流程开始前真实金币余额为 200；上架套餐 P001 为 1.50 USD、基础金币 100、赠送金币 20，处于可购有效期
3. P001 为限购 2 次的活动套餐；用户甲已成功购买 0 次</x:v>
      </x:c>
      <x:c r="J177" s="9" t="str">
        <x:v>1. 打开余额充值
2. 查看可购买套餐</x:v>
      </x:c>
      <x:c r="K177" s="9" t="str">
        <x:v>可购买套餐中包含 P001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 1298 行；REQ-79763345a96e、第 1300 行；REQ-de06a87195aa、第 1301 行；REQ-eccfb73ebed1、第 1306 行；REQ-dd6df4e4ca51、第 1289 行
2. 规则：BR-2DF4D53B872CC3
3. 未动态验证
4. 示例账号、编号、金额与日期是本条测试数据；执行前按前置条件准备，未填写的产品决策不得自行假定。</x:v>
      </x:c>
    </x:row>
    <x:row r="178" ht="175" customHeight="1">
      <x:c r="A178" s="10" t="n">
        <x:v>177</x:v>
      </x:c>
      <x:c r="B178" s="10" t="str">
        <x:v>USER-0177</x:v>
      </x:c>
      <x:c r="C178" s="10" t="str">
        <x:v>钱包与充值</x:v>
      </x:c>
      <x:c r="D178" s="10" t="str">
        <x:v>余额充值（用户）</x:v>
      </x:c>
      <x:c r="E178" s="10" t="str">
        <x:v>功能需求</x:v>
      </x:c>
      <x:c r="F178" s="10" t="str">
        <x:v>P1</x:v>
      </x:c>
      <x:c r="G178" s="9" t="str">
        <x:v>验证活动限购两次且已成功购买 1 次</x:v>
      </x:c>
      <x:c r="H178" s="9" t="str">
        <x:v>活动限购可购性</x:v>
      </x:c>
      <x:c r="I178" s="9" t="str">
        <x:v>1. 用户为本条执行者
2. 普通用户甲已登录，本充值流程开始前真实金币余额为 200；上架套餐 P001 为 1.50 USD、基础金币 100、赠送金币 20，处于可购有效期
3. P001 为限购 2 次的活动套餐；用户甲已成功购买 1 次</x:v>
      </x:c>
      <x:c r="J178" s="9" t="str">
        <x:v>1. 打开余额充值
2. 查看可购买套餐</x:v>
      </x:c>
      <x:c r="K178" s="9" t="str">
        <x:v>可购买套餐中包含 P001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 1298 行；REQ-79763345a96e、第 1300 行；REQ-de06a87195aa、第 1301 行；REQ-eccfb73ebed1、第 1306 行；REQ-dd6df4e4ca51、第 1289 行
2. 规则：BR-8F0554E3CF66A6
3. 未动态验证
4. 示例账号、编号、金额与日期是本条测试数据；执行前按前置条件准备，未填写的产品决策不得自行假定。</x:v>
      </x:c>
    </x:row>
    <x:row r="179" ht="175" customHeight="1">
      <x:c r="A179" s="10" t="n">
        <x:v>178</x:v>
      </x:c>
      <x:c r="B179" s="10" t="str">
        <x:v>USER-0178</x:v>
      </x:c>
      <x:c r="C179" s="10" t="str">
        <x:v>钱包与充值</x:v>
      </x:c>
      <x:c r="D179" s="10" t="str">
        <x:v>余额充值（用户）</x:v>
      </x:c>
      <x:c r="E179" s="10" t="str">
        <x:v>功能需求</x:v>
      </x:c>
      <x:c r="F179" s="10" t="str">
        <x:v>P1</x:v>
      </x:c>
      <x:c r="G179" s="9" t="str">
        <x:v>验证活动限购两次且已成功购买 2 次</x:v>
      </x:c>
      <x:c r="H179" s="9" t="str">
        <x:v>活动限购可购性</x:v>
      </x:c>
      <x:c r="I179" s="9" t="str">
        <x:v>1. 用户为本条执行者
2. 普通用户甲已登录，本充值流程开始前真实金币余额为 200；上架套餐 P001 为 1.50 USD、基础金币 100、赠送金币 20，处于可购有效期
3. P001 为限购 2 次的活动套餐；用户甲已成功购买 2 次</x:v>
      </x:c>
      <x:c r="J179" s="9" t="str">
        <x:v>1. 打开余额充值
2. 查看可购买套餐</x:v>
      </x:c>
      <x:c r="K179" s="9" t="str">
        <x:v>可购买套餐中不包含 P001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 1298 行；REQ-79763345a96e、第 1300 行；REQ-de06a87195aa、第 1301 行；REQ-eccfb73ebed1、第 1306 行；REQ-dd6df4e4ca51、第 1289 行
2. 规则：BR-515D71216DC2B3
3. 未动态验证
4. 示例账号、编号、金额与日期是本条测试数据；执行前按前置条件准备，未填写的产品决策不得自行假定。</x:v>
      </x:c>
    </x:row>
    <x:row r="180" ht="130" customHeight="1">
      <x:c r="A180" s="10" t="n">
        <x:v>179</x:v>
      </x:c>
      <x:c r="B180" s="10" t="str">
        <x:v>USER-0179</x:v>
      </x:c>
      <x:c r="C180" s="10" t="str">
        <x:v>钱包与充值</x:v>
      </x:c>
      <x:c r="D180" s="10" t="str">
        <x:v>余额充值（用户）</x:v>
      </x:c>
      <x:c r="E180" s="10" t="str">
        <x:v>功能需求</x:v>
      </x:c>
      <x:c r="F180" s="10" t="str">
        <x:v>P1</x:v>
      </x:c>
      <x:c r="G180" s="9" t="str">
        <x:v>验证活动套餐限购零代表不限购</x:v>
      </x:c>
      <x:c r="H180" s="9" t="str">
        <x:v>不限购配置</x:v>
      </x:c>
      <x:c r="I180" s="9" t="str">
        <x:v>1. 用户为本条执行者
2. 普通用户甲已登录，本充值流程开始前真实金币余额为 200；上架套餐 P001 为 1.50 USD、基础金币 100、赠送金币 20，处于可购有效期
3. P001 限购次数为 0，用户甲已有 3 笔成功购买记录</x:v>
      </x:c>
      <x:c r="J180" s="9" t="str">
        <x:v>1. 打开余额充值
2. 查看可购买套餐</x:v>
      </x:c>
      <x:c r="K180" s="9" t="str">
        <x:v>可购买套餐中包含 P001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 1301 行；REQ-eccfb73ebed1、第 1289 行
2. 规则：BR-4662938D9330F6
3. 未动态验证
4. 示例账号、编号、金额与日期是本条测试数据；执行前按前置条件准备，未填写的产品决策不得自行假定。</x:v>
      </x:c>
    </x:row>
    <x:row r="181" ht="145" customHeight="1">
      <x:c r="A181" s="10" t="n">
        <x:v>180</x:v>
      </x:c>
      <x:c r="B181" s="10" t="str">
        <x:v>USER-0180</x:v>
      </x:c>
      <x:c r="C181" s="10" t="str">
        <x:v>钱包与充值</x:v>
      </x:c>
      <x:c r="D181" s="10" t="str">
        <x:v>余额充值（用户）</x:v>
      </x:c>
      <x:c r="E181" s="10" t="str">
        <x:v>功能需求</x:v>
      </x:c>
      <x:c r="F181" s="10" t="str">
        <x:v>P1</x:v>
      </x:c>
      <x:c r="G181" s="9" t="str">
        <x:v>验证全额退款不恢复活动购买次数</x:v>
      </x:c>
      <x:c r="H181" s="9" t="str">
        <x:v>退款后限购次数</x:v>
      </x:c>
      <x:c r="I181" s="9" t="str">
        <x:v>1. 用户为本条执行者
2. 普通用户甲已登录，本充值流程开始前真实金币余额为 200；上架套餐 P001 为 1.50 USD、基础金币 100、赠送金币 20，处于可购有效期
3. P001 限购 1 次，用户甲唯一成功订单已全额退款</x:v>
      </x:c>
      <x:c r="J181" s="9" t="str">
        <x:v>1. 打开余额充值
2. 查看可购买套餐</x:v>
      </x:c>
      <x:c r="K181" s="9" t="str">
        <x:v>可购买套餐中不包含 P001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 1300 行；REQ-de06a87195aa、第 1301 行；REQ-eccfb73ebed1、第 1289 行
2. 规则：BR-3E83293F59490B
3. 未动态验证
4. 示例账号、编号、金额与日期是本条测试数据；执行前按前置条件准备，未填写的产品决策不得自行假定。</x:v>
      </x:c>
    </x:row>
    <x:row r="182" ht="130" customHeight="1">
      <x:c r="A182" s="10" t="n">
        <x:v>181</x:v>
      </x:c>
      <x:c r="B182" s="10" t="str">
        <x:v>USER-0181</x:v>
      </x:c>
      <x:c r="C182" s="10" t="str">
        <x:v>钱包与充值</x:v>
      </x:c>
      <x:c r="D182" s="10" t="str">
        <x:v>余额充值（用户）</x:v>
      </x:c>
      <x:c r="E182" s="10" t="str">
        <x:v>功能需求</x:v>
      </x:c>
      <x:c r="F182" s="10" t="str">
        <x:v>P1</x:v>
      </x:c>
      <x:c r="G182" s="9" t="str">
        <x:v>验证不展示未开始的充值套餐</x:v>
      </x:c>
      <x:c r="H182" s="9" t="str">
        <x:v>套餐有效范围</x:v>
      </x:c>
      <x:c r="I182" s="9" t="str">
        <x:v>1. 用户为本条执行者
2. 普通用户甲已登录，本充值流程开始前真实金币余额为 200；上架套餐 P001 为 1.50 USD、基础金币 100、赠送金币 20，处于可购有效期
3. 套餐 P002 未开始，套餐 P001 仍可购买</x:v>
      </x:c>
      <x:c r="J182" s="9" t="str">
        <x:v>1. 打开余额充值
2. 查看套餐列表</x:v>
      </x:c>
      <x:c r="K182" s="9" t="str">
        <x:v>可购买套餐中不包含 P002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 1300 行；REQ-de06a87195aa、第 1289 行
2. 规则：BR-DF71DDFEAAA506
3. 未动态验证
4. 示例账号、编号、金额与日期是本条测试数据；执行前按前置条件准备，未填写的产品决策不得自行假定。</x:v>
      </x:c>
    </x:row>
    <x:row r="183" ht="130" customHeight="1">
      <x:c r="A183" s="10" t="n">
        <x:v>182</x:v>
      </x:c>
      <x:c r="B183" s="10" t="str">
        <x:v>USER-0182</x:v>
      </x:c>
      <x:c r="C183" s="10" t="str">
        <x:v>钱包与充值</x:v>
      </x:c>
      <x:c r="D183" s="10" t="str">
        <x:v>余额充值（用户）</x:v>
      </x:c>
      <x:c r="E183" s="10" t="str">
        <x:v>功能需求</x:v>
      </x:c>
      <x:c r="F183" s="10" t="str">
        <x:v>P1</x:v>
      </x:c>
      <x:c r="G183" s="9" t="str">
        <x:v>验证不展示已结束的充值套餐</x:v>
      </x:c>
      <x:c r="H183" s="9" t="str">
        <x:v>套餐有效范围</x:v>
      </x:c>
      <x:c r="I183" s="9" t="str">
        <x:v>1. 用户为本条执行者
2. 普通用户甲已登录，本充值流程开始前真实金币余额为 200；上架套餐 P001 为 1.50 USD、基础金币 100、赠送金币 20，处于可购有效期
3. 套餐 P002 已结束，套餐 P001 仍可购买</x:v>
      </x:c>
      <x:c r="J183" s="9" t="str">
        <x:v>1. 打开余额充值
2. 查看套餐列表</x:v>
      </x:c>
      <x:c r="K183" s="9" t="str">
        <x:v>可购买套餐中不包含 P002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 1300 行；REQ-de06a87195aa、第 1289 行
2. 规则：BR-2EC83DD9243029
3. 未动态验证
4. 示例账号、编号、金额与日期是本条测试数据；执行前按前置条件准备，未填写的产品决策不得自行假定。</x:v>
      </x:c>
    </x:row>
    <x:row r="184" ht="130" customHeight="1">
      <x:c r="A184" s="10" t="n">
        <x:v>183</x:v>
      </x:c>
      <x:c r="B184" s="10" t="str">
        <x:v>USER-0183</x:v>
      </x:c>
      <x:c r="C184" s="10" t="str">
        <x:v>钱包与充值</x:v>
      </x:c>
      <x:c r="D184" s="10" t="str">
        <x:v>余额充值（用户）</x:v>
      </x:c>
      <x:c r="E184" s="10" t="str">
        <x:v>功能需求</x:v>
      </x:c>
      <x:c r="F184" s="10" t="str">
        <x:v>P1</x:v>
      </x:c>
      <x:c r="G184" s="9" t="str">
        <x:v>验证不展示已下架的充值套餐</x:v>
      </x:c>
      <x:c r="H184" s="9" t="str">
        <x:v>套餐有效范围</x:v>
      </x:c>
      <x:c r="I184" s="9" t="str">
        <x:v>1. 用户为本条执行者
2. 普通用户甲已登录，本充值流程开始前真实金币余额为 200；上架套餐 P001 为 1.50 USD、基础金币 100、赠送金币 20，处于可购有效期
3. 套餐 P002 已下架，套餐 P001 仍可购买</x:v>
      </x:c>
      <x:c r="J184" s="9" t="str">
        <x:v>1. 打开余额充值
2. 查看套餐列表</x:v>
      </x:c>
      <x:c r="K184" s="9" t="str">
        <x:v>可购买套餐中不包含 P002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 1300 行；REQ-de06a87195aa、第 1289 行
2. 规则：BR-C4AE6055661522
3. 未动态验证
4. 示例账号、编号、金额与日期是本条测试数据；执行前按前置条件准备，未填写的产品决策不得自行假定。</x:v>
      </x:c>
    </x:row>
    <x:row r="185" ht="145" customHeight="1">
      <x:c r="A185" s="10" t="n">
        <x:v>184</x:v>
      </x:c>
      <x:c r="B185" s="10" t="str">
        <x:v>USER-0184</x:v>
      </x:c>
      <x:c r="C185" s="10" t="str">
        <x:v>钱包与充值</x:v>
      </x:c>
      <x:c r="D185" s="10" t="str">
        <x:v>余额充值（用户）</x:v>
      </x:c>
      <x:c r="E185" s="10" t="str">
        <x:v>功能需求</x:v>
      </x:c>
      <x:c r="F185" s="10" t="str">
        <x:v>P1</x:v>
      </x:c>
      <x:c r="G185" s="9" t="str">
        <x:v>验证活动套餐先于常规套餐显示</x:v>
      </x:c>
      <x:c r="H185" s="9" t="str">
        <x:v>套餐类别优先级</x:v>
      </x:c>
      <x:c r="I185" s="9" t="str">
        <x:v>1. 用户为本条执行者
2. 普通用户甲已登录，本充值流程开始前真实金币余额为 200；上架套餐 P001 为 1.50 USD、基础金币 100、赠送金币 20，处于可购有效期
3. 活动套餐 P001 权重 1，常规套餐 P002 权重 100，均可购买</x:v>
      </x:c>
      <x:c r="J185" s="9" t="str">
        <x:v>1. 打开余额充值
2. 查看套餐排列</x:v>
      </x:c>
      <x:c r="K185" s="9" t="str">
        <x:v>P001 排在 P002 前面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 1300 行；REQ-de06a87195aa、第 1289 行
2. 规则：BR-F979B4F3C6ED6C
3. 未动态验证
4. 示例账号、编号、金额与日期是本条测试数据；执行前按前置条件准备，未填写的产品决策不得自行假定。</x:v>
      </x:c>
    </x:row>
    <x:row r="186" ht="145" customHeight="1">
      <x:c r="A186" s="10" t="n">
        <x:v>185</x:v>
      </x:c>
      <x:c r="B186" s="10" t="str">
        <x:v>USER-0185</x:v>
      </x:c>
      <x:c r="C186" s="10" t="str">
        <x:v>钱包与充值</x:v>
      </x:c>
      <x:c r="D186" s="10" t="str">
        <x:v>余额充值（用户）</x:v>
      </x:c>
      <x:c r="E186" s="10" t="str">
        <x:v>功能需求</x:v>
      </x:c>
      <x:c r="F186" s="10" t="str">
        <x:v>P1</x:v>
      </x:c>
      <x:c r="G186" s="9" t="str">
        <x:v>验证同类套餐按权重倒序</x:v>
      </x:c>
      <x:c r="H186" s="9" t="str">
        <x:v>套餐权重排序</x:v>
      </x:c>
      <x:c r="I186" s="9" t="str">
        <x:v>1. 用户为本条执行者
2. 普通用户甲已登录，本充值流程开始前真实金币余额为 200；上架套餐 P001 为 1.50 USD、基础金币 100、赠送金币 20，处于可购有效期
3. 活动套餐 P001 权重 1，活动套餐 P002 权重 100，均可购买</x:v>
      </x:c>
      <x:c r="J186" s="9" t="str">
        <x:v>1. 打开余额充值
2. 查看套餐排列</x:v>
      </x:c>
      <x:c r="K186" s="9" t="str">
        <x:v>P002 排在 P001 前面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 1300 行；REQ-de06a87195aa、第 1289 行
2. 规则：BR-608CB7E97B5536
3. 未动态验证
4. 示例账号、编号、金额与日期是本条测试数据；执行前按前置条件准备，未填写的产品决策不得自行假定。</x:v>
      </x:c>
    </x:row>
    <x:row r="187" ht="145" customHeight="1">
      <x:c r="A187" s="10" t="n">
        <x:v>186</x:v>
      </x:c>
      <x:c r="B187" s="10" t="str">
        <x:v>USER-0186</x:v>
      </x:c>
      <x:c r="C187" s="10" t="str">
        <x:v>钱包与充值</x:v>
      </x:c>
      <x:c r="D187" s="10" t="str">
        <x:v>余额充值（用户）</x:v>
      </x:c>
      <x:c r="E187" s="10" t="str">
        <x:v>功能需求</x:v>
      </x:c>
      <x:c r="F187" s="10" t="str">
        <x:v>P1</x:v>
      </x:c>
      <x:c r="G187" s="9" t="str">
        <x:v>验证后台退款时当前余额为 0</x:v>
      </x:c>
      <x:c r="H187" s="9" t="str">
        <x:v>退款后金币余额</x:v>
      </x:c>
      <x:c r="I187" s="9" t="str">
        <x:v>1. 用户为本条执行者
2. 用户甲在退款前金币余额为 0；后台已完成 C001 全额退款，原订单到账 120 金币</x:v>
      </x:c>
      <x:c r="J187" s="9" t="str">
        <x:v>1. 打开余额充值
2. 查看金币余额</x:v>
      </x:c>
      <x:c r="K187" s="9" t="str">
        <x:v>退款后金币余额 = -120 金币</x:v>
      </x:c>
      <x:c r="L187" s="10" t="str">
        <x:v>FLOW-2815AFE9</x:v>
      </x:c>
      <x:c r="M187" s="10" t="str">
        <x:v>未测</x:v>
      </x:c>
      <x:c r="N187" s="10" t="str"/>
      <x:c r="O187" s="9" t="str">
        <x:v>1. 来源（当前证据）：liveshow-proto/MainBasis/统一需求文档.md；位置：第 1301 行；REQ-eccfb73ebed1、第 1303 行；REQ-33923242e1a4、第 1289 行
2. 规则：BR-A936727ED0467A
3. 未动态验证
4. 示例账号、编号、金额与日期是本条测试数据；执行前按前置条件准备，未填写的产品决策不得自行假定。</x:v>
      </x:c>
    </x:row>
    <x:row r="188" ht="145" customHeight="1">
      <x:c r="A188" s="10" t="n">
        <x:v>187</x:v>
      </x:c>
      <x:c r="B188" s="10" t="str">
        <x:v>USER-0187</x:v>
      </x:c>
      <x:c r="C188" s="10" t="str">
        <x:v>钱包与充值</x:v>
      </x:c>
      <x:c r="D188" s="10" t="str">
        <x:v>余额充值（用户）</x:v>
      </x:c>
      <x:c r="E188" s="10" t="str">
        <x:v>功能需求</x:v>
      </x:c>
      <x:c r="F188" s="10" t="str">
        <x:v>P1</x:v>
      </x:c>
      <x:c r="G188" s="9" t="str">
        <x:v>验证后台退款时当前余额为 100</x:v>
      </x:c>
      <x:c r="H188" s="9" t="str">
        <x:v>退款后金币余额</x:v>
      </x:c>
      <x:c r="I188" s="9" t="str">
        <x:v>1. 用户为本条执行者
2. 用户甲在退款前金币余额为 100；后台已完成 C001 全额退款，原订单到账 120 金币</x:v>
      </x:c>
      <x:c r="J188" s="9" t="str">
        <x:v>1. 打开余额充值
2. 查看金币余额</x:v>
      </x:c>
      <x:c r="K188" s="9" t="str">
        <x:v>退款后金币余额 = -20 金币</x:v>
      </x:c>
      <x:c r="L188" s="10" t="str">
        <x:v>FLOW-2815AFE9</x:v>
      </x:c>
      <x:c r="M188" s="10" t="str">
        <x:v>未测</x:v>
      </x:c>
      <x:c r="N188" s="10" t="str"/>
      <x:c r="O188" s="9" t="str">
        <x:v>1. 来源（当前证据）：liveshow-proto/MainBasis/统一需求文档.md；位置：第 1301 行；REQ-eccfb73ebed1、第 1303 行；REQ-33923242e1a4、第 1289 行
2. 规则：BR-F4BD4AA31B8257
3. 未动态验证
4. 示例账号、编号、金额与日期是本条测试数据；执行前按前置条件准备，未填写的产品决策不得自行假定。</x:v>
      </x:c>
    </x:row>
    <x:row r="189" ht="145" customHeight="1">
      <x:c r="A189" s="10" t="n">
        <x:v>188</x:v>
      </x:c>
      <x:c r="B189" s="10" t="str">
        <x:v>USER-0188</x:v>
      </x:c>
      <x:c r="C189" s="10" t="str">
        <x:v>钱包与充值</x:v>
      </x:c>
      <x:c r="D189" s="10" t="str">
        <x:v>余额充值（用户）</x:v>
      </x:c>
      <x:c r="E189" s="10" t="str">
        <x:v>功能需求</x:v>
      </x:c>
      <x:c r="F189" s="10" t="str">
        <x:v>P1</x:v>
      </x:c>
      <x:c r="G189" s="9" t="str">
        <x:v>验证后台退款时当前余额为 120</x:v>
      </x:c>
      <x:c r="H189" s="9" t="str">
        <x:v>退款后金币余额</x:v>
      </x:c>
      <x:c r="I189" s="9" t="str">
        <x:v>1. 用户为本条执行者
2. 用户甲在退款前金币余额为 120；后台已完成 C001 全额退款，原订单到账 120 金币</x:v>
      </x:c>
      <x:c r="J189" s="9" t="str">
        <x:v>1. 打开余额充值
2. 查看金币余额</x:v>
      </x:c>
      <x:c r="K189" s="9" t="str">
        <x:v>退款后金币余额 = 0 金币</x:v>
      </x:c>
      <x:c r="L189" s="10" t="str">
        <x:v>FLOW-2815AFE9</x:v>
      </x:c>
      <x:c r="M189" s="10" t="str">
        <x:v>未测</x:v>
      </x:c>
      <x:c r="N189" s="10" t="str"/>
      <x:c r="O189" s="9" t="str">
        <x:v>1. 来源（当前证据）：liveshow-proto/MainBasis/统一需求文档.md；位置：第 1301 行；REQ-eccfb73ebed1、第 1303 行；REQ-33923242e1a4、第 1289 行
2. 规则：BR-17FF02C838BE6E
3. 未动态验证
4. 示例账号、编号、金额与日期是本条测试数据；执行前按前置条件准备，未填写的产品决策不得自行假定。</x:v>
      </x:c>
    </x:row>
    <x:row r="190" ht="145" customHeight="1">
      <x:c r="A190" s="10" t="n">
        <x:v>189</x:v>
      </x:c>
      <x:c r="B190" s="10" t="str">
        <x:v>USER-0189</x:v>
      </x:c>
      <x:c r="C190" s="10" t="str">
        <x:v>钱包与充值</x:v>
      </x:c>
      <x:c r="D190" s="10" t="str">
        <x:v>余额充值（用户）</x:v>
      </x:c>
      <x:c r="E190" s="10" t="str">
        <x:v>功能需求</x:v>
      </x:c>
      <x:c r="F190" s="10" t="str">
        <x:v>P1</x:v>
      </x:c>
      <x:c r="G190" s="9" t="str">
        <x:v>验证后台退款时当前余额为 200</x:v>
      </x:c>
      <x:c r="H190" s="9" t="str">
        <x:v>退款后金币余额</x:v>
      </x:c>
      <x:c r="I190" s="9" t="str">
        <x:v>1. 用户为本条执行者
2. 用户甲在退款前金币余额为 200；后台已完成 C001 全额退款，原订单到账 120 金币</x:v>
      </x:c>
      <x:c r="J190" s="9" t="str">
        <x:v>1. 打开余额充值
2. 查看金币余额</x:v>
      </x:c>
      <x:c r="K190" s="9" t="str">
        <x:v>退款后金币余额 = 80 金币</x:v>
      </x:c>
      <x:c r="L190" s="10" t="str">
        <x:v>FLOW-2815AFE9</x:v>
      </x:c>
      <x:c r="M190" s="10" t="str">
        <x:v>未测</x:v>
      </x:c>
      <x:c r="N190" s="10" t="str"/>
      <x:c r="O190" s="9" t="str">
        <x:v>1. 来源（当前证据）：liveshow-proto/MainBasis/统一需求文档.md；位置：第 1301 行；REQ-eccfb73ebed1、第 1303 行；REQ-33923242e1a4、第 1289 行
2. 规则：BR-7483EFBEE9D2F4
3. 未动态验证
4. 示例账号、编号、金额与日期是本条测试数据；执行前按前置条件准备，未填写的产品决策不得自行假定。</x:v>
      </x:c>
    </x:row>
    <x:row r="191" ht="130" customHeight="1">
      <x:c r="A191" s="10" t="n">
        <x:v>190</x:v>
      </x:c>
      <x:c r="B191" s="10" t="str">
        <x:v>USER-0190</x:v>
      </x:c>
      <x:c r="C191" s="10" t="str">
        <x:v>钱包与充值</x:v>
      </x:c>
      <x:c r="D191" s="10" t="str">
        <x:v>余额充值（用户）</x:v>
      </x:c>
      <x:c r="E191" s="10" t="str">
        <x:v>功能需求</x:v>
      </x:c>
      <x:c r="F191" s="10" t="str">
        <x:v>P1</x:v>
      </x:c>
      <x:c r="G191" s="9" t="str">
        <x:v>验证负余额充值先抵扣欠额</x:v>
      </x:c>
      <x:c r="H191" s="9" t="str">
        <x:v>充值后余额</x:v>
      </x:c>
      <x:c r="I191" s="9" t="str">
        <x:v>1. 用户为本条执行者
2. 当前余额 -120 金币，上架套餐 P003 基础金币 200，无赠送，处于可购有效期</x:v>
      </x:c>
      <x:c r="J191" s="9" t="str">
        <x:v>1. 打开余额充值
2. 点击套餐 P003 价格按钮
3. 完成测试渠道支付
4. 查看金币余额</x:v>
      </x:c>
      <x:c r="K191" s="9" t="str">
        <x:v>充值后余额 = 80 金币</x:v>
      </x:c>
      <x:c r="L191" s="10" t="str">
        <x:v>FLOW-2815AFE9</x:v>
      </x:c>
      <x:c r="M191" s="10" t="str">
        <x:v>未测</x:v>
      </x:c>
      <x:c r="N191" s="10" t="str"/>
      <x:c r="O191" s="9" t="str">
        <x:v>1. 来源（当前证据）：liveshow-proto/MainBasis/统一需求文档.md；位置：第 1303 行；REQ-33923242e1a4、第 1289 行
2. 规则：BR-A98B315079C071
3. 未动态验证
4. 示例账号、编号、金额与日期是本条测试数据；执行前按前置条件准备，未填写的产品决策不得自行假定。</x:v>
      </x:c>
    </x:row>
    <x:row r="192" ht="130" customHeight="1">
      <x:c r="A192" s="10" t="n">
        <x:v>191</x:v>
      </x:c>
      <x:c r="B192" s="10" t="str">
        <x:v>USER-0191</x:v>
      </x:c>
      <x:c r="C192" s="10" t="str">
        <x:v>钱包与充值</x:v>
      </x:c>
      <x:c r="D192" s="10" t="str">
        <x:v>余额明细（用户）</x:v>
      </x:c>
      <x:c r="E192" s="10" t="str">
        <x:v>功能需求</x:v>
      </x:c>
      <x:c r="F192" s="10" t="str">
        <x:v>P1</x:v>
      </x:c>
      <x:c r="G192" s="9" t="str">
        <x:v>验证余额明细隔离其他账号流水</x:v>
      </x:c>
      <x:c r="H192" s="9" t="str">
        <x:v>账号流水隔离</x:v>
      </x:c>
      <x:c r="I192" s="9" t="str">
        <x:v>1. 用户为本条执行者
2. 用户甲拥有充值 C001 和送礼消费 E001，用户乙另有流水 B001</x:v>
      </x:c>
      <x:c r="J192" s="9" t="str">
        <x:v>1. 打开余额明细
2. 查看流水列表</x:v>
      </x:c>
      <x:c r="K192" s="9" t="str">
        <x:v>列表不包含用户乙的 B001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 1316 行；REQ-7ab0289dec79、第 1310 行
2. 规则：BR-1A4E6390803960
3. 未动态验证
4. 示例账号、编号、金额与日期是本条测试数据；执行前按前置条件准备，未填写的产品决策不得自行假定。</x:v>
      </x:c>
    </x:row>
    <x:row r="193" ht="130" customHeight="1">
      <x:c r="A193" s="10" t="n">
        <x:v>192</x:v>
      </x:c>
      <x:c r="B193" s="10" t="str">
        <x:v>USER-0192</x:v>
      </x:c>
      <x:c r="C193" s="10" t="str">
        <x:v>钱包与充值</x:v>
      </x:c>
      <x:c r="D193" s="10" t="str">
        <x:v>余额明细（用户）</x:v>
      </x:c>
      <x:c r="E193" s="10" t="str">
        <x:v>功能需求</x:v>
      </x:c>
      <x:c r="F193" s="10" t="str">
        <x:v>P1</x:v>
      </x:c>
      <x:c r="G193" s="9" t="str">
        <x:v>验证流水按时间倒序排列</x:v>
      </x:c>
      <x:c r="H193" s="9" t="str">
        <x:v>流水时间顺序</x:v>
      </x:c>
      <x:c r="I193" s="9" t="str">
        <x:v>1. 用户为本条执行者
2. 用户甲拥有充值 C001 和送礼消费 E001，用户乙另有流水 B001
3. 用户甲流水 F001 发生于 10:00，F002 发生于 11:00</x:v>
      </x:c>
      <x:c r="J193" s="9" t="str">
        <x:v>1. 打开余额明细
2. 查看流水列表</x:v>
      </x:c>
      <x:c r="K193" s="9" t="str">
        <x:v>F002 排在 F001 前面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 1316 行；REQ-7ab0289dec79、第 1310 行
2. 规则：BR-D7FD9C742EB944
3. 未动态验证
4. 示例账号、编号、金额与日期是本条测试数据；执行前按前置条件准备，未填写的产品决策不得自行假定。</x:v>
      </x:c>
    </x:row>
    <x:row r="194" ht="130" customHeight="1">
      <x:c r="A194" s="10" t="n">
        <x:v>193</x:v>
      </x:c>
      <x:c r="B194" s="10" t="str">
        <x:v>USER-0193</x:v>
      </x:c>
      <x:c r="C194" s="10" t="str">
        <x:v>钱包与充值</x:v>
      </x:c>
      <x:c r="D194" s="10" t="str">
        <x:v>余额明细（用户）</x:v>
      </x:c>
      <x:c r="E194" s="10" t="str">
        <x:v>功能需求</x:v>
      </x:c>
      <x:c r="F194" s="10" t="str">
        <x:v>P1</x:v>
      </x:c>
      <x:c r="G194" s="9" t="str">
        <x:v>验证同一时间流水按编号倒序排列</x:v>
      </x:c>
      <x:c r="H194" s="9" t="str">
        <x:v>流水同时间排序</x:v>
      </x:c>
      <x:c r="I194" s="9" t="str">
        <x:v>1. 用户为本条执行者
2. 用户甲拥有充值 C001 和送礼消费 E001，用户乙另有流水 B001
3. 用户甲流水 ID 数字部分为 1001、1002，两笔发生时间相同</x:v>
      </x:c>
      <x:c r="J194" s="9" t="str">
        <x:v>1. 打开余额明细
2. 查看流水列表</x:v>
      </x:c>
      <x:c r="K194" s="9" t="str">
        <x:v>流水 1002 排在 1001 前面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 1316 行；REQ-7ab0289dec79、第 1310 行
2. 规则：BR-768F8ED674AC48
3. 未动态验证
4. 示例账号、编号、金额与日期是本条测试数据；执行前按前置条件准备，未填写的产品决策不得自行假定。</x:v>
      </x:c>
    </x:row>
    <x:row r="195" ht="130" customHeight="1">
      <x:c r="A195" s="10" t="n">
        <x:v>194</x:v>
      </x:c>
      <x:c r="B195" s="10" t="str">
        <x:v>USER-0194</x:v>
      </x:c>
      <x:c r="C195" s="10" t="str">
        <x:v>钱包与充值</x:v>
      </x:c>
      <x:c r="D195" s="10" t="str">
        <x:v>余额明细（用户）</x:v>
      </x:c>
      <x:c r="E195" s="10" t="str">
        <x:v>功能需求</x:v>
      </x:c>
      <x:c r="F195" s="10" t="str">
        <x:v>P1</x:v>
      </x:c>
      <x:c r="G195" s="9" t="str">
        <x:v>验证退款以独立分录体现</x:v>
      </x:c>
      <x:c r="H195" s="9" t="str">
        <x:v>原充值记录保留</x:v>
      </x:c>
      <x:c r="I195" s="9" t="str">
        <x:v>1. 用户为本条执行者
2. 用户甲拥有充值 C001 和送礼消费 E001，用户乙另有流水 B001
3. C001 原充值流水为 +120，后台已完成 C001 全额退款</x:v>
      </x:c>
      <x:c r="J195" s="9" t="str">
        <x:v>1. 打开余额明细
2. 查看 C001 关联流水</x:v>
      </x:c>
      <x:c r="K195" s="9" t="str">
        <x:v>原充值 +120 流水仍保留</x:v>
      </x:c>
      <x:c r="L195" s="10" t="str">
        <x:v>FLOW-2815AFE9</x:v>
      </x:c>
      <x:c r="M195" s="10" t="str">
        <x:v>未测</x:v>
      </x:c>
      <x:c r="N195" s="10" t="str"/>
      <x:c r="O195" s="9" t="str">
        <x:v>1. 来源（当前证据）：liveshow-proto/MainBasis/统一需求文档.md；位置：第 1315 行；REQ-b5d63468de7c、第 1310 行
2. 规则：BR-0BD6F5BF3209BA
3. 未动态验证
4. 示例账号、编号、金额与日期是本条测试数据；执行前按前置条件准备，未填写的产品决策不得自行假定。</x:v>
      </x:c>
    </x:row>
    <x:row r="196" ht="130" customHeight="1">
      <x:c r="A196" s="10" t="n">
        <x:v>195</x:v>
      </x:c>
      <x:c r="B196" s="10" t="str">
        <x:v>USER-0195</x:v>
      </x:c>
      <x:c r="C196" s="10" t="str">
        <x:v>钱包与充值</x:v>
      </x:c>
      <x:c r="D196" s="10" t="str">
        <x:v>余额明细（用户）</x:v>
      </x:c>
      <x:c r="E196" s="10" t="str">
        <x:v>功能需求</x:v>
      </x:c>
      <x:c r="F196" s="10" t="str">
        <x:v>P1</x:v>
      </x:c>
      <x:c r="G196" s="9" t="str">
        <x:v>验证退款以独立分录体现</x:v>
      </x:c>
      <x:c r="H196" s="9" t="str">
        <x:v>退款独立分录</x:v>
      </x:c>
      <x:c r="I196" s="9" t="str">
        <x:v>1. 用户为本条执行者
2. 用户甲拥有充值 C001 和送礼消费 E001，用户乙另有流水 B001
3. C001 原充值流水为 +120，后台已完成 C001 全额退款</x:v>
      </x:c>
      <x:c r="J196" s="9" t="str">
        <x:v>1. 打开余额明细
2. 查看 C001 关联流水</x:v>
      </x:c>
      <x:c r="K196" s="9" t="str">
        <x:v>新增一条 -120 金币的充值退款流水</x:v>
      </x:c>
      <x:c r="L196" s="10" t="str">
        <x:v>FLOW-2815AFE9</x:v>
      </x:c>
      <x:c r="M196" s="10" t="str">
        <x:v>未测</x:v>
      </x:c>
      <x:c r="N196" s="10" t="str"/>
      <x:c r="O196" s="9" t="str">
        <x:v>1. 来源（当前证据）：liveshow-proto/MainBasis/统一需求文档.md；位置：第 1315 行；REQ-b5d63468de7c、第 1310 行
2. 规则：BR-E47958C10186F2
3. 未动态验证
4. 示例账号、编号、金额与日期是本条测试数据；执行前按前置条件准备，未填写的产品决策不得自行假定。</x:v>
      </x:c>
    </x:row>
    <x:row r="197" ht="160" customHeight="1">
      <x:c r="A197" s="10" t="n">
        <x:v>196</x:v>
      </x:c>
      <x:c r="B197" s="10" t="str">
        <x:v>USER-0196</x:v>
      </x:c>
      <x:c r="C197" s="10" t="str">
        <x:v>钱包与充值</x:v>
      </x:c>
      <x:c r="D197" s="10" t="str">
        <x:v>充值订单详情（用户）</x:v>
      </x:c>
      <x:c r="E197" s="10" t="str">
        <x:v>功能需求</x:v>
      </x:c>
      <x:c r="F197" s="10" t="str">
        <x:v>P1</x:v>
      </x:c>
      <x:c r="G197" s="9" t="str">
        <x:v>验证充值详情使用购买快照</x:v>
      </x:c>
      <x:c r="H197" s="9" t="str">
        <x:v>订单基础金币快照</x:v>
      </x:c>
      <x:c r="I197" s="9" t="str">
        <x:v>1. 用户为本条执行者
2. 用户甲选择充值 C001，购买时套餐基础金币 100、赠送金币 20、实付 1.50 USD；当前套餐配置已改为其他数值</x:v>
      </x:c>
      <x:c r="J197" s="9" t="str">
        <x:v>1. 打开 C001 充值订单详情</x:v>
      </x:c>
      <x:c r="K197" s="9" t="str">
        <x:v>套餐金币显示 100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来源（当前证据）：liveshow-proto/MainBasis/统一需求文档.md；位置：第 1325 行；REQ-c7081347bfbe、第 1327 行；REQ-ba5024fab83c、第 1329 行；REQ-cc0d5de370b6、第 1320 行
2. 规则：BR-7BFAA8E4CB466A
3. 未动态验证
4. 示例账号、编号、金额与日期是本条测试数据；执行前按前置条件准备，未填写的产品决策不得自行假定。</x:v>
      </x:c>
    </x:row>
    <x:row r="198" ht="160" customHeight="1">
      <x:c r="A198" s="10" t="n">
        <x:v>197</x:v>
      </x:c>
      <x:c r="B198" s="10" t="str">
        <x:v>USER-0197</x:v>
      </x:c>
      <x:c r="C198" s="10" t="str">
        <x:v>钱包与充值</x:v>
      </x:c>
      <x:c r="D198" s="10" t="str">
        <x:v>充值订单详情（用户）</x:v>
      </x:c>
      <x:c r="E198" s="10" t="str">
        <x:v>功能需求</x:v>
      </x:c>
      <x:c r="F198" s="10" t="str">
        <x:v>P1</x:v>
      </x:c>
      <x:c r="G198" s="9" t="str">
        <x:v>验证充值详情使用购买快照</x:v>
      </x:c>
      <x:c r="H198" s="9" t="str">
        <x:v>订单赠送金币快照</x:v>
      </x:c>
      <x:c r="I198" s="9" t="str">
        <x:v>1. 用户为本条执行者
2. 用户甲选择充值 C001，购买时套餐基础金币 100、赠送金币 20、实付 1.50 USD；当前套餐配置已改为其他数值</x:v>
      </x:c>
      <x:c r="J198" s="9" t="str">
        <x:v>1. 打开 C001 充值订单详情</x:v>
      </x:c>
      <x:c r="K198" s="9" t="str">
        <x:v>赠送金币显示 20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 1325 行；REQ-c7081347bfbe、第 1327 行；REQ-ba5024fab83c、第 1329 行；REQ-cc0d5de370b6、第 1320 行
2. 规则：BR-27854D2BD7F6C5
3. 未动态验证
4. 示例账号、编号、金额与日期是本条测试数据；执行前按前置条件准备，未填写的产品决策不得自行假定。</x:v>
      </x:c>
    </x:row>
    <x:row r="199" ht="160" customHeight="1">
      <x:c r="A199" s="10" t="n">
        <x:v>198</x:v>
      </x:c>
      <x:c r="B199" s="10" t="str">
        <x:v>USER-0198</x:v>
      </x:c>
      <x:c r="C199" s="10" t="str">
        <x:v>钱包与充值</x:v>
      </x:c>
      <x:c r="D199" s="10" t="str">
        <x:v>充值订单详情（用户）</x:v>
      </x:c>
      <x:c r="E199" s="10" t="str">
        <x:v>功能需求</x:v>
      </x:c>
      <x:c r="F199" s="10" t="str">
        <x:v>P1</x:v>
      </x:c>
      <x:c r="G199" s="9" t="str">
        <x:v>验证充值详情使用购买快照</x:v>
      </x:c>
      <x:c r="H199" s="9" t="str">
        <x:v>订单支付金额快照</x:v>
      </x:c>
      <x:c r="I199" s="9" t="str">
        <x:v>1. 用户为本条执行者
2. 用户甲选择充值 C001，购买时套餐基础金币 100、赠送金币 20、实付 1.50 USD；当前套餐配置已改为其他数值</x:v>
      </x:c>
      <x:c r="J199" s="9" t="str">
        <x:v>1. 打开 C001 充值订单详情</x:v>
      </x:c>
      <x:c r="K199" s="9" t="str">
        <x:v>支付金额显示 1.50 USD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 1325 行；REQ-c7081347bfbe、第 1327 行；REQ-ba5024fab83c、第 1329 行；REQ-cc0d5de370b6、第 1320 行
2. 规则：BR-3D853FEBA807EA
3. 未动态验证
4. 示例账号、编号、金额与日期是本条测试数据；执行前按前置条件准备，未填写的产品决策不得自行假定。</x:v>
      </x:c>
    </x:row>
    <x:row r="200" ht="130" customHeight="1">
      <x:c r="A200" s="10" t="n">
        <x:v>199</x:v>
      </x:c>
      <x:c r="B200" s="10" t="str">
        <x:v>USER-0199</x:v>
      </x:c>
      <x:c r="C200" s="10" t="str">
        <x:v>钱包与充值</x:v>
      </x:c>
      <x:c r="D200" s="10" t="str">
        <x:v>充值订单详情（用户）</x:v>
      </x:c>
      <x:c r="E200" s="10" t="str">
        <x:v>功能需求</x:v>
      </x:c>
      <x:c r="F200" s="10" t="str">
        <x:v>P1</x:v>
      </x:c>
      <x:c r="G200" s="9" t="str">
        <x:v>验证用户端充值订单没有退款操作</x:v>
      </x:c>
      <x:c r="H200" s="9" t="str">
        <x:v>退款权限归属</x:v>
      </x:c>
      <x:c r="I200" s="9" t="str">
        <x:v>1. 用户为本条执行者
2. 用户甲选择充值 C001，购买时套餐基础金币 100、赠送金币 20、实付 1.50 USD；当前套餐配置已改为其他数值</x:v>
      </x:c>
      <x:c r="J200" s="9" t="str">
        <x:v>1. 打开 C001 充值订单详情</x:v>
      </x:c>
      <x:c r="K200" s="9" t="str">
        <x:v>详情不提供退款操作入口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来源（当前证据）：liveshow-proto/MainBasis/统一需求文档.md；位置：第 1328 行；REQ-4a50409c7746、第 1320 行
2. 规则：BR-7874AD47DFF8D3
3. 未动态验证
4. 示例账号、编号、金额与日期是本条测试数据；执行前按前置条件准备，未填写的产品决策不得自行假定。</x:v>
      </x:c>
    </x:row>
    <x:row r="201" ht="205" customHeight="1">
      <x:c r="A201" s="10" t="n">
        <x:v>200</x:v>
      </x:c>
      <x:c r="B201" s="10" t="str">
        <x:v>USER-0200</x:v>
      </x:c>
      <x:c r="C201" s="10" t="str">
        <x:v>主播管理</x:v>
      </x:c>
      <x:c r="D201" s="10" t="str">
        <x:v>分成记录（主播）</x:v>
      </x:c>
      <x:c r="E201" s="10" t="str">
        <x:v>功能需求</x:v>
      </x:c>
      <x:c r="F201" s="10" t="str">
        <x:v>P2</x:v>
      </x:c>
      <x:c r="G201" s="9" t="str">
        <x:v>验证查看后台上传的主播分成</x:v>
      </x:c>
      <x:c r="H201" s="9" t="str">
        <x:v>线下分成记录回显</x:v>
      </x:c>
      <x:c r="I201" s="9" t="str">
        <x:v>1. 主播为本条执行者
2. 主播甲已在线下结算并由后台上传 10.25 USD 分成；当前执行者可查看主播甲的分成</x:v>
      </x:c>
      <x:c r="J201" s="9" t="str">
        <x:v>1. 打开主播分成记录
2. 查看本次上传记录</x:v>
      </x:c>
      <x:c r="K201" s="9" t="str">
        <x:v>本次分成金额显示 10.25 USD</x:v>
      </x:c>
      <x:c r="L201" s="10" t="str">
        <x:v>FLOW-7B38EAA6</x:v>
      </x:c>
      <x:c r="M201" s="10" t="str">
        <x:v>未测</x:v>
      </x:c>
      <x:c r="N201" s="10" t="str"/>
      <x:c r="O201" s="9" t="str">
        <x:v>1. 来源（当前证据）：liveshow-proto/MainBasis/统一需求文档.md；位置：第 1279 行；REQ-defd01187ffd、第 1280 行；REQ-f523be65f8f8、第 1281 行；REQ-c14d836f25cf、第 1282 行；REQ-30aac05533fe、第 1283 行；REQ-95fd6cd9e563、第 1284 行；REQ-fba5f1526c9c、第 1285 行；REQ-75a3b148aa3c、第 1277 行
2. 规则：BR-519D6BD8735941
3. 未动态验证
4. 示例账号、编号、金额与日期是本条测试数据；执行前按前置条件准备，未填写的产品决策不得自行假定。</x:v>
      </x:c>
    </x:row>
    <x:row r="202" ht="175" customHeight="1">
      <x:c r="A202" s="10" t="n">
        <x:v>201</x:v>
      </x:c>
      <x:c r="B202" s="10" t="str">
        <x:v>USER-0201</x:v>
      </x:c>
      <x:c r="C202" s="10" t="str">
        <x:v>首页与发现</x:v>
      </x:c>
      <x:c r="D202" s="10" t="str">
        <x:v>首页（用户）</x:v>
      </x:c>
      <x:c r="E202" s="10" t="str">
        <x:v>功能需求</x:v>
      </x:c>
      <x:c r="F202" s="10" t="str">
        <x:v>P2</x:v>
      </x:c>
      <x:c r="G202" s="9" t="str">
        <x:v>验证首页展示普通房直播卡片</x:v>
      </x:c>
      <x:c r="H202" s="9" t="str">
        <x:v>直播卡片房型标识</x:v>
      </x:c>
      <x:c r="I202" s="9" t="str">
        <x:v>1. 用户为本条执行者
2. 用户甲已登录；主播甲在场次 S001 直播
3. S001 房型为普通房；门票房价格设为 100 金币</x:v>
      </x:c>
      <x:c r="J202" s="9" t="str">
        <x:v>1. 打开首页
2. 查看主播甲的直播卡片</x:v>
      </x:c>
      <x:c r="K202" s="9" t="str">
        <x:v>主播甲卡片不显示门票或密码准入标识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来源（当前证据）：liveshow-proto/MainBasis/统一需求文档.md；位置：第 519 行；REQ-26266fc1addf、第 520 行；REQ-f407e5fbcd10、第 529 行；REQ-37571523557b、第 530 行；REQ-c1abe223a320、第 531 行；REQ-5ccb1a22c513、第 517 行
2. 规则：BR-522B979FE0DD87
3. 未动态验证
4. 示例账号、编号、金额与日期是本条测试数据；执行前按前置条件准备，未填写的产品决策不得自行假定。</x:v>
      </x:c>
    </x:row>
    <x:row r="203" ht="175" customHeight="1">
      <x:c r="A203" s="10" t="n">
        <x:v>202</x:v>
      </x:c>
      <x:c r="B203" s="10" t="str">
        <x:v>USER-0202</x:v>
      </x:c>
      <x:c r="C203" s="10" t="str">
        <x:v>首页与发现</x:v>
      </x:c>
      <x:c r="D203" s="10" t="str">
        <x:v>首页（用户）</x:v>
      </x:c>
      <x:c r="E203" s="10" t="str">
        <x:v>功能需求</x:v>
      </x:c>
      <x:c r="F203" s="10" t="str">
        <x:v>P2</x:v>
      </x:c>
      <x:c r="G203" s="9" t="str">
        <x:v>验证首页展示门票房直播卡片</x:v>
      </x:c>
      <x:c r="H203" s="9" t="str">
        <x:v>直播卡片房型标识</x:v>
      </x:c>
      <x:c r="I203" s="9" t="str">
        <x:v>1. 用户为本条执行者
2. 用户甲已登录；主播甲在场次 S001 直播
3. S001 房型为门票房；门票房价格设为 100 金币</x:v>
      </x:c>
      <x:c r="J203" s="9" t="str">
        <x:v>1. 打开首页
2. 查看主播甲的直播卡片</x:v>
      </x:c>
      <x:c r="K203" s="9" t="str">
        <x:v>主播甲卡片显示门票价格 100 金币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 519 行；REQ-26266fc1addf、第 520 行；REQ-f407e5fbcd10、第 529 行；REQ-37571523557b、第 530 行；REQ-c1abe223a320、第 531 行；REQ-5ccb1a22c513、第 517 行
2. 规则：BR-2B4B6940F38B0A
3. 未动态验证
4. 示例账号、编号、金额与日期是本条测试数据；执行前按前置条件准备，未填写的产品决策不得自行假定。</x:v>
      </x:c>
    </x:row>
    <x:row r="204" ht="175" customHeight="1">
      <x:c r="A204" s="10" t="n">
        <x:v>203</x:v>
      </x:c>
      <x:c r="B204" s="10" t="str">
        <x:v>USER-0203</x:v>
      </x:c>
      <x:c r="C204" s="10" t="str">
        <x:v>首页与发现</x:v>
      </x:c>
      <x:c r="D204" s="10" t="str">
        <x:v>首页（用户）</x:v>
      </x:c>
      <x:c r="E204" s="10" t="str">
        <x:v>功能需求</x:v>
      </x:c>
      <x:c r="F204" s="10" t="str">
        <x:v>P2</x:v>
      </x:c>
      <x:c r="G204" s="9" t="str">
        <x:v>验证首页展示密码房直播卡片</x:v>
      </x:c>
      <x:c r="H204" s="9" t="str">
        <x:v>直播卡片房型标识</x:v>
      </x:c>
      <x:c r="I204" s="9" t="str">
        <x:v>1. 用户为本条执行者
2. 用户甲已登录；主播甲在场次 S001 直播
3. S001 房型为密码房；门票房价格设为 100 金币</x:v>
      </x:c>
      <x:c r="J204" s="9" t="str">
        <x:v>1. 打开首页
2. 查看主播甲的直播卡片</x:v>
      </x:c>
      <x:c r="K204" s="9" t="str">
        <x:v>主播甲卡片显示密码准入提示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 519 行；REQ-26266fc1addf、第 520 行；REQ-f407e5fbcd10、第 529 行；REQ-37571523557b、第 530 行；REQ-c1abe223a320、第 531 行；REQ-5ccb1a22c513、第 517 行
2. 规则：BR-020E6D13D6BEE3
3. 未动态验证
4. 示例账号、编号、金额与日期是本条测试数据；执行前按前置条件准备，未填写的产品决策不得自行假定。</x:v>
      </x:c>
    </x:row>
    <x:row r="205" ht="160" customHeight="1">
      <x:c r="A205" s="10" t="n">
        <x:v>204</x:v>
      </x:c>
      <x:c r="B205" s="10" t="str">
        <x:v>USER-0204</x:v>
      </x:c>
      <x:c r="C205" s="10" t="str">
        <x:v>首页与发现</x:v>
      </x:c>
      <x:c r="D205" s="10" t="str">
        <x:v>首页（用户）</x:v>
      </x:c>
      <x:c r="E205" s="10" t="str">
        <x:v>功能需求</x:v>
      </x:c>
      <x:c r="F205" s="10" t="str">
        <x:v>P2</x:v>
      </x:c>
      <x:c r="G205" s="9" t="str">
        <x:v>验证关注区排除未关注和未开播主播</x:v>
      </x:c>
      <x:c r="H205" s="9" t="str">
        <x:v>关注区主播筛选</x:v>
      </x:c>
      <x:c r="I205" s="9" t="str">
        <x:v>1. 用户为本条执行者
2. 用户甲已登录；主播甲在场次 S001 直播
3. 主播甲已关注且正在直播，主播乙已关注但未开播，主播丙正在直播但未关注</x:v>
      </x:c>
      <x:c r="J205" s="9" t="str">
        <x:v>1. 打开首页
2. 查看关注区</x:v>
      </x:c>
      <x:c r="K205" s="9" t="str">
        <x:v>关注区仅包含主播甲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 521 行；REQ-199b478e27ce、第 523 行；REQ-e8ec3f943f5b、第 528 行；REQ-288a28d5bee2、第 517 行
2. 规则：BR-FC7FAA1619CFC1
3. 未动态验证
4. 示例账号、编号、金额与日期是本条测试数据；执行前按前置条件准备，未填写的产品决策不得自行假定。</x:v>
      </x:c>
    </x:row>
    <x:row r="206" ht="130" customHeight="1">
      <x:c r="A206" s="10" t="n">
        <x:v>205</x:v>
      </x:c>
      <x:c r="B206" s="10" t="str">
        <x:v>USER-0205</x:v>
      </x:c>
      <x:c r="C206" s="10" t="str">
        <x:v>首页与发现</x:v>
      </x:c>
      <x:c r="D206" s="10" t="str">
        <x:v>首页（用户）</x:v>
      </x:c>
      <x:c r="E206" s="10" t="str">
        <x:v>功能需求</x:v>
      </x:c>
      <x:c r="F206" s="10" t="str">
        <x:v>P2</x:v>
      </x:c>
      <x:c r="G206" s="9" t="str">
        <x:v>验证没有正在直播的关注主播时隐藏关注区</x:v>
      </x:c>
      <x:c r="H206" s="9" t="str">
        <x:v>关注区空数据</x:v>
      </x:c>
      <x:c r="I206" s="9" t="str">
        <x:v>1. 用户为本条执行者
2. 用户甲已登录；主播甲在场次 S001 直播
3. 用户甲关注的主播均未开播</x:v>
      </x:c>
      <x:c r="J206" s="9" t="str">
        <x:v>1. 打开首页</x:v>
      </x:c>
      <x:c r="K206" s="9" t="str">
        <x:v>首页不显示关注区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 528 行；REQ-288a28d5bee2、第 517 行
2. 规则：BR-7F4CD7019753FE
3. 未动态验证
4. 示例账号、编号、金额与日期是本条测试数据；执行前按前置条件准备，未填写的产品决策不得自行假定。</x:v>
      </x:c>
    </x:row>
    <x:row r="207" ht="130" customHeight="1">
      <x:c r="A207" s="10" t="n">
        <x:v>206</x:v>
      </x:c>
      <x:c r="B207" s="10" t="str">
        <x:v>USER-0206</x:v>
      </x:c>
      <x:c r="C207" s="10" t="str">
        <x:v>首页与发现</x:v>
      </x:c>
      <x:c r="D207" s="10" t="str">
        <x:v>首页（用户）</x:v>
      </x:c>
      <x:c r="E207" s="10" t="str">
        <x:v>功能需求</x:v>
      </x:c>
      <x:c r="F207" s="10" t="str">
        <x:v>P2</x:v>
      </x:c>
      <x:c r="G207" s="9" t="str">
        <x:v>验证列表曝光不增加访问次数</x:v>
      </x:c>
      <x:c r="H207" s="9" t="str">
        <x:v>无入房事件不计数</x:v>
      </x:c>
      <x:c r="I207" s="9" t="str">
        <x:v>1. 用户为本条执行者
2. 用户甲已登录；主播甲在场次 S001 直播
3. 场次 S001 访问次数为 5，本次仅产生列表曝光</x:v>
      </x:c>
      <x:c r="J207" s="9" t="str">
        <x:v>1. 打开首页
2. 查看 S001 卡片访问次数</x:v>
      </x:c>
      <x:c r="K207" s="9" t="str">
        <x:v>访问次数仍为 5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 519 行；REQ-26266fc1addf、第 517 行
2. 规则：BR-60145846A26007
3. 未动态验证
4. 示例账号、编号、金额与日期是本条测试数据；执行前按前置条件准备，未填写的产品决策不得自行假定。</x:v>
      </x:c>
    </x:row>
    <x:row r="208" ht="130" customHeight="1">
      <x:c r="A208" s="10" t="n">
        <x:v>207</x:v>
      </x:c>
      <x:c r="B208" s="10" t="str">
        <x:v>USER-0207</x:v>
      </x:c>
      <x:c r="C208" s="10" t="str">
        <x:v>首页与发现</x:v>
      </x:c>
      <x:c r="D208" s="10" t="str">
        <x:v>首页（用户）</x:v>
      </x:c>
      <x:c r="E208" s="10" t="str">
        <x:v>异常用例</x:v>
      </x:c>
      <x:c r="F208" s="10" t="str">
        <x:v>P2</x:v>
      </x:c>
      <x:c r="G208" s="9" t="str">
        <x:v>验证密码校验失败不增加访问次数</x:v>
      </x:c>
      <x:c r="H208" s="9" t="str">
        <x:v>无入房事件不计数</x:v>
      </x:c>
      <x:c r="I208" s="9" t="str">
        <x:v>1. 用户为本条执行者
2. 用户甲已登录；主播甲在场次 S001 直播
3. 场次 S001 访问次数为 5，本次仅产生密码校验失败</x:v>
      </x:c>
      <x:c r="J208" s="9" t="str">
        <x:v>1. 打开首页
2. 查看 S001 卡片访问次数</x:v>
      </x:c>
      <x:c r="K208" s="9" t="str">
        <x:v>访问次数仍为 5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 519 行；REQ-26266fc1addf、第 517 行
2. 规则：BR-A93549AB4EA197
3. 未动态验证
4. 示例账号、编号、金额与日期是本条测试数据；执行前按前置条件准备，未填写的产品决策不得自行假定。</x:v>
      </x:c>
    </x:row>
    <x:row r="209" ht="130" customHeight="1">
      <x:c r="A209" s="10" t="n">
        <x:v>208</x:v>
      </x:c>
      <x:c r="B209" s="10" t="str">
        <x:v>USER-0208</x:v>
      </x:c>
      <x:c r="C209" s="10" t="str">
        <x:v>首页与发现</x:v>
      </x:c>
      <x:c r="D209" s="10" t="str">
        <x:v>首页（用户）</x:v>
      </x:c>
      <x:c r="E209" s="10" t="str">
        <x:v>异常用例</x:v>
      </x:c>
      <x:c r="F209" s="10" t="str">
        <x:v>P2</x:v>
      </x:c>
      <x:c r="G209" s="9" t="str">
        <x:v>验证购票失败不增加访问次数</x:v>
      </x:c>
      <x:c r="H209" s="9" t="str">
        <x:v>无入房事件不计数</x:v>
      </x:c>
      <x:c r="I209" s="9" t="str">
        <x:v>1. 用户为本条执行者
2. 用户甲已登录；主播甲在场次 S001 直播
3. 场次 S001 访问次数为 5，本次仅产生购票失败</x:v>
      </x:c>
      <x:c r="J209" s="9" t="str">
        <x:v>1. 打开首页
2. 查看 S001 卡片访问次数</x:v>
      </x:c>
      <x:c r="K209" s="9" t="str">
        <x:v>访问次数仍为 5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 519 行；REQ-26266fc1addf、第 517 行
2. 规则：BR-51EFDDEF67745A
3. 未动态验证
4. 示例账号、编号、金额与日期是本条测试数据；执行前按前置条件准备，未填写的产品决策不得自行假定。</x:v>
      </x:c>
    </x:row>
    <x:row r="210" ht="130" customHeight="1">
      <x:c r="A210" s="10" t="n">
        <x:v>209</x:v>
      </x:c>
      <x:c r="B210" s="10" t="str">
        <x:v>USER-0209</x:v>
      </x:c>
      <x:c r="C210" s="10" t="str">
        <x:v>首页与发现</x:v>
      </x:c>
      <x:c r="D210" s="10" t="str">
        <x:v>首页（用户）</x:v>
      </x:c>
      <x:c r="E210" s="10" t="str">
        <x:v>功能需求</x:v>
      </x:c>
      <x:c r="F210" s="10" t="str">
        <x:v>P2</x:v>
      </x:c>
      <x:c r="G210" s="9" t="str">
        <x:v>验证同一用户重复成功进入增加访问次数</x:v>
      </x:c>
      <x:c r="H210" s="9" t="str">
        <x:v>访问次数</x:v>
      </x:c>
      <x:c r="I210" s="9" t="str">
        <x:v>1. 用户为本条执行者
2. 用户甲已登录；主播甲在场次 S001 直播
3. S001 访问次数为 5，用户甲已成功进入过该场</x:v>
      </x:c>
      <x:c r="J210" s="9" t="str">
        <x:v>1. 打开 S001 直播间
2. 返回首页
3. 查看 S001 卡片访问次数</x:v>
      </x:c>
      <x:c r="K210" s="9" t="str">
        <x:v>访问次数 = 6 次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 519 行；REQ-26266fc1addf、第 517 行
2. 规则：BR-A5762949CBE206
3. 未动态验证
4. 示例账号、编号、金额与日期是本条测试数据；执行前按前置条件准备，未填写的产品决策不得自行假定。</x:v>
      </x:c>
    </x:row>
    <x:row r="211" ht="130" customHeight="1">
      <x:c r="A211" s="10" t="n">
        <x:v>210</x:v>
      </x:c>
      <x:c r="B211" s="10" t="str">
        <x:v>USER-0210</x:v>
      </x:c>
      <x:c r="C211" s="10" t="str">
        <x:v>首页与发现</x:v>
      </x:c>
      <x:c r="D211" s="10" t="str">
        <x:v>首页（游客）</x:v>
      </x:c>
      <x:c r="E211" s="10" t="str">
        <x:v>功能需求</x:v>
      </x:c>
      <x:c r="F211" s="10" t="str">
        <x:v>P1</x:v>
      </x:c>
      <x:c r="G211" s="9" t="str">
        <x:v>验证游客点击搜索需要登录</x:v>
      </x:c>
      <x:c r="H211" s="9" t="str">
        <x:v>游客受限入口</x:v>
      </x:c>
      <x:c r="I211" s="9" t="str">
        <x:v>1. 游客为本条执行者
2. 用户甲已登录；主播甲在场次 S001 直播
3. 当前为游客，未建立登录会话</x:v>
      </x:c>
      <x:c r="J211" s="9" t="str">
        <x:v>1. 打开首页
2. 点击搜索</x:v>
      </x:c>
      <x:c r="K211" s="9" t="str">
        <x:v>进入登录页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 526 行；REQ-e944097da140、第 517 行
2. 规则：BR-F0036B3509168D
3. 未动态验证
4. 示例账号、编号、金额与日期是本条测试数据；执行前按前置条件准备，未填写的产品决策不得自行假定。</x:v>
      </x:c>
    </x:row>
    <x:row r="212" ht="130" customHeight="1">
      <x:c r="A212" s="10" t="n">
        <x:v>211</x:v>
      </x:c>
      <x:c r="B212" s="10" t="str">
        <x:v>USER-0211</x:v>
      </x:c>
      <x:c r="C212" s="10" t="str">
        <x:v>首页与发现</x:v>
      </x:c>
      <x:c r="D212" s="10" t="str">
        <x:v>首页（游客）</x:v>
      </x:c>
      <x:c r="E212" s="10" t="str">
        <x:v>功能需求</x:v>
      </x:c>
      <x:c r="F212" s="10" t="str">
        <x:v>P1</x:v>
      </x:c>
      <x:c r="G212" s="9" t="str">
        <x:v>验证游客点击消息需要登录</x:v>
      </x:c>
      <x:c r="H212" s="9" t="str">
        <x:v>游客受限入口</x:v>
      </x:c>
      <x:c r="I212" s="9" t="str">
        <x:v>1. 游客为本条执行者
2. 用户甲已登录；主播甲在场次 S001 直播
3. 当前为游客，未建立登录会话</x:v>
      </x:c>
      <x:c r="J212" s="9" t="str">
        <x:v>1. 打开首页
2. 点击消息</x:v>
      </x:c>
      <x:c r="K212" s="9" t="str">
        <x:v>进入登录页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 526 行；REQ-e944097da140、第 517 行
2. 规则：BR-2AD7D26DFA3EB8
3. 未动态验证
4. 示例账号、编号、金额与日期是本条测试数据；执行前按前置条件准备，未填写的产品决策不得自行假定。</x:v>
      </x:c>
    </x:row>
    <x:row r="213" ht="130" customHeight="1">
      <x:c r="A213" s="10" t="n">
        <x:v>212</x:v>
      </x:c>
      <x:c r="B213" s="10" t="str">
        <x:v>USER-0212</x:v>
      </x:c>
      <x:c r="C213" s="10" t="str">
        <x:v>首页与发现</x:v>
      </x:c>
      <x:c r="D213" s="10" t="str">
        <x:v>首页（游客）</x:v>
      </x:c>
      <x:c r="E213" s="10" t="str">
        <x:v>功能需求</x:v>
      </x:c>
      <x:c r="F213" s="10" t="str">
        <x:v>P1</x:v>
      </x:c>
      <x:c r="G213" s="9" t="str">
        <x:v>验证游客点击我的需要登录</x:v>
      </x:c>
      <x:c r="H213" s="9" t="str">
        <x:v>游客受限入口</x:v>
      </x:c>
      <x:c r="I213" s="9" t="str">
        <x:v>1. 游客为本条执行者
2. 用户甲已登录；主播甲在场次 S001 直播
3. 当前为游客，未建立登录会话</x:v>
      </x:c>
      <x:c r="J213" s="9" t="str">
        <x:v>1. 打开首页
2. 点击我的</x:v>
      </x:c>
      <x:c r="K213" s="9" t="str">
        <x:v>进入登录页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 526 行；REQ-e944097da140、第 517 行
2. 规则：BR-1B865722078E7C
3. 未动态验证
4. 示例账号、编号、金额与日期是本条测试数据；执行前按前置条件准备，未填写的产品决策不得自行假定。</x:v>
      </x:c>
    </x:row>
    <x:row r="214" ht="145" customHeight="1">
      <x:c r="A214" s="10" t="n">
        <x:v>213</x:v>
      </x:c>
      <x:c r="B214" s="10" t="str">
        <x:v>USER-0213</x:v>
      </x:c>
      <x:c r="C214" s="10" t="str">
        <x:v>首页与发现</x:v>
      </x:c>
      <x:c r="D214" s="10" t="str">
        <x:v>主播榜（用户）</x:v>
      </x:c>
      <x:c r="E214" s="10" t="str">
        <x:v>功能需求</x:v>
      </x:c>
      <x:c r="F214" s="10" t="str">
        <x:v>P2</x:v>
      </x:c>
      <x:c r="G214" s="9" t="str">
        <x:v>验证主播榜按收礼值决定先后</x:v>
      </x:c>
      <x:c r="H214" s="9" t="str">
        <x:v>收礼值排序优先级</x:v>
      </x:c>
      <x:c r="I214" s="9" t="str">
        <x:v>1. 用户为本条执行者
2. 用户甲已登录；所选周期有参与排名的账号 A 和 B
3. 更高优先级字段无须参与本次比较；收礼值在 A 为 10，在 B 为 20</x:v>
      </x:c>
      <x:c r="J214" s="9" t="str">
        <x:v>1. 打开主播榜
2. 查看 A 和 B 的名次</x:v>
      </x:c>
      <x:c r="K214" s="9" t="str">
        <x:v>B 排在 A 前面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 541 行；REQ-cfb0b2e6ae0f、第 545 行；REQ-f3e7be9f9a0b、第 538 行
2. 规则：BR-D184157F0623C6
3. 未动态验证
4. 示例账号、编号、金额与日期是本条测试数据；执行前按前置条件准备，未填写的产品决策不得自行假定。</x:v>
      </x:c>
    </x:row>
    <x:row r="215" ht="145" customHeight="1">
      <x:c r="A215" s="10" t="n">
        <x:v>214</x:v>
      </x:c>
      <x:c r="B215" s="10" t="str">
        <x:v>USER-0214</x:v>
      </x:c>
      <x:c r="C215" s="10" t="str">
        <x:v>首页与发现</x:v>
      </x:c>
      <x:c r="D215" s="10" t="str">
        <x:v>主播榜（用户）</x:v>
      </x:c>
      <x:c r="E215" s="10" t="str">
        <x:v>功能需求</x:v>
      </x:c>
      <x:c r="F215" s="10" t="str">
        <x:v>P2</x:v>
      </x:c>
      <x:c r="G215" s="9" t="str">
        <x:v>验证主播榜按主播等级决定先后</x:v>
      </x:c>
      <x:c r="H215" s="9" t="str">
        <x:v>主播等级排序优先级</x:v>
      </x:c>
      <x:c r="I215" s="9" t="str">
        <x:v>1. 用户为本条执行者
2. 用户甲已登录；所选周期有参与排名的账号 A 和 B
3. 收礼值在 A、B 两账号上完全相同；主播等级在 A 为 10，在 B 为 20</x:v>
      </x:c>
      <x:c r="J215" s="9" t="str">
        <x:v>1. 打开主播榜
2. 查看 A 和 B 的名次</x:v>
      </x:c>
      <x:c r="K215" s="9" t="str">
        <x:v>B 排在 A 前面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 541 行；REQ-cfb0b2e6ae0f、第 545 行；REQ-f3e7be9f9a0b、第 538 行
2. 规则：BR-0317DEE9654E04
3. 未动态验证
4. 示例账号、编号、金额与日期是本条测试数据；执行前按前置条件准备，未填写的产品决策不得自行假定。</x:v>
      </x:c>
    </x:row>
    <x:row r="216" ht="145" customHeight="1">
      <x:c r="A216" s="10" t="n">
        <x:v>215</x:v>
      </x:c>
      <x:c r="B216" s="10" t="str">
        <x:v>USER-0215</x:v>
      </x:c>
      <x:c r="C216" s="10" t="str">
        <x:v>首页与发现</x:v>
      </x:c>
      <x:c r="D216" s="10" t="str">
        <x:v>主播榜（用户）</x:v>
      </x:c>
      <x:c r="E216" s="10" t="str">
        <x:v>功能需求</x:v>
      </x:c>
      <x:c r="F216" s="10" t="str">
        <x:v>P2</x:v>
      </x:c>
      <x:c r="G216" s="9" t="str">
        <x:v>验证主播榜按财富等级决定先后</x:v>
      </x:c>
      <x:c r="H216" s="9" t="str">
        <x:v>财富等级排序优先级</x:v>
      </x:c>
      <x:c r="I216" s="9" t="str">
        <x:v>1. 用户为本条执行者
2. 用户甲已登录；所选周期有参与排名的账号 A 和 B
3. 收礼值、主播等级在 A、B 两账号上完全相同；财富等级在 A 为 10，在 B 为 20</x:v>
      </x:c>
      <x:c r="J216" s="9" t="str">
        <x:v>1. 打开主播榜
2. 查看 A 和 B 的名次</x:v>
      </x:c>
      <x:c r="K216" s="9" t="str">
        <x:v>B 排在 A 前面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 541 行；REQ-cfb0b2e6ae0f、第 545 行；REQ-f3e7be9f9a0b、第 538 行
2. 规则：BR-74AE0E9CCD8270
3. 未动态验证
4. 示例账号、编号、金额与日期是本条测试数据；执行前按前置条件准备，未填写的产品决策不得自行假定。</x:v>
      </x:c>
    </x:row>
    <x:row r="217" ht="145" customHeight="1">
      <x:c r="A217" s="10" t="n">
        <x:v>216</x:v>
      </x:c>
      <x:c r="B217" s="10" t="str">
        <x:v>USER-0216</x:v>
      </x:c>
      <x:c r="C217" s="10" t="str">
        <x:v>首页与发现</x:v>
      </x:c>
      <x:c r="D217" s="10" t="str">
        <x:v>主播榜（用户）</x:v>
      </x:c>
      <x:c r="E217" s="10" t="str">
        <x:v>功能需求</x:v>
      </x:c>
      <x:c r="F217" s="10" t="str">
        <x:v>P2</x:v>
      </x:c>
      <x:c r="G217" s="9" t="str">
        <x:v>验证主播榜按主播 ID 数字部分决定先后</x:v>
      </x:c>
      <x:c r="H217" s="9" t="str">
        <x:v>主播 ID 数字部分排序优先级</x:v>
      </x:c>
      <x:c r="I217" s="9" t="str">
        <x:v>1. 用户为本条执行者
2. 用户甲已登录；所选周期有参与排名的账号 A 和 B
3. 收礼值、主播等级、财富等级在 A、B 两账号上完全相同；主播 ID 数字部分在 A 为 10，在 B 为 20</x:v>
      </x:c>
      <x:c r="J217" s="9" t="str">
        <x:v>1. 打开主播榜
2. 查看 A 和 B 的名次</x:v>
      </x:c>
      <x:c r="K217" s="9" t="str">
        <x:v>A 排在 B 前面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 541 行；REQ-cfb0b2e6ae0f、第 545 行；REQ-f3e7be9f9a0b、第 538 行
2. 规则：BR-A604E09AAF1281
3. 未动态验证
4. 示例账号、编号、金额与日期是本条测试数据；执行前按前置条件准备，未填写的产品决策不得自行假定。</x:v>
      </x:c>
    </x:row>
    <x:row r="218" ht="145" customHeight="1">
      <x:c r="A218" s="10" t="n">
        <x:v>217</x:v>
      </x:c>
      <x:c r="B218" s="10" t="str">
        <x:v>USER-0217</x:v>
      </x:c>
      <x:c r="C218" s="10" t="str">
        <x:v>首页与发现</x:v>
      </x:c>
      <x:c r="D218" s="10" t="str">
        <x:v>主播榜（用户）</x:v>
      </x:c>
      <x:c r="E218" s="10" t="str">
        <x:v>功能需求</x:v>
      </x:c>
      <x:c r="F218" s="10" t="str">
        <x:v>P2</x:v>
      </x:c>
      <x:c r="G218" s="9" t="str">
        <x:v>验证主播榜有 29 个可排名账号</x:v>
      </x:c>
      <x:c r="H218" s="9" t="str">
        <x:v>榜单条数上限</x:v>
      </x:c>
      <x:c r="I218" s="9" t="str">
        <x:v>1. 用户为本条执行者
2. 用户甲已登录；所选周期有参与排名的账号 A 和 B
3. 所选周期恰有 29 个账号有有效贡献，排序键无并列</x:v>
      </x:c>
      <x:c r="J218" s="9" t="str">
        <x:v>1. 打开主播榜
2. 查看排名列表</x:v>
      </x:c>
      <x:c r="K218" s="9" t="str">
        <x:v>榜单展示 29 个账号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 542 行；REQ-9e4e83c848d1、第 548 行；REQ-76353e4dbe44、第 538 行
2. 规则：BR-F447192D31D7C6
3. 未动态验证
4. 示例账号、编号、金额与日期是本条测试数据；执行前按前置条件准备，未填写的产品决策不得自行假定。</x:v>
      </x:c>
    </x:row>
    <x:row r="219" ht="145" customHeight="1">
      <x:c r="A219" s="10" t="n">
        <x:v>218</x:v>
      </x:c>
      <x:c r="B219" s="10" t="str">
        <x:v>USER-0218</x:v>
      </x:c>
      <x:c r="C219" s="10" t="str">
        <x:v>首页与发现</x:v>
      </x:c>
      <x:c r="D219" s="10" t="str">
        <x:v>主播榜（用户）</x:v>
      </x:c>
      <x:c r="E219" s="10" t="str">
        <x:v>功能需求</x:v>
      </x:c>
      <x:c r="F219" s="10" t="str">
        <x:v>P2</x:v>
      </x:c>
      <x:c r="G219" s="9" t="str">
        <x:v>验证主播榜有 30 个可排名账号</x:v>
      </x:c>
      <x:c r="H219" s="9" t="str">
        <x:v>榜单条数上限</x:v>
      </x:c>
      <x:c r="I219" s="9" t="str">
        <x:v>1. 用户为本条执行者
2. 用户甲已登录；所选周期有参与排名的账号 A 和 B
3. 所选周期恰有 30 个账号有有效贡献，排序键无并列</x:v>
      </x:c>
      <x:c r="J219" s="9" t="str">
        <x:v>1. 打开主播榜
2. 查看排名列表</x:v>
      </x:c>
      <x:c r="K219" s="9" t="str">
        <x:v>榜单展示 30 个账号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 542 行；REQ-9e4e83c848d1、第 548 行；REQ-76353e4dbe44、第 538 行
2. 规则：BR-1A3167D2B3E3E9
3. 未动态验证
4. 示例账号、编号、金额与日期是本条测试数据；执行前按前置条件准备，未填写的产品决策不得自行假定。</x:v>
      </x:c>
    </x:row>
    <x:row r="220" ht="145" customHeight="1">
      <x:c r="A220" s="10" t="n">
        <x:v>219</x:v>
      </x:c>
      <x:c r="B220" s="10" t="str">
        <x:v>USER-0219</x:v>
      </x:c>
      <x:c r="C220" s="10" t="str">
        <x:v>首页与发现</x:v>
      </x:c>
      <x:c r="D220" s="10" t="str">
        <x:v>主播榜（用户）</x:v>
      </x:c>
      <x:c r="E220" s="10" t="str">
        <x:v>功能需求</x:v>
      </x:c>
      <x:c r="F220" s="10" t="str">
        <x:v>P2</x:v>
      </x:c>
      <x:c r="G220" s="9" t="str">
        <x:v>验证主播榜有 31 个可排名账号</x:v>
      </x:c>
      <x:c r="H220" s="9" t="str">
        <x:v>榜单条数上限</x:v>
      </x:c>
      <x:c r="I220" s="9" t="str">
        <x:v>1. 用户为本条执行者
2. 用户甲已登录；所选周期有参与排名的账号 A 和 B
3. 所选周期恰有 31 个账号有有效贡献，排序键无并列</x:v>
      </x:c>
      <x:c r="J220" s="9" t="str">
        <x:v>1. 打开主播榜
2. 查看排名列表</x:v>
      </x:c>
      <x:c r="K220" s="9" t="str">
        <x:v>榜单展示 30 个账号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 542 行；REQ-9e4e83c848d1、第 548 行；REQ-76353e4dbe44、第 538 行
2. 规则：BR-C8CAE0B1A68494
3. 未动态验证
4. 示例账号、编号、金额与日期是本条测试数据；执行前按前置条件准备，未填写的产品决策不得自行假定。</x:v>
      </x:c>
    </x:row>
    <x:row r="221" ht="190" customHeight="1">
      <x:c r="A221" s="10" t="n">
        <x:v>220</x:v>
      </x:c>
      <x:c r="B221" s="10" t="str">
        <x:v>USER-0220</x:v>
      </x:c>
      <x:c r="C221" s="10" t="str">
        <x:v>首页与发现</x:v>
      </x:c>
      <x:c r="D221" s="10" t="str">
        <x:v>主播榜（用户）</x:v>
      </x:c>
      <x:c r="E221" s="10" t="str">
        <x:v>功能需求</x:v>
      </x:c>
      <x:c r="F221" s="10" t="str">
        <x:v>P2</x:v>
      </x:c>
      <x:c r="G221" s="9" t="str">
        <x:v>验证主播榜第30与31名同贡献按等级区分</x:v>
      </x:c>
      <x:c r="H221" s="9" t="str">
        <x:v>截断边界同分</x:v>
      </x:c>
      <x:c r="I221" s="9" t="str">
        <x:v>1. 用户为本条执行者
2. 用户甲已登录；所选周期有参与排名的账号 A 和 B
3. 前 29 人的收礼值高于 A、B；A 与 B 的收礼值相同，A 的主播等级高于 B</x:v>
      </x:c>
      <x:c r="J221" s="9" t="str">
        <x:v>1. 打开主播榜
2. 查看第 30 名</x:v>
      </x:c>
      <x:c r="K221" s="9" t="str">
        <x:v>第 30 名为 A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 541 行；REQ-cfb0b2e6ae0f、第 542 行；REQ-9e4e83c848d1、第 545 行；REQ-f3e7be9f9a0b、第 547 行；REQ-3260f386f0f2、第 548 行；REQ-76353e4dbe44、第 549 行；REQ-f7b4f8b5b63e、第 538 行
2. 规则：BR-F78ED2AAB67276
3. 未动态验证
4. 示例账号、编号、金额与日期是本条测试数据；执行前按前置条件准备，未填写的产品决策不得自行假定。</x:v>
      </x:c>
    </x:row>
    <x:row r="222" ht="175" customHeight="1">
      <x:c r="A222" s="10" t="n">
        <x:v>221</x:v>
      </x:c>
      <x:c r="B222" s="10" t="str">
        <x:v>USER-0221</x:v>
      </x:c>
      <x:c r="C222" s="10" t="str">
        <x:v>首页与发现</x:v>
      </x:c>
      <x:c r="D222" s="10" t="str">
        <x:v>主播榜（用户）</x:v>
      </x:c>
      <x:c r="E222" s="10" t="str">
        <x:v>功能需求</x:v>
      </x:c>
      <x:c r="F222" s="10" t="str">
        <x:v>P2</x:v>
      </x:c>
      <x:c r="G222" s="9" t="str">
        <x:v>验证主播榜切换当日</x:v>
      </x:c>
      <x:c r="H222" s="9" t="str">
        <x:v>榜单周期范围</x:v>
      </x:c>
      <x:c r="I222" s="9" t="str">
        <x:v>1. 用户为本条执行者
2. 用户甲已登录；所选周期有参与排名的账号 A 和 B
3. 当日有账号 A 的有效赠礼记录；账号 B 只在该周期之前有赠礼</x:v>
      </x:c>
      <x:c r="J222" s="9" t="str">
        <x:v>1. 打开主播榜
2. 切换当日</x:v>
      </x:c>
      <x:c r="K222" s="9" t="str">
        <x:v>本周期榜单不包含仅在周期外赠礼的 B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 540 行；REQ-bb13319d039b、第 544 行；REQ-61f3f54e13a7、第 548 行；REQ-76353e4dbe44、第 549 行；REQ-f7b4f8b5b63e、第 538 行
2. 规则：BR-6B80363E1555AA
3. 未动态验证
4. 示例账号、编号、金额与日期是本条测试数据；执行前按前置条件准备，未填写的产品决策不得自行假定。</x:v>
      </x:c>
    </x:row>
    <x:row r="223" ht="175" customHeight="1">
      <x:c r="A223" s="10" t="n">
        <x:v>222</x:v>
      </x:c>
      <x:c r="B223" s="10" t="str">
        <x:v>USER-0222</x:v>
      </x:c>
      <x:c r="C223" s="10" t="str">
        <x:v>首页与发现</x:v>
      </x:c>
      <x:c r="D223" s="10" t="str">
        <x:v>主播榜（用户）</x:v>
      </x:c>
      <x:c r="E223" s="10" t="str">
        <x:v>功能需求</x:v>
      </x:c>
      <x:c r="F223" s="10" t="str">
        <x:v>P2</x:v>
      </x:c>
      <x:c r="G223" s="9" t="str">
        <x:v>验证主播榜切换本周</x:v>
      </x:c>
      <x:c r="H223" s="9" t="str">
        <x:v>榜单周期范围</x:v>
      </x:c>
      <x:c r="I223" s="9" t="str">
        <x:v>1. 用户为本条执行者
2. 用户甲已登录；所选周期有参与排名的账号 A 和 B
3. 本周有账号 A 的有效赠礼记录；账号 B 只在该周期之前有赠礼</x:v>
      </x:c>
      <x:c r="J223" s="9" t="str">
        <x:v>1. 打开主播榜
2. 切换本周</x:v>
      </x:c>
      <x:c r="K223" s="9" t="str">
        <x:v>本周期榜单不包含仅在周期外赠礼的 B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 540 行；REQ-bb13319d039b、第 544 行；REQ-61f3f54e13a7、第 548 行；REQ-76353e4dbe44、第 549 行；REQ-f7b4f8b5b63e、第 538 行
2. 规则：BR-DE2B3DEEEFA56B
3. 未动态验证
4. 示例账号、编号、金额与日期是本条测试数据；执行前按前置条件准备，未填写的产品决策不得自行假定。</x:v>
      </x:c>
    </x:row>
    <x:row r="224" ht="175" customHeight="1">
      <x:c r="A224" s="10" t="n">
        <x:v>223</x:v>
      </x:c>
      <x:c r="B224" s="10" t="str">
        <x:v>USER-0223</x:v>
      </x:c>
      <x:c r="C224" s="10" t="str">
        <x:v>首页与发现</x:v>
      </x:c>
      <x:c r="D224" s="10" t="str">
        <x:v>主播榜（用户）</x:v>
      </x:c>
      <x:c r="E224" s="10" t="str">
        <x:v>功能需求</x:v>
      </x:c>
      <x:c r="F224" s="10" t="str">
        <x:v>P2</x:v>
      </x:c>
      <x:c r="G224" s="9" t="str">
        <x:v>验证主播榜切换本月</x:v>
      </x:c>
      <x:c r="H224" s="9" t="str">
        <x:v>榜单周期范围</x:v>
      </x:c>
      <x:c r="I224" s="9" t="str">
        <x:v>1. 用户为本条执行者
2. 用户甲已登录；所选周期有参与排名的账号 A 和 B
3. 本月有账号 A 的有效赠礼记录；账号 B 只在该周期之前有赠礼</x:v>
      </x:c>
      <x:c r="J224" s="9" t="str">
        <x:v>1. 打开主播榜
2. 切换本月</x:v>
      </x:c>
      <x:c r="K224" s="9" t="str">
        <x:v>本周期榜单不包含仅在周期外赠礼的 B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 540 行；REQ-bb13319d039b、第 544 行；REQ-61f3f54e13a7、第 548 行；REQ-76353e4dbe44、第 549 行；REQ-f7b4f8b5b63e、第 538 行
2. 规则：BR-8E6C3377DED8AD
3. 未动态验证
4. 示例账号、编号、金额与日期是本条测试数据；执行前按前置条件准备，未填写的产品决策不得自行假定。</x:v>
      </x:c>
    </x:row>
    <x:row r="225" ht="130" customHeight="1">
      <x:c r="A225" s="10" t="n">
        <x:v>224</x:v>
      </x:c>
      <x:c r="B225" s="10" t="str">
        <x:v>USER-0224</x:v>
      </x:c>
      <x:c r="C225" s="10" t="str">
        <x:v>首页与发现</x:v>
      </x:c>
      <x:c r="D225" s="10" t="str">
        <x:v>主播榜（用户）</x:v>
      </x:c>
      <x:c r="E225" s="10" t="str">
        <x:v>功能需求</x:v>
      </x:c>
      <x:c r="F225" s="10" t="str">
        <x:v>P2</x:v>
      </x:c>
      <x:c r="G225" s="9" t="str">
        <x:v>验证主播榜幸运礼物返奖不冲减贡献</x:v>
      </x:c>
      <x:c r="H225" s="9" t="str">
        <x:v>幸运礼物贡献口径</x:v>
      </x:c>
      <x:c r="I225" s="9" t="str">
        <x:v>1. 用户为本条执行者
2. 用户甲已登录；所选周期有参与排名的账号 A 和 B
3. 账号 A 在本周期的幸运礼物送出价值为 1000 金币，返奖为 800 金币；无其他贡献</x:v>
      </x:c>
      <x:c r="J225" s="9" t="str">
        <x:v>1. 打开主播榜
2. 查看账号 A</x:v>
      </x:c>
      <x:c r="K225" s="9" t="str">
        <x:v>A 的收礼值为 1000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 544 行；REQ-61f3f54e13a7、第 538 行
2. 规则：BR-0F5420F971ACDE
3. 未动态验证
4. 示例账号、编号、金额与日期是本条测试数据；执行前按前置条件准备，未填写的产品决策不得自行假定。</x:v>
      </x:c>
    </x:row>
    <x:row r="226" ht="130" customHeight="1">
      <x:c r="A226" s="10" t="n">
        <x:v>225</x:v>
      </x:c>
      <x:c r="B226" s="10" t="str">
        <x:v>USER-0225</x:v>
      </x:c>
      <x:c r="C226" s="10" t="str">
        <x:v>首页与发现</x:v>
      </x:c>
      <x:c r="D226" s="10" t="str">
        <x:v>主播榜（用户）</x:v>
      </x:c>
      <x:c r="E226" s="10" t="str">
        <x:v>功能需求</x:v>
      </x:c>
      <x:c r="F226" s="10" t="str">
        <x:v>P2</x:v>
      </x:c>
      <x:c r="G226" s="9" t="str">
        <x:v>验证主播榜账号注销后保留历史值</x:v>
      </x:c>
      <x:c r="H226" s="9" t="str">
        <x:v>已注销账号标识</x:v>
      </x:c>
      <x:c r="I226" s="9" t="str">
        <x:v>1. 用户为本条执行者
2. 用户甲已登录；所选周期有参与排名的账号 A 和 B
3. 账号 A 在本周期有贡献后完成注销</x:v>
      </x:c>
      <x:c r="J226" s="9" t="str">
        <x:v>1. 打开主播榜
2. 查看 A 的历史排名</x:v>
      </x:c>
      <x:c r="K226" s="9" t="str">
        <x:v>A 的名称显示“账号已注销”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 547 行；REQ-3260f386f0f2、第 538 行
2. 规则：BR-9EC7DFD10904B5
3. 未动态验证
4. 示例账号、编号、金额与日期是本条测试数据；执行前按前置条件准备，未填写的产品决策不得自行假定。</x:v>
      </x:c>
    </x:row>
    <x:row r="227" ht="145" customHeight="1">
      <x:c r="A227" s="10" t="n">
        <x:v>226</x:v>
      </x:c>
      <x:c r="B227" s="10" t="str">
        <x:v>USER-0226</x:v>
      </x:c>
      <x:c r="C227" s="10" t="str">
        <x:v>首页与发现</x:v>
      </x:c>
      <x:c r="D227" s="10" t="str">
        <x:v>贡献榜（用户）</x:v>
      </x:c>
      <x:c r="E227" s="10" t="str">
        <x:v>功能需求</x:v>
      </x:c>
      <x:c r="F227" s="10" t="str">
        <x:v>P2</x:v>
      </x:c>
      <x:c r="G227" s="9" t="str">
        <x:v>验证贡献榜按贡献值决定先后</x:v>
      </x:c>
      <x:c r="H227" s="9" t="str">
        <x:v>贡献值排序优先级</x:v>
      </x:c>
      <x:c r="I227" s="9" t="str">
        <x:v>1. 用户为本条执行者
2. 用户甲已登录；所选周期有参与排名的账号 A 和 B
3. 更高优先级字段无须参与本次比较；贡献值在 A 为 10，在 B 为 20</x:v>
      </x:c>
      <x:c r="J227" s="9" t="str">
        <x:v>1. 打开贡献榜
2. 查看 A 和 B 的名次</x:v>
      </x:c>
      <x:c r="K227" s="9" t="str">
        <x:v>B 排在 A 前面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 556 行；REQ-ad3b4b3d5e9b、第 561 行；REQ-338ca0cff70c、第 553 行
2. 规则：BR-DD28B5894E5B38
3. 未动态验证
4. 示例账号、编号、金额与日期是本条测试数据；执行前按前置条件准备，未填写的产品决策不得自行假定。</x:v>
      </x:c>
    </x:row>
    <x:row r="228" ht="145" customHeight="1">
      <x:c r="A228" s="10" t="n">
        <x:v>227</x:v>
      </x:c>
      <x:c r="B228" s="10" t="str">
        <x:v>USER-0227</x:v>
      </x:c>
      <x:c r="C228" s="10" t="str">
        <x:v>首页与发现</x:v>
      </x:c>
      <x:c r="D228" s="10" t="str">
        <x:v>贡献榜（用户）</x:v>
      </x:c>
      <x:c r="E228" s="10" t="str">
        <x:v>功能需求</x:v>
      </x:c>
      <x:c r="F228" s="10" t="str">
        <x:v>P2</x:v>
      </x:c>
      <x:c r="G228" s="9" t="str">
        <x:v>验证贡献榜按财富等级决定先后</x:v>
      </x:c>
      <x:c r="H228" s="9" t="str">
        <x:v>财富等级排序优先级</x:v>
      </x:c>
      <x:c r="I228" s="9" t="str">
        <x:v>1. 用户为本条执行者
2. 用户甲已登录；所选周期有参与排名的账号 A 和 B
3. 贡献值在 A、B 两账号上完全相同；财富等级在 A 为 10，在 B 为 20</x:v>
      </x:c>
      <x:c r="J228" s="9" t="str">
        <x:v>1. 打开贡献榜
2. 查看 A 和 B 的名次</x:v>
      </x:c>
      <x:c r="K228" s="9" t="str">
        <x:v>B 排在 A 前面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 556 行；REQ-ad3b4b3d5e9b、第 561 行；REQ-338ca0cff70c、第 553 行
2. 规则：BR-5B64F1A2B1A46E
3. 未动态验证
4. 示例账号、编号、金额与日期是本条测试数据；执行前按前置条件准备，未填写的产品决策不得自行假定。</x:v>
      </x:c>
    </x:row>
    <x:row r="229" ht="145" customHeight="1">
      <x:c r="A229" s="10" t="n">
        <x:v>228</x:v>
      </x:c>
      <x:c r="B229" s="10" t="str">
        <x:v>USER-0228</x:v>
      </x:c>
      <x:c r="C229" s="10" t="str">
        <x:v>首页与发现</x:v>
      </x:c>
      <x:c r="D229" s="10" t="str">
        <x:v>贡献榜（用户）</x:v>
      </x:c>
      <x:c r="E229" s="10" t="str">
        <x:v>功能需求</x:v>
      </x:c>
      <x:c r="F229" s="10" t="str">
        <x:v>P2</x:v>
      </x:c>
      <x:c r="G229" s="9" t="str">
        <x:v>验证贡献榜按用户 ID 数字部分决定先后</x:v>
      </x:c>
      <x:c r="H229" s="9" t="str">
        <x:v>用户 ID 数字部分排序优先级</x:v>
      </x:c>
      <x:c r="I229" s="9" t="str">
        <x:v>1. 用户为本条执行者
2. 用户甲已登录；所选周期有参与排名的账号 A 和 B
3. 贡献值、财富等级在 A、B 两账号上完全相同；用户 ID 数字部分在 A 为 10，在 B 为 20</x:v>
      </x:c>
      <x:c r="J229" s="9" t="str">
        <x:v>1. 打开贡献榜
2. 查看 A 和 B 的名次</x:v>
      </x:c>
      <x:c r="K229" s="9" t="str">
        <x:v>A 排在 B 前面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 556 行；REQ-ad3b4b3d5e9b、第 561 行；REQ-338ca0cff70c、第 553 行
2. 规则：BR-0CC56EE04E95FC
3. 未动态验证
4. 示例账号、编号、金额与日期是本条测试数据；执行前按前置条件准备，未填写的产品决策不得自行假定。</x:v>
      </x:c>
    </x:row>
    <x:row r="230" ht="145" customHeight="1">
      <x:c r="A230" s="10" t="n">
        <x:v>229</x:v>
      </x:c>
      <x:c r="B230" s="10" t="str">
        <x:v>USER-0229</x:v>
      </x:c>
      <x:c r="C230" s="10" t="str">
        <x:v>首页与发现</x:v>
      </x:c>
      <x:c r="D230" s="10" t="str">
        <x:v>贡献榜（用户）</x:v>
      </x:c>
      <x:c r="E230" s="10" t="str">
        <x:v>功能需求</x:v>
      </x:c>
      <x:c r="F230" s="10" t="str">
        <x:v>P2</x:v>
      </x:c>
      <x:c r="G230" s="9" t="str">
        <x:v>验证贡献榜有 29 个可排名账号</x:v>
      </x:c>
      <x:c r="H230" s="9" t="str">
        <x:v>榜单条数上限</x:v>
      </x:c>
      <x:c r="I230" s="9" t="str">
        <x:v>1. 用户为本条执行者
2. 用户甲已登录；所选周期有参与排名的账号 A 和 B
3. 所选周期恰有 29 个账号有有效贡献，排序键无并列</x:v>
      </x:c>
      <x:c r="J230" s="9" t="str">
        <x:v>1. 打开贡献榜
2. 查看排名列表</x:v>
      </x:c>
      <x:c r="K230" s="9" t="str">
        <x:v>榜单展示 29 个账号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 557 行；REQ-3e39503ac52e、第 564 行；REQ-fd19f623d02e、第 553 行
2. 规则：BR-9A9CCDD1D6299A
3. 未动态验证
4. 示例账号、编号、金额与日期是本条测试数据；执行前按前置条件准备，未填写的产品决策不得自行假定。</x:v>
      </x:c>
    </x:row>
    <x:row r="231" ht="145" customHeight="1">
      <x:c r="A231" s="10" t="n">
        <x:v>230</x:v>
      </x:c>
      <x:c r="B231" s="10" t="str">
        <x:v>USER-0230</x:v>
      </x:c>
      <x:c r="C231" s="10" t="str">
        <x:v>首页与发现</x:v>
      </x:c>
      <x:c r="D231" s="10" t="str">
        <x:v>贡献榜（用户）</x:v>
      </x:c>
      <x:c r="E231" s="10" t="str">
        <x:v>功能需求</x:v>
      </x:c>
      <x:c r="F231" s="10" t="str">
        <x:v>P2</x:v>
      </x:c>
      <x:c r="G231" s="9" t="str">
        <x:v>验证贡献榜有 30 个可排名账号</x:v>
      </x:c>
      <x:c r="H231" s="9" t="str">
        <x:v>榜单条数上限</x:v>
      </x:c>
      <x:c r="I231" s="9" t="str">
        <x:v>1. 用户为本条执行者
2. 用户甲已登录；所选周期有参与排名的账号 A 和 B
3. 所选周期恰有 30 个账号有有效贡献，排序键无并列</x:v>
      </x:c>
      <x:c r="J231" s="9" t="str">
        <x:v>1. 打开贡献榜
2. 查看排名列表</x:v>
      </x:c>
      <x:c r="K231" s="9" t="str">
        <x:v>榜单展示 30 个账号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 557 行；REQ-3e39503ac52e、第 564 行；REQ-fd19f623d02e、第 553 行
2. 规则：BR-25A28B65766FD4
3. 未动态验证
4. 示例账号、编号、金额与日期是本条测试数据；执行前按前置条件准备，未填写的产品决策不得自行假定。</x:v>
      </x:c>
    </x:row>
    <x:row r="232" ht="145" customHeight="1">
      <x:c r="A232" s="10" t="n">
        <x:v>231</x:v>
      </x:c>
      <x:c r="B232" s="10" t="str">
        <x:v>USER-0231</x:v>
      </x:c>
      <x:c r="C232" s="10" t="str">
        <x:v>首页与发现</x:v>
      </x:c>
      <x:c r="D232" s="10" t="str">
        <x:v>贡献榜（用户）</x:v>
      </x:c>
      <x:c r="E232" s="10" t="str">
        <x:v>功能需求</x:v>
      </x:c>
      <x:c r="F232" s="10" t="str">
        <x:v>P2</x:v>
      </x:c>
      <x:c r="G232" s="9" t="str">
        <x:v>验证贡献榜有 31 个可排名账号</x:v>
      </x:c>
      <x:c r="H232" s="9" t="str">
        <x:v>榜单条数上限</x:v>
      </x:c>
      <x:c r="I232" s="9" t="str">
        <x:v>1. 用户为本条执行者
2. 用户甲已登录；所选周期有参与排名的账号 A 和 B
3. 所选周期恰有 31 个账号有有效贡献，排序键无并列</x:v>
      </x:c>
      <x:c r="J232" s="9" t="str">
        <x:v>1. 打开贡献榜
2. 查看排名列表</x:v>
      </x:c>
      <x:c r="K232" s="9" t="str">
        <x:v>榜单展示 30 个账号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 557 行；REQ-3e39503ac52e、第 564 行；REQ-fd19f623d02e、第 553 行
2. 规则：BR-FA7CF23B3E22F8
3. 未动态验证
4. 示例账号、编号、金额与日期是本条测试数据；执行前按前置条件准备，未填写的产品决策不得自行假定。</x:v>
      </x:c>
    </x:row>
    <x:row r="233" ht="190" customHeight="1">
      <x:c r="A233" s="10" t="n">
        <x:v>232</x:v>
      </x:c>
      <x:c r="B233" s="10" t="str">
        <x:v>USER-0232</x:v>
      </x:c>
      <x:c r="C233" s="10" t="str">
        <x:v>首页与发现</x:v>
      </x:c>
      <x:c r="D233" s="10" t="str">
        <x:v>贡献榜（用户）</x:v>
      </x:c>
      <x:c r="E233" s="10" t="str">
        <x:v>功能需求</x:v>
      </x:c>
      <x:c r="F233" s="10" t="str">
        <x:v>P2</x:v>
      </x:c>
      <x:c r="G233" s="9" t="str">
        <x:v>验证贡献榜第30与31名同贡献按等级区分</x:v>
      </x:c>
      <x:c r="H233" s="9" t="str">
        <x:v>截断边界同分</x:v>
      </x:c>
      <x:c r="I233" s="9" t="str">
        <x:v>1. 用户为本条执行者
2. 用户甲已登录；所选周期有参与排名的账号 A 和 B
3. 前 29 人的贡献值高于 A、B；A 与 B 的贡献值相同，A 的财富等级高于 B</x:v>
      </x:c>
      <x:c r="J233" s="9" t="str">
        <x:v>1. 打开贡献榜
2. 查看第 30 名</x:v>
      </x:c>
      <x:c r="K233" s="9" t="str">
        <x:v>第 30 名为 A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 556 行；REQ-ad3b4b3d5e9b、第 557 行；REQ-3e39503ac52e、第 561 行；REQ-338ca0cff70c、第 563 行；REQ-d78c5211c8a5、第 564 行；REQ-fd19f623d02e、第 565 行；REQ-c861a60701cb、第 553 行
2. 规则：BR-DFBDF6DB9A5905
3. 未动态验证
4. 示例账号、编号、金额与日期是本条测试数据；执行前按前置条件准备，未填写的产品决策不得自行假定。</x:v>
      </x:c>
    </x:row>
    <x:row r="234" ht="175" customHeight="1">
      <x:c r="A234" s="10" t="n">
        <x:v>233</x:v>
      </x:c>
      <x:c r="B234" s="10" t="str">
        <x:v>USER-0233</x:v>
      </x:c>
      <x:c r="C234" s="10" t="str">
        <x:v>首页与发现</x:v>
      </x:c>
      <x:c r="D234" s="10" t="str">
        <x:v>贡献榜（用户）</x:v>
      </x:c>
      <x:c r="E234" s="10" t="str">
        <x:v>功能需求</x:v>
      </x:c>
      <x:c r="F234" s="10" t="str">
        <x:v>P2</x:v>
      </x:c>
      <x:c r="G234" s="9" t="str">
        <x:v>验证贡献榜切换当日</x:v>
      </x:c>
      <x:c r="H234" s="9" t="str">
        <x:v>榜单周期范围</x:v>
      </x:c>
      <x:c r="I234" s="9" t="str">
        <x:v>1. 用户为本条执行者
2. 用户甲已登录；所选周期有参与排名的账号 A 和 B
3. 当日有账号 A 的有效赠礼记录；账号 B 只在该周期之前有赠礼</x:v>
      </x:c>
      <x:c r="J234" s="9" t="str">
        <x:v>1. 打开贡献榜
2. 切换当日</x:v>
      </x:c>
      <x:c r="K234" s="9" t="str">
        <x:v>本周期榜单不包含仅在周期外赠礼的 B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 555 行；REQ-aa4b9b6bedf2、第 560 行；REQ-337ad0065e55、第 564 行；REQ-fd19f623d02e、第 565 行；REQ-c861a60701cb、第 553 行
2. 规则：BR-A38437149B7E54
3. 未动态验证
4. 示例账号、编号、金额与日期是本条测试数据；执行前按前置条件准备，未填写的产品决策不得自行假定。</x:v>
      </x:c>
    </x:row>
    <x:row r="235" ht="175" customHeight="1">
      <x:c r="A235" s="10" t="n">
        <x:v>234</x:v>
      </x:c>
      <x:c r="B235" s="10" t="str">
        <x:v>USER-0234</x:v>
      </x:c>
      <x:c r="C235" s="10" t="str">
        <x:v>首页与发现</x:v>
      </x:c>
      <x:c r="D235" s="10" t="str">
        <x:v>贡献榜（用户）</x:v>
      </x:c>
      <x:c r="E235" s="10" t="str">
        <x:v>功能需求</x:v>
      </x:c>
      <x:c r="F235" s="10" t="str">
        <x:v>P2</x:v>
      </x:c>
      <x:c r="G235" s="9" t="str">
        <x:v>验证贡献榜切换本周</x:v>
      </x:c>
      <x:c r="H235" s="9" t="str">
        <x:v>榜单周期范围</x:v>
      </x:c>
      <x:c r="I235" s="9" t="str">
        <x:v>1. 用户为本条执行者
2. 用户甲已登录；所选周期有参与排名的账号 A 和 B
3. 本周有账号 A 的有效赠礼记录；账号 B 只在该周期之前有赠礼</x:v>
      </x:c>
      <x:c r="J235" s="9" t="str">
        <x:v>1. 打开贡献榜
2. 切换本周</x:v>
      </x:c>
      <x:c r="K235" s="9" t="str">
        <x:v>本周期榜单不包含仅在周期外赠礼的 B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 555 行；REQ-aa4b9b6bedf2、第 560 行；REQ-337ad0065e55、第 564 行；REQ-fd19f623d02e、第 565 行；REQ-c861a60701cb、第 553 行
2. 规则：BR-94BFE9F5706BE7
3. 未动态验证
4. 示例账号、编号、金额与日期是本条测试数据；执行前按前置条件准备，未填写的产品决策不得自行假定。</x:v>
      </x:c>
    </x:row>
    <x:row r="236" ht="175" customHeight="1">
      <x:c r="A236" s="10" t="n">
        <x:v>235</x:v>
      </x:c>
      <x:c r="B236" s="10" t="str">
        <x:v>USER-0235</x:v>
      </x:c>
      <x:c r="C236" s="10" t="str">
        <x:v>首页与发现</x:v>
      </x:c>
      <x:c r="D236" s="10" t="str">
        <x:v>贡献榜（用户）</x:v>
      </x:c>
      <x:c r="E236" s="10" t="str">
        <x:v>功能需求</x:v>
      </x:c>
      <x:c r="F236" s="10" t="str">
        <x:v>P2</x:v>
      </x:c>
      <x:c r="G236" s="9" t="str">
        <x:v>验证贡献榜切换本月</x:v>
      </x:c>
      <x:c r="H236" s="9" t="str">
        <x:v>榜单周期范围</x:v>
      </x:c>
      <x:c r="I236" s="9" t="str">
        <x:v>1. 用户为本条执行者
2. 用户甲已登录；所选周期有参与排名的账号 A 和 B
3. 本月有账号 A 的有效赠礼记录；账号 B 只在该周期之前有赠礼</x:v>
      </x:c>
      <x:c r="J236" s="9" t="str">
        <x:v>1. 打开贡献榜
2. 切换本月</x:v>
      </x:c>
      <x:c r="K236" s="9" t="str">
        <x:v>本周期榜单不包含仅在周期外赠礼的 B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 555 行；REQ-aa4b9b6bedf2、第 560 行；REQ-337ad0065e55、第 564 行；REQ-fd19f623d02e、第 565 行；REQ-c861a60701cb、第 553 行
2. 规则：BR-3DB22B99BCE246
3. 未动态验证
4. 示例账号、编号、金额与日期是本条测试数据；执行前按前置条件准备，未填写的产品决策不得自行假定。</x:v>
      </x:c>
    </x:row>
    <x:row r="237" ht="130" customHeight="1">
      <x:c r="A237" s="10" t="n">
        <x:v>236</x:v>
      </x:c>
      <x:c r="B237" s="10" t="str">
        <x:v>USER-0236</x:v>
      </x:c>
      <x:c r="C237" s="10" t="str">
        <x:v>首页与发现</x:v>
      </x:c>
      <x:c r="D237" s="10" t="str">
        <x:v>贡献榜（用户）</x:v>
      </x:c>
      <x:c r="E237" s="10" t="str">
        <x:v>功能需求</x:v>
      </x:c>
      <x:c r="F237" s="10" t="str">
        <x:v>P2</x:v>
      </x:c>
      <x:c r="G237" s="9" t="str">
        <x:v>验证贡献榜幸运礼物返奖不冲减贡献</x:v>
      </x:c>
      <x:c r="H237" s="9" t="str">
        <x:v>幸运礼物贡献口径</x:v>
      </x:c>
      <x:c r="I237" s="9" t="str">
        <x:v>1. 用户为本条执行者
2. 用户甲已登录；所选周期有参与排名的账号 A 和 B
3. 账号 A 在本周期的幸运礼物送出价值为 1000 金币，返奖为 800 金币；无其他贡献</x:v>
      </x:c>
      <x:c r="J237" s="9" t="str">
        <x:v>1. 打开贡献榜
2. 查看账号 A</x:v>
      </x:c>
      <x:c r="K237" s="9" t="str">
        <x:v>A 的贡献值为 1000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 560 行；REQ-337ad0065e55、第 553 行
2. 规则：BR-5353DB634CD2D8
3. 未动态验证
4. 示例账号、编号、金额与日期是本条测试数据；执行前按前置条件准备，未填写的产品决策不得自行假定。</x:v>
      </x:c>
    </x:row>
    <x:row r="238" ht="130" customHeight="1">
      <x:c r="A238" s="10" t="n">
        <x:v>237</x:v>
      </x:c>
      <x:c r="B238" s="10" t="str">
        <x:v>USER-0237</x:v>
      </x:c>
      <x:c r="C238" s="10" t="str">
        <x:v>首页与发现</x:v>
      </x:c>
      <x:c r="D238" s="10" t="str">
        <x:v>贡献榜（用户）</x:v>
      </x:c>
      <x:c r="E238" s="10" t="str">
        <x:v>功能需求</x:v>
      </x:c>
      <x:c r="F238" s="10" t="str">
        <x:v>P2</x:v>
      </x:c>
      <x:c r="G238" s="9" t="str">
        <x:v>验证贡献榜账号注销后保留历史值</x:v>
      </x:c>
      <x:c r="H238" s="9" t="str">
        <x:v>已注销账号标识</x:v>
      </x:c>
      <x:c r="I238" s="9" t="str">
        <x:v>1. 用户为本条执行者
2. 用户甲已登录；所选周期有参与排名的账号 A 和 B
3. 账号 A 在本周期有贡献后完成注销</x:v>
      </x:c>
      <x:c r="J238" s="9" t="str">
        <x:v>1. 打开贡献榜
2. 查看 A 的历史排名</x:v>
      </x:c>
      <x:c r="K238" s="9" t="str">
        <x:v>A 的名称显示“账号已注销”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 563 行；REQ-d78c5211c8a5、第 553 行
2. 规则：BR-ADE0B2530DFC6A
3. 未动态验证
4. 示例账号、编号、金额与日期是本条测试数据；执行前按前置条件准备，未填写的产品决策不得自行假定。</x:v>
      </x:c>
    </x:row>
    <x:row r="239" ht="205" customHeight="1">
      <x:c r="A239" s="10" t="n">
        <x:v>238</x:v>
      </x:c>
      <x:c r="B239" s="10" t="str">
        <x:v>USER-0238</x:v>
      </x:c>
      <x:c r="C239" s="10" t="str">
        <x:v>首页与发现</x:v>
      </x:c>
      <x:c r="D239" s="10" t="str">
        <x:v>搜索（用户）</x:v>
      </x:c>
      <x:c r="E239" s="10" t="str">
        <x:v>功能需求</x:v>
      </x:c>
      <x:c r="F239" s="10" t="str">
        <x:v>P2</x:v>
      </x:c>
      <x:c r="G239" s="9" t="str">
        <x:v>验证搜索词去掉首尾空格</x:v>
      </x:c>
      <x:c r="H239" s="9" t="str">
        <x:v>搜索词标准化</x:v>
      </x:c>
      <x:c r="I239" s="9" t="str">
        <x:v>1. 用户为本条执行者
2. 用户甲已登录，除本条前置条件指定的历史外没有其他搜索历史</x:v>
      </x:c>
      <x:c r="J239" s="9" t="str">
        <x:v>1. 打开搜索
2. 输入关键词“  测试主播  ”
3. 提交搜索</x:v>
      </x:c>
      <x:c r="K239" s="9" t="str">
        <x:v>搜索历史记录“测试主播”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 571 行；REQ-c644e17bfb6f、第 572 行；REQ-e6e0d7e38a8f、第 573 行；REQ-da88ffbc47a5、第 574 行；REQ-1206e925fd86、第 575 行；REQ-4d67a7a6560b、第 578 行；REQ-51257e5ecd35、第 579 行；REQ-2b7db2f77439、第 569 行
2. 规则：BR-61339F74E9E509
3. 未动态验证
4. 示例账号、编号、金额与日期是本条测试数据；执行前按前置条件准备，未填写的产品决策不得自行假定。</x:v>
      </x:c>
    </x:row>
    <x:row r="240" ht="190" customHeight="1">
      <x:c r="A240" s="10" t="n">
        <x:v>239</x:v>
      </x:c>
      <x:c r="B240" s="10" t="str">
        <x:v>USER-0239</x:v>
      </x:c>
      <x:c r="C240" s="10" t="str">
        <x:v>首页与发现</x:v>
      </x:c>
      <x:c r="D240" s="10" t="str">
        <x:v>搜索（用户）</x:v>
      </x:c>
      <x:c r="E240" s="10" t="str">
        <x:v>功能需求</x:v>
      </x:c>
      <x:c r="F240" s="10" t="str">
        <x:v>P2</x:v>
      </x:c>
      <x:c r="G240" s="9" t="str">
        <x:v>验证重复关键词只保留最近一次</x:v>
      </x:c>
      <x:c r="H240" s="9" t="str">
        <x:v>历史关键词去重</x:v>
      </x:c>
      <x:c r="I240" s="9" t="str">
        <x:v>1. 用户为本条执行者
2. 用户甲已登录，除本条前置条件指定的历史外没有其他搜索历史
3. 历史中已有“测试主播”和“测试用户”</x:v>
      </x:c>
      <x:c r="J240" s="9" t="str">
        <x:v>1. 打开搜索
2. 输入“测试主播”
3. 提交搜索
4. 返回搜索</x:v>
      </x:c>
      <x:c r="K240" s="9" t="str">
        <x:v>历史中“测试主播”只出现一次且排在最前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 572 行；REQ-e6e0d7e38a8f、第 573 行；REQ-da88ffbc47a5、第 574 行；REQ-1206e925fd86、第 575 行；REQ-4d67a7a6560b、第 578 行；REQ-51257e5ecd35、第 579 行；REQ-2b7db2f77439、第 569 行
2. 规则：BR-72D555ABA94A65
3. 未动态验证
4. 示例账号、编号、金额与日期是本条测试数据；执行前按前置条件准备，未填写的产品决策不得自行假定。</x:v>
      </x:c>
    </x:row>
    <x:row r="241" ht="190" customHeight="1">
      <x:c r="A241" s="10" t="n">
        <x:v>240</x:v>
      </x:c>
      <x:c r="B241" s="10" t="str">
        <x:v>USER-0240</x:v>
      </x:c>
      <x:c r="C241" s="10" t="str">
        <x:v>首页与发现</x:v>
      </x:c>
      <x:c r="D241" s="10" t="str">
        <x:v>搜索（用户）</x:v>
      </x:c>
      <x:c r="E241" s="10" t="str">
        <x:v>功能需求</x:v>
      </x:c>
      <x:c r="F241" s="10" t="str">
        <x:v>P2</x:v>
      </x:c>
      <x:c r="G241" s="9" t="str">
        <x:v>验证搜索历史只保留最近十条</x:v>
      </x:c>
      <x:c r="H241" s="9" t="str">
        <x:v>搜索历史容量</x:v>
      </x:c>
      <x:c r="I241" s="9" t="str">
        <x:v>1. 用户为本条执行者
2. 用户甲已登录，除本条前置条件指定的历史外没有其他搜索历史
3. 历史已有依次搜索的关键词 01 至 10</x:v>
      </x:c>
      <x:c r="J241" s="9" t="str">
        <x:v>1. 打开搜索
2. 输入关键词 11
3. 提交搜索
4. 返回搜索</x:v>
      </x:c>
      <x:c r="K241" s="9" t="str">
        <x:v>历史只保留关键词 02 至 11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 572 行；REQ-e6e0d7e38a8f、第 573 行；REQ-da88ffbc47a5、第 574 行；REQ-1206e925fd86、第 575 行；REQ-4d67a7a6560b、第 578 行；REQ-51257e5ecd35、第 579 行；REQ-2b7db2f77439、第 569 行
2. 规则：BR-454FD4FC22BEA7
3. 未动态验证
4. 示例账号、编号、金额与日期是本条测试数据；执行前按前置条件准备，未填写的产品决策不得自行假定。</x:v>
      </x:c>
    </x:row>
    <x:row r="242" ht="190" customHeight="1">
      <x:c r="A242" s="10" t="n">
        <x:v>241</x:v>
      </x:c>
      <x:c r="B242" s="10" t="str">
        <x:v>USER-0241</x:v>
      </x:c>
      <x:c r="C242" s="10" t="str">
        <x:v>首页与发现</x:v>
      </x:c>
      <x:c r="D242" s="10" t="str">
        <x:v>搜索（用户）</x:v>
      </x:c>
      <x:c r="E242" s="10" t="str">
        <x:v>功能需求</x:v>
      </x:c>
      <x:c r="F242" s="10" t="str">
        <x:v>P2</x:v>
      </x:c>
      <x:c r="G242" s="9" t="str">
        <x:v>验证清空搜索历史</x:v>
      </x:c>
      <x:c r="H242" s="9" t="str">
        <x:v>历史清空</x:v>
      </x:c>
      <x:c r="I242" s="9" t="str">
        <x:v>1. 用户为本条执行者
2. 用户甲已登录，除本条前置条件指定的历史外没有其他搜索历史</x:v>
      </x:c>
      <x:c r="J242" s="9" t="str">
        <x:v>1. 打开搜索
2. 输入“测试主播”
3. 提交搜索
4. 返回搜索
5. 点击清空历史</x:v>
      </x:c>
      <x:c r="K242" s="9" t="str">
        <x:v>搜索历史为空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 572 行；REQ-e6e0d7e38a8f、第 573 行；REQ-da88ffbc47a5、第 574 行；REQ-1206e925fd86、第 575 行；REQ-4d67a7a6560b、第 578 行；REQ-51257e5ecd35、第 579 行；REQ-2b7db2f77439、第 569 行
2. 规则：BR-4F25EF0593F81E
3. 未动态验证
4. 示例账号、编号、金额与日期是本条测试数据；执行前按前置条件准备，未填写的产品决策不得自行假定。</x:v>
      </x:c>
    </x:row>
    <x:row r="243" ht="160" customHeight="1">
      <x:c r="A243" s="10" t="n">
        <x:v>242</x:v>
      </x:c>
      <x:c r="B243" s="10" t="str">
        <x:v>USER-0242</x:v>
      </x:c>
      <x:c r="C243" s="10" t="str">
        <x:v>首页与发现</x:v>
      </x:c>
      <x:c r="D243" s="10" t="str">
        <x:v>搜索结果（用户）</x:v>
      </x:c>
      <x:c r="E243" s="10" t="str">
        <x:v>功能需求</x:v>
      </x:c>
      <x:c r="F243" s="10" t="str">
        <x:v>P2</x:v>
      </x:c>
      <x:c r="G243" s="9" t="str">
        <x:v>验证点击正在直播的主播搜索结果</x:v>
      </x:c>
      <x:c r="H243" s="9" t="str">
        <x:v>搜索结果跳转</x:v>
      </x:c>
      <x:c r="I243" s="9" t="str">
        <x:v>1. 用户为本条执行者
2. 测试用户甲已登录；关键词与目标账号精确匹配且无拉黑关系
3. 搜索结果账号 A 为正在直播的主播</x:v>
      </x:c>
      <x:c r="J243" s="9" t="str">
        <x:v>1. 打开搜索结果
2. 点击账号 A</x:v>
      </x:c>
      <x:c r="K243" s="9" t="str">
        <x:v>进入该主播的当前直播间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 588 行；REQ-0d5340455b00、第 589 行；REQ-517b2a4a3b1f、第 590 行；REQ-77596e9bf81c、第 582 行
2. 规则：BR-A32E4B67C91824
3. 未动态验证
4. 示例账号、编号、金额与日期是本条测试数据；执行前按前置条件准备，未填写的产品决策不得自行假定。</x:v>
      </x:c>
    </x:row>
    <x:row r="244" ht="160" customHeight="1">
      <x:c r="A244" s="10" t="n">
        <x:v>243</x:v>
      </x:c>
      <x:c r="B244" s="10" t="str">
        <x:v>USER-0243</x:v>
      </x:c>
      <x:c r="C244" s="10" t="str">
        <x:v>首页与发现</x:v>
      </x:c>
      <x:c r="D244" s="10" t="str">
        <x:v>搜索结果（用户）</x:v>
      </x:c>
      <x:c r="E244" s="10" t="str">
        <x:v>功能需求</x:v>
      </x:c>
      <x:c r="F244" s="10" t="str">
        <x:v>P2</x:v>
      </x:c>
      <x:c r="G244" s="9" t="str">
        <x:v>验证点击未开播主播搜索结果</x:v>
      </x:c>
      <x:c r="H244" s="9" t="str">
        <x:v>搜索结果跳转</x:v>
      </x:c>
      <x:c r="I244" s="9" t="str">
        <x:v>1. 用户为本条执行者
2. 测试用户甲已登录；关键词与目标账号精确匹配且无拉黑关系
3. 搜索结果账号 A 为未开播主播</x:v>
      </x:c>
      <x:c r="J244" s="9" t="str">
        <x:v>1. 打开搜索结果
2. 点击账号 A</x:v>
      </x:c>
      <x:c r="K244" s="9" t="str">
        <x:v>进入该主播主页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 588 行；REQ-0d5340455b00、第 589 行；REQ-517b2a4a3b1f、第 590 行；REQ-77596e9bf81c、第 582 行
2. 规则：BR-BD7856BEC64674
3. 未动态验证
4. 示例账号、编号、金额与日期是本条测试数据；执行前按前置条件准备，未填写的产品决策不得自行假定。</x:v>
      </x:c>
    </x:row>
    <x:row r="245" ht="160" customHeight="1">
      <x:c r="A245" s="10" t="n">
        <x:v>244</x:v>
      </x:c>
      <x:c r="B245" s="10" t="str">
        <x:v>USER-0244</x:v>
      </x:c>
      <x:c r="C245" s="10" t="str">
        <x:v>首页与发现</x:v>
      </x:c>
      <x:c r="D245" s="10" t="str">
        <x:v>搜索结果（用户）</x:v>
      </x:c>
      <x:c r="E245" s="10" t="str">
        <x:v>功能需求</x:v>
      </x:c>
      <x:c r="F245" s="10" t="str">
        <x:v>P2</x:v>
      </x:c>
      <x:c r="G245" s="9" t="str">
        <x:v>验证点击普通用户搜索结果</x:v>
      </x:c>
      <x:c r="H245" s="9" t="str">
        <x:v>搜索结果跳转</x:v>
      </x:c>
      <x:c r="I245" s="9" t="str">
        <x:v>1. 用户为本条执行者
2. 测试用户甲已登录；关键词与目标账号精确匹配且无拉黑关系
3. 搜索结果账号 A 为普通用户</x:v>
      </x:c>
      <x:c r="J245" s="9" t="str">
        <x:v>1. 打开搜索结果
2. 点击账号 A</x:v>
      </x:c>
      <x:c r="K245" s="9" t="str">
        <x:v>进入该用户主页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 588 行；REQ-0d5340455b00、第 589 行；REQ-517b2a4a3b1f、第 590 行；REQ-77596e9bf81c、第 582 行
2. 规则：BR-1F6E20F96A18B0
3. 未动态验证
4. 示例账号、编号、金额与日期是本条测试数据；执行前按前置条件准备，未填写的产品决策不得自行假定。</x:v>
      </x:c>
    </x:row>
    <x:row r="246" ht="265" customHeight="1">
      <x:c r="A246" s="10" t="n">
        <x:v>245</x:v>
      </x:c>
      <x:c r="B246" s="10" t="str">
        <x:v>USER-0245</x:v>
      </x:c>
      <x:c r="C246" s="10" t="str">
        <x:v>首页与发现</x:v>
      </x:c>
      <x:c r="D246" s="10" t="str">
        <x:v>充值福利（用户）</x:v>
      </x:c>
      <x:c r="E246" s="10" t="str">
        <x:v>功能需求</x:v>
      </x:c>
      <x:c r="F246" s="10" t="str">
        <x:v>P1</x:v>
      </x:c>
      <x:c r="G246" s="9" t="str">
        <x:v>验证仅登录不自动签到</x:v>
      </x:c>
      <x:c r="H246" s="9" t="str">
        <x:v>手动签到门槛</x:v>
      </x:c>
      <x:c r="I246" s="9" t="str">
        <x:v>1. 用户为本条执行者
2. 普通用户甲已登录，存在有效签到活动
3. 用户甲今天尚未签到</x:v>
      </x:c>
      <x:c r="J246" s="9" t="str">
        <x:v>1. 打开充值福利</x:v>
      </x:c>
      <x:c r="K246" s="9" t="str">
        <x:v>今天仍显示可签到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 598 行；REQ-6333241d4b9b、第 599 行；REQ-338d84306791、第 600 行；REQ-bcf3754632ce、第 607 行；REQ-bf6df4adff21、第 610 行；REQ-97320cbd6d67、第 611 行；REQ-ab820593d424、第 612 行；REQ-4d0358d54570、第 613 行；REQ-87b984d32f90、第 614 行；REQ-6a839b7cf44a、第 615 行；REQ-6015ad1aaa2f、第 618 行；REQ-c1796e8ee348、第 619 行；REQ-dcd9abdf8544、第 622 行；REQ-ee270bd5644f、第 594 行
2. 规则：BR-B267758964E69B
3. 未动态验证
4. 示例账号、编号、金额与日期是本条测试数据；执行前按前置条件准备，未填写的产品决策不得自行假定。</x:v>
      </x:c>
    </x:row>
    <x:row r="247" ht="265" customHeight="1">
      <x:c r="A247" s="10" t="n">
        <x:v>246</x:v>
      </x:c>
      <x:c r="B247" s="10" t="str">
        <x:v>USER-0246</x:v>
      </x:c>
      <x:c r="C247" s="10" t="str">
        <x:v>首页与发现</x:v>
      </x:c>
      <x:c r="D247" s="10" t="str">
        <x:v>充值福利（用户）</x:v>
      </x:c>
      <x:c r="E247" s="10" t="str">
        <x:v>功能需求</x:v>
      </x:c>
      <x:c r="F247" s="10" t="str">
        <x:v>P2</x:v>
      </x:c>
      <x:c r="G247" s="9" t="str">
        <x:v>验证当天首次手动签到</x:v>
      </x:c>
      <x:c r="H247" s="9" t="str">
        <x:v>每日签到唯一性</x:v>
      </x:c>
      <x:c r="I247" s="9" t="str">
        <x:v>1. 用户为本条执行者
2. 普通用户甲已登录，存在有效签到活动
3. 用户甲今天已签到 0 次</x:v>
      </x:c>
      <x:c r="J247" s="9" t="str">
        <x:v>1. 打开充值福利
2. 点击签到</x:v>
      </x:c>
      <x:c r="K247" s="9" t="str">
        <x:v>今天显示已签到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 598 行；REQ-6333241d4b9b、第 599 行；REQ-338d84306791、第 600 行；REQ-bcf3754632ce、第 607 行；REQ-bf6df4adff21、第 610 行；REQ-97320cbd6d67、第 611 行；REQ-ab820593d424、第 612 行；REQ-4d0358d54570、第 613 行；REQ-87b984d32f90、第 614 行；REQ-6a839b7cf44a、第 615 行；REQ-6015ad1aaa2f、第 617 行；REQ-cf5cb96cec55、第 619 行；REQ-dcd9abdf8544、第 622 行；REQ-ee270bd5644f、第 594 行
2. 规则：BR-950C019318435D
3. 未动态验证
4. 示例账号、编号、金额与日期是本条测试数据；执行前按前置条件准备，未填写的产品决策不得自行假定。</x:v>
      </x:c>
    </x:row>
    <x:row r="248" ht="265" customHeight="1">
      <x:c r="A248" s="10" t="n">
        <x:v>247</x:v>
      </x:c>
      <x:c r="B248" s="10" t="str">
        <x:v>USER-0247</x:v>
      </x:c>
      <x:c r="C248" s="10" t="str">
        <x:v>首页与发现</x:v>
      </x:c>
      <x:c r="D248" s="10" t="str">
        <x:v>充值福利（用户）</x:v>
      </x:c>
      <x:c r="E248" s="10" t="str">
        <x:v>功能需求</x:v>
      </x:c>
      <x:c r="F248" s="10" t="str">
        <x:v>P2</x:v>
      </x:c>
      <x:c r="G248" s="9" t="str">
        <x:v>验证同一天签到后再次进入</x:v>
      </x:c>
      <x:c r="H248" s="9" t="str">
        <x:v>每日签到唯一性</x:v>
      </x:c>
      <x:c r="I248" s="9" t="str">
        <x:v>1. 用户为本条执行者
2. 普通用户甲已登录，存在有效签到活动
3. 用户甲今天已签到 1 次</x:v>
      </x:c>
      <x:c r="J248" s="9" t="str">
        <x:v>1. 打开充值福利</x:v>
      </x:c>
      <x:c r="K248" s="9" t="str">
        <x:v>今天显示已签到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 598 行；REQ-6333241d4b9b、第 599 行；REQ-338d84306791、第 600 行；REQ-bcf3754632ce、第 607 行；REQ-bf6df4adff21、第 610 行；REQ-97320cbd6d67、第 611 行；REQ-ab820593d424、第 612 行；REQ-4d0358d54570、第 613 行；REQ-87b984d32f90、第 614 行；REQ-6a839b7cf44a、第 615 行；REQ-6015ad1aaa2f、第 617 行；REQ-cf5cb96cec55、第 619 行；REQ-dcd9abdf8544、第 622 行；REQ-ee270bd5644f、第 594 行
2. 规则：BR-3CEBCA70E064C4
3. 未动态验证
4. 示例账号、编号、金额与日期是本条测试数据；执行前按前置条件准备，未填写的产品决策不得自行假定。</x:v>
      </x:c>
    </x:row>
    <x:row r="249" ht="220" customHeight="1">
      <x:c r="A249" s="10" t="n">
        <x:v>248</x:v>
      </x:c>
      <x:c r="B249" s="10" t="str">
        <x:v>USER-0248</x:v>
      </x:c>
      <x:c r="C249" s="10" t="str">
        <x:v>首页与发现</x:v>
      </x:c>
      <x:c r="D249" s="10" t="str">
        <x:v>充值福利（用户）</x:v>
      </x:c>
      <x:c r="E249" s="10" t="str">
        <x:v>功能需求</x:v>
      </x:c>
      <x:c r="F249" s="10" t="str">
        <x:v>P2</x:v>
      </x:c>
      <x:c r="G249" s="9" t="str">
        <x:v>验证断签后从第一天开始</x:v>
      </x:c>
      <x:c r="H249" s="9" t="str">
        <x:v>断签后的连续天数</x:v>
      </x:c>
      <x:c r="I249" s="9" t="str">
        <x:v>1. 用户为本条执行者
2. 普通用户甲已登录，存在有效签到活动
3. 用户甲前天签到，昨天未签到，今天尚未签到</x:v>
      </x:c>
      <x:c r="J249" s="9" t="str">
        <x:v>1. 打开充值福利
2. 点击签到</x:v>
      </x:c>
      <x:c r="K249" s="9" t="str">
        <x:v>本次按连续签到第 1 天处理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 598 行；REQ-6333241d4b9b、第 599 行；REQ-338d84306791、第 610 行；REQ-97320cbd6d67、第 611 行；REQ-ab820593d424、第 612 行；REQ-4d0358d54570、第 613 行；REQ-87b984d32f90、第 614 行；REQ-6a839b7cf44a、第 615 行；REQ-6015ad1aaa2f、第 594 行
2. 规则：BR-14E02A5F017129
3. 未动态验证
4. 示例账号、编号、金额与日期是本条测试数据；执行前按前置条件准备，未填写的产品决策不得自行假定。</x:v>
      </x:c>
    </x:row>
    <x:row r="250" ht="220" customHeight="1">
      <x:c r="A250" s="10" t="n">
        <x:v>249</x:v>
      </x:c>
      <x:c r="B250" s="10" t="str">
        <x:v>USER-0249</x:v>
      </x:c>
      <x:c r="C250" s="10" t="str">
        <x:v>首页与发现</x:v>
      </x:c>
      <x:c r="D250" s="10" t="str">
        <x:v>全部任务（用户）</x:v>
      </x:c>
      <x:c r="E250" s="10" t="str">
        <x:v>功能需求</x:v>
      </x:c>
      <x:c r="F250" s="10" t="str">
        <x:v>P2</x:v>
      </x:c>
      <x:c r="G250" s="9" t="str">
        <x:v>验证观看任务已完成 1799 秒</x:v>
      </x:c>
      <x:c r="H250" s="9" t="str">
        <x:v>观看30分钟达成门槛</x:v>
      </x:c>
      <x:c r="I250" s="9" t="str">
        <x:v>1. 用户为本条执行者
2. 普通用户甲已登录；观看直播30分钟任务T001当前有效，配置奖励10金币
3. T001 的有效观看累计1799秒，当前尚未领取</x:v>
      </x:c>
      <x:c r="J250" s="9" t="str">
        <x:v>1. 打开全部任务
2. 查看 T001</x:v>
      </x:c>
      <x:c r="K250" s="9" t="str">
        <x:v>T001 不能领取奖励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 627 行；REQ-3c7e1d9db425、第 628 行；REQ-c37bf0e509ae、第 629 行；REQ-139bf5a1451b、第 630 行；REQ-30377b8c96cd、第 632 行；REQ-64027ca93b29、第 633 行；REQ-3f5f1f726bc3、第 635 行；REQ-29668ff3f5d8、第 636 行；REQ-9d9b03964763、第 625 行
2. 规则：BR-3CFFEF3F42BCCD
3. 未动态验证
4. 示例账号、编号、金额与日期是本条测试数据；执行前按前置条件准备，未填写的产品决策不得自行假定。</x:v>
      </x:c>
    </x:row>
    <x:row r="251" ht="220" customHeight="1">
      <x:c r="A251" s="10" t="n">
        <x:v>250</x:v>
      </x:c>
      <x:c r="B251" s="10" t="str">
        <x:v>USER-0250</x:v>
      </x:c>
      <x:c r="C251" s="10" t="str">
        <x:v>首页与发现</x:v>
      </x:c>
      <x:c r="D251" s="10" t="str">
        <x:v>全部任务（用户）</x:v>
      </x:c>
      <x:c r="E251" s="10" t="str">
        <x:v>功能需求</x:v>
      </x:c>
      <x:c r="F251" s="10" t="str">
        <x:v>P2</x:v>
      </x:c>
      <x:c r="G251" s="9" t="str">
        <x:v>验证观看任务已完成 1800 秒</x:v>
      </x:c>
      <x:c r="H251" s="9" t="str">
        <x:v>观看30分钟达成门槛</x:v>
      </x:c>
      <x:c r="I251" s="9" t="str">
        <x:v>1. 用户为本条执行者
2. 普通用户甲已登录；观看直播30分钟任务T001当前有效，配置奖励10金币
3. T001 的有效观看累计1800秒，当前尚未领取</x:v>
      </x:c>
      <x:c r="J251" s="9" t="str">
        <x:v>1. 打开全部任务
2. 查看 T001</x:v>
      </x:c>
      <x:c r="K251" s="9" t="str">
        <x:v>T001 可以领取奖励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 627 行；REQ-3c7e1d9db425、第 628 行；REQ-c37bf0e509ae、第 629 行；REQ-139bf5a1451b、第 630 行；REQ-30377b8c96cd、第 632 行；REQ-64027ca93b29、第 633 行；REQ-3f5f1f726bc3、第 635 行；REQ-29668ff3f5d8、第 636 行；REQ-9d9b03964763、第 625 行
2. 规则：BR-1627FFBC0AE208
3. 未动态验证
4. 示例账号、编号、金额与日期是本条测试数据；执行前按前置条件准备，未填写的产品决策不得自行假定。</x:v>
      </x:c>
    </x:row>
    <x:row r="252" ht="220" customHeight="1">
      <x:c r="A252" s="10" t="n">
        <x:v>251</x:v>
      </x:c>
      <x:c r="B252" s="10" t="str">
        <x:v>USER-0251</x:v>
      </x:c>
      <x:c r="C252" s="10" t="str">
        <x:v>首页与发现</x:v>
      </x:c>
      <x:c r="D252" s="10" t="str">
        <x:v>全部任务（用户）</x:v>
      </x:c>
      <x:c r="E252" s="10" t="str">
        <x:v>功能需求</x:v>
      </x:c>
      <x:c r="F252" s="10" t="str">
        <x:v>P2</x:v>
      </x:c>
      <x:c r="G252" s="9" t="str">
        <x:v>验证观看任务已完成 1801 秒</x:v>
      </x:c>
      <x:c r="H252" s="9" t="str">
        <x:v>观看30分钟达成门槛</x:v>
      </x:c>
      <x:c r="I252" s="9" t="str">
        <x:v>1. 用户为本条执行者
2. 普通用户甲已登录；观看直播30分钟任务T001当前有效，配置奖励10金币
3. T001 的有效观看累计1801秒，当前尚未领取</x:v>
      </x:c>
      <x:c r="J252" s="9" t="str">
        <x:v>1. 打开全部任务
2. 查看 T001</x:v>
      </x:c>
      <x:c r="K252" s="9" t="str">
        <x:v>T001 可以领取奖励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 627 行；REQ-3c7e1d9db425、第 628 行；REQ-c37bf0e509ae、第 629 行；REQ-139bf5a1451b、第 630 行；REQ-30377b8c96cd、第 632 行；REQ-64027ca93b29、第 633 行；REQ-3f5f1f726bc3、第 635 行；REQ-29668ff3f5d8、第 636 行；REQ-9d9b03964763、第 625 行
2. 规则：BR-FDCB8BE0DA37A9
3. 未动态验证
4. 示例账号、编号、金额与日期是本条测试数据；执行前按前置条件准备，未填写的产品决策不得自行假定。</x:v>
      </x:c>
    </x:row>
    <x:row r="253" ht="175" customHeight="1">
      <x:c r="A253" s="10" t="n">
        <x:v>252</x:v>
      </x:c>
      <x:c r="B253" s="10" t="str">
        <x:v>USER-0252</x:v>
      </x:c>
      <x:c r="C253" s="10" t="str">
        <x:v>首页与发现</x:v>
      </x:c>
      <x:c r="D253" s="10" t="str">
        <x:v>全部任务（用户）</x:v>
      </x:c>
      <x:c r="E253" s="10" t="str">
        <x:v>功能需求</x:v>
      </x:c>
      <x:c r="F253" s="10" t="str">
        <x:v>P2</x:v>
      </x:c>
      <x:c r="G253" s="9" t="str">
        <x:v>验证已经领取的任务不重复发奖</x:v>
      </x:c>
      <x:c r="H253" s="9" t="str">
        <x:v>任务奖励去重</x:v>
      </x:c>
      <x:c r="I253" s="9" t="str">
        <x:v>1. 用户为本条执行者
2. 普通用户甲已登录；观看直播30分钟任务T001当前有效，配置奖励10金币
3. T001 今天的10金币奖励已成功领取</x:v>
      </x:c>
      <x:c r="J253" s="9" t="str">
        <x:v>1. 打开全部任务
2. 查看 T001</x:v>
      </x:c>
      <x:c r="K253" s="9" t="str">
        <x:v>T001 显示已领取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 629 行；REQ-139bf5a1451b、第 630 行；REQ-30377b8c96cd、第 632 行；REQ-64027ca93b29、第 633 行；REQ-3f5f1f726bc3、第 636 行；REQ-9d9b03964763、第 625 行
2. 规则：BR-59B0967BFA84BE
3. 未动态验证
4. 示例账号、编号、金额与日期是本条测试数据；执行前按前置条件准备，未填写的产品决策不得自行假定。</x:v>
      </x:c>
    </x:row>
    <x:row r="254" ht="190" customHeight="1">
      <x:c r="A254" s="10" t="n">
        <x:v>253</x:v>
      </x:c>
      <x:c r="B254" s="10" t="str">
        <x:v>USER-0253</x:v>
      </x:c>
      <x:c r="C254" s="10" t="str">
        <x:v>消息与社交</x:v>
      </x:c>
      <x:c r="D254" s="10" t="str">
        <x:v>用户主页（用户）</x:v>
      </x:c>
      <x:c r="E254" s="10" t="str">
        <x:v>功能需求</x:v>
      </x:c>
      <x:c r="F254" s="10" t="str">
        <x:v>P2</x:v>
      </x:c>
      <x:c r="G254" s="9" t="str">
        <x:v>验证关注账号建立关注关系</x:v>
      </x:c>
      <x:c r="H254" s="9" t="str">
        <x:v>关注关系建立</x:v>
      </x:c>
      <x:c r="I254" s="9" t="str">
        <x:v>1. 用户为本条执行者
2. 用户甲与用户乙没有拉黑关系
3. 用户甲当前未关注用户乙</x:v>
      </x:c>
      <x:c r="J254" s="9" t="str">
        <x:v>1. 打开用户乙主页
2. 点击关注</x:v>
      </x:c>
      <x:c r="K254" s="9" t="str">
        <x:v>用户乙主页显示已关注</x:v>
      </x:c>
      <x:c r="L254" s="10" t="str">
        <x:v>FLOW-CBE8E6D5</x:v>
      </x:c>
      <x:c r="M254" s="10" t="str">
        <x:v>未测</x:v>
      </x:c>
      <x:c r="N254" s="10" t="str"/>
      <x:c r="O254" s="9" t="str">
        <x:v>1. 来源（当前证据）：liveshow-proto/MainBasis/统一需求文档.md；位置：第 1042 行；REQ-5abada83e2e9、第 1044 行；REQ-92eca975cc39、第 1045 行；REQ-9b8279d86ad4、第 1046 行；REQ-5273bfbbbf60、第 1047 行；REQ-64c43dff585c、第 1049 行；REQ-96e662bf62f9、第 1039 行
2. 规则：BR-B1ACB75F322705
3. 未动态验证
4. 示例账号、编号、金额与日期是本条测试数据；执行前按前置条件准备，未填写的产品决策不得自行假定。</x:v>
      </x:c>
    </x:row>
    <x:row r="255" ht="205" customHeight="1">
      <x:c r="A255" s="10" t="n">
        <x:v>254</x:v>
      </x:c>
      <x:c r="B255" s="10" t="str">
        <x:v>USER-0254</x:v>
      </x:c>
      <x:c r="C255" s="10" t="str">
        <x:v>消息与社交</x:v>
      </x:c>
      <x:c r="D255" s="10" t="str">
        <x:v>互动通知（用户）</x:v>
      </x:c>
      <x:c r="E255" s="10" t="str">
        <x:v>功能需求</x:v>
      </x:c>
      <x:c r="F255" s="10" t="str">
        <x:v>P2</x:v>
      </x:c>
      <x:c r="G255" s="9" t="str">
        <x:v>验证同意好友申请</x:v>
      </x:c>
      <x:c r="H255" s="9" t="str">
        <x:v>好友申请处理结果</x:v>
      </x:c>
      <x:c r="I255" s="9" t="str">
        <x:v>1. 用户为本条执行者
2. 用户甲收到用户乙的待处理好友申请 F001</x:v>
      </x:c>
      <x:c r="J255" s="9" t="str">
        <x:v>1. 打开互动通知
2. 点击 F001 的同意</x:v>
      </x:c>
      <x:c r="K255" s="9" t="str">
        <x:v>F001 显示已同意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 872 行；REQ-fa316e8ebde9、第 873 行；REQ-6638d0f48f9f、第 875 行；REQ-039d749c962c、第 876 行；REQ-d3143269edb7、第 877 行；REQ-c2c029b3b74b、第 879 行；REQ-d8329a9997bf、第 880 行；REQ-3dd405057a47、第 870 行
2. 规则：BR-5E905B81852DAB
3. 未动态验证
4. 示例账号、编号、金额与日期是本条测试数据；执行前按前置条件准备，未填写的产品决策不得自行假定。</x:v>
      </x:c>
    </x:row>
    <x:row r="256" ht="205" customHeight="1">
      <x:c r="A256" s="10" t="n">
        <x:v>255</x:v>
      </x:c>
      <x:c r="B256" s="10" t="str">
        <x:v>USER-0255</x:v>
      </x:c>
      <x:c r="C256" s="10" t="str">
        <x:v>消息与社交</x:v>
      </x:c>
      <x:c r="D256" s="10" t="str">
        <x:v>互动通知（用户）</x:v>
      </x:c>
      <x:c r="E256" s="10" t="str">
        <x:v>异常用例</x:v>
      </x:c>
      <x:c r="F256" s="10" t="str">
        <x:v>P2</x:v>
      </x:c>
      <x:c r="G256" s="9" t="str">
        <x:v>验证拒绝好友申请</x:v>
      </x:c>
      <x:c r="H256" s="9" t="str">
        <x:v>好友申请处理结果</x:v>
      </x:c>
      <x:c r="I256" s="9" t="str">
        <x:v>1. 用户为本条执行者
2. 用户甲收到用户乙的待处理好友申请 F001</x:v>
      </x:c>
      <x:c r="J256" s="9" t="str">
        <x:v>1. 打开互动通知
2. 点击 F001 的拒绝</x:v>
      </x:c>
      <x:c r="K256" s="9" t="str">
        <x:v>F001 显示已拒绝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 872 行；REQ-fa316e8ebde9、第 873 行；REQ-6638d0f48f9f、第 875 行；REQ-039d749c962c、第 876 行；REQ-d3143269edb7、第 877 行；REQ-c2c029b3b74b、第 879 行；REQ-d8329a9997bf、第 880 行；REQ-3dd405057a47、第 870 行
2. 规则：BR-5F705E3EDD5504
3. 未动态验证
4. 示例账号、编号、金额与日期是本条测试数据；执行前按前置条件准备，未填写的产品决策不得自行假定。</x:v>
      </x:c>
    </x:row>
    <x:row r="257" ht="160" customHeight="1">
      <x:c r="A257" s="10" t="n">
        <x:v>256</x:v>
      </x:c>
      <x:c r="B257" s="10" t="str">
        <x:v>USER-0256</x:v>
      </x:c>
      <x:c r="C257" s="10" t="str">
        <x:v>消息与社交</x:v>
      </x:c>
      <x:c r="D257" s="10" t="str">
        <x:v>1 对 1 私信（用户）</x:v>
      </x:c>
      <x:c r="E257" s="10" t="str">
        <x:v>功能需求</x:v>
      </x:c>
      <x:c r="F257" s="10" t="str">
        <x:v>P2</x:v>
      </x:c>
      <x:c r="G257" s="9" t="str">
        <x:v>验证非好友已成功发出 0 条私信</x:v>
      </x:c>
      <x:c r="H257" s="9" t="str">
        <x:v>私信数量限制</x:v>
      </x:c>
      <x:c r="I257" s="9" t="str">
        <x:v>1. 用户为本条执行者
2. 用户甲与用户乙无拉黑关系；当前私信对象为用户乙
3. 用户甲与乙不是好友；甲向乙已成功发送 0 条私信，乙向甲的发送数独立</x:v>
      </x:c>
      <x:c r="J257" s="9" t="str">
        <x:v>1. 打开与用户乙的私信
2. 输入“测试消息甲”
3. 点击发送</x:v>
      </x:c>
      <x:c r="K257" s="9" t="str">
        <x:v>“测试消息甲”显示发送成功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 887 行；REQ-ef2dad69af57、第 889 行；REQ-8c837cf03a1e、第 893 行；REQ-631a31f6df90、第 883 行
2. 规则：BR-AAE68E9C9FA478
3. 未动态验证
4. 示例账号、编号、金额与日期是本条测试数据；执行前按前置条件准备，未填写的产品决策不得自行假定。</x:v>
      </x:c>
    </x:row>
    <x:row r="258" ht="160" customHeight="1">
      <x:c r="A258" s="10" t="n">
        <x:v>257</x:v>
      </x:c>
      <x:c r="B258" s="10" t="str">
        <x:v>USER-0257</x:v>
      </x:c>
      <x:c r="C258" s="10" t="str">
        <x:v>消息与社交</x:v>
      </x:c>
      <x:c r="D258" s="10" t="str">
        <x:v>1 对 1 私信（用户）</x:v>
      </x:c>
      <x:c r="E258" s="10" t="str">
        <x:v>功能需求</x:v>
      </x:c>
      <x:c r="F258" s="10" t="str">
        <x:v>P2</x:v>
      </x:c>
      <x:c r="G258" s="9" t="str">
        <x:v>验证非好友已成功发出 2 条私信</x:v>
      </x:c>
      <x:c r="H258" s="9" t="str">
        <x:v>私信数量限制</x:v>
      </x:c>
      <x:c r="I258" s="9" t="str">
        <x:v>1. 用户为本条执行者
2. 用户甲与用户乙无拉黑关系；当前私信对象为用户乙
3. 用户甲与乙不是好友；甲向乙已成功发送 2 条私信，乙向甲的发送数独立</x:v>
      </x:c>
      <x:c r="J258" s="9" t="str">
        <x:v>1. 打开与用户乙的私信
2. 输入“测试消息甲”
3. 点击发送</x:v>
      </x:c>
      <x:c r="K258" s="9" t="str">
        <x:v>“测试消息甲”显示发送成功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 887 行；REQ-ef2dad69af57、第 889 行；REQ-8c837cf03a1e、第 893 行；REQ-631a31f6df90、第 883 行
2. 规则：BR-CB43BC33FF0091
3. 未动态验证
4. 示例账号、编号、金额与日期是本条测试数据；执行前按前置条件准备，未填写的产品决策不得自行假定。</x:v>
      </x:c>
    </x:row>
    <x:row r="259" ht="160" customHeight="1">
      <x:c r="A259" s="10" t="n">
        <x:v>258</x:v>
      </x:c>
      <x:c r="B259" s="10" t="str">
        <x:v>USER-0258</x:v>
      </x:c>
      <x:c r="C259" s="10" t="str">
        <x:v>消息与社交</x:v>
      </x:c>
      <x:c r="D259" s="10" t="str">
        <x:v>1 对 1 私信（用户）</x:v>
      </x:c>
      <x:c r="E259" s="10" t="str">
        <x:v>功能需求</x:v>
      </x:c>
      <x:c r="F259" s="10" t="str">
        <x:v>P2</x:v>
      </x:c>
      <x:c r="G259" s="9" t="str">
        <x:v>验证非好友已成功发出 3 条私信</x:v>
      </x:c>
      <x:c r="H259" s="9" t="str">
        <x:v>私信数量限制</x:v>
      </x:c>
      <x:c r="I259" s="9" t="str">
        <x:v>1. 用户为本条执行者
2. 用户甲与用户乙无拉黑关系；当前私信对象为用户乙
3. 用户甲与乙不是好友；甲向乙已成功发送 3 条私信，乙向甲的发送数独立</x:v>
      </x:c>
      <x:c r="J259" s="9" t="str">
        <x:v>1. 打开与用户乙的私信
2. 输入“测试消息甲”
3. 点击发送</x:v>
      </x:c>
      <x:c r="K259" s="9" t="str">
        <x:v>“测试消息甲”未发送成功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 887 行；REQ-ef2dad69af57、第 889 行；REQ-8c837cf03a1e、第 893 行；REQ-631a31f6df90、第 883 行
2. 规则：BR-8E6A20862B7805
3. 未动态验证
4. 示例账号、编号、金额与日期是本条测试数据；执行前按前置条件准备，未填写的产品决策不得自行假定。</x:v>
      </x:c>
    </x:row>
    <x:row r="260" ht="160" customHeight="1">
      <x:c r="A260" s="10" t="n">
        <x:v>259</x:v>
      </x:c>
      <x:c r="B260" s="10" t="str">
        <x:v>USER-0259</x:v>
      </x:c>
      <x:c r="C260" s="10" t="str">
        <x:v>消息与社交</x:v>
      </x:c>
      <x:c r="D260" s="10" t="str">
        <x:v>1 对 1 私信（用户）</x:v>
      </x:c>
      <x:c r="E260" s="10" t="str">
        <x:v>功能需求</x:v>
      </x:c>
      <x:c r="F260" s="10" t="str">
        <x:v>P2</x:v>
      </x:c>
      <x:c r="G260" s="9" t="str">
        <x:v>验证好友已成功发出 0 条私信</x:v>
      </x:c>
      <x:c r="H260" s="9" t="str">
        <x:v>私信数量限制</x:v>
      </x:c>
      <x:c r="I260" s="9" t="str">
        <x:v>1. 用户为本条执行者
2. 用户甲与用户乙无拉黑关系；当前私信对象为用户乙
3. 用户甲与乙是好友；甲向乙已成功发送 0 条私信，乙向甲的发送数独立</x:v>
      </x:c>
      <x:c r="J260" s="9" t="str">
        <x:v>1. 打开与用户乙的私信
2. 输入“测试消息甲”
3. 点击发送</x:v>
      </x:c>
      <x:c r="K260" s="9" t="str">
        <x:v>“测试消息甲”显示发送成功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 887 行；REQ-ef2dad69af57、第 889 行；REQ-8c837cf03a1e、第 893 行；REQ-631a31f6df90、第 883 行
2. 规则：BR-09EC5286FB154D
3. 未动态验证
4. 示例账号、编号、金额与日期是本条测试数据；执行前按前置条件准备，未填写的产品决策不得自行假定。</x:v>
      </x:c>
    </x:row>
    <x:row r="261" ht="160" customHeight="1">
      <x:c r="A261" s="10" t="n">
        <x:v>260</x:v>
      </x:c>
      <x:c r="B261" s="10" t="str">
        <x:v>USER-0260</x:v>
      </x:c>
      <x:c r="C261" s="10" t="str">
        <x:v>消息与社交</x:v>
      </x:c>
      <x:c r="D261" s="10" t="str">
        <x:v>1 对 1 私信（用户）</x:v>
      </x:c>
      <x:c r="E261" s="10" t="str">
        <x:v>功能需求</x:v>
      </x:c>
      <x:c r="F261" s="10" t="str">
        <x:v>P2</x:v>
      </x:c>
      <x:c r="G261" s="9" t="str">
        <x:v>验证好友已成功发出 2 条私信</x:v>
      </x:c>
      <x:c r="H261" s="9" t="str">
        <x:v>私信数量限制</x:v>
      </x:c>
      <x:c r="I261" s="9" t="str">
        <x:v>1. 用户为本条执行者
2. 用户甲与用户乙无拉黑关系；当前私信对象为用户乙
3. 用户甲与乙是好友；甲向乙已成功发送 2 条私信，乙向甲的发送数独立</x:v>
      </x:c>
      <x:c r="J261" s="9" t="str">
        <x:v>1. 打开与用户乙的私信
2. 输入“测试消息甲”
3. 点击发送</x:v>
      </x:c>
      <x:c r="K261" s="9" t="str">
        <x:v>“测试消息甲”显示发送成功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 887 行；REQ-ef2dad69af57、第 889 行；REQ-8c837cf03a1e、第 893 行；REQ-631a31f6df90、第 883 行
2. 规则：BR-D0ECA6455A5E49
3. 未动态验证
4. 示例账号、编号、金额与日期是本条测试数据；执行前按前置条件准备，未填写的产品决策不得自行假定。</x:v>
      </x:c>
    </x:row>
    <x:row r="262" ht="160" customHeight="1">
      <x:c r="A262" s="10" t="n">
        <x:v>261</x:v>
      </x:c>
      <x:c r="B262" s="10" t="str">
        <x:v>USER-0261</x:v>
      </x:c>
      <x:c r="C262" s="10" t="str">
        <x:v>消息与社交</x:v>
      </x:c>
      <x:c r="D262" s="10" t="str">
        <x:v>1 对 1 私信（用户）</x:v>
      </x:c>
      <x:c r="E262" s="10" t="str">
        <x:v>功能需求</x:v>
      </x:c>
      <x:c r="F262" s="10" t="str">
        <x:v>P2</x:v>
      </x:c>
      <x:c r="G262" s="9" t="str">
        <x:v>验证好友已成功发出 3 条私信</x:v>
      </x:c>
      <x:c r="H262" s="9" t="str">
        <x:v>私信数量限制</x:v>
      </x:c>
      <x:c r="I262" s="9" t="str">
        <x:v>1. 用户为本条执行者
2. 用户甲与用户乙无拉黑关系；当前私信对象为用户乙
3. 用户甲与乙是好友；甲向乙已成功发送 3 条私信，乙向甲的发送数独立</x:v>
      </x:c>
      <x:c r="J262" s="9" t="str">
        <x:v>1. 打开与用户乙的私信
2. 输入“测试消息甲”
3. 点击发送</x:v>
      </x:c>
      <x:c r="K262" s="9" t="str">
        <x:v>“测试消息甲”显示发送成功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 887 行；REQ-ef2dad69af57、第 889 行；REQ-8c837cf03a1e、第 893 行；REQ-631a31f6df90、第 883 行
2. 规则：BR-F2D5FD99049EB4
3. 未动态验证
4. 示例账号、编号、金额与日期是本条测试数据；执行前按前置条件准备，未填写的产品决策不得自行假定。</x:v>
      </x:c>
    </x:row>
    <x:row r="263" ht="145" customHeight="1">
      <x:c r="A263" s="10" t="n">
        <x:v>262</x:v>
      </x:c>
      <x:c r="B263" s="10" t="str">
        <x:v>USER-0262</x:v>
      </x:c>
      <x:c r="C263" s="10" t="str">
        <x:v>消息与社交</x:v>
      </x:c>
      <x:c r="D263" s="10" t="str">
        <x:v>1 对 1 私信（用户）</x:v>
      </x:c>
      <x:c r="E263" s="10" t="str">
        <x:v>异常用例</x:v>
      </x:c>
      <x:c r="F263" s="10" t="str">
        <x:v>P2</x:v>
      </x:c>
      <x:c r="G263" s="9" t="str">
        <x:v>验证发送失败不占用非好友三条额度</x:v>
      </x:c>
      <x:c r="H263" s="9" t="str">
        <x:v>失败不消耗私信额度</x:v>
      </x:c>
      <x:c r="I263" s="9" t="str">
        <x:v>1. 用户为本条执行者
2. 用户甲与用户乙无拉黑关系；当前私信对象为用户乙
3. 双方非好友，甲已成功发送 2 条；测试网络使下一次发送失败</x:v>
      </x:c>
      <x:c r="J263" s="9" t="str">
        <x:v>1. 打开与用户乙的私信
2. 输入“失败消息”
3. 点击发送
4. 关闭测试网络故障开关并恢复连接
5. 输入“第三条消息”
6. 点击发送</x:v>
      </x:c>
      <x:c r="K263" s="9" t="str">
        <x:v>“第三条消息”显示发送成功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 890 行；REQ-ed062e4d11db、第 893 行；REQ-631a31f6df90、第 883 行
2. 规则：BR-388459A5643947
3. 未动态验证
4. 示例账号、编号、金额与日期是本条测试数据；执行前按前置条件准备，未填写的产品决策不得自行假定。</x:v>
      </x:c>
    </x:row>
    <x:row r="264" ht="160" customHeight="1">
      <x:c r="A264" s="10" t="n">
        <x:v>263</x:v>
      </x:c>
      <x:c r="B264" s="10" t="str">
        <x:v>USER-0263</x:v>
      </x:c>
      <x:c r="C264" s="10" t="str">
        <x:v>消息与社交</x:v>
      </x:c>
      <x:c r="D264" s="10" t="str">
        <x:v>1 对 1 私信（用户）</x:v>
      </x:c>
      <x:c r="E264" s="10" t="str">
        <x:v>功能需求</x:v>
      </x:c>
      <x:c r="F264" s="10" t="str">
        <x:v>P2</x:v>
      </x:c>
      <x:c r="G264" s="9" t="str">
        <x:v>验证非好友反向私信额度独立</x:v>
      </x:c>
      <x:c r="H264" s="9" t="str">
        <x:v>私信方向独立</x:v>
      </x:c>
      <x:c r="I264" s="9" t="str">
        <x:v>1. 用户为本条执行者
2. 用户甲与用户乙无拉黑关系；当前私信对象为用户乙
3. 双方非好友，乙已向甲成功发出 3 条，甲尚未向乙发送</x:v>
      </x:c>
      <x:c r="J264" s="9" t="str">
        <x:v>1. 打开与用户乙的私信
2. 输入“反向首条消息”
3. 点击发送</x:v>
      </x:c>
      <x:c r="K264" s="9" t="str">
        <x:v>“反向首条消息”显示发送成功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 887 行；REQ-ef2dad69af57、第 889 行；REQ-8c837cf03a1e、第 893 行；REQ-631a31f6df90、第 883 行
2. 规则：BR-DC9E5EFB31F6AE
3. 未动态验证
4. 示例账号、编号、金额与日期是本条测试数据；执行前按前置条件准备，未填写的产品决策不得自行假定。</x:v>
      </x:c>
    </x:row>
    <x:row r="265" ht="190" customHeight="1">
      <x:c r="A265" s="10" t="n">
        <x:v>264</x:v>
      </x:c>
      <x:c r="B265" s="10" t="str">
        <x:v>USER-0264</x:v>
      </x:c>
      <x:c r="C265" s="10" t="str">
        <x:v>消息与社交</x:v>
      </x:c>
      <x:c r="D265" s="10" t="str">
        <x:v>1 对 1 私信（用户）</x:v>
      </x:c>
      <x:c r="E265" s="10" t="str">
        <x:v>功能需求</x:v>
      </x:c>
      <x:c r="F265" s="10" t="str">
        <x:v>P2</x:v>
      </x:c>
      <x:c r="G265" s="9" t="str">
        <x:v>验证好友私信发送文字“你好乙”</x:v>
      </x:c>
      <x:c r="H265" s="9" t="str">
        <x:v>私信消息类型</x:v>
      </x:c>
      <x:c r="I265" s="9" t="str">
        <x:v>1. 用户为本条执行者
2. 用户甲与用户乙无拉黑关系；当前私信对象为用户乙
3. 用户甲和乙是好友</x:v>
      </x:c>
      <x:c r="J265" s="9" t="str">
        <x:v>1. 打开与用户乙的私信
2. 发送文字“你好乙”</x:v>
      </x:c>
      <x:c r="K265" s="9" t="str">
        <x:v>会话中显示已发送的文字“你好乙”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 885 行；REQ-19ead9a24c54、第 887 行；REQ-ef2dad69af57、第 888 行；REQ-e8e4f8364d4b、第 890 行；REQ-ed062e4d11db、第 892 行；REQ-0d1b839dbefd、第 893 行；REQ-631a31f6df90、第 883 行
2. 规则：BR-B04B7E666A0B53
3. 未动态验证
4. 示例账号、编号、金额与日期是本条测试数据；执行前按前置条件准备，未填写的产品决策不得自行假定。</x:v>
      </x:c>
    </x:row>
    <x:row r="266" ht="190" customHeight="1">
      <x:c r="A266" s="10" t="n">
        <x:v>265</x:v>
      </x:c>
      <x:c r="B266" s="10" t="str">
        <x:v>USER-0265</x:v>
      </x:c>
      <x:c r="C266" s="10" t="str">
        <x:v>消息与社交</x:v>
      </x:c>
      <x:c r="D266" s="10" t="str">
        <x:v>1 对 1 私信（用户）</x:v>
      </x:c>
      <x:c r="E266" s="10" t="str">
        <x:v>功能需求</x:v>
      </x:c>
      <x:c r="F266" s="10" t="str">
        <x:v>P2</x:v>
      </x:c>
      <x:c r="G266" s="9" t="str">
        <x:v>验证好友私信发送测试图片甲</x:v>
      </x:c>
      <x:c r="H266" s="9" t="str">
        <x:v>私信消息类型</x:v>
      </x:c>
      <x:c r="I266" s="9" t="str">
        <x:v>1. 用户为本条执行者
2. 用户甲与用户乙无拉黑关系；当前私信对象为用户乙
3. 用户甲和乙是好友</x:v>
      </x:c>
      <x:c r="J266" s="9" t="str">
        <x:v>1. 打开与用户乙的私信
2. 发送测试图片甲</x:v>
      </x:c>
      <x:c r="K266" s="9" t="str">
        <x:v>会话中显示已发送的测试图片甲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 885 行；REQ-19ead9a24c54、第 887 行；REQ-ef2dad69af57、第 888 行；REQ-e8e4f8364d4b、第 890 行；REQ-ed062e4d11db、第 892 行；REQ-0d1b839dbefd、第 893 行；REQ-631a31f6df90、第 883 行
2. 规则：BR-43DDDEB9AD7137
3. 未动态验证
4. 示例账号、编号、金额与日期是本条测试数据；执行前按前置条件准备，未填写的产品决策不得自行假定。</x:v>
      </x:c>
    </x:row>
    <x:row r="267" ht="190" customHeight="1">
      <x:c r="A267" s="10" t="n">
        <x:v>266</x:v>
      </x:c>
      <x:c r="B267" s="10" t="str">
        <x:v>USER-0266</x:v>
      </x:c>
      <x:c r="C267" s="10" t="str">
        <x:v>消息与社交</x:v>
      </x:c>
      <x:c r="D267" s="10" t="str">
        <x:v>1 对 1 私信（用户）</x:v>
      </x:c>
      <x:c r="E267" s="10" t="str">
        <x:v>功能需求</x:v>
      </x:c>
      <x:c r="F267" s="10" t="str">
        <x:v>P2</x:v>
      </x:c>
      <x:c r="G267" s="9" t="str">
        <x:v>验证好友私信发送一段 2 秒测试语音</x:v>
      </x:c>
      <x:c r="H267" s="9" t="str">
        <x:v>私信消息类型</x:v>
      </x:c>
      <x:c r="I267" s="9" t="str">
        <x:v>1. 用户为本条执行者
2. 用户甲与用户乙无拉黑关系；当前私信对象为用户乙
3. 用户甲和乙是好友</x:v>
      </x:c>
      <x:c r="J267" s="9" t="str">
        <x:v>1. 打开与用户乙的私信
2. 发送一段 2 秒测试语音</x:v>
      </x:c>
      <x:c r="K267" s="9" t="str">
        <x:v>会话中显示已发送的一段 2 秒测试语音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 885 行；REQ-19ead9a24c54、第 887 行；REQ-ef2dad69af57、第 888 行；REQ-e8e4f8364d4b、第 890 行；REQ-ed062e4d11db、第 892 行；REQ-0d1b839dbefd、第 893 行；REQ-631a31f6df90、第 883 行
2. 规则：BR-0F6412B363EF73
3. 未动态验证
4. 示例账号、编号、金额与日期是本条测试数据；执行前按前置条件准备，未填写的产品决策不得自行假定。</x:v>
      </x:c>
    </x:row>
    <x:row r="268" ht="145" customHeight="1">
      <x:c r="A268" s="10" t="n">
        <x:v>267</x:v>
      </x:c>
      <x:c r="B268" s="10" t="str">
        <x:v>USER-0267</x:v>
      </x:c>
      <x:c r="C268" s="10" t="str">
        <x:v>消息与社交</x:v>
      </x:c>
      <x:c r="D268" s="10" t="str">
        <x:v>单聊设置（用户）</x:v>
      </x:c>
      <x:c r="E268" s="10" t="str">
        <x:v>功能需求</x:v>
      </x:c>
      <x:c r="F268" s="10" t="str">
        <x:v>P2</x:v>
      </x:c>
      <x:c r="G268" s="9" t="str">
        <x:v>验证单聊免打扰不阻止收信</x:v>
      </x:c>
      <x:c r="H268" s="9" t="str">
        <x:v>免打扰下的消息收取</x:v>
      </x:c>
      <x:c r="I268" s="9" t="str">
        <x:v>1. 用户为本条执行者
2. 用户甲与乙是好友，已有私信历史，当前单聊对象为乙
3. 该单聊免打扰已开启；用户乙发送文字“免打扰测试”</x:v>
      </x:c>
      <x:c r="J268" s="9" t="str">
        <x:v>1. 打开与用户乙的私信</x:v>
      </x:c>
      <x:c r="K268" s="9" t="str">
        <x:v>会话中显示“免打扰测试”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 934 行；REQ-c2ec1fe35a84、第 935 行；REQ-5541ba5cbdc0、第 931 行
2. 规则：BR-F112181331CE3A
3. 未动态验证
4. 示例账号、编号、金额与日期是本条测试数据；执行前按前置条件准备，未填写的产品决策不得自行假定。</x:v>
      </x:c>
    </x:row>
    <x:row r="269" ht="160" customHeight="1">
      <x:c r="A269" s="10" t="n">
        <x:v>268</x:v>
      </x:c>
      <x:c r="B269" s="10" t="str">
        <x:v>USER-0268</x:v>
      </x:c>
      <x:c r="C269" s="10" t="str">
        <x:v>消息与社交</x:v>
      </x:c>
      <x:c r="D269" s="10" t="str">
        <x:v>单聊设置（用户）</x:v>
      </x:c>
      <x:c r="E269" s="10" t="str">
        <x:v>功能需求</x:v>
      </x:c>
      <x:c r="F269" s="10" t="str">
        <x:v>P2</x:v>
      </x:c>
      <x:c r="G269" s="9" t="str">
        <x:v>验证确认拉黑删除本端私信会话</x:v>
      </x:c>
      <x:c r="H269" s="9" t="str">
        <x:v>拉黑后的私信清理</x:v>
      </x:c>
      <x:c r="I269" s="9" t="str">
        <x:v>1. 用户为本条执行者
2. 用户甲与乙是好友，已有私信历史，当前单聊对象为乙</x:v>
      </x:c>
      <x:c r="J269" s="9" t="str">
        <x:v>1. 打开单聊设置
2. 点击拉黑
3. 确认拉黑
4. 打开消息</x:v>
      </x:c>
      <x:c r="K269" s="9" t="str">
        <x:v>消息列表没有与用户乙的私信会话</x:v>
      </x:c>
      <x:c r="L269" s="10" t="str">
        <x:v>FLOW-CF070039</x:v>
      </x:c>
      <x:c r="M269" s="10" t="str">
        <x:v>未测</x:v>
      </x:c>
      <x:c r="N269" s="10" t="str"/>
      <x:c r="O269" s="9" t="str">
        <x:v>1. 来源（当前证据）：liveshow-proto/MainBasis/统一需求文档.md；位置：第 936 行；REQ-9ebb6e575423、第 937 行；REQ-75dd5551e443、第 938 行；REQ-fd903e6b2ca7、第 931 行
2. 规则：BR-60F0ECDD578A26
3. 未动态验证
4. 示例账号、编号、金额与日期是本条测试数据；执行前按前置条件准备，未填写的产品决策不得自行假定。</x:v>
      </x:c>
    </x:row>
    <x:row r="270" ht="145" customHeight="1">
      <x:c r="A270" s="10" t="n">
        <x:v>269</x:v>
      </x:c>
      <x:c r="B270" s="10" t="str">
        <x:v>USER-0269</x:v>
      </x:c>
      <x:c r="C270" s="10" t="str">
        <x:v>首页与发现</x:v>
      </x:c>
      <x:c r="D270" s="10" t="str">
        <x:v>搜索结果（用户）</x:v>
      </x:c>
      <x:c r="E270" s="10" t="str">
        <x:v>功能需求</x:v>
      </x:c>
      <x:c r="F270" s="10" t="str">
        <x:v>P2</x:v>
      </x:c>
      <x:c r="G270" s="9" t="str">
        <x:v>验证账号拉黑后拉黑发起方执行搜索</x:v>
      </x:c>
      <x:c r="H270" s="9" t="str">
        <x:v>拉黑双向限制</x:v>
      </x:c>
      <x:c r="I270" s="9" t="str">
        <x:v>1. 用户为本条执行者
2. 甲已经拉黑乙
3. 执行账号为甲，目标为另一方；双方原为好友且相互加入粉丝团，各自有直播；拉黑前已打开对方主页并有其分享卡片和粉丝群入口</x:v>
      </x:c>
      <x:c r="J270" s="9" t="str">
        <x:v>1. 打开搜索
2. 输入对方账号ID
3. 点击搜索</x:v>
      </x:c>
      <x:c r="K270" s="9" t="str">
        <x:v>搜索结果不包含对方账号</x:v>
      </x:c>
      <x:c r="L270" s="10" t="str">
        <x:v>FLOW-CF070039</x:v>
      </x:c>
      <x:c r="M270" s="10" t="str">
        <x:v>未测</x:v>
      </x:c>
      <x:c r="N270" s="10" t="str"/>
      <x:c r="O270" s="9" t="str">
        <x:v>1. 来源（当前证据）：liveshow-proto/MainBasis/统一需求文档.md；位置：第 936 行；REQ-9ebb6e575423、第 937 行；REQ-75dd5551e443、第 582 行
2. 规则：BR-3CFE66A893E320
3. 未动态验证
4. 示例账号、编号、金额与日期是本条测试数据；执行前按前置条件准备，未填写的产品决策不得自行假定。</x:v>
      </x:c>
    </x:row>
    <x:row r="271" ht="145" customHeight="1">
      <x:c r="A271" s="10" t="n">
        <x:v>270</x:v>
      </x:c>
      <x:c r="B271" s="10" t="str">
        <x:v>USER-0270</x:v>
      </x:c>
      <x:c r="C271" s="10" t="str">
        <x:v>首页与发现</x:v>
      </x:c>
      <x:c r="D271" s="10" t="str">
        <x:v>搜索结果（用户）</x:v>
      </x:c>
      <x:c r="E271" s="10" t="str">
        <x:v>功能需求</x:v>
      </x:c>
      <x:c r="F271" s="10" t="str">
        <x:v>P2</x:v>
      </x:c>
      <x:c r="G271" s="9" t="str">
        <x:v>验证账号拉黑后被拉黑方执行搜索</x:v>
      </x:c>
      <x:c r="H271" s="9" t="str">
        <x:v>拉黑双向限制</x:v>
      </x:c>
      <x:c r="I271" s="9" t="str">
        <x:v>1. 用户为本条执行者
2. 甲已经拉黑乙
3. 执行账号为乙，目标为另一方；双方原为好友且相互加入粉丝团，各自有直播；拉黑前已打开对方主页并有其分享卡片和粉丝群入口</x:v>
      </x:c>
      <x:c r="J271" s="9" t="str">
        <x:v>1. 打开搜索
2. 输入对方账号ID
3. 点击搜索</x:v>
      </x:c>
      <x:c r="K271" s="9" t="str">
        <x:v>搜索结果不包含对方账号</x:v>
      </x:c>
      <x:c r="L271" s="10" t="str">
        <x:v>FLOW-CF070039</x:v>
      </x:c>
      <x:c r="M271" s="10" t="str">
        <x:v>未测</x:v>
      </x:c>
      <x:c r="N271" s="10" t="str"/>
      <x:c r="O271" s="9" t="str">
        <x:v>1. 来源（当前证据）：liveshow-proto/MainBasis/统一需求文档.md；位置：第 936 行；REQ-9ebb6e575423、第 937 行；REQ-75dd5551e443、第 582 行
2. 规则：BR-F1E503B4EE0CA4
3. 未动态验证
4. 示例账号、编号、金额与日期是本条测试数据；执行前按前置条件准备，未填写的产品决策不得自行假定。</x:v>
      </x:c>
    </x:row>
    <x:row r="272" ht="205" customHeight="1">
      <x:c r="A272" s="10" t="n">
        <x:v>271</x:v>
      </x:c>
      <x:c r="B272" s="10" t="str">
        <x:v>USER-0271</x:v>
      </x:c>
      <x:c r="C272" s="10" t="str">
        <x:v>消息与社交</x:v>
      </x:c>
      <x:c r="D272" s="10" t="str">
        <x:v>拉黑（用户）</x:v>
      </x:c>
      <x:c r="E272" s="10" t="str">
        <x:v>功能需求</x:v>
      </x:c>
      <x:c r="F272" s="10" t="str">
        <x:v>P2</x:v>
      </x:c>
      <x:c r="G272" s="9" t="str">
        <x:v>验证账号拉黑后拉黑发起方执行关注</x:v>
      </x:c>
      <x:c r="H272" s="9" t="str">
        <x:v>拉黑双向限制</x:v>
      </x:c>
      <x:c r="I272" s="9" t="str">
        <x:v>1. 用户为本条执行者
2. 甲已经拉黑乙
3. 执行账号为甲，目标为另一方；双方原为好友且相互加入粉丝团，各自有直播；拉黑前已打开对方主页并有其分享卡片和粉丝群入口</x:v>
      </x:c>
      <x:c r="J272" s="9" t="str">
        <x:v>1. 查看原已打开的对方主页
2. 查看关注入口</x:v>
      </x:c>
      <x:c r="K272" s="9" t="str">
        <x:v>不提供关注操作</x:v>
      </x:c>
      <x:c r="L272" s="10" t="str">
        <x:v>FLOW-CF070039</x:v>
      </x:c>
      <x:c r="M272" s="10" t="str">
        <x:v>未测</x:v>
      </x:c>
      <x:c r="N272" s="10" t="str"/>
      <x:c r="O272" s="9" t="str">
        <x:v>1. 来源（当前证据）：liveshow-proto/MainBasis/统一需求文档.md；位置：第 1944 行；REQ-4911c9f85e5d、第 1945 行；REQ-02339b59cf43、第 1946 行；REQ-cc9e49e80e24、第 1947 行；REQ-abc9a04b4c60、第 1948 行；REQ-586155102c1f、第 936 行；REQ-9ebb6e575423、第 937 行；REQ-75dd5551e443、第 1941 行
2. 规则：BR-2DB107DA2F9487
3. 未动态验证
4. 示例账号、编号、金额与日期是本条测试数据；执行前按前置条件准备，未填写的产品决策不得自行假定。</x:v>
      </x:c>
    </x:row>
    <x:row r="273" ht="205" customHeight="1">
      <x:c r="A273" s="10" t="n">
        <x:v>272</x:v>
      </x:c>
      <x:c r="B273" s="10" t="str">
        <x:v>USER-0272</x:v>
      </x:c>
      <x:c r="C273" s="10" t="str">
        <x:v>消息与社交</x:v>
      </x:c>
      <x:c r="D273" s="10" t="str">
        <x:v>拉黑（用户）</x:v>
      </x:c>
      <x:c r="E273" s="10" t="str">
        <x:v>功能需求</x:v>
      </x:c>
      <x:c r="F273" s="10" t="str">
        <x:v>P2</x:v>
      </x:c>
      <x:c r="G273" s="9" t="str">
        <x:v>验证账号拉黑后被拉黑方执行关注</x:v>
      </x:c>
      <x:c r="H273" s="9" t="str">
        <x:v>拉黑双向限制</x:v>
      </x:c>
      <x:c r="I273" s="9" t="str">
        <x:v>1. 用户为本条执行者
2. 甲已经拉黑乙
3. 执行账号为乙，目标为另一方；双方原为好友且相互加入粉丝团，各自有直播；拉黑前已打开对方主页并有其分享卡片和粉丝群入口</x:v>
      </x:c>
      <x:c r="J273" s="9" t="str">
        <x:v>1. 查看原已打开的对方主页
2. 查看关注入口</x:v>
      </x:c>
      <x:c r="K273" s="9" t="str">
        <x:v>不提供关注操作</x:v>
      </x:c>
      <x:c r="L273" s="10" t="str">
        <x:v>FLOW-CF070039</x:v>
      </x:c>
      <x:c r="M273" s="10" t="str">
        <x:v>未测</x:v>
      </x:c>
      <x:c r="N273" s="10" t="str"/>
      <x:c r="O273" s="9" t="str">
        <x:v>1. 来源（当前证据）：liveshow-proto/MainBasis/统一需求文档.md；位置：第 1944 行；REQ-4911c9f85e5d、第 1945 行；REQ-02339b59cf43、第 1946 行；REQ-cc9e49e80e24、第 1947 行；REQ-abc9a04b4c60、第 1948 行；REQ-586155102c1f、第 936 行；REQ-9ebb6e575423、第 937 行；REQ-75dd5551e443、第 1941 行
2. 规则：BR-F7EB6AB8A00F6B
3. 未动态验证
4. 示例账号、编号、金额与日期是本条测试数据；执行前按前置条件准备，未填写的产品决策不得自行假定。</x:v>
      </x:c>
    </x:row>
    <x:row r="274" ht="205" customHeight="1">
      <x:c r="A274" s="10" t="n">
        <x:v>273</x:v>
      </x:c>
      <x:c r="B274" s="10" t="str">
        <x:v>USER-0273</x:v>
      </x:c>
      <x:c r="C274" s="10" t="str">
        <x:v>消息与社交</x:v>
      </x:c>
      <x:c r="D274" s="10" t="str">
        <x:v>拉黑（用户）</x:v>
      </x:c>
      <x:c r="E274" s="10" t="str">
        <x:v>功能需求</x:v>
      </x:c>
      <x:c r="F274" s="10" t="str">
        <x:v>P2</x:v>
      </x:c>
      <x:c r="G274" s="9" t="str">
        <x:v>验证账号拉黑后拉黑发起方执行申请好友</x:v>
      </x:c>
      <x:c r="H274" s="9" t="str">
        <x:v>拉黑双向限制</x:v>
      </x:c>
      <x:c r="I274" s="9" t="str">
        <x:v>1. 用户为本条执行者
2. 甲已经拉黑乙
3. 执行账号为甲，目标为另一方；双方原为好友且相互加入粉丝团，各自有直播；拉黑前已打开对方主页并有其分享卡片和粉丝群入口</x:v>
      </x:c>
      <x:c r="J274" s="9" t="str">
        <x:v>1. 查看原已打开的对方主页
2. 查看申请好友入口</x:v>
      </x:c>
      <x:c r="K274" s="9" t="str">
        <x:v>不提供申请好友操作</x:v>
      </x:c>
      <x:c r="L274" s="10" t="str">
        <x:v>FLOW-CF070039</x:v>
      </x:c>
      <x:c r="M274" s="10" t="str">
        <x:v>未测</x:v>
      </x:c>
      <x:c r="N274" s="10" t="str"/>
      <x:c r="O274" s="9" t="str">
        <x:v>1. 来源（当前证据）：liveshow-proto/MainBasis/统一需求文档.md；位置：第 1944 行；REQ-4911c9f85e5d、第 1945 行；REQ-02339b59cf43、第 1946 行；REQ-cc9e49e80e24、第 1947 行；REQ-abc9a04b4c60、第 1948 行；REQ-586155102c1f、第 936 行；REQ-9ebb6e575423、第 937 行；REQ-75dd5551e443、第 1941 行
2. 规则：BR-CDA48AA7045068
3. 未动态验证
4. 示例账号、编号、金额与日期是本条测试数据；执行前按前置条件准备，未填写的产品决策不得自行假定。</x:v>
      </x:c>
    </x:row>
    <x:row r="275" ht="205" customHeight="1">
      <x:c r="A275" s="10" t="n">
        <x:v>274</x:v>
      </x:c>
      <x:c r="B275" s="10" t="str">
        <x:v>USER-0274</x:v>
      </x:c>
      <x:c r="C275" s="10" t="str">
        <x:v>消息与社交</x:v>
      </x:c>
      <x:c r="D275" s="10" t="str">
        <x:v>拉黑（用户）</x:v>
      </x:c>
      <x:c r="E275" s="10" t="str">
        <x:v>功能需求</x:v>
      </x:c>
      <x:c r="F275" s="10" t="str">
        <x:v>P2</x:v>
      </x:c>
      <x:c r="G275" s="9" t="str">
        <x:v>验证账号拉黑后被拉黑方执行申请好友</x:v>
      </x:c>
      <x:c r="H275" s="9" t="str">
        <x:v>拉黑双向限制</x:v>
      </x:c>
      <x:c r="I275" s="9" t="str">
        <x:v>1. 用户为本条执行者
2. 甲已经拉黑乙
3. 执行账号为乙，目标为另一方；双方原为好友且相互加入粉丝团，各自有直播；拉黑前已打开对方主页并有其分享卡片和粉丝群入口</x:v>
      </x:c>
      <x:c r="J275" s="9" t="str">
        <x:v>1. 查看原已打开的对方主页
2. 查看申请好友入口</x:v>
      </x:c>
      <x:c r="K275" s="9" t="str">
        <x:v>不提供申请好友操作</x:v>
      </x:c>
      <x:c r="L275" s="10" t="str">
        <x:v>FLOW-CF070039</x:v>
      </x:c>
      <x:c r="M275" s="10" t="str">
        <x:v>未测</x:v>
      </x:c>
      <x:c r="N275" s="10" t="str"/>
      <x:c r="O275" s="9" t="str">
        <x:v>1. 来源（当前证据）：liveshow-proto/MainBasis/统一需求文档.md；位置：第 1944 行；REQ-4911c9f85e5d、第 1945 行；REQ-02339b59cf43、第 1946 行；REQ-cc9e49e80e24、第 1947 行；REQ-abc9a04b4c60、第 1948 行；REQ-586155102c1f、第 936 行；REQ-9ebb6e575423、第 937 行；REQ-75dd5551e443、第 1941 行
2. 规则：BR-0E7D5B7BCF6554
3. 未动态验证
4. 示例账号、编号、金额与日期是本条测试数据；执行前按前置条件准备，未填写的产品决策不得自行假定。</x:v>
      </x:c>
    </x:row>
    <x:row r="276" ht="190" customHeight="1">
      <x:c r="A276" s="10" t="n">
        <x:v>275</x:v>
      </x:c>
      <x:c r="B276" s="10" t="str">
        <x:v>USER-0275</x:v>
      </x:c>
      <x:c r="C276" s="10" t="str">
        <x:v>消息与社交</x:v>
      </x:c>
      <x:c r="D276" s="10" t="str">
        <x:v>消息（用户）</x:v>
      </x:c>
      <x:c r="E276" s="10" t="str">
        <x:v>功能需求</x:v>
      </x:c>
      <x:c r="F276" s="10" t="str">
        <x:v>P2</x:v>
      </x:c>
      <x:c r="G276" s="9" t="str">
        <x:v>验证账号拉黑后拉黑发起方执行私信</x:v>
      </x:c>
      <x:c r="H276" s="9" t="str">
        <x:v>拉黑双向限制</x:v>
      </x:c>
      <x:c r="I276" s="9" t="str">
        <x:v>1. 用户为本条执行者
2. 甲已经拉黑乙
3. 执行账号为甲，目标为另一方；双方原为好友且相互加入粉丝团，各自有直播；拉黑前已打开对方主页并有其分享卡片和粉丝群入口</x:v>
      </x:c>
      <x:c r="J276" s="9" t="str">
        <x:v>1. 打开消息中心
2. 查看私信列表</x:v>
      </x:c>
      <x:c r="K276" s="9" t="str">
        <x:v>私信列表不包含与对方的会话</x:v>
      </x:c>
      <x:c r="L276" s="10" t="str">
        <x:v>FLOW-CF070039</x:v>
      </x:c>
      <x:c r="M276" s="10" t="str">
        <x:v>未测</x:v>
      </x:c>
      <x:c r="N276" s="10" t="str"/>
      <x:c r="O276" s="9" t="str">
        <x:v>1. 来源（当前证据）：liveshow-proto/MainBasis/统一需求文档.md；位置：第 657 行；REQ-322341a6d597、第 658 行；REQ-e39bf53173c0、第 659 行；REQ-ee1bffb9a9c7、第 661 行；REQ-8dfe9d1f36e0、第 936 行；REQ-9ebb6e575423、第 937 行；REQ-75dd5551e443、第 653 行
2. 规则：BR-D5A0AB3E6D53DF
3. 未动态验证
4. 示例账号、编号、金额与日期是本条测试数据；执行前按前置条件准备，未填写的产品决策不得自行假定。</x:v>
      </x:c>
    </x:row>
    <x:row r="277" ht="190" customHeight="1">
      <x:c r="A277" s="10" t="n">
        <x:v>276</x:v>
      </x:c>
      <x:c r="B277" s="10" t="str">
        <x:v>USER-0276</x:v>
      </x:c>
      <x:c r="C277" s="10" t="str">
        <x:v>消息与社交</x:v>
      </x:c>
      <x:c r="D277" s="10" t="str">
        <x:v>消息（用户）</x:v>
      </x:c>
      <x:c r="E277" s="10" t="str">
        <x:v>功能需求</x:v>
      </x:c>
      <x:c r="F277" s="10" t="str">
        <x:v>P2</x:v>
      </x:c>
      <x:c r="G277" s="9" t="str">
        <x:v>验证账号拉黑后被拉黑方执行私信</x:v>
      </x:c>
      <x:c r="H277" s="9" t="str">
        <x:v>拉黑双向限制</x:v>
      </x:c>
      <x:c r="I277" s="9" t="str">
        <x:v>1. 用户为本条执行者
2. 甲已经拉黑乙
3. 执行账号为乙，目标为另一方；双方原为好友且相互加入粉丝团，各自有直播；拉黑前已打开对方主页并有其分享卡片和粉丝群入口</x:v>
      </x:c>
      <x:c r="J277" s="9" t="str">
        <x:v>1. 打开消息中心
2. 查看私信列表</x:v>
      </x:c>
      <x:c r="K277" s="9" t="str">
        <x:v>私信列表不包含与对方的会话</x:v>
      </x:c>
      <x:c r="L277" s="10" t="str">
        <x:v>FLOW-CF070039</x:v>
      </x:c>
      <x:c r="M277" s="10" t="str">
        <x:v>未测</x:v>
      </x:c>
      <x:c r="N277" s="10" t="str"/>
      <x:c r="O277" s="9" t="str">
        <x:v>1. 来源（当前证据）：liveshow-proto/MainBasis/统一需求文档.md；位置：第 657 行；REQ-322341a6d597、第 658 行；REQ-e39bf53173c0、第 659 行；REQ-ee1bffb9a9c7、第 661 行；REQ-8dfe9d1f36e0、第 936 行；REQ-9ebb6e575423、第 937 行；REQ-75dd5551e443、第 653 行
2. 规则：BR-9246492EA0D894
3. 未动态验证
4. 示例账号、编号、金额与日期是本条测试数据；执行前按前置条件准备，未填写的产品决策不得自行假定。</x:v>
      </x:c>
    </x:row>
    <x:row r="278" ht="220" customHeight="1">
      <x:c r="A278" s="10" t="n">
        <x:v>277</x:v>
      </x:c>
      <x:c r="B278" s="10" t="str">
        <x:v>USER-0277</x:v>
      </x:c>
      <x:c r="C278" s="10" t="str">
        <x:v>直播</x:v>
      </x:c>
      <x:c r="D278" s="10" t="str">
        <x:v>直播间（普通房）（用户）</x:v>
      </x:c>
      <x:c r="E278" s="10" t="str">
        <x:v>功能需求</x:v>
      </x:c>
      <x:c r="F278" s="10" t="str">
        <x:v>P2</x:v>
      </x:c>
      <x:c r="G278" s="9" t="str">
        <x:v>验证账号拉黑后拉黑发起方执行观看直播</x:v>
      </x:c>
      <x:c r="H278" s="9" t="str">
        <x:v>拉黑双向限制</x:v>
      </x:c>
      <x:c r="I278" s="9" t="str">
        <x:v>1. 用户为本条执行者
2. 甲已经拉黑乙
3. 执行账号为甲，目标为另一方；双方原为好友且相互加入粉丝团，各自有直播；拉黑前已打开对方主页并有其分享卡片和粉丝群入口</x:v>
      </x:c>
      <x:c r="J278" s="9" t="str">
        <x:v>1. 点击拉黑前已有的对方当前场次分享卡片</x:v>
      </x:c>
      <x:c r="K278" s="9" t="str">
        <x:v>不能进入对方直播间</x:v>
      </x:c>
      <x:c r="L278" s="10" t="str">
        <x:v>FLOW-CF070039</x:v>
      </x:c>
      <x:c r="M278" s="10" t="str">
        <x:v>未测</x:v>
      </x:c>
      <x:c r="N278" s="10" t="str"/>
      <x:c r="O278" s="9" t="str">
        <x:v>1. 来源（当前证据）：liveshow-proto/MainBasis/统一需求文档.md；位置：第 760 行；REQ-f17ba9344db0、第 764 行；REQ-13cdd1512b85、第 765 行；REQ-af9fad486413、第 766 行；REQ-b93f80b008ba、第 772 行；REQ-8db6c2c015b3、第 773 行；REQ-b74f97b0fa2e、第 774 行；REQ-0e71e110e899、第 936 行；REQ-9ebb6e575423、第 937 行；REQ-75dd5551e443、第 758 行
2. 规则：BR-FDC9CF7DAA381F
3. 未动态验证
4. 示例账号、编号、金额与日期是本条测试数据；执行前按前置条件准备，未填写的产品决策不得自行假定。</x:v>
      </x:c>
    </x:row>
    <x:row r="279" ht="220" customHeight="1">
      <x:c r="A279" s="10" t="n">
        <x:v>278</x:v>
      </x:c>
      <x:c r="B279" s="10" t="str">
        <x:v>USER-0278</x:v>
      </x:c>
      <x:c r="C279" s="10" t="str">
        <x:v>直播</x:v>
      </x:c>
      <x:c r="D279" s="10" t="str">
        <x:v>直播间（普通房）（用户）</x:v>
      </x:c>
      <x:c r="E279" s="10" t="str">
        <x:v>功能需求</x:v>
      </x:c>
      <x:c r="F279" s="10" t="str">
        <x:v>P2</x:v>
      </x:c>
      <x:c r="G279" s="9" t="str">
        <x:v>验证账号拉黑后被拉黑方执行观看直播</x:v>
      </x:c>
      <x:c r="H279" s="9" t="str">
        <x:v>拉黑双向限制</x:v>
      </x:c>
      <x:c r="I279" s="9" t="str">
        <x:v>1. 用户为本条执行者
2. 甲已经拉黑乙
3. 执行账号为乙，目标为另一方；双方原为好友且相互加入粉丝团，各自有直播；拉黑前已打开对方主页并有其分享卡片和粉丝群入口</x:v>
      </x:c>
      <x:c r="J279" s="9" t="str">
        <x:v>1. 点击拉黑前已有的对方当前场次分享卡片</x:v>
      </x:c>
      <x:c r="K279" s="9" t="str">
        <x:v>不能进入对方直播间</x:v>
      </x:c>
      <x:c r="L279" s="10" t="str">
        <x:v>FLOW-CF070039</x:v>
      </x:c>
      <x:c r="M279" s="10" t="str">
        <x:v>未测</x:v>
      </x:c>
      <x:c r="N279" s="10" t="str"/>
      <x:c r="O279" s="9" t="str">
        <x:v>1. 来源（当前证据）：liveshow-proto/MainBasis/统一需求文档.md；位置：第 760 行；REQ-f17ba9344db0、第 764 行；REQ-13cdd1512b85、第 765 行；REQ-af9fad486413、第 766 行；REQ-b93f80b008ba、第 772 行；REQ-8db6c2c015b3、第 773 行；REQ-b74f97b0fa2e、第 774 行；REQ-0e71e110e899、第 936 行；REQ-9ebb6e575423、第 937 行；REQ-75dd5551e443、第 758 行
2. 规则：BR-3382052AEF833B
3. 未动态验证
4. 示例账号、编号、金额与日期是本条测试数据；执行前按前置条件准备，未填写的产品决策不得自行假定。</x:v>
      </x:c>
    </x:row>
    <x:row r="280" ht="160" customHeight="1">
      <x:c r="A280" s="10" t="n">
        <x:v>279</x:v>
      </x:c>
      <x:c r="B280" s="10" t="str">
        <x:v>USER-0279</x:v>
      </x:c>
      <x:c r="C280" s="10" t="str">
        <x:v>直播</x:v>
      </x:c>
      <x:c r="D280" s="10" t="str">
        <x:v>粉丝团·未加入（用户）</x:v>
      </x:c>
      <x:c r="E280" s="10" t="str">
        <x:v>功能需求</x:v>
      </x:c>
      <x:c r="F280" s="10" t="str">
        <x:v>P2</x:v>
      </x:c>
      <x:c r="G280" s="9" t="str">
        <x:v>验证账号拉黑后拉黑发起方执行加入粉丝群</x:v>
      </x:c>
      <x:c r="H280" s="9" t="str">
        <x:v>拉黑双向限制</x:v>
      </x:c>
      <x:c r="I280" s="9" t="str">
        <x:v>1. 用户为本条执行者
2. 甲已经拉黑乙
3. 执行账号为甲，目标为另一方；双方原为好友且相互加入粉丝团，各自有直播；拉黑前已打开对方主页并有其分享卡片和粉丝群入口</x:v>
      </x:c>
      <x:c r="J280" s="9" t="str">
        <x:v>1. 点击拉黑前已有的对方粉丝群入口</x:v>
      </x:c>
      <x:c r="K280" s="9" t="str">
        <x:v>不能进入对方粉丝群</x:v>
      </x:c>
      <x:c r="L280" s="10" t="str">
        <x:v>FLOW-CF070039</x:v>
      </x:c>
      <x:c r="M280" s="10" t="str">
        <x:v>未测</x:v>
      </x:c>
      <x:c r="N280" s="10" t="str"/>
      <x:c r="O280" s="9" t="str">
        <x:v>1. 来源（当前证据）：liveshow-proto/MainBasis/统一需求文档.md；位置：第 1611 行；REQ-5e497d5f205b、第 936 行；REQ-9ebb6e575423、第 937 行；REQ-75dd5551e443、第 1606 行
2. 规则：BR-B3E34EA106FE68
3. 未动态验证
4. 示例账号、编号、金额与日期是本条测试数据；执行前按前置条件准备，未填写的产品决策不得自行假定。</x:v>
      </x:c>
    </x:row>
    <x:row r="281" ht="160" customHeight="1">
      <x:c r="A281" s="10" t="n">
        <x:v>280</x:v>
      </x:c>
      <x:c r="B281" s="10" t="str">
        <x:v>USER-0280</x:v>
      </x:c>
      <x:c r="C281" s="10" t="str">
        <x:v>直播</x:v>
      </x:c>
      <x:c r="D281" s="10" t="str">
        <x:v>粉丝团·未加入（用户）</x:v>
      </x:c>
      <x:c r="E281" s="10" t="str">
        <x:v>功能需求</x:v>
      </x:c>
      <x:c r="F281" s="10" t="str">
        <x:v>P2</x:v>
      </x:c>
      <x:c r="G281" s="9" t="str">
        <x:v>验证账号拉黑后被拉黑方执行加入粉丝群</x:v>
      </x:c>
      <x:c r="H281" s="9" t="str">
        <x:v>拉黑双向限制</x:v>
      </x:c>
      <x:c r="I281" s="9" t="str">
        <x:v>1. 用户为本条执行者
2. 甲已经拉黑乙
3. 执行账号为乙，目标为另一方；双方原为好友且相互加入粉丝团，各自有直播；拉黑前已打开对方主页并有其分享卡片和粉丝群入口</x:v>
      </x:c>
      <x:c r="J281" s="9" t="str">
        <x:v>1. 点击拉黑前已有的对方粉丝群入口</x:v>
      </x:c>
      <x:c r="K281" s="9" t="str">
        <x:v>不能进入对方粉丝群</x:v>
      </x:c>
      <x:c r="L281" s="10" t="str">
        <x:v>FLOW-CF070039</x:v>
      </x:c>
      <x:c r="M281" s="10" t="str">
        <x:v>未测</x:v>
      </x:c>
      <x:c r="N281" s="10" t="str"/>
      <x:c r="O281" s="9" t="str">
        <x:v>1. 来源（当前证据）：liveshow-proto/MainBasis/统一需求文档.md；位置：第 1611 行；REQ-5e497d5f205b、第 936 行；REQ-9ebb6e575423、第 937 行；REQ-75dd5551e443、第 1606 行
2. 规则：BR-66F32A72F8B292
3. 未动态验证
4. 示例账号、编号、金额与日期是本条测试数据；执行前按前置条件准备，未填写的产品决策不得自行假定。</x:v>
      </x:c>
    </x:row>
    <x:row r="282" ht="175" customHeight="1">
      <x:c r="A282" s="10" t="n">
        <x:v>281</x:v>
      </x:c>
      <x:c r="B282" s="10" t="str">
        <x:v>USER-0281</x:v>
      </x:c>
      <x:c r="C282" s="10" t="str">
        <x:v>个人中心</x:v>
      </x:c>
      <x:c r="D282" s="10" t="str">
        <x:v>黑名单管理（用户）</x:v>
      </x:c>
      <x:c r="E282" s="10" t="str">
        <x:v>功能需求</x:v>
      </x:c>
      <x:c r="F282" s="10" t="str">
        <x:v>P2</x:v>
      </x:c>
      <x:c r="G282" s="9" t="str">
        <x:v>验证取消拉黑不恢复原好友和关注关系</x:v>
      </x:c>
      <x:c r="H282" s="9" t="str">
        <x:v>取消拉黑后的好友关系</x:v>
      </x:c>
      <x:c r="I282" s="9" t="str">
        <x:v>1. 用户为本条执行者
2. 甲已拉黑乙，拉黑前曾关注乙且双方为好友；当前这些关系已解除</x:v>
      </x:c>
      <x:c r="J282" s="9" t="str">
        <x:v>1. 打开黑名单管理
2. 取消对乙的拉黑
3. 打开用户乙主页</x:v>
      </x:c>
      <x:c r="K282" s="9" t="str">
        <x:v>用户乙仍不是好友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 944 行；REQ-000792392af7、第 950 行；REQ-f5e511bd4cd3、第 951 行；REQ-dc74156d7b15、第 954 行；REQ-6d27692459f2、第 955 行；REQ-11ba82bb2413、第 941 行
2. 规则：BR-48646E3A11374C
3. 未动态验证
4. 示例账号、编号、金额与日期是本条测试数据；执行前按前置条件准备，未填写的产品决策不得自行假定。</x:v>
      </x:c>
    </x:row>
    <x:row r="283" ht="175" customHeight="1">
      <x:c r="A283" s="10" t="n">
        <x:v>282</x:v>
      </x:c>
      <x:c r="B283" s="10" t="str">
        <x:v>USER-0282</x:v>
      </x:c>
      <x:c r="C283" s="10" t="str">
        <x:v>个人中心</x:v>
      </x:c>
      <x:c r="D283" s="10" t="str">
        <x:v>黑名单管理（用户）</x:v>
      </x:c>
      <x:c r="E283" s="10" t="str">
        <x:v>功能需求</x:v>
      </x:c>
      <x:c r="F283" s="10" t="str">
        <x:v>P2</x:v>
      </x:c>
      <x:c r="G283" s="9" t="str">
        <x:v>验证取消拉黑不恢复原好友和关注关系</x:v>
      </x:c>
      <x:c r="H283" s="9" t="str">
        <x:v>取消拉黑后的关注关系</x:v>
      </x:c>
      <x:c r="I283" s="9" t="str">
        <x:v>1. 用户为本条执行者
2. 甲已拉黑乙，拉黑前曾关注乙且双方为好友；当前这些关系已解除</x:v>
      </x:c>
      <x:c r="J283" s="9" t="str">
        <x:v>1. 打开黑名单管理
2. 取消对乙的拉黑
3. 打开用户乙主页</x:v>
      </x:c>
      <x:c r="K283" s="9" t="str">
        <x:v>用户乙仍为未关注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 944 行；REQ-000792392af7、第 950 行；REQ-f5e511bd4cd3、第 951 行；REQ-dc74156d7b15、第 954 行；REQ-6d27692459f2、第 955 行；REQ-11ba82bb2413、第 941 行
2. 规则：BR-9EA6CEFFC10E43
3. 未动态验证
4. 示例账号、编号、金额与日期是本条测试数据；执行前按前置条件准备，未填写的产品决策不得自行假定。</x:v>
      </x:c>
    </x:row>
    <x:row r="284" ht="220" customHeight="1">
      <x:c r="A284" s="10" t="n">
        <x:v>283</x:v>
      </x:c>
      <x:c r="B284" s="10" t="str">
        <x:v>USER-0283</x:v>
      </x:c>
      <x:c r="C284" s="10" t="str">
        <x:v>直播</x:v>
      </x:c>
      <x:c r="D284" s="10" t="str">
        <x:v>粉丝团·未加入（用户）</x:v>
      </x:c>
      <x:c r="E284" s="10" t="str">
        <x:v>功能需求</x:v>
      </x:c>
      <x:c r="F284" s="10" t="str">
        <x:v>P2</x:v>
      </x:c>
      <x:c r="G284" s="9" t="str">
        <x:v>验证粉丝团已有 499 人申请加入</x:v>
      </x:c>
      <x:c r="H284" s="9" t="str">
        <x:v>粉丝团人数上限</x:v>
      </x:c>
      <x:c r="I284" s="9" t="str">
        <x:v>1. 用户为本条执行者
2. 用户甲尚未加入主播乙粉丝团，双方无拉黑关系
3. 粉丝团有效成员 499 人；加入条件为已关注且贡献至少 100；用户甲已关注并贡献 100</x:v>
      </x:c>
      <x:c r="J284" s="9" t="str">
        <x:v>1. 打开主播乙粉丝团
2. 点击加入</x:v>
      </x:c>
      <x:c r="K284" s="9" t="str">
        <x:v>粉丝团显示已加入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 1608 行；REQ-ec1fe27866b5、第 1609 行；REQ-279bac8282bb、第 1610 行；REQ-b534d337d5ab、第 1611 行；REQ-5e497d5f205b、第 1612 行；REQ-a182b35936fd、第 1613 行；REQ-8d9134a2137d、第 1615 行；REQ-5f0ad5d51315、第 1616 行；REQ-9577b57d4264、第 1606 行
2. 规则：BR-22341073EBECB9
3. 未动态验证
4. 示例账号、编号、金额与日期是本条测试数据；执行前按前置条件准备，未填写的产品决策不得自行假定。</x:v>
      </x:c>
    </x:row>
    <x:row r="285" ht="220" customHeight="1">
      <x:c r="A285" s="10" t="n">
        <x:v>284</x:v>
      </x:c>
      <x:c r="B285" s="10" t="str">
        <x:v>USER-0284</x:v>
      </x:c>
      <x:c r="C285" s="10" t="str">
        <x:v>直播</x:v>
      </x:c>
      <x:c r="D285" s="10" t="str">
        <x:v>粉丝团·未加入（用户）</x:v>
      </x:c>
      <x:c r="E285" s="10" t="str">
        <x:v>功能需求</x:v>
      </x:c>
      <x:c r="F285" s="10" t="str">
        <x:v>P2</x:v>
      </x:c>
      <x:c r="G285" s="9" t="str">
        <x:v>验证粉丝团已有 500 人申请加入</x:v>
      </x:c>
      <x:c r="H285" s="9" t="str">
        <x:v>粉丝团人数上限</x:v>
      </x:c>
      <x:c r="I285" s="9" t="str">
        <x:v>1. 用户为本条执行者
2. 用户甲尚未加入主播乙粉丝团，双方无拉黑关系
3. 粉丝团有效成员 500 人；加入条件为已关注且贡献至少 100；用户甲已关注并贡献 100</x:v>
      </x:c>
      <x:c r="J285" s="9" t="str">
        <x:v>1. 打开主播乙粉丝团
2. 点击加入</x:v>
      </x:c>
      <x:c r="K285" s="9" t="str">
        <x:v>粉丝团仍显示未加入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 1608 行；REQ-ec1fe27866b5、第 1609 行；REQ-279bac8282bb、第 1610 行；REQ-b534d337d5ab、第 1611 行；REQ-5e497d5f205b、第 1612 行；REQ-a182b35936fd、第 1613 行；REQ-8d9134a2137d、第 1615 行；REQ-5f0ad5d51315、第 1616 行；REQ-9577b57d4264、第 1606 行
2. 规则：BR-2AA44263CECD12
3. 未动态验证
4. 示例账号、编号、金额与日期是本条测试数据；执行前按前置条件准备，未填写的产品决策不得自行假定。</x:v>
      </x:c>
    </x:row>
    <x:row r="286" ht="160" customHeight="1">
      <x:c r="A286" s="10" t="n">
        <x:v>285</x:v>
      </x:c>
      <x:c r="B286" s="10" t="str">
        <x:v>USER-0285</x:v>
      </x:c>
      <x:c r="C286" s="10" t="str">
        <x:v>直播</x:v>
      </x:c>
      <x:c r="D286" s="10" t="str">
        <x:v>粉丝团·未加入（用户）</x:v>
      </x:c>
      <x:c r="E286" s="10" t="str">
        <x:v>功能需求</x:v>
      </x:c>
      <x:c r="F286" s="10" t="str">
        <x:v>P2</x:v>
      </x:c>
      <x:c r="G286" s="9" t="str">
        <x:v>验证需要关注且贡献100时关注否、贡献99</x:v>
      </x:c>
      <x:c r="H286" s="9" t="str">
        <x:v>粉丝团加入条件组合</x:v>
      </x:c>
      <x:c r="I286" s="9" t="str">
        <x:v>1. 用户为本条执行者
2. 用户甲尚未加入主播乙粉丝团，双方无拉黑关系
3. 主播要求已关注且累计贡献至少 100；当前团未满；用户甲未关注主播乙，累计贡献 99</x:v>
      </x:c>
      <x:c r="J286" s="9" t="str">
        <x:v>1. 打开主播乙粉丝团
2. 点击加入</x:v>
      </x:c>
      <x:c r="K286" s="9" t="str">
        <x:v>粉丝团仍显示未加入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 1608 行；REQ-ec1fe27866b5、第 1611 行；REQ-5e497d5f205b、第 1615 行；REQ-5f0ad5d51315、第 1606 行
2. 规则：BR-35F415A180013E
3. 未动态验证
4. 示例账号、编号、金额与日期是本条测试数据；执行前按前置条件准备，未填写的产品决策不得自行假定。</x:v>
      </x:c>
    </x:row>
    <x:row r="287" ht="160" customHeight="1">
      <x:c r="A287" s="10" t="n">
        <x:v>286</x:v>
      </x:c>
      <x:c r="B287" s="10" t="str">
        <x:v>USER-0286</x:v>
      </x:c>
      <x:c r="C287" s="10" t="str">
        <x:v>直播</x:v>
      </x:c>
      <x:c r="D287" s="10" t="str">
        <x:v>粉丝团·未加入（用户）</x:v>
      </x:c>
      <x:c r="E287" s="10" t="str">
        <x:v>功能需求</x:v>
      </x:c>
      <x:c r="F287" s="10" t="str">
        <x:v>P2</x:v>
      </x:c>
      <x:c r="G287" s="9" t="str">
        <x:v>验证需要关注且贡献100时关注否、贡献100</x:v>
      </x:c>
      <x:c r="H287" s="9" t="str">
        <x:v>粉丝团加入条件组合</x:v>
      </x:c>
      <x:c r="I287" s="9" t="str">
        <x:v>1. 用户为本条执行者
2. 用户甲尚未加入主播乙粉丝团，双方无拉黑关系
3. 主播要求已关注且累计贡献至少 100；当前团未满；用户甲未关注主播乙，累计贡献 100</x:v>
      </x:c>
      <x:c r="J287" s="9" t="str">
        <x:v>1. 打开主播乙粉丝团
2. 点击加入</x:v>
      </x:c>
      <x:c r="K287" s="9" t="str">
        <x:v>粉丝团仍显示未加入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 1608 行；REQ-ec1fe27866b5、第 1611 行；REQ-5e497d5f205b、第 1615 行；REQ-5f0ad5d51315、第 1606 行
2. 规则：BR-8CA816D25F19D3
3. 未动态验证
4. 示例账号、编号、金额与日期是本条测试数据；执行前按前置条件准备，未填写的产品决策不得自行假定。</x:v>
      </x:c>
    </x:row>
    <x:row r="288" ht="160" customHeight="1">
      <x:c r="A288" s="10" t="n">
        <x:v>287</x:v>
      </x:c>
      <x:c r="B288" s="10" t="str">
        <x:v>USER-0287</x:v>
      </x:c>
      <x:c r="C288" s="10" t="str">
        <x:v>直播</x:v>
      </x:c>
      <x:c r="D288" s="10" t="str">
        <x:v>粉丝团·未加入（用户）</x:v>
      </x:c>
      <x:c r="E288" s="10" t="str">
        <x:v>功能需求</x:v>
      </x:c>
      <x:c r="F288" s="10" t="str">
        <x:v>P2</x:v>
      </x:c>
      <x:c r="G288" s="9" t="str">
        <x:v>验证需要关注且贡献100时关注是、贡献99</x:v>
      </x:c>
      <x:c r="H288" s="9" t="str">
        <x:v>粉丝团加入条件组合</x:v>
      </x:c>
      <x:c r="I288" s="9" t="str">
        <x:v>1. 用户为本条执行者
2. 用户甲尚未加入主播乙粉丝团，双方无拉黑关系
3. 主播要求已关注且累计贡献至少 100；当前团未满；用户甲已关注主播乙，累计贡献 99</x:v>
      </x:c>
      <x:c r="J288" s="9" t="str">
        <x:v>1. 打开主播乙粉丝团
2. 点击加入</x:v>
      </x:c>
      <x:c r="K288" s="9" t="str">
        <x:v>粉丝团仍显示未加入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 1608 行；REQ-ec1fe27866b5、第 1611 行；REQ-5e497d5f205b、第 1615 行；REQ-5f0ad5d51315、第 1606 行
2. 规则：BR-EF5B67CF033C7C
3. 未动态验证
4. 示例账号、编号、金额与日期是本条测试数据；执行前按前置条件准备，未填写的产品决策不得自行假定。</x:v>
      </x:c>
    </x:row>
    <x:row r="289" ht="160" customHeight="1">
      <x:c r="A289" s="10" t="n">
        <x:v>288</x:v>
      </x:c>
      <x:c r="B289" s="10" t="str">
        <x:v>USER-0288</x:v>
      </x:c>
      <x:c r="C289" s="10" t="str">
        <x:v>直播</x:v>
      </x:c>
      <x:c r="D289" s="10" t="str">
        <x:v>粉丝团·未加入（用户）</x:v>
      </x:c>
      <x:c r="E289" s="10" t="str">
        <x:v>功能需求</x:v>
      </x:c>
      <x:c r="F289" s="10" t="str">
        <x:v>P2</x:v>
      </x:c>
      <x:c r="G289" s="9" t="str">
        <x:v>验证需要关注且贡献100时关注是、贡献100</x:v>
      </x:c>
      <x:c r="H289" s="9" t="str">
        <x:v>粉丝团加入条件组合</x:v>
      </x:c>
      <x:c r="I289" s="9" t="str">
        <x:v>1. 用户为本条执行者
2. 用户甲尚未加入主播乙粉丝团，双方无拉黑关系
3. 主播要求已关注且累计贡献至少 100；当前团未满；用户甲已关注主播乙，累计贡献 100</x:v>
      </x:c>
      <x:c r="J289" s="9" t="str">
        <x:v>1. 打开主播乙粉丝团
2. 点击加入</x:v>
      </x:c>
      <x:c r="K289" s="9" t="str">
        <x:v>粉丝团显示已加入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 1608 行；REQ-ec1fe27866b5、第 1611 行；REQ-5e497d5f205b、第 1615 行；REQ-5f0ad5d51315、第 1606 行
2. 规则：BR-073E12BB6521B6
3. 未动态验证
4. 示例账号、编号、金额与日期是本条测试数据；执行前按前置条件准备，未填写的产品决策不得自行假定。</x:v>
      </x:c>
    </x:row>
    <x:row r="290" ht="160" customHeight="1">
      <x:c r="A290" s="10" t="n">
        <x:v>289</x:v>
      </x:c>
      <x:c r="B290" s="10" t="str">
        <x:v>USER-0289</x:v>
      </x:c>
      <x:c r="C290" s="10" t="str">
        <x:v>消息与社交</x:v>
      </x:c>
      <x:c r="D290" s="10" t="str">
        <x:v>群管理（成员）（用户）</x:v>
      </x:c>
      <x:c r="E290" s="10" t="str">
        <x:v>功能需求</x:v>
      </x:c>
      <x:c r="F290" s="10" t="str">
        <x:v>P2</x:v>
      </x:c>
      <x:c r="G290" s="9" t="str">
        <x:v>验证成员主动退出粉丝群</x:v>
      </x:c>
      <x:c r="H290" s="9" t="str">
        <x:v>退团后的成员身份</x:v>
      </x:c>
      <x:c r="I290" s="9" t="str">
        <x:v>1. 用户为本条执行者
2. 用户甲是主播乙粉丝团成员，当前亲密度 100、粉丝成长值 100，已佩戴该团身份标识且关注主播乙</x:v>
      </x:c>
      <x:c r="J290" s="9" t="str">
        <x:v>1. 打开群管理
2. 点击退出粉丝群
3. 确认退出</x:v>
      </x:c>
      <x:c r="K290" s="9" t="str">
        <x:v>用户甲不再是该粉丝团成员</x:v>
      </x:c>
      <x:c r="L290" s="10" t="str">
        <x:v>FLOW-0B36AD5E</x:v>
      </x:c>
      <x:c r="M290" s="10" t="str">
        <x:v>未测</x:v>
      </x:c>
      <x:c r="N290" s="10" t="str"/>
      <x:c r="O290" s="9" t="str">
        <x:v>1. 来源（当前证据）：liveshow-proto/MainBasis/统一需求文档.md；位置：第 913 行；REQ-26afc3a3ec61、第 915 行；REQ-a0492a84dfb6、第 916 行；REQ-43a003d8c23f、第 909 行
2. 规则：BR-2A7FFDEE1C354B
3. 未动态验证
4. 示例账号、编号、金额与日期是本条测试数据；执行前按前置条件准备，未填写的产品决策不得自行假定。</x:v>
      </x:c>
    </x:row>
    <x:row r="291" ht="160" customHeight="1">
      <x:c r="A291" s="10" t="n">
        <x:v>290</x:v>
      </x:c>
      <x:c r="B291" s="10" t="str">
        <x:v>USER-0290</x:v>
      </x:c>
      <x:c r="C291" s="10" t="str">
        <x:v>消息与社交</x:v>
      </x:c>
      <x:c r="D291" s="10" t="str">
        <x:v>群管理（成员）（用户）</x:v>
      </x:c>
      <x:c r="E291" s="10" t="str">
        <x:v>功能需求</x:v>
      </x:c>
      <x:c r="F291" s="10" t="str">
        <x:v>P2</x:v>
      </x:c>
      <x:c r="G291" s="9" t="str">
        <x:v>验证成员主动退出粉丝群</x:v>
      </x:c>
      <x:c r="H291" s="9" t="str">
        <x:v>退团不取消关注</x:v>
      </x:c>
      <x:c r="I291" s="9" t="str">
        <x:v>1. 用户为本条执行者
2. 用户甲是主播乙粉丝团成员，当前亲密度 100、粉丝成长值 100，已佩戴该团身份标识且关注主播乙</x:v>
      </x:c>
      <x:c r="J291" s="9" t="str">
        <x:v>1. 打开群管理
2. 点击退出粉丝群
3. 确认退出</x:v>
      </x:c>
      <x:c r="K291" s="9" t="str">
        <x:v>用户甲仍关注主播乙</x:v>
      </x:c>
      <x:c r="L291" s="10" t="str">
        <x:v>FLOW-0B36AD5E</x:v>
      </x:c>
      <x:c r="M291" s="10" t="str">
        <x:v>未测</x:v>
      </x:c>
      <x:c r="N291" s="10" t="str"/>
      <x:c r="O291" s="9" t="str">
        <x:v>1. 来源（当前证据）：liveshow-proto/MainBasis/统一需求文档.md；位置：第 913 行；REQ-26afc3a3ec61、第 915 行；REQ-a0492a84dfb6、第 916 行；REQ-43a003d8c23f、第 909 行
2. 规则：BR-FEE187E49A9144
3. 未动态验证
4. 示例账号、编号、金额与日期是本条测试数据；执行前按前置条件准备，未填写的产品决策不得自行假定。</x:v>
      </x:c>
    </x:row>
    <x:row r="292" ht="145" customHeight="1">
      <x:c r="A292" s="10" t="n">
        <x:v>291</x:v>
      </x:c>
      <x:c r="B292" s="10" t="str">
        <x:v>USER-0291</x:v>
      </x:c>
      <x:c r="C292" s="10" t="str">
        <x:v>消息与社交</x:v>
      </x:c>
      <x:c r="D292" s="10" t="str">
        <x:v>粉丝团群聊（用户）</x:v>
      </x:c>
      <x:c r="E292" s="10" t="str">
        <x:v>功能需求</x:v>
      </x:c>
      <x:c r="F292" s="10" t="str">
        <x:v>P2</x:v>
      </x:c>
      <x:c r="G292" s="9" t="str">
        <x:v>验证单人禁言期间发送文字</x:v>
      </x:c>
      <x:c r="H292" s="9" t="str">
        <x:v>群禁言消息类型范围</x:v>
      </x:c>
      <x:c r="I292" s="9" t="str">
        <x:v>1. 用户为本条执行者
2. 用户甲为主播乙的当前粉丝团成员
3. 当前群已对用户甲生效单人禁言</x:v>
      </x:c>
      <x:c r="J292" s="9" t="str">
        <x:v>1. 打开粉丝团群聊
2. 发送测试文字</x:v>
      </x:c>
      <x:c r="K292" s="9" t="str">
        <x:v>本条文字消息未发送成功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 900 行；REQ-f64015dd42d4、第 906 行；REQ-394bc92e0b45、第 896 行
2. 规则：BR-BA6A42FB596BD6
3. 未动态验证
4. 示例账号、编号、金额与日期是本条测试数据；执行前按前置条件准备，未填写的产品决策不得自行假定。</x:v>
      </x:c>
    </x:row>
    <x:row r="293" ht="145" customHeight="1">
      <x:c r="A293" s="10" t="n">
        <x:v>292</x:v>
      </x:c>
      <x:c r="B293" s="10" t="str">
        <x:v>USER-0292</x:v>
      </x:c>
      <x:c r="C293" s="10" t="str">
        <x:v>消息与社交</x:v>
      </x:c>
      <x:c r="D293" s="10" t="str">
        <x:v>粉丝团群聊（用户）</x:v>
      </x:c>
      <x:c r="E293" s="10" t="str">
        <x:v>功能需求</x:v>
      </x:c>
      <x:c r="F293" s="10" t="str">
        <x:v>P2</x:v>
      </x:c>
      <x:c r="G293" s="9" t="str">
        <x:v>验证单人禁言期间发送图片</x:v>
      </x:c>
      <x:c r="H293" s="9" t="str">
        <x:v>群禁言消息类型范围</x:v>
      </x:c>
      <x:c r="I293" s="9" t="str">
        <x:v>1. 用户为本条执行者
2. 用户甲为主播乙的当前粉丝团成员
3. 当前群已对用户甲生效单人禁言</x:v>
      </x:c>
      <x:c r="J293" s="9" t="str">
        <x:v>1. 打开粉丝团群聊
2. 发送测试图片</x:v>
      </x:c>
      <x:c r="K293" s="9" t="str">
        <x:v>本条图片消息未发送成功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 900 行；REQ-f64015dd42d4、第 906 行；REQ-394bc92e0b45、第 896 行
2. 规则：BR-B24498B92914DE
3. 未动态验证
4. 示例账号、编号、金额与日期是本条测试数据；执行前按前置条件准备，未填写的产品决策不得自行假定。</x:v>
      </x:c>
    </x:row>
    <x:row r="294" ht="145" customHeight="1">
      <x:c r="A294" s="10" t="n">
        <x:v>293</x:v>
      </x:c>
      <x:c r="B294" s="10" t="str">
        <x:v>USER-0293</x:v>
      </x:c>
      <x:c r="C294" s="10" t="str">
        <x:v>消息与社交</x:v>
      </x:c>
      <x:c r="D294" s="10" t="str">
        <x:v>粉丝团群聊（用户）</x:v>
      </x:c>
      <x:c r="E294" s="10" t="str">
        <x:v>功能需求</x:v>
      </x:c>
      <x:c r="F294" s="10" t="str">
        <x:v>P2</x:v>
      </x:c>
      <x:c r="G294" s="9" t="str">
        <x:v>验证单人禁言期间发送语音</x:v>
      </x:c>
      <x:c r="H294" s="9" t="str">
        <x:v>群禁言消息类型范围</x:v>
      </x:c>
      <x:c r="I294" s="9" t="str">
        <x:v>1. 用户为本条执行者
2. 用户甲为主播乙的当前粉丝团成员
3. 当前群已对用户甲生效单人禁言</x:v>
      </x:c>
      <x:c r="J294" s="9" t="str">
        <x:v>1. 打开粉丝团群聊
2. 发送测试语音</x:v>
      </x:c>
      <x:c r="K294" s="9" t="str">
        <x:v>本条语音消息未发送成功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 900 行；REQ-f64015dd42d4、第 906 行；REQ-394bc92e0b45、第 896 行
2. 规则：BR-ADC0F2BEA060C0
3. 未动态验证
4. 示例账号、编号、金额与日期是本条测试数据；执行前按前置条件准备，未填写的产品决策不得自行假定。</x:v>
      </x:c>
    </x:row>
    <x:row r="295" ht="145" customHeight="1">
      <x:c r="A295" s="10" t="n">
        <x:v>294</x:v>
      </x:c>
      <x:c r="B295" s="10" t="str">
        <x:v>USER-0294</x:v>
      </x:c>
      <x:c r="C295" s="10" t="str">
        <x:v>消息与社交</x:v>
      </x:c>
      <x:c r="D295" s="10" t="str">
        <x:v>粉丝团群聊（用户）</x:v>
      </x:c>
      <x:c r="E295" s="10" t="str">
        <x:v>功能需求</x:v>
      </x:c>
      <x:c r="F295" s="10" t="str">
        <x:v>P2</x:v>
      </x:c>
      <x:c r="G295" s="9" t="str">
        <x:v>验证全员禁言期间发送文字</x:v>
      </x:c>
      <x:c r="H295" s="9" t="str">
        <x:v>群禁言消息类型范围</x:v>
      </x:c>
      <x:c r="I295" s="9" t="str">
        <x:v>1. 用户为本条执行者
2. 用户甲为主播乙的当前粉丝团成员
3. 当前群已对用户甲生效全员禁言</x:v>
      </x:c>
      <x:c r="J295" s="9" t="str">
        <x:v>1. 打开粉丝团群聊
2. 发送测试文字</x:v>
      </x:c>
      <x:c r="K295" s="9" t="str">
        <x:v>本条文字消息未发送成功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 900 行；REQ-f64015dd42d4、第 906 行；REQ-394bc92e0b45、第 896 行
2. 规则：BR-41915DFCA4835B
3. 未动态验证
4. 示例账号、编号、金额与日期是本条测试数据；执行前按前置条件准备，未填写的产品决策不得自行假定。</x:v>
      </x:c>
    </x:row>
    <x:row r="296" ht="145" customHeight="1">
      <x:c r="A296" s="10" t="n">
        <x:v>295</x:v>
      </x:c>
      <x:c r="B296" s="10" t="str">
        <x:v>USER-0295</x:v>
      </x:c>
      <x:c r="C296" s="10" t="str">
        <x:v>消息与社交</x:v>
      </x:c>
      <x:c r="D296" s="10" t="str">
        <x:v>粉丝团群聊（用户）</x:v>
      </x:c>
      <x:c r="E296" s="10" t="str">
        <x:v>功能需求</x:v>
      </x:c>
      <x:c r="F296" s="10" t="str">
        <x:v>P2</x:v>
      </x:c>
      <x:c r="G296" s="9" t="str">
        <x:v>验证全员禁言期间发送图片</x:v>
      </x:c>
      <x:c r="H296" s="9" t="str">
        <x:v>群禁言消息类型范围</x:v>
      </x:c>
      <x:c r="I296" s="9" t="str">
        <x:v>1. 用户为本条执行者
2. 用户甲为主播乙的当前粉丝团成员
3. 当前群已对用户甲生效全员禁言</x:v>
      </x:c>
      <x:c r="J296" s="9" t="str">
        <x:v>1. 打开粉丝团群聊
2. 发送测试图片</x:v>
      </x:c>
      <x:c r="K296" s="9" t="str">
        <x:v>本条图片消息未发送成功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 900 行；REQ-f64015dd42d4、第 906 行；REQ-394bc92e0b45、第 896 行
2. 规则：BR-488AF1E7532863
3. 未动态验证
4. 示例账号、编号、金额与日期是本条测试数据；执行前按前置条件准备，未填写的产品决策不得自行假定。</x:v>
      </x:c>
    </x:row>
    <x:row r="297" ht="145" customHeight="1">
      <x:c r="A297" s="10" t="n">
        <x:v>296</x:v>
      </x:c>
      <x:c r="B297" s="10" t="str">
        <x:v>USER-0296</x:v>
      </x:c>
      <x:c r="C297" s="10" t="str">
        <x:v>消息与社交</x:v>
      </x:c>
      <x:c r="D297" s="10" t="str">
        <x:v>粉丝团群聊（用户）</x:v>
      </x:c>
      <x:c r="E297" s="10" t="str">
        <x:v>功能需求</x:v>
      </x:c>
      <x:c r="F297" s="10" t="str">
        <x:v>P2</x:v>
      </x:c>
      <x:c r="G297" s="9" t="str">
        <x:v>验证全员禁言期间发送语音</x:v>
      </x:c>
      <x:c r="H297" s="9" t="str">
        <x:v>群禁言消息类型范围</x:v>
      </x:c>
      <x:c r="I297" s="9" t="str">
        <x:v>1. 用户为本条执行者
2. 用户甲为主播乙的当前粉丝团成员
3. 当前群已对用户甲生效全员禁言</x:v>
      </x:c>
      <x:c r="J297" s="9" t="str">
        <x:v>1. 打开粉丝团群聊
2. 发送测试语音</x:v>
      </x:c>
      <x:c r="K297" s="9" t="str">
        <x:v>本条语音消息未发送成功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 900 行；REQ-f64015dd42d4、第 906 行；REQ-394bc92e0b45、第 896 行
2. 规则：BR-1DD2420537009E
3. 未动态验证
4. 示例账号、编号、金额与日期是本条测试数据；执行前按前置条件准备，未填写的产品决策不得自行假定。</x:v>
      </x:c>
    </x:row>
    <x:row r="298" ht="160" customHeight="1">
      <x:c r="A298" s="10" t="n">
        <x:v>297</x:v>
      </x:c>
      <x:c r="B298" s="10" t="str">
        <x:v>USER-0297</x:v>
      </x:c>
      <x:c r="C298" s="10" t="str">
        <x:v>消息与社交</x:v>
      </x:c>
      <x:c r="D298" s="10" t="str">
        <x:v>群管理（群主）（主播）</x:v>
      </x:c>
      <x:c r="E298" s="10" t="str">
        <x:v>功能需求</x:v>
      </x:c>
      <x:c r="F298" s="10" t="str">
        <x:v>P2</x:v>
      </x:c>
      <x:c r="G298" s="9" t="str">
        <x:v>验证群公告输入 0 个字符</x:v>
      </x:c>
      <x:c r="H298" s="9" t="str">
        <x:v>群公告长度</x:v>
      </x:c>
      <x:c r="I298" s="9" t="str">
        <x:v>1. 主播为本条执行者
2. 主播乙为粉丝团群主，当前有有效成员甲，群公告为“原公告”</x:v>
      </x:c>
      <x:c r="J298" s="9" t="str">
        <x:v>1. 打开群管理
2. 编辑群公告
3. 清空公告
4. 点击保存</x:v>
      </x:c>
      <x:c r="K298" s="9" t="str">
        <x:v>群公告未保存为本次输入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 921 行；REQ-b01c59425713、第 923 行；REQ-ad1c58c7a863、第 925 行；REQ-68d6b7d8d78b、第 919 行
2. 规则：BR-F54969E438B7DF
3. 未动态验证
4. 示例账号、编号、金额与日期是本条测试数据；执行前按前置条件准备，未填写的产品决策不得自行假定。</x:v>
      </x:c>
    </x:row>
    <x:row r="299" ht="160" customHeight="1">
      <x:c r="A299" s="10" t="n">
        <x:v>298</x:v>
      </x:c>
      <x:c r="B299" s="10" t="str">
        <x:v>USER-0298</x:v>
      </x:c>
      <x:c r="C299" s="10" t="str">
        <x:v>消息与社交</x:v>
      </x:c>
      <x:c r="D299" s="10" t="str">
        <x:v>群管理（群主）（主播）</x:v>
      </x:c>
      <x:c r="E299" s="10" t="str">
        <x:v>功能需求</x:v>
      </x:c>
      <x:c r="F299" s="10" t="str">
        <x:v>P2</x:v>
      </x:c>
      <x:c r="G299" s="9" t="str">
        <x:v>验证群公告输入 1 个字符</x:v>
      </x:c>
      <x:c r="H299" s="9" t="str">
        <x:v>群公告长度</x:v>
      </x:c>
      <x:c r="I299" s="9" t="str">
        <x:v>1. 主播为本条执行者
2. 主播乙为粉丝团群主，当前有有效成员甲，群公告为“原公告”</x:v>
      </x:c>
      <x:c r="J299" s="9" t="str">
        <x:v>1. 打开群管理
2. 编辑群公告
3. 输入 1 个“测”
4. 点击保存</x:v>
      </x:c>
      <x:c r="K299" s="9" t="str">
        <x:v>群公告保存为 1 个“测”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 921 行；REQ-b01c59425713、第 923 行；REQ-ad1c58c7a863、第 925 行；REQ-68d6b7d8d78b、第 919 行
2. 规则：BR-4E3090CC7753BA
3. 未动态验证
4. 示例账号、编号、金额与日期是本条测试数据；执行前按前置条件准备，未填写的产品决策不得自行假定。</x:v>
      </x:c>
    </x:row>
    <x:row r="300" ht="160" customHeight="1">
      <x:c r="A300" s="10" t="n">
        <x:v>299</x:v>
      </x:c>
      <x:c r="B300" s="10" t="str">
        <x:v>USER-0299</x:v>
      </x:c>
      <x:c r="C300" s="10" t="str">
        <x:v>消息与社交</x:v>
      </x:c>
      <x:c r="D300" s="10" t="str">
        <x:v>群管理（群主）（主播）</x:v>
      </x:c>
      <x:c r="E300" s="10" t="str">
        <x:v>功能需求</x:v>
      </x:c>
      <x:c r="F300" s="10" t="str">
        <x:v>P2</x:v>
      </x:c>
      <x:c r="G300" s="9" t="str">
        <x:v>验证群公告输入 200 个字符</x:v>
      </x:c>
      <x:c r="H300" s="9" t="str">
        <x:v>群公告长度</x:v>
      </x:c>
      <x:c r="I300" s="9" t="str">
        <x:v>1. 主播为本条执行者
2. 主播乙为粉丝团群主，当前有有效成员甲，群公告为“原公告”</x:v>
      </x:c>
      <x:c r="J300" s="9" t="str">
        <x:v>1. 打开群管理
2. 编辑群公告
3. 输入 200 个“测”
4. 点击保存</x:v>
      </x:c>
      <x:c r="K300" s="9" t="str">
        <x:v>群公告保存为 200 个“测”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 921 行；REQ-b01c59425713、第 923 行；REQ-ad1c58c7a863、第 925 行；REQ-68d6b7d8d78b、第 919 行
2. 规则：BR-BC934980EAF931
3. 未动态验证
4. 示例账号、编号、金额与日期是本条测试数据；执行前按前置条件准备，未填写的产品决策不得自行假定。</x:v>
      </x:c>
    </x:row>
    <x:row r="301" ht="160" customHeight="1">
      <x:c r="A301" s="10" t="n">
        <x:v>300</x:v>
      </x:c>
      <x:c r="B301" s="10" t="str">
        <x:v>USER-0300</x:v>
      </x:c>
      <x:c r="C301" s="10" t="str">
        <x:v>消息与社交</x:v>
      </x:c>
      <x:c r="D301" s="10" t="str">
        <x:v>群管理（群主）（主播）</x:v>
      </x:c>
      <x:c r="E301" s="10" t="str">
        <x:v>功能需求</x:v>
      </x:c>
      <x:c r="F301" s="10" t="str">
        <x:v>P2</x:v>
      </x:c>
      <x:c r="G301" s="9" t="str">
        <x:v>验证群公告输入 201 个字符</x:v>
      </x:c>
      <x:c r="H301" s="9" t="str">
        <x:v>群公告长度</x:v>
      </x:c>
      <x:c r="I301" s="9" t="str">
        <x:v>1. 主播为本条执行者
2. 主播乙为粉丝团群主，当前有有效成员甲，群公告为“原公告”</x:v>
      </x:c>
      <x:c r="J301" s="9" t="str">
        <x:v>1. 打开群管理
2. 编辑群公告
3. 输入 201 个“测”
4. 点击保存</x:v>
      </x:c>
      <x:c r="K301" s="9" t="str">
        <x:v>群公告未保存为本次输入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 921 行；REQ-b01c59425713、第 923 行；REQ-ad1c58c7a863、第 925 行；REQ-68d6b7d8d78b、第 919 行
2. 规则：BR-FCF3CB9126D5A7
3. 未动态验证
4. 示例账号、编号、金额与日期是本条测试数据；执行前按前置条件准备，未填写的产品决策不得自行假定。</x:v>
      </x:c>
    </x:row>
    <x:row r="302" ht="160" customHeight="1">
      <x:c r="A302" s="10" t="n">
        <x:v>301</x:v>
      </x:c>
      <x:c r="B302" s="10" t="str">
        <x:v>USER-0301</x:v>
      </x:c>
      <x:c r="C302" s="10" t="str">
        <x:v>消息与社交</x:v>
      </x:c>
      <x:c r="D302" s="10" t="str">
        <x:v>群管理（群主）（主播）</x:v>
      </x:c>
      <x:c r="E302" s="10" t="str">
        <x:v>功能需求</x:v>
      </x:c>
      <x:c r="F302" s="10" t="str">
        <x:v>P2</x:v>
      </x:c>
      <x:c r="G302" s="9" t="str">
        <x:v>验证取消群公告编辑保留原文</x:v>
      </x:c>
      <x:c r="H302" s="9" t="str">
        <x:v>公告取消编辑</x:v>
      </x:c>
      <x:c r="I302" s="9" t="str">
        <x:v>1. 主播为本条执行者
2. 主播乙为粉丝团群主，当前有有效成员甲，群公告为“原公告”</x:v>
      </x:c>
      <x:c r="J302" s="9" t="str">
        <x:v>1. 打开群管理
2. 编辑群公告
3. 输入“新公告”
4. 点击取消</x:v>
      </x:c>
      <x:c r="K302" s="9" t="str">
        <x:v>群公告仍为“原公告”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 921 行；REQ-b01c59425713、第 923 行；REQ-ad1c58c7a863、第 925 行；REQ-68d6b7d8d78b、第 919 行
2. 规则：BR-E518A419AA451A
3. 未动态验证
4. 示例账号、编号、金额与日期是本条测试数据；执行前按前置条件准备，未填写的产品决策不得自行假定。</x:v>
      </x:c>
    </x:row>
    <x:row r="303" ht="130" customHeight="1">
      <x:c r="A303" s="10" t="n">
        <x:v>302</x:v>
      </x:c>
      <x:c r="B303" s="10" t="str">
        <x:v>USER-0302</x:v>
      </x:c>
      <x:c r="C303" s="10" t="str">
        <x:v>主播管理</x:v>
      </x:c>
      <x:c r="D303" s="10" t="str">
        <x:v>开播设置（主播）</x:v>
      </x:c>
      <x:c r="E303" s="10" t="str">
        <x:v>功能需求</x:v>
      </x:c>
      <x:c r="F303" s="10" t="str">
        <x:v>P2</x:v>
      </x:c>
      <x:c r="G303" s="9" t="str">
        <x:v>验证直播主题输入 39 个字符</x:v>
      </x:c>
      <x:c r="H303" s="9" t="str">
        <x:v>直播主题长度</x:v>
      </x:c>
      <x:c r="I303" s="9" t="str">
        <x:v>1. 主播为本条执行者
2. 主播甲账号可用、公会有效、已认证且最终开播权限开启；普通房可用；存在启用分类甲
3. 相机和麦克风均已授权</x:v>
      </x:c>
      <x:c r="J303" s="9" t="str">
        <x:v>1. 打开开播设置
2. 输入由 39 个“测”组成的直播主题
3. 选择分类甲
4. 选择普通房
5. 点击开始直播</x:v>
      </x:c>
      <x:c r="K303" s="9" t="str">
        <x:v>进入主播直播间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 1189 行；REQ-6c33f6bc08d8、第 1186 行
2. 规则：BR-0F43D3414C988F
3. 未动态验证
4. 示例账号、编号、金额与日期是本条测试数据；执行前按前置条件准备，未填写的产品决策不得自行假定。</x:v>
      </x:c>
    </x:row>
    <x:row r="304" ht="130" customHeight="1">
      <x:c r="A304" s="10" t="n">
        <x:v>303</x:v>
      </x:c>
      <x:c r="B304" s="10" t="str">
        <x:v>USER-0303</x:v>
      </x:c>
      <x:c r="C304" s="10" t="str">
        <x:v>主播管理</x:v>
      </x:c>
      <x:c r="D304" s="10" t="str">
        <x:v>开播设置（主播）</x:v>
      </x:c>
      <x:c r="E304" s="10" t="str">
        <x:v>功能需求</x:v>
      </x:c>
      <x:c r="F304" s="10" t="str">
        <x:v>P2</x:v>
      </x:c>
      <x:c r="G304" s="9" t="str">
        <x:v>验证直播主题输入 40 个字符</x:v>
      </x:c>
      <x:c r="H304" s="9" t="str">
        <x:v>直播主题长度</x:v>
      </x:c>
      <x:c r="I304" s="9" t="str">
        <x:v>1. 主播为本条执行者
2. 主播甲账号可用、公会有效、已认证且最终开播权限开启；普通房可用；存在启用分类甲
3. 相机和麦克风均已授权</x:v>
      </x:c>
      <x:c r="J304" s="9" t="str">
        <x:v>1. 打开开播设置
2. 输入由 40 个“测”组成的直播主题
3. 选择分类甲
4. 选择普通房
5. 点击开始直播</x:v>
      </x:c>
      <x:c r="K304" s="9" t="str">
        <x:v>进入主播直播间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 1189 行；REQ-6c33f6bc08d8、第 1186 行
2. 规则：BR-6B9B38657CD0CD
3. 未动态验证
4. 示例账号、编号、金额与日期是本条测试数据；执行前按前置条件准备，未填写的产品决策不得自行假定。</x:v>
      </x:c>
    </x:row>
    <x:row r="305" ht="130" customHeight="1">
      <x:c r="A305" s="10" t="n">
        <x:v>304</x:v>
      </x:c>
      <x:c r="B305" s="10" t="str">
        <x:v>USER-0304</x:v>
      </x:c>
      <x:c r="C305" s="10" t="str">
        <x:v>主播管理</x:v>
      </x:c>
      <x:c r="D305" s="10" t="str">
        <x:v>开播设置（主播）</x:v>
      </x:c>
      <x:c r="E305" s="10" t="str">
        <x:v>功能需求</x:v>
      </x:c>
      <x:c r="F305" s="10" t="str">
        <x:v>P2</x:v>
      </x:c>
      <x:c r="G305" s="9" t="str">
        <x:v>验证直播主题输入 41 个字符</x:v>
      </x:c>
      <x:c r="H305" s="9" t="str">
        <x:v>直播主题长度</x:v>
      </x:c>
      <x:c r="I305" s="9" t="str">
        <x:v>1. 主播为本条执行者
2. 主播甲账号可用、公会有效、已认证且最终开播权限开启；普通房可用；存在启用分类甲
3. 相机和麦克风均已授权</x:v>
      </x:c>
      <x:c r="J305" s="9" t="str">
        <x:v>1. 打开开播设置
2. 输入由 41 个“测”组成的直播主题
3. 选择分类甲
4. 选择普通房
5. 点击开始直播</x:v>
      </x:c>
      <x:c r="K305" s="9" t="str">
        <x:v>不能使用 41 字符主题开播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 1189 行；REQ-6c33f6bc08d8、第 1186 行
2. 规则：BR-D1F265485FFE06
3. 未动态验证
4. 示例账号、编号、金额与日期是本条测试数据；执行前按前置条件准备，未填写的产品决策不得自行假定。</x:v>
      </x:c>
    </x:row>
    <x:row r="306" ht="175" customHeight="1">
      <x:c r="A306" s="10" t="n">
        <x:v>305</x:v>
      </x:c>
      <x:c r="B306" s="10" t="str">
        <x:v>USER-0305</x:v>
      </x:c>
      <x:c r="C306" s="10" t="str">
        <x:v>主播管理</x:v>
      </x:c>
      <x:c r="D306" s="10" t="str">
        <x:v>开播设置（主播）</x:v>
      </x:c>
      <x:c r="E306" s="10" t="str">
        <x:v>功能需求</x:v>
      </x:c>
      <x:c r="F306" s="10" t="str">
        <x:v>P2</x:v>
      </x:c>
      <x:c r="G306" s="9" t="str">
        <x:v>验证直播封面选填允许无封面开播</x:v>
      </x:c>
      <x:c r="H306" s="9" t="str">
        <x:v>封面选填</x:v>
      </x:c>
      <x:c r="I306" s="9" t="str">
        <x:v>1. 主播为本条执行者
2. 主播甲账号可用、公会有效、已认证且最终开播权限开启；普通房可用；存在启用分类甲
3. 本次未选择直播封面，相机和麦克风均已授权</x:v>
      </x:c>
      <x:c r="J306" s="9" t="str">
        <x:v>1. 打开开播设置
2. 输入主题“测试直播”
3. 选择分类甲
4. 选择普通房
5. 点击开始直播</x:v>
      </x:c>
      <x:c r="K306" s="9" t="str">
        <x:v>进入主播直播间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 1188 行；REQ-977cbf74d9f6、第 1197 行；REQ-c746884dbbc3、第 1200 行；REQ-b6bddb65ebc8、第 1206 行；REQ-2afca99fcc33、第 1208 行；REQ-63eef3ba7a60、第 1186 行
2. 规则：BR-07C69F78AEB369
3. 未动态验证
4. 示例账号、编号、金额与日期是本条测试数据；执行前按前置条件准备，未填写的产品决策不得自行假定。</x:v>
      </x:c>
    </x:row>
    <x:row r="307" ht="175" customHeight="1">
      <x:c r="A307" s="10" t="n">
        <x:v>306</x:v>
      </x:c>
      <x:c r="B307" s="10" t="str">
        <x:v>USER-0306</x:v>
      </x:c>
      <x:c r="C307" s="10" t="str">
        <x:v>主播管理</x:v>
      </x:c>
      <x:c r="D307" s="10" t="str">
        <x:v>开播设置（主播）</x:v>
      </x:c>
      <x:c r="E307" s="10" t="str">
        <x:v>功能需求</x:v>
      </x:c>
      <x:c r="F307" s="10" t="str">
        <x:v>P2</x:v>
      </x:c>
      <x:c r="G307" s="9" t="str">
        <x:v>验证没有选择分类不能开播</x:v>
      </x:c>
      <x:c r="H307" s="9" t="str">
        <x:v>分类必选</x:v>
      </x:c>
      <x:c r="I307" s="9" t="str">
        <x:v>1. 主播为本条执行者
2. 主播甲账号可用、公会有效、已认证且最终开播权限开启；普通房可用；存在启用分类甲
3. 本次分类未选择</x:v>
      </x:c>
      <x:c r="J307" s="9" t="str">
        <x:v>1. 打开开播设置
2. 输入主题“测试直播”
3. 点击开始直播</x:v>
      </x:c>
      <x:c r="K307" s="9" t="str">
        <x:v>未进入主播直播间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 1190 行；REQ-f3cafeef850c、第 1191 行；REQ-87ffa9153ad7、第 1192 行；REQ-1e96fef03f07、第 1197 行；REQ-c746884dbbc3、第 1186 行
2. 规则：BR-AFC8536FBD5D03
3. 未动态验证
4. 示例账号、编号、金额与日期是本条测试数据；执行前按前置条件准备，未填写的产品决策不得自行假定。</x:v>
      </x:c>
    </x:row>
    <x:row r="308" ht="145" customHeight="1">
      <x:c r="A308" s="10" t="n">
        <x:v>307</x:v>
      </x:c>
      <x:c r="B308" s="10" t="str">
        <x:v>USER-0307</x:v>
      </x:c>
      <x:c r="C308" s="10" t="str">
        <x:v>主播管理</x:v>
      </x:c>
      <x:c r="D308" s="10" t="str">
        <x:v>开播设置（主播）</x:v>
      </x:c>
      <x:c r="E308" s="10" t="str">
        <x:v>功能需求</x:v>
      </x:c>
      <x:c r="F308" s="10" t="str">
        <x:v>P1</x:v>
      </x:c>
      <x:c r="G308" s="9" t="str">
        <x:v>验证相机从未授权直接请求系统权限</x:v>
      </x:c>
      <x:c r="H308" s="9" t="str">
        <x:v>相机首次授权入口</x:v>
      </x:c>
      <x:c r="I308" s="9" t="str">
        <x:v>1. 主播为本条执行者
2. 主播甲账号可用、公会有效、已认证且最终开播权限开启；普通房可用；存在启用分类甲
3. 相机系统权限状态为从未申请，另一权限已授权</x:v>
      </x:c>
      <x:c r="J308" s="9" t="str">
        <x:v>1. 打开开播设置
2. 输入主题“测试直播”
3. 选择分类甲
4. 选择普通房
5. 点击开始直播</x:v>
      </x:c>
      <x:c r="K308" s="9" t="str">
        <x:v>显示系统相机授权弹窗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 1199 行；REQ-9c8b33e8ea5e、第 1206 行；REQ-2afca99fcc33、第 1186 行
2. 规则：BR-E5A944A5706104
3. 未动态验证
4. 示例账号、编号、金额与日期是本条测试数据；执行前按前置条件准备，未填写的产品决策不得自行假定。</x:v>
      </x:c>
    </x:row>
    <x:row r="309" ht="130" customHeight="1">
      <x:c r="A309" s="10" t="n">
        <x:v>308</x:v>
      </x:c>
      <x:c r="B309" s="10" t="str">
        <x:v>USER-0308</x:v>
      </x:c>
      <x:c r="C309" s="10" t="str">
        <x:v>主播管理</x:v>
      </x:c>
      <x:c r="D309" s="10" t="str">
        <x:v>开播设置（主播）</x:v>
      </x:c>
      <x:c r="E309" s="10" t="str">
        <x:v>异常用例</x:v>
      </x:c>
      <x:c r="F309" s="10" t="str">
        <x:v>P2</x:v>
      </x:c>
      <x:c r="G309" s="9" t="str">
        <x:v>验证相机授权被拒绝</x:v>
      </x:c>
      <x:c r="H309" s="9" t="str">
        <x:v>相机拒绝后的引导</x:v>
      </x:c>
      <x:c r="I309" s="9" t="str">
        <x:v>1. 主播为本条执行者
2. 主播甲账号可用、公会有效、已认证且最终开播权限开启；普通房可用；存在启用分类甲
3. 相机尚未授权，另一权限已授权</x:v>
      </x:c>
      <x:c r="J309" s="9" t="str">
        <x:v>1. 打开开播设置
2. 输入主题“测试直播”
3. 选择分类甲
4. 选择普通房
5. 点击开始直播
6. 拒绝相机系统授权</x:v>
      </x:c>
      <x:c r="K309" s="9" t="str">
        <x:v>提示“权限未开启，请前往系统设置”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 1207 行；REQ-e9225b315300、第 1186 行
2. 规则：BR-3AEC7F43611015
3. 未动态验证
4. 示例账号、编号、金额与日期是本条测试数据；执行前按前置条件准备，未填写的产品决策不得自行假定。</x:v>
      </x:c>
    </x:row>
    <x:row r="310" ht="145" customHeight="1">
      <x:c r="A310" s="10" t="n">
        <x:v>309</x:v>
      </x:c>
      <x:c r="B310" s="10" t="str">
        <x:v>USER-0309</x:v>
      </x:c>
      <x:c r="C310" s="10" t="str">
        <x:v>主播管理</x:v>
      </x:c>
      <x:c r="D310" s="10" t="str">
        <x:v>开播设置（主播）</x:v>
      </x:c>
      <x:c r="E310" s="10" t="str">
        <x:v>功能需求</x:v>
      </x:c>
      <x:c r="F310" s="10" t="str">
        <x:v>P1</x:v>
      </x:c>
      <x:c r="G310" s="9" t="str">
        <x:v>验证麦克风从未授权直接请求系统权限</x:v>
      </x:c>
      <x:c r="H310" s="9" t="str">
        <x:v>麦克风首次授权入口</x:v>
      </x:c>
      <x:c r="I310" s="9" t="str">
        <x:v>1. 主播为本条执行者
2. 主播甲账号可用、公会有效、已认证且最终开播权限开启；普通房可用；存在启用分类甲
3. 麦克风系统权限状态为从未申请，另一权限已授权</x:v>
      </x:c>
      <x:c r="J310" s="9" t="str">
        <x:v>1. 打开开播设置
2. 输入主题“测试直播”
3. 选择分类甲
4. 选择普通房
5. 点击开始直播</x:v>
      </x:c>
      <x:c r="K310" s="9" t="str">
        <x:v>显示系统麦克风授权弹窗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 1199 行；REQ-9c8b33e8ea5e、第 1206 行；REQ-2afca99fcc33、第 1186 行
2. 规则：BR-3C78945CDE8B48
3. 未动态验证
4. 示例账号、编号、金额与日期是本条测试数据；执行前按前置条件准备，未填写的产品决策不得自行假定。</x:v>
      </x:c>
    </x:row>
    <x:row r="311" ht="130" customHeight="1">
      <x:c r="A311" s="10" t="n">
        <x:v>310</x:v>
      </x:c>
      <x:c r="B311" s="10" t="str">
        <x:v>USER-0310</x:v>
      </x:c>
      <x:c r="C311" s="10" t="str">
        <x:v>主播管理</x:v>
      </x:c>
      <x:c r="D311" s="10" t="str">
        <x:v>开播设置（主播）</x:v>
      </x:c>
      <x:c r="E311" s="10" t="str">
        <x:v>异常用例</x:v>
      </x:c>
      <x:c r="F311" s="10" t="str">
        <x:v>P2</x:v>
      </x:c>
      <x:c r="G311" s="9" t="str">
        <x:v>验证麦克风授权被拒绝</x:v>
      </x:c>
      <x:c r="H311" s="9" t="str">
        <x:v>麦克风拒绝后的引导</x:v>
      </x:c>
      <x:c r="I311" s="9" t="str">
        <x:v>1. 主播为本条执行者
2. 主播甲账号可用、公会有效、已认证且最终开播权限开启；普通房可用；存在启用分类甲
3. 麦克风尚未授权，另一权限已授权</x:v>
      </x:c>
      <x:c r="J311" s="9" t="str">
        <x:v>1. 打开开播设置
2. 输入主题“测试直播”
3. 选择分类甲
4. 选择普通房
5. 点击开始直播
6. 拒绝麦克风系统授权</x:v>
      </x:c>
      <x:c r="K311" s="9" t="str">
        <x:v>提示“权限未开启，请前往系统设置”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 1207 行；REQ-e9225b315300、第 1186 行
2. 规则：BR-DE1540BDEB97BD
3. 未动态验证
4. 示例账号、编号、金额与日期是本条测试数据；执行前按前置条件准备，未填写的产品决策不得自行假定。</x:v>
      </x:c>
    </x:row>
    <x:row r="312" ht="130" customHeight="1">
      <x:c r="A312" s="10" t="n">
        <x:v>311</x:v>
      </x:c>
      <x:c r="B312" s="10" t="str">
        <x:v>USER-0311</x:v>
      </x:c>
      <x:c r="C312" s="10" t="str">
        <x:v>主播管理</x:v>
      </x:c>
      <x:c r="D312" s="10" t="str">
        <x:v>开播设置（主播）</x:v>
      </x:c>
      <x:c r="E312" s="10" t="str">
        <x:v>功能需求</x:v>
      </x:c>
      <x:c r="F312" s="10" t="str">
        <x:v>P2</x:v>
      </x:c>
      <x:c r="G312" s="9" t="str">
        <x:v>验证取消系统照片选择保留原封面</x:v>
      </x:c>
      <x:c r="H312" s="9" t="str">
        <x:v>封面选择取消</x:v>
      </x:c>
      <x:c r="I312" s="9" t="str">
        <x:v>1. 主播为本条执行者
2. 主播甲账号可用、公会有效、已认证且最终开播权限开启；普通房可用；存在启用分类甲
3. 原封面为图片甲</x:v>
      </x:c>
      <x:c r="J312" s="9" t="str">
        <x:v>1. 打开开播设置
2. 点击修改封面
3. 取消系统照片选择</x:v>
      </x:c>
      <x:c r="K312" s="9" t="str">
        <x:v>直播封面仍为图片甲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 1208 行；REQ-63eef3ba7a60、第 1186 行
2. 规则：BR-33DF8A9373D1E3
3. 未动态验证
4. 示例账号、编号、金额与日期是本条测试数据；执行前按前置条件准备，未填写的产品决策不得自行假定。</x:v>
      </x:c>
    </x:row>
    <x:row r="313" ht="130" customHeight="1">
      <x:c r="A313" s="10" t="n">
        <x:v>312</x:v>
      </x:c>
      <x:c r="B313" s="10" t="str">
        <x:v>USER-0312</x:v>
      </x:c>
      <x:c r="C313" s="10" t="str">
        <x:v>主播管理</x:v>
      </x:c>
      <x:c r="D313" s="10" t="str">
        <x:v>开播设置（主播）</x:v>
      </x:c>
      <x:c r="E313" s="10" t="str">
        <x:v>功能需求</x:v>
      </x:c>
      <x:c r="F313" s="10" t="str">
        <x:v>P2</x:v>
      </x:c>
      <x:c r="G313" s="9" t="str">
        <x:v>验证直播开播倒计时为三秒</x:v>
      </x:c>
      <x:c r="H313" s="9" t="str">
        <x:v>开播倒计时</x:v>
      </x:c>
      <x:c r="I313" s="9" t="str">
        <x:v>1. 主播为本条执行者
2. 主播甲账号可用、公会有效、已认证且最终开播权限开启；普通房可用；存在启用分类甲
3. 相机和麦克风均已授权</x:v>
      </x:c>
      <x:c r="J313" s="9" t="str">
        <x:v>1. 打开开播设置
2. 输入主题“测试直播”
3. 选择分类甲
4. 选择普通房
5. 点击开始直播</x:v>
      </x:c>
      <x:c r="K313" s="9" t="str">
        <x:v>显示 3 秒开播倒计时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 1206 行；REQ-2afca99fcc33、第 1186 行
2. 规则：BR-09B45FDEE69ED4
3. 未动态验证
4. 示例账号、编号、金额与日期是本条测试数据；执行前按前置条件准备，未填写的产品决策不得自行假定。</x:v>
      </x:c>
    </x:row>
    <x:row r="314" ht="190" customHeight="1">
      <x:c r="A314" s="10" t="n">
        <x:v>313</x:v>
      </x:c>
      <x:c r="B314" s="10" t="str">
        <x:v>USER-0313</x:v>
      </x:c>
      <x:c r="C314" s="10" t="str">
        <x:v>主播管理</x:v>
      </x:c>
      <x:c r="D314" s="10" t="str">
        <x:v>房型（密码房）（主播）</x:v>
      </x:c>
      <x:c r="E314" s="10" t="str">
        <x:v>功能需求</x:v>
      </x:c>
      <x:c r="F314" s="10" t="str">
        <x:v>P2</x:v>
      </x:c>
      <x:c r="G314" s="9" t="str">
        <x:v>验证房间密码输入空值</x:v>
      </x:c>
      <x:c r="H314" s="9" t="str">
        <x:v>房间密码格式</x:v>
      </x:c>
      <x:c r="I314" s="9" t="str">
        <x:v>1. 主播为本条执行者
2. 主播甲可开播，当前房型选择为密码房</x:v>
      </x:c>
      <x:c r="J314" s="9" t="str">
        <x:v>1. 打开密码房设置
2. 输入房间密码“”
3. 点击确认</x:v>
      </x:c>
      <x:c r="K314" s="9" t="str">
        <x:v>提示“密码必须是4-12个数字”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 2003 行；REQ-1722b0f28c3d、第 2006 行；REQ-fdaf1d80f713、第 2007 行；REQ-5c1e9ea40f09、第 2008 行；REQ-50d6f565540b、第 2009 行；REQ-8a88b16f144e、第 2011 行；REQ-1edf72f6bdd0、第 2001 行
2. 规则：BR-985E2BAFF60312
3. 未动态验证
4. 示例账号、编号、金额与日期是本条测试数据；执行前按前置条件准备，未填写的产品决策不得自行假定。</x:v>
      </x:c>
    </x:row>
    <x:row r="315" ht="190" customHeight="1">
      <x:c r="A315" s="10" t="n">
        <x:v>314</x:v>
      </x:c>
      <x:c r="B315" s="10" t="str">
        <x:v>USER-0314</x:v>
      </x:c>
      <x:c r="C315" s="10" t="str">
        <x:v>主播管理</x:v>
      </x:c>
      <x:c r="D315" s="10" t="str">
        <x:v>房型（密码房）（主播）</x:v>
      </x:c>
      <x:c r="E315" s="10" t="str">
        <x:v>功能需求</x:v>
      </x:c>
      <x:c r="F315" s="10" t="str">
        <x:v>P2</x:v>
      </x:c>
      <x:c r="G315" s="9" t="str">
        <x:v>验证房间密码输入123</x:v>
      </x:c>
      <x:c r="H315" s="9" t="str">
        <x:v>房间密码格式</x:v>
      </x:c>
      <x:c r="I315" s="9" t="str">
        <x:v>1. 主播为本条执行者
2. 主播甲可开播，当前房型选择为密码房</x:v>
      </x:c>
      <x:c r="J315" s="9" t="str">
        <x:v>1. 打开密码房设置
2. 输入房间密码“123”
3. 点击确认</x:v>
      </x:c>
      <x:c r="K315" s="9" t="str">
        <x:v>提示“密码必须是4-12个数字”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 2003 行；REQ-1722b0f28c3d、第 2006 行；REQ-fdaf1d80f713、第 2007 行；REQ-5c1e9ea40f09、第 2008 行；REQ-50d6f565540b、第 2009 行；REQ-8a88b16f144e、第 2011 行；REQ-1edf72f6bdd0、第 2001 行
2. 规则：BR-7C07F8260CA71A
3. 未动态验证
4. 示例账号、编号、金额与日期是本条测试数据；执行前按前置条件准备，未填写的产品决策不得自行假定。</x:v>
      </x:c>
    </x:row>
    <x:row r="316" ht="190" customHeight="1">
      <x:c r="A316" s="10" t="n">
        <x:v>315</x:v>
      </x:c>
      <x:c r="B316" s="10" t="str">
        <x:v>USER-0315</x:v>
      </x:c>
      <x:c r="C316" s="10" t="str">
        <x:v>主播管理</x:v>
      </x:c>
      <x:c r="D316" s="10" t="str">
        <x:v>房型（密码房）（主播）</x:v>
      </x:c>
      <x:c r="E316" s="10" t="str">
        <x:v>功能需求</x:v>
      </x:c>
      <x:c r="F316" s="10" t="str">
        <x:v>P2</x:v>
      </x:c>
      <x:c r="G316" s="9" t="str">
        <x:v>验证房间密码输入1234</x:v>
      </x:c>
      <x:c r="H316" s="9" t="str">
        <x:v>房间密码格式</x:v>
      </x:c>
      <x:c r="I316" s="9" t="str">
        <x:v>1. 主播为本条执行者
2. 主播甲可开播，当前房型选择为密码房</x:v>
      </x:c>
      <x:c r="J316" s="9" t="str">
        <x:v>1. 打开密码房设置
2. 输入房间密码“1234”
3. 点击确认</x:v>
      </x:c>
      <x:c r="K316" s="9" t="str">
        <x:v>房间密码保存为 1234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 2003 行；REQ-1722b0f28c3d、第 2006 行；REQ-fdaf1d80f713、第 2007 行；REQ-5c1e9ea40f09、第 2008 行；REQ-50d6f565540b、第 2009 行；REQ-8a88b16f144e、第 2011 行；REQ-1edf72f6bdd0、第 2001 行
2. 规则：BR-730AFB3231873E
3. 未动态验证
4. 示例账号、编号、金额与日期是本条测试数据；执行前按前置条件准备，未填写的产品决策不得自行假定。</x:v>
      </x:c>
    </x:row>
    <x:row r="317" ht="190" customHeight="1">
      <x:c r="A317" s="10" t="n">
        <x:v>316</x:v>
      </x:c>
      <x:c r="B317" s="10" t="str">
        <x:v>USER-0316</x:v>
      </x:c>
      <x:c r="C317" s="10" t="str">
        <x:v>主播管理</x:v>
      </x:c>
      <x:c r="D317" s="10" t="str">
        <x:v>房型（密码房）（主播）</x:v>
      </x:c>
      <x:c r="E317" s="10" t="str">
        <x:v>功能需求</x:v>
      </x:c>
      <x:c r="F317" s="10" t="str">
        <x:v>P2</x:v>
      </x:c>
      <x:c r="G317" s="9" t="str">
        <x:v>验证房间密码输入123456789012</x:v>
      </x:c>
      <x:c r="H317" s="9" t="str">
        <x:v>房间密码格式</x:v>
      </x:c>
      <x:c r="I317" s="9" t="str">
        <x:v>1. 主播为本条执行者
2. 主播甲可开播，当前房型选择为密码房</x:v>
      </x:c>
      <x:c r="J317" s="9" t="str">
        <x:v>1. 打开密码房设置
2. 输入房间密码“123456789012”
3. 点击确认</x:v>
      </x:c>
      <x:c r="K317" s="9" t="str">
        <x:v>房间密码保存为 123456789012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 2003 行；REQ-1722b0f28c3d、第 2006 行；REQ-fdaf1d80f713、第 2007 行；REQ-5c1e9ea40f09、第 2008 行；REQ-50d6f565540b、第 2009 行；REQ-8a88b16f144e、第 2011 行；REQ-1edf72f6bdd0、第 2001 行
2. 规则：BR-F35939D8AEE240
3. 未动态验证
4. 示例账号、编号、金额与日期是本条测试数据；执行前按前置条件准备，未填写的产品决策不得自行假定。</x:v>
      </x:c>
    </x:row>
    <x:row r="318" ht="190" customHeight="1">
      <x:c r="A318" s="10" t="n">
        <x:v>317</x:v>
      </x:c>
      <x:c r="B318" s="10" t="str">
        <x:v>USER-0317</x:v>
      </x:c>
      <x:c r="C318" s="10" t="str">
        <x:v>主播管理</x:v>
      </x:c>
      <x:c r="D318" s="10" t="str">
        <x:v>房型（密码房）（主播）</x:v>
      </x:c>
      <x:c r="E318" s="10" t="str">
        <x:v>功能需求</x:v>
      </x:c>
      <x:c r="F318" s="10" t="str">
        <x:v>P2</x:v>
      </x:c>
      <x:c r="G318" s="9" t="str">
        <x:v>验证房间密码输入1234567890123</x:v>
      </x:c>
      <x:c r="H318" s="9" t="str">
        <x:v>房间密码格式</x:v>
      </x:c>
      <x:c r="I318" s="9" t="str">
        <x:v>1. 主播为本条执行者
2. 主播甲可开播，当前房型选择为密码房</x:v>
      </x:c>
      <x:c r="J318" s="9" t="str">
        <x:v>1. 打开密码房设置
2. 输入房间密码“1234567890123”
3. 点击确认</x:v>
      </x:c>
      <x:c r="K318" s="9" t="str">
        <x:v>提示“密码必须是4-12个数字”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来源（当前证据）：liveshow-proto/MainBasis/统一需求文档.md；位置：第 2003 行；REQ-1722b0f28c3d、第 2006 行；REQ-fdaf1d80f713、第 2007 行；REQ-5c1e9ea40f09、第 2008 行；REQ-50d6f565540b、第 2009 行；REQ-8a88b16f144e、第 2011 行；REQ-1edf72f6bdd0、第 2001 行
2. 规则：BR-EF0AAC9AD1F20B
3. 未动态验证
4. 示例账号、编号、金额与日期是本条测试数据；执行前按前置条件准备，未填写的产品决策不得自行假定。</x:v>
      </x:c>
    </x:row>
    <x:row r="319" ht="190" customHeight="1">
      <x:c r="A319" s="10" t="n">
        <x:v>318</x:v>
      </x:c>
      <x:c r="B319" s="10" t="str">
        <x:v>USER-0318</x:v>
      </x:c>
      <x:c r="C319" s="10" t="str">
        <x:v>主播管理</x:v>
      </x:c>
      <x:c r="D319" s="10" t="str">
        <x:v>房型（密码房）（主播）</x:v>
      </x:c>
      <x:c r="E319" s="10" t="str">
        <x:v>功能需求</x:v>
      </x:c>
      <x:c r="F319" s="10" t="str">
        <x:v>P2</x:v>
      </x:c>
      <x:c r="G319" s="9" t="str">
        <x:v>验证房间密码输入12ab</x:v>
      </x:c>
      <x:c r="H319" s="9" t="str">
        <x:v>房间密码格式</x:v>
      </x:c>
      <x:c r="I319" s="9" t="str">
        <x:v>1. 主播为本条执行者
2. 主播甲可开播，当前房型选择为密码房</x:v>
      </x:c>
      <x:c r="J319" s="9" t="str">
        <x:v>1. 打开密码房设置
2. 输入房间密码“12ab”
3. 点击确认</x:v>
      </x:c>
      <x:c r="K319" s="9" t="str">
        <x:v>提示“密码必须是4-12个数字”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 2003 行；REQ-1722b0f28c3d、第 2006 行；REQ-fdaf1d80f713、第 2007 行；REQ-5c1e9ea40f09、第 2008 行；REQ-50d6f565540b、第 2009 行；REQ-8a88b16f144e、第 2011 行；REQ-1edf72f6bdd0、第 2001 行
2. 规则：BR-0530DDF4BFCD0C
3. 未动态验证
4. 示例账号、编号、金额与日期是本条测试数据；执行前按前置条件准备，未填写的产品决策不得自行假定。</x:v>
      </x:c>
    </x:row>
    <x:row r="320" ht="175" customHeight="1">
      <x:c r="A320" s="10" t="n">
        <x:v>319</x:v>
      </x:c>
      <x:c r="B320" s="10" t="str">
        <x:v>USER-0319</x:v>
      </x:c>
      <x:c r="C320" s="10" t="str">
        <x:v>主播管理</x:v>
      </x:c>
      <x:c r="D320" s="10" t="str">
        <x:v>房型（密码房）（主播）</x:v>
      </x:c>
      <x:c r="E320" s="10" t="str">
        <x:v>功能需求</x:v>
      </x:c>
      <x:c r="F320" s="10" t="str">
        <x:v>P2</x:v>
      </x:c>
      <x:c r="G320" s="9" t="str">
        <x:v>验证首次设置密码房的在广场展示</x:v>
      </x:c>
      <x:c r="H320" s="9" t="str">
        <x:v>在广场展示默认值</x:v>
      </x:c>
      <x:c r="I320" s="9" t="str">
        <x:v>1. 主播为本条执行者
2. 主播甲可开播，当前房型选择为密码房
3. 主播甲从未确认过密码房开关配置</x:v>
      </x:c>
      <x:c r="J320" s="9" t="str">
        <x:v>1. 打开密码房设置
2. 查看在广场展示</x:v>
      </x:c>
      <x:c r="K320" s="9" t="str">
        <x:v>在广场展示显示开启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 2004 行；REQ-c543f6e52b46、第 2005 行；REQ-e84116c2b0a5、第 2010 行；REQ-1a2e6b2db8a7、第 2012 行；REQ-b7597dce37d8、第 2001 行
2. 规则：BR-56DCBF59ACB7DC
3. 未动态验证
4. 示例账号、编号、金额与日期是本条测试数据；执行前按前置条件准备，未填写的产品决策不得自行假定。</x:v>
      </x:c>
    </x:row>
    <x:row r="321" ht="175" customHeight="1">
      <x:c r="A321" s="10" t="n">
        <x:v>320</x:v>
      </x:c>
      <x:c r="B321" s="10" t="str">
        <x:v>USER-0320</x:v>
      </x:c>
      <x:c r="C321" s="10" t="str">
        <x:v>主播管理</x:v>
      </x:c>
      <x:c r="D321" s="10" t="str">
        <x:v>房型（密码房）（主播）</x:v>
      </x:c>
      <x:c r="E321" s="10" t="str">
        <x:v>功能需求</x:v>
      </x:c>
      <x:c r="F321" s="10" t="str">
        <x:v>P2</x:v>
      </x:c>
      <x:c r="G321" s="9" t="str">
        <x:v>验证首次设置密码房的仅粉丝团成员可进入直播间</x:v>
      </x:c>
      <x:c r="H321" s="9" t="str">
        <x:v>仅粉丝团成员可进入直播间默认值</x:v>
      </x:c>
      <x:c r="I321" s="9" t="str">
        <x:v>1. 主播为本条执行者
2. 主播甲可开播，当前房型选择为密码房
3. 主播甲从未确认过密码房开关配置</x:v>
      </x:c>
      <x:c r="J321" s="9" t="str">
        <x:v>1. 打开密码房设置
2. 查看仅粉丝团成员可进入直播间</x:v>
      </x:c>
      <x:c r="K321" s="9" t="str">
        <x:v>仅粉丝团成员可进入直播间显示关闭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 2004 行；REQ-c543f6e52b46、第 2005 行；REQ-e84116c2b0a5、第 2010 行；REQ-1a2e6b2db8a7、第 2012 行；REQ-b7597dce37d8、第 2001 行
2. 规则：BR-B52BE69806EF0E
3. 未动态验证
4. 示例账号、编号、金额与日期是本条测试数据；执行前按前置条件准备，未填写的产品决策不得自行假定。</x:v>
      </x:c>
    </x:row>
    <x:row r="322" ht="175" customHeight="1">
      <x:c r="A322" s="10" t="n">
        <x:v>321</x:v>
      </x:c>
      <x:c r="B322" s="10" t="str">
        <x:v>USER-0321</x:v>
      </x:c>
      <x:c r="C322" s="10" t="str">
        <x:v>主播管理</x:v>
      </x:c>
      <x:c r="D322" s="10" t="str">
        <x:v>房型（密码房）（主播）</x:v>
      </x:c>
      <x:c r="E322" s="10" t="str">
        <x:v>功能需求</x:v>
      </x:c>
      <x:c r="F322" s="10" t="str">
        <x:v>P2</x:v>
      </x:c>
      <x:c r="G322" s="9" t="str">
        <x:v>验证取消密码房访问开关修改</x:v>
      </x:c>
      <x:c r="H322" s="9" t="str">
        <x:v>访问设置保存时机</x:v>
      </x:c>
      <x:c r="I322" s="9" t="str">
        <x:v>1. 主播为本条执行者
2. 主播甲可开播，当前房型选择为密码房
3. 上次确认的在广场展示为开启；主播已创建粉丝团</x:v>
      </x:c>
      <x:c r="J322" s="9" t="str">
        <x:v>1. 打开密码房设置
2. 输入密码 1234
3. 关闭在广场展示
4. 关闭设置抽屉
5. 重新打开密码房设置</x:v>
      </x:c>
      <x:c r="K322" s="9" t="str">
        <x:v>在广场展示显示开启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 2004 行；REQ-c543f6e52b46、第 2005 行；REQ-e84116c2b0a5、第 2010 行；REQ-1a2e6b2db8a7、第 2011 行；REQ-1edf72f6bdd0、第 2012 行；REQ-b7597dce37d8、第 2001 行
2. 规则：BR-F1848D40E5D002
3. 未动态验证
4. 示例账号、编号、金额与日期是本条测试数据；执行前按前置条件准备，未填写的产品决策不得自行假定。</x:v>
      </x:c>
    </x:row>
    <x:row r="323" ht="175" customHeight="1">
      <x:c r="A323" s="10" t="n">
        <x:v>322</x:v>
      </x:c>
      <x:c r="B323" s="10" t="str">
        <x:v>USER-0322</x:v>
      </x:c>
      <x:c r="C323" s="10" t="str">
        <x:v>主播管理</x:v>
      </x:c>
      <x:c r="D323" s="10" t="str">
        <x:v>房型（密码房）（主播）</x:v>
      </x:c>
      <x:c r="E323" s="10" t="str">
        <x:v>功能需求</x:v>
      </x:c>
      <x:c r="F323" s="10" t="str">
        <x:v>P2</x:v>
      </x:c>
      <x:c r="G323" s="9" t="str">
        <x:v>验证确认密码房访问开关修改</x:v>
      </x:c>
      <x:c r="H323" s="9" t="str">
        <x:v>访问设置保存时机</x:v>
      </x:c>
      <x:c r="I323" s="9" t="str">
        <x:v>1. 主播为本条执行者
2. 主播甲可开播，当前房型选择为密码房
3. 上次确认的在广场展示为开启；主播已创建粉丝团</x:v>
      </x:c>
      <x:c r="J323" s="9" t="str">
        <x:v>1. 打开密码房设置
2. 输入密码 1234
3. 关闭在广场展示
4. 点击确认
5. 重新打开密码房设置</x:v>
      </x:c>
      <x:c r="K323" s="9" t="str">
        <x:v>在广场展示显示关闭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 2004 行；REQ-c543f6e52b46、第 2005 行；REQ-e84116c2b0a5、第 2010 行；REQ-1a2e6b2db8a7、第 2011 行；REQ-1edf72f6bdd0、第 2012 行；REQ-b7597dce37d8、第 2001 行
2. 规则：BR-29A7D9442E9E47
3. 未动态验证
4. 示例账号、编号、金额与日期是本条测试数据；执行前按前置条件准备，未填写的产品决策不得自行假定。</x:v>
      </x:c>
    </x:row>
    <x:row r="324" ht="190" customHeight="1">
      <x:c r="A324" s="10" t="n">
        <x:v>323</x:v>
      </x:c>
      <x:c r="B324" s="10" t="str">
        <x:v>USER-0323</x:v>
      </x:c>
      <x:c r="C324" s="10" t="str">
        <x:v>主播管理</x:v>
      </x:c>
      <x:c r="D324" s="10" t="str">
        <x:v>房型（密码房）（主播）</x:v>
      </x:c>
      <x:c r="E324" s="10" t="str">
        <x:v>功能需求</x:v>
      </x:c>
      <x:c r="F324" s="10" t="str">
        <x:v>P2</x:v>
      </x:c>
      <x:c r="G324" s="9" t="str">
        <x:v>验证没有粉丝团不能打开成员准入限制</x:v>
      </x:c>
      <x:c r="H324" s="9" t="str">
        <x:v>成员准入功能前提</x:v>
      </x:c>
      <x:c r="I324" s="9" t="str">
        <x:v>1. 主播为本条执行者
2. 主播甲可开播，当前房型选择为密码房
3. 主播甲未创建粉丝团</x:v>
      </x:c>
      <x:c r="J324" s="9" t="str">
        <x:v>1. 打开密码房设置
2. 点击仅粉丝团成员可进入直播间</x:v>
      </x:c>
      <x:c r="K324" s="9" t="str">
        <x:v>成员准入开关保持关闭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 2004 行；REQ-c543f6e52b46、第 2005 行；REQ-e84116c2b0a5、第 2008 行；REQ-50d6f565540b、第 2010 行；REQ-1a2e6b2db8a7、第 1202 行；REQ-ac3ba01de389、第 1887 行；REQ-d1ec9589dc51、第 2001 行
2. 规则：BR-1BE2EFCC2B5D1F
3. 未动态验证
4. 示例账号、编号、金额与日期是本条测试数据；执行前按前置条件准备，未填写的产品决策不得自行假定。</x:v>
      </x:c>
    </x:row>
    <x:row r="325" ht="160" customHeight="1">
      <x:c r="A325" s="10" t="n">
        <x:v>324</x:v>
      </x:c>
      <x:c r="B325" s="10" t="str">
        <x:v>USER-0324</x:v>
      </x:c>
      <x:c r="C325" s="10" t="str">
        <x:v>主播管理</x:v>
      </x:c>
      <x:c r="D325" s="10" t="str">
        <x:v>房型（门票房）（主播）</x:v>
      </x:c>
      <x:c r="E325" s="10" t="str">
        <x:v>功能需求</x:v>
      </x:c>
      <x:c r="F325" s="10" t="str">
        <x:v>P2</x:v>
      </x:c>
      <x:c r="G325" s="9" t="str">
        <x:v>验证门票房只选择启用档位</x:v>
      </x:c>
      <x:c r="H325" s="9" t="str">
        <x:v>门票价格可选范围</x:v>
      </x:c>
      <x:c r="I325" s="9" t="str">
        <x:v>1. 主播为本条执行者
2. 主播甲可开播，后台门票价格 100 和 200 启用、300 停用</x:v>
      </x:c>
      <x:c r="J325" s="9" t="str">
        <x:v>1. 打开门票房设置
2. 查看门票价格选项</x:v>
      </x:c>
      <x:c r="K325" s="9" t="str">
        <x:v>可选门票价格仅为 100 和 200 金币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 1994 行；REQ-4ec3abe6a8f5、第 1996 行；REQ-ca2877e2e19c、第 1998 行；REQ-11d5dc6af0d0、第 1992 行
2. 规则：BR-EA3984D8A7553D
3. 未动态验证
4. 示例账号、编号、金额与日期是本条测试数据；执行前按前置条件准备，未填写的产品决策不得自行假定。</x:v>
      </x:c>
    </x:row>
    <x:row r="326" ht="160" customHeight="1">
      <x:c r="A326" s="10" t="n">
        <x:v>325</x:v>
      </x:c>
      <x:c r="B326" s="10" t="str">
        <x:v>USER-0325</x:v>
      </x:c>
      <x:c r="C326" s="10" t="str">
        <x:v>主播管理</x:v>
      </x:c>
      <x:c r="D326" s="10" t="str">
        <x:v>房型（门票房）（主播）</x:v>
      </x:c>
      <x:c r="E326" s="10" t="str">
        <x:v>功能需求</x:v>
      </x:c>
      <x:c r="F326" s="10" t="str">
        <x:v>P2</x:v>
      </x:c>
      <x:c r="G326" s="9" t="str">
        <x:v>验证门票价格档位只能单选</x:v>
      </x:c>
      <x:c r="H326" s="9" t="str">
        <x:v>门票价格单选</x:v>
      </x:c>
      <x:c r="I326" s="9" t="str">
        <x:v>1. 主播为本条执行者
2. 主播甲可开播，后台门票价格 100 和 200 启用、300 停用</x:v>
      </x:c>
      <x:c r="J326" s="9" t="str">
        <x:v>1. 打开门票房设置
2. 选择 100 金币
3. 选择 200 金币</x:v>
      </x:c>
      <x:c r="K326" s="9" t="str">
        <x:v>仅 200 金币档位处于选中状态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来源（当前证据）：liveshow-proto/MainBasis/统一需求文档.md；位置：第 1994 行；REQ-4ec3abe6a8f5、第 1996 行；REQ-ca2877e2e19c、第 1998 行；REQ-11d5dc6af0d0、第 1992 行
2. 规则：BR-5EEC48426FE259
3. 未动态验证
4. 示例账号、编号、金额与日期是本条测试数据；执行前按前置条件准备，未填写的产品决策不得自行假定。</x:v>
      </x:c>
    </x:row>
    <x:row r="327" ht="145" customHeight="1">
      <x:c r="A327" s="10" t="n">
        <x:v>326</x:v>
      </x:c>
      <x:c r="B327" s="10" t="str">
        <x:v>USER-0326</x:v>
      </x:c>
      <x:c r="C327" s="10" t="str">
        <x:v>主播管理</x:v>
      </x:c>
      <x:c r="D327" s="10" t="str">
        <x:v>房型（门票房）（主播）</x:v>
      </x:c>
      <x:c r="E327" s="10" t="str">
        <x:v>功能需求</x:v>
      </x:c>
      <x:c r="F327" s="10" t="str">
        <x:v>P2</x:v>
      </x:c>
      <x:c r="G327" s="9" t="str">
        <x:v>验证未选择门票价格不能保存</x:v>
      </x:c>
      <x:c r="H327" s="9" t="str">
        <x:v>门票价格必选</x:v>
      </x:c>
      <x:c r="I327" s="9" t="str">
        <x:v>1. 主播为本条执行者
2. 主播甲可开播，后台门票价格 100 和 200 启用、300 停用</x:v>
      </x:c>
      <x:c r="J327" s="9" t="str">
        <x:v>1. 打开门票房设置
2. 不选择价格
3. 点击确认</x:v>
      </x:c>
      <x:c r="K327" s="9" t="str">
        <x:v>提示“请选择有效的门票价格”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 1995 行；REQ-65340745223f、第 1998 行；REQ-11d5dc6af0d0、第 1992 行
2. 规则：BR-9F99776848C77B
3. 未动态验证
4. 示例账号、编号、金额与日期是本条测试数据；执行前按前置条件准备，未填写的产品决策不得自行假定。</x:v>
      </x:c>
    </x:row>
    <x:row r="328" ht="130" customHeight="1">
      <x:c r="A328" s="10" t="n">
        <x:v>327</x:v>
      </x:c>
      <x:c r="B328" s="10" t="str">
        <x:v>USER-0327</x:v>
      </x:c>
      <x:c r="C328" s="10" t="str">
        <x:v>主播管理</x:v>
      </x:c>
      <x:c r="D328" s="10" t="str">
        <x:v>房型（门票房）（主播）</x:v>
      </x:c>
      <x:c r="E328" s="10" t="str">
        <x:v>功能需求</x:v>
      </x:c>
      <x:c r="F328" s="10" t="str">
        <x:v>P2</x:v>
      </x:c>
      <x:c r="G328" s="9" t="str">
        <x:v>验证已选价格被停用后不能保存</x:v>
      </x:c>
      <x:c r="H328" s="9" t="str">
        <x:v>保存时重查价格状态</x:v>
      </x:c>
      <x:c r="I328" s="9" t="str">
        <x:v>1. 主播为本条执行者
2. 主播甲可开播，后台门票价格 100 和 200 启用、300 停用
3. 主播已选 100 金币，后台在确认前将该档位停用</x:v>
      </x:c>
      <x:c r="J328" s="9" t="str">
        <x:v>1. 打开门票房设置
2. 点击确认</x:v>
      </x:c>
      <x:c r="K328" s="9" t="str">
        <x:v>提示“请选择有效的门票价格”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 1998 行；REQ-11d5dc6af0d0、第 1992 行
2. 规则：BR-A9D95510073B3B
3. 未动态验证
4. 示例账号、编号、金额与日期是本条测试数据；执行前按前置条件准备，未填写的产品决策不得自行假定。</x:v>
      </x:c>
    </x:row>
    <x:row r="329" ht="175" customHeight="1">
      <x:c r="A329" s="10" t="n">
        <x:v>328</x:v>
      </x:c>
      <x:c r="B329" s="10" t="str">
        <x:v>USER-0328</x:v>
      </x:c>
      <x:c r="C329" s="10" t="str">
        <x:v>主播管理</x:v>
      </x:c>
      <x:c r="D329" s="10" t="str">
        <x:v>美颜设置（主播）</x:v>
      </x:c>
      <x:c r="E329" s="10" t="str">
        <x:v>功能需求</x:v>
      </x:c>
      <x:c r="F329" s="10" t="str">
        <x:v>P2</x:v>
      </x:c>
      <x:c r="G329" s="9" t="str">
        <x:v>验证美颜参数设置 0</x:v>
      </x:c>
      <x:c r="H329" s="9" t="str">
        <x:v>美颜强度范围</x:v>
      </x:c>
      <x:c r="I329" s="9" t="str">
        <x:v>1. 主播为本条执行者
2. 主播甲可开播</x:v>
      </x:c>
      <x:c r="J329" s="9" t="str">
        <x:v>1. 打开美颜设置
2. 选择一个可调参数
3. 拖动滑块至 0</x:v>
      </x:c>
      <x:c r="K329" s="9" t="str">
        <x:v>当前参数值显示 0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 2017 行；REQ-c6e804b0e922、第 2019 行；REQ-797aed10c781、第 2020 行；REQ-58a921917bfa、第 2021 行；REQ-947f26075775、第 2015 行
2. 规则：BR-1C10A27F386650
3. 未动态验证
4. 示例账号、编号、金额与日期是本条测试数据；执行前按前置条件准备，未填写的产品决策不得自行假定。</x:v>
      </x:c>
    </x:row>
    <x:row r="330" ht="175" customHeight="1">
      <x:c r="A330" s="10" t="n">
        <x:v>329</x:v>
      </x:c>
      <x:c r="B330" s="10" t="str">
        <x:v>USER-0329</x:v>
      </x:c>
      <x:c r="C330" s="10" t="str">
        <x:v>主播管理</x:v>
      </x:c>
      <x:c r="D330" s="10" t="str">
        <x:v>美颜设置（主播）</x:v>
      </x:c>
      <x:c r="E330" s="10" t="str">
        <x:v>功能需求</x:v>
      </x:c>
      <x:c r="F330" s="10" t="str">
        <x:v>P2</x:v>
      </x:c>
      <x:c r="G330" s="9" t="str">
        <x:v>验证美颜参数设置 50</x:v>
      </x:c>
      <x:c r="H330" s="9" t="str">
        <x:v>美颜强度范围</x:v>
      </x:c>
      <x:c r="I330" s="9" t="str">
        <x:v>1. 主播为本条执行者
2. 主播甲可开播</x:v>
      </x:c>
      <x:c r="J330" s="9" t="str">
        <x:v>1. 打开美颜设置
2. 选择一个可调参数
3. 拖动滑块至 50</x:v>
      </x:c>
      <x:c r="K330" s="9" t="str">
        <x:v>当前参数值显示 50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 2017 行；REQ-c6e804b0e922、第 2019 行；REQ-797aed10c781、第 2020 行；REQ-58a921917bfa、第 2021 行；REQ-947f26075775、第 2015 行
2. 规则：BR-BEE59C664DD10A
3. 未动态验证
4. 示例账号、编号、金额与日期是本条测试数据；执行前按前置条件准备，未填写的产品决策不得自行假定。</x:v>
      </x:c>
    </x:row>
    <x:row r="331" ht="175" customHeight="1">
      <x:c r="A331" s="10" t="n">
        <x:v>330</x:v>
      </x:c>
      <x:c r="B331" s="10" t="str">
        <x:v>USER-0330</x:v>
      </x:c>
      <x:c r="C331" s="10" t="str">
        <x:v>主播管理</x:v>
      </x:c>
      <x:c r="D331" s="10" t="str">
        <x:v>美颜设置（主播）</x:v>
      </x:c>
      <x:c r="E331" s="10" t="str">
        <x:v>功能需求</x:v>
      </x:c>
      <x:c r="F331" s="10" t="str">
        <x:v>P2</x:v>
      </x:c>
      <x:c r="G331" s="9" t="str">
        <x:v>验证美颜参数设置 100</x:v>
      </x:c>
      <x:c r="H331" s="9" t="str">
        <x:v>美颜强度范围</x:v>
      </x:c>
      <x:c r="I331" s="9" t="str">
        <x:v>1. 主播为本条执行者
2. 主播甲可开播</x:v>
      </x:c>
      <x:c r="J331" s="9" t="str">
        <x:v>1. 打开美颜设置
2. 选择一个可调参数
3. 拖动滑块至 100</x:v>
      </x:c>
      <x:c r="K331" s="9" t="str">
        <x:v>当前参数值显示 100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 2017 行；REQ-c6e804b0e922、第 2019 行；REQ-797aed10c781、第 2020 行；REQ-58a921917bfa、第 2021 行；REQ-947f26075775、第 2015 行
2. 规则：BR-AFACBBB6D2075D
3. 未动态验证
4. 示例账号、编号、金额与日期是本条测试数据；执行前按前置条件准备，未填写的产品决策不得自行假定。</x:v>
      </x:c>
    </x:row>
    <x:row r="332" ht="145" customHeight="1">
      <x:c r="A332" s="10" t="n">
        <x:v>331</x:v>
      </x:c>
      <x:c r="B332" s="10" t="str">
        <x:v>USER-0331</x:v>
      </x:c>
      <x:c r="C332" s="10" t="str">
        <x:v>主播管理</x:v>
      </x:c>
      <x:c r="D332" s="10" t="str">
        <x:v>美颜设置（主播）</x:v>
      </x:c>
      <x:c r="E332" s="10" t="str">
        <x:v>功能需求</x:v>
      </x:c>
      <x:c r="F332" s="10" t="str">
        <x:v>P2</x:v>
      </x:c>
      <x:c r="G332" s="9" t="str">
        <x:v>验证恢复默认重置全部美颜参数</x:v>
      </x:c>
      <x:c r="H332" s="9" t="str">
        <x:v>美颜参数恢复</x:v>
      </x:c>
      <x:c r="I332" s="9" t="str">
        <x:v>1. 主播为本条执行者
2. 主播甲可开播
3. 两个参数分别为 0 和 100，当前选中其中一个参数</x:v>
      </x:c>
      <x:c r="J332" s="9" t="str">
        <x:v>1. 打开美颜设置
2. 点击恢复默认</x:v>
      </x:c>
      <x:c r="K332" s="9" t="str">
        <x:v>所有参数均显示 50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 2019 行；REQ-797aed10c781、第 2021 行；REQ-947f26075775、第 2015 行
2. 规则：BR-035DAA03E1DCD4
3. 未动态验证
4. 示例账号、编号、金额与日期是本条测试数据；执行前按前置条件准备，未填写的产品决策不得自行假定。</x:v>
      </x:c>
    </x:row>
    <x:row r="333" ht="145" customHeight="1">
      <x:c r="A333" s="10" t="n">
        <x:v>332</x:v>
      </x:c>
      <x:c r="B333" s="10" t="str">
        <x:v>USER-0332</x:v>
      </x:c>
      <x:c r="C333" s="10" t="str">
        <x:v>主播管理</x:v>
      </x:c>
      <x:c r="D333" s="10" t="str">
        <x:v>美颜设置（主播）</x:v>
      </x:c>
      <x:c r="E333" s="10" t="str">
        <x:v>功能需求</x:v>
      </x:c>
      <x:c r="F333" s="10" t="str">
        <x:v>P2</x:v>
      </x:c>
      <x:c r="G333" s="9" t="str">
        <x:v>验证恢复默认重置全部美颜参数</x:v>
      </x:c>
      <x:c r="H333" s="9" t="str">
        <x:v>美颜选中项清除</x:v>
      </x:c>
      <x:c r="I333" s="9" t="str">
        <x:v>1. 主播为本条执行者
2. 主播甲可开播
3. 两个参数分别为 0 和 100，当前选中其中一个参数</x:v>
      </x:c>
      <x:c r="J333" s="9" t="str">
        <x:v>1. 打开美颜设置
2. 点击恢复默认</x:v>
      </x:c>
      <x:c r="K333" s="9" t="str">
        <x:v>没有处于选中状态的参数项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 2019 行；REQ-797aed10c781、第 2021 行；REQ-947f26075775、第 2015 行
2. 规则：BR-3C8D9B0D95EDA9
3. 未动态验证
4. 示例账号、编号、金额与日期是本条测试数据；执行前按前置条件准备，未填写的产品决策不得自行假定。</x:v>
      </x:c>
    </x:row>
    <x:row r="334" ht="175" customHeight="1">
      <x:c r="A334" s="10" t="n">
        <x:v>333</x:v>
      </x:c>
      <x:c r="B334" s="10" t="str">
        <x:v>USER-0333</x:v>
      </x:c>
      <x:c r="C334" s="10" t="str">
        <x:v>直播</x:v>
      </x:c>
      <x:c r="D334" s="10" t="str">
        <x:v>直播间（普通房）（用户）</x:v>
      </x:c>
      <x:c r="E334" s="10" t="str">
        <x:v>功能需求</x:v>
      </x:c>
      <x:c r="F334" s="10" t="str">
        <x:v>P1</x:v>
      </x:c>
      <x:c r="G334" s="9" t="str">
        <x:v>验证门票100金币时余额 99</x:v>
      </x:c>
      <x:c r="H334" s="9" t="str">
        <x:v>购票余额边界</x:v>
      </x:c>
      <x:c r="I334" s="9" t="str">
        <x:v>1. 用户为本条执行者
2. 用户甲可用，与主播乙无拉黑关系，未被本场踢出；主播乙当前直播中
3. 主播乙为门票房 S001，门票 100 金币，用户甲从未购买本场门票
4. 用户甲金币余额为 99</x:v>
      </x:c>
      <x:c r="J334" s="9" t="str">
        <x:v>1. 打开 S001 直播卡片
2. 点击购买门票</x:v>
      </x:c>
      <x:c r="K334" s="9" t="str">
        <x:v>未进入 S001 直播间</x:v>
      </x:c>
      <x:c r="L334" s="10" t="str">
        <x:v>FLOW-4E34EF63</x:v>
      </x:c>
      <x:c r="M334" s="10" t="str">
        <x:v>未测</x:v>
      </x:c>
      <x:c r="N334" s="10" t="str"/>
      <x:c r="O334" s="9" t="str">
        <x:v>1. 来源（当前证据）：liveshow-proto/MainBasis/统一需求文档.md；位置：第 764 行；REQ-13cdd1512b85、第 765 行；REQ-af9fad486413、第 767 行；REQ-376b8a19b5d1、第 772 行；REQ-8db6c2c015b3、第 758 行
2. 规则：BR-DF1A9B08B81C62
3. 未动态验证
4. 示例账号、编号、金额与日期是本条测试数据；执行前按前置条件准备，未填写的产品决策不得自行假定。</x:v>
      </x:c>
    </x:row>
    <x:row r="335" ht="175" customHeight="1">
      <x:c r="A335" s="10" t="n">
        <x:v>334</x:v>
      </x:c>
      <x:c r="B335" s="10" t="str">
        <x:v>USER-0334</x:v>
      </x:c>
      <x:c r="C335" s="10" t="str">
        <x:v>直播</x:v>
      </x:c>
      <x:c r="D335" s="10" t="str">
        <x:v>直播间（普通房）（用户）</x:v>
      </x:c>
      <x:c r="E335" s="10" t="str">
        <x:v>功能需求</x:v>
      </x:c>
      <x:c r="F335" s="10" t="str">
        <x:v>P1</x:v>
      </x:c>
      <x:c r="G335" s="9" t="str">
        <x:v>验证门票100金币时余额 100</x:v>
      </x:c>
      <x:c r="H335" s="9" t="str">
        <x:v>购票余额边界</x:v>
      </x:c>
      <x:c r="I335" s="9" t="str">
        <x:v>1. 用户为本条执行者
2. 用户甲可用，与主播乙无拉黑关系，未被本场踢出；主播乙当前直播中
3. 主播乙为门票房 S001，门票 100 金币，用户甲从未购买本场门票
4. 用户甲金币余额为 100</x:v>
      </x:c>
      <x:c r="J335" s="9" t="str">
        <x:v>1. 打开 S001 直播卡片
2. 点击购买门票</x:v>
      </x:c>
      <x:c r="K335" s="9" t="str">
        <x:v>进入 S001 直播间</x:v>
      </x:c>
      <x:c r="L335" s="10" t="str">
        <x:v>FLOW-4E34EF63</x:v>
      </x:c>
      <x:c r="M335" s="10" t="str">
        <x:v>未测</x:v>
      </x:c>
      <x:c r="N335" s="10" t="str"/>
      <x:c r="O335" s="9" t="str">
        <x:v>1. 来源（当前证据）：liveshow-proto/MainBasis/统一需求文档.md；位置：第 764 行；REQ-13cdd1512b85、第 765 行；REQ-af9fad486413、第 767 行；REQ-376b8a19b5d1、第 772 行；REQ-8db6c2c015b3、第 758 行
2. 规则：BR-62E5CB679D60AE
3. 未动态验证
4. 示例账号、编号、金额与日期是本条测试数据；执行前按前置条件准备，未填写的产品决策不得自行假定。</x:v>
      </x:c>
    </x:row>
    <x:row r="336" ht="175" customHeight="1">
      <x:c r="A336" s="10" t="n">
        <x:v>335</x:v>
      </x:c>
      <x:c r="B336" s="10" t="str">
        <x:v>USER-0335</x:v>
      </x:c>
      <x:c r="C336" s="10" t="str">
        <x:v>直播</x:v>
      </x:c>
      <x:c r="D336" s="10" t="str">
        <x:v>直播间（普通房）（用户）</x:v>
      </x:c>
      <x:c r="E336" s="10" t="str">
        <x:v>功能需求</x:v>
      </x:c>
      <x:c r="F336" s="10" t="str">
        <x:v>P1</x:v>
      </x:c>
      <x:c r="G336" s="9" t="str">
        <x:v>验证门票100金币时余额 101</x:v>
      </x:c>
      <x:c r="H336" s="9" t="str">
        <x:v>购票余额边界</x:v>
      </x:c>
      <x:c r="I336" s="9" t="str">
        <x:v>1. 用户为本条执行者
2. 用户甲可用，与主播乙无拉黑关系，未被本场踢出；主播乙当前直播中
3. 主播乙为门票房 S001，门票 100 金币，用户甲从未购买本场门票
4. 用户甲金币余额为 101</x:v>
      </x:c>
      <x:c r="J336" s="9" t="str">
        <x:v>1. 打开 S001 直播卡片
2. 点击购买门票</x:v>
      </x:c>
      <x:c r="K336" s="9" t="str">
        <x:v>进入 S001 直播间</x:v>
      </x:c>
      <x:c r="L336" s="10" t="str">
        <x:v>FLOW-4E34EF63</x:v>
      </x:c>
      <x:c r="M336" s="10" t="str">
        <x:v>未测</x:v>
      </x:c>
      <x:c r="N336" s="10" t="str"/>
      <x:c r="O336" s="9" t="str">
        <x:v>1. 来源（当前证据）：liveshow-proto/MainBasis/统一需求文档.md；位置：第 764 行；REQ-13cdd1512b85、第 765 行；REQ-af9fad486413、第 767 行；REQ-376b8a19b5d1、第 772 行；REQ-8db6c2c015b3、第 758 行
2. 规则：BR-5E13CFE13001A4
3. 未动态验证
4. 示例账号、编号、金额与日期是本条测试数据；执行前按前置条件准备，未填写的产品决策不得自行假定。</x:v>
      </x:c>
    </x:row>
    <x:row r="337" ht="175" customHeight="1">
      <x:c r="A337" s="10" t="n">
        <x:v>336</x:v>
      </x:c>
      <x:c r="B337" s="10" t="str">
        <x:v>USER-0336</x:v>
      </x:c>
      <x:c r="C337" s="10" t="str">
        <x:v>直播</x:v>
      </x:c>
      <x:c r="D337" s="10" t="str">
        <x:v>直播间（普通房）（用户）</x:v>
      </x:c>
      <x:c r="E337" s="10" t="str">
        <x:v>功能需求</x:v>
      </x:c>
      <x:c r="F337" s="10" t="str">
        <x:v>P2</x:v>
      </x:c>
      <x:c r="G337" s="9" t="str">
        <x:v>验证同场重复进入不重复购买门票</x:v>
      </x:c>
      <x:c r="H337" s="9" t="str">
        <x:v>门票重复使用</x:v>
      </x:c>
      <x:c r="I337" s="9" t="str">
        <x:v>1. 用户为本条执行者
2. 用户甲可用，与主播乙无拉黑关系，未被本场踢出；主播乙当前直播中
3. S001 门票已购买，剩余余额 100 金币</x:v>
      </x:c>
      <x:c r="J337" s="9" t="str">
        <x:v>1. 打开 S001 直播间
2. 退出 S001
3. 再次打开 S001</x:v>
      </x:c>
      <x:c r="K337" s="9" t="str">
        <x:v>本次重新进入不要求购买门票</x:v>
      </x:c>
      <x:c r="L337" s="10" t="str">
        <x:v>FLOW-4E34EF63</x:v>
      </x:c>
      <x:c r="M337" s="10" t="str">
        <x:v>未测</x:v>
      </x:c>
      <x:c r="N337" s="10" t="str"/>
      <x:c r="O337" s="9" t="str">
        <x:v>1. 来源（当前证据）：liveshow-proto/MainBasis/统一需求文档.md；位置：第 764 行；REQ-13cdd1512b85、第 765 行；REQ-af9fad486413、第 767 行；REQ-376b8a19b5d1、第 772 行；REQ-8db6c2c015b3、第 758 行
2. 规则：BR-3851E581019A95
3. 未动态验证
4. 示例账号、编号、金额与日期是本条测试数据；执行前按前置条件准备，未填写的产品决策不得自行假定。</x:v>
      </x:c>
    </x:row>
    <x:row r="338" ht="220" customHeight="1">
      <x:c r="A338" s="10" t="n">
        <x:v>337</x:v>
      </x:c>
      <x:c r="B338" s="10" t="str">
        <x:v>USER-0337</x:v>
      </x:c>
      <x:c r="C338" s="10" t="str">
        <x:v>直播</x:v>
      </x:c>
      <x:c r="D338" s="10" t="str">
        <x:v>直播间（普通房）（用户）</x:v>
      </x:c>
      <x:c r="E338" s="10" t="str">
        <x:v>功能需求</x:v>
      </x:c>
      <x:c r="F338" s="10" t="str">
        <x:v>P2</x:v>
      </x:c>
      <x:c r="G338" s="9" t="str">
        <x:v>验证被本场踢出后不能凭已购门票重进</x:v>
      </x:c>
      <x:c r="H338" s="9" t="str">
        <x:v>踢出后的门票失效</x:v>
      </x:c>
      <x:c r="I338" s="9" t="str">
        <x:v>1. 用户为本条执行者
2. 用户甲可用，与主播乙无拉黑关系，未被本场踢出；主播乙当前直播中
3. S001 门票已购买，主播乙随后将用户甲踢出本场</x:v>
      </x:c>
      <x:c r="J338" s="9" t="str">
        <x:v>1. 再次打开 S001</x:v>
      </x:c>
      <x:c r="K338" s="9" t="str">
        <x:v>无法进入 S001 直播间</x:v>
      </x:c>
      <x:c r="L338" s="10" t="str">
        <x:v>FLOW-4E34EF63</x:v>
      </x:c>
      <x:c r="M338" s="10" t="str">
        <x:v>未测</x:v>
      </x:c>
      <x:c r="N338" s="10" t="str"/>
      <x:c r="O338" s="9" t="str">
        <x:v>1. 来源（当前证据）：liveshow-proto/MainBasis/统一需求文档.md；位置：第 764 行；REQ-13cdd1512b85、第 765 行；REQ-af9fad486413、第 766 行；REQ-b93f80b008ba、第 767 行；REQ-376b8a19b5d1、第 768 行；REQ-4db2b3820871、第 772 行；REQ-8db6c2c015b3、第 773 行；REQ-b74f97b0fa2e、第 774 行；REQ-0e71e110e899、第 758 行
2. 规则：BR-457F298B808AD8
3. 未动态验证
4. 示例账号、编号、金额与日期是本条测试数据；执行前按前置条件准备，未填写的产品决策不得自行假定。</x:v>
      </x:c>
    </x:row>
    <x:row r="339" ht="220" customHeight="1">
      <x:c r="A339" s="10" t="n">
        <x:v>338</x:v>
      </x:c>
      <x:c r="B339" s="10" t="str">
        <x:v>USER-0338</x:v>
      </x:c>
      <x:c r="C339" s="10" t="str">
        <x:v>直播</x:v>
      </x:c>
      <x:c r="D339" s="10" t="str">
        <x:v>直播间（普通房）（用户）</x:v>
      </x:c>
      <x:c r="E339" s="10" t="str">
        <x:v>功能需求</x:v>
      </x:c>
      <x:c r="F339" s="10" t="str">
        <x:v>P2</x:v>
      </x:c>
      <x:c r="G339" s="9" t="str">
        <x:v>验证上场门票不能用于新场次</x:v>
      </x:c>
      <x:c r="H339" s="9" t="str">
        <x:v>门票场次隔离</x:v>
      </x:c>
      <x:c r="I339" s="9" t="str">
        <x:v>1. 用户为本条执行者
2. 用户甲可用，与主播乙无拉黑关系，未被本场踢出；主播乙当前直播中
3. 用户甲已购 S001 门票；S001 已结束，主播乙现在开播新场 S002，门票 100 金币</x:v>
      </x:c>
      <x:c r="J339" s="9" t="str">
        <x:v>1. 打开 S002 直播卡片</x:v>
      </x:c>
      <x:c r="K339" s="9" t="str">
        <x:v>进入 S002 前要求购买本场门票</x:v>
      </x:c>
      <x:c r="L339" s="10" t="str">
        <x:v>FLOW-4E34EF63</x:v>
      </x:c>
      <x:c r="M339" s="10" t="str">
        <x:v>未测</x:v>
      </x:c>
      <x:c r="N339" s="10" t="str"/>
      <x:c r="O339" s="9" t="str">
        <x:v>1. 来源（当前证据）：liveshow-proto/MainBasis/统一需求文档.md；位置：第 759 行；REQ-57159bd6dcea、第 761 行；REQ-74f873405346、第 762 行；REQ-4b70e3647a61、第 764 行；REQ-13cdd1512b85、第 765 行；REQ-af9fad486413、第 767 行；REQ-376b8a19b5d1、第 768 行；REQ-4db2b3820871、第 772 行；REQ-8db6c2c015b3、第 775 行；REQ-76b2ce8de4d4、第 758 行
2. 规则：BR-ACD8D5C499E923
3. 未动态验证
4. 示例账号、编号、金额与日期是本条测试数据；执行前按前置条件准备，未填写的产品决策不得自行假定。</x:v>
      </x:c>
    </x:row>
    <x:row r="340" ht="175" customHeight="1">
      <x:c r="A340" s="10" t="n">
        <x:v>339</x:v>
      </x:c>
      <x:c r="B340" s="10" t="str">
        <x:v>USER-0339</x:v>
      </x:c>
      <x:c r="C340" s="10" t="str">
        <x:v>直播</x:v>
      </x:c>
      <x:c r="D340" s="10" t="str">
        <x:v>直播间（普通房）（用户）</x:v>
      </x:c>
      <x:c r="E340" s="10" t="str">
        <x:v>功能需求</x:v>
      </x:c>
      <x:c r="F340" s="10" t="str">
        <x:v>P2</x:v>
      </x:c>
      <x:c r="G340" s="9" t="str">
        <x:v>验证密码房输入1234</x:v>
      </x:c>
      <x:c r="H340" s="9" t="str">
        <x:v>密码房准入</x:v>
      </x:c>
      <x:c r="I340" s="9" t="str">
        <x:v>1. 用户为本条执行者
2. 用户甲可用，与主播乙无拉黑关系，未被本场踢出；主播乙当前直播中
3. 主播乙密码房 S001 的密码为 1234</x:v>
      </x:c>
      <x:c r="J340" s="9" t="str">
        <x:v>1. 打开 S001 直播卡片
2. 输入密码 1234
3. 确认密码</x:v>
      </x:c>
      <x:c r="K340" s="9" t="str">
        <x:v>进入 S001 直播间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来源（当前证据）：liveshow-proto/MainBasis/统一需求文档.md；位置：第 764 行；REQ-13cdd1512b85、第 765 行；REQ-af9fad486413、第 769 行；REQ-917c1f13f2fe、第 772 行；REQ-8db6c2c015b3、第 758 行
2. 规则：BR-D2566AC9E133AB
3. 未动态验证
4. 示例账号、编号、金额与日期是本条测试数据；执行前按前置条件准备，未填写的产品决策不得自行假定。</x:v>
      </x:c>
    </x:row>
    <x:row r="341" ht="175" customHeight="1">
      <x:c r="A341" s="10" t="n">
        <x:v>340</x:v>
      </x:c>
      <x:c r="B341" s="10" t="str">
        <x:v>USER-0340</x:v>
      </x:c>
      <x:c r="C341" s="10" t="str">
        <x:v>直播</x:v>
      </x:c>
      <x:c r="D341" s="10" t="str">
        <x:v>直播间（普通房）（用户）</x:v>
      </x:c>
      <x:c r="E341" s="10" t="str">
        <x:v>功能需求</x:v>
      </x:c>
      <x:c r="F341" s="10" t="str">
        <x:v>P2</x:v>
      </x:c>
      <x:c r="G341" s="9" t="str">
        <x:v>验证密码房输入9999</x:v>
      </x:c>
      <x:c r="H341" s="9" t="str">
        <x:v>密码房准入</x:v>
      </x:c>
      <x:c r="I341" s="9" t="str">
        <x:v>1. 用户为本条执行者
2. 用户甲可用，与主播乙无拉黑关系，未被本场踢出；主播乙当前直播中
3. 主播乙密码房 S001 的密码为 1234</x:v>
      </x:c>
      <x:c r="J341" s="9" t="str">
        <x:v>1. 打开 S001 直播卡片
2. 输入密码 9999
3. 确认密码</x:v>
      </x:c>
      <x:c r="K341" s="9" t="str">
        <x:v>未进入 S001 直播间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来源（当前证据）：liveshow-proto/MainBasis/统一需求文档.md；位置：第 764 行；REQ-13cdd1512b85、第 765 行；REQ-af9fad486413、第 769 行；REQ-917c1f13f2fe、第 772 行；REQ-8db6c2c015b3、第 758 行
2. 规则：BR-87AE66B4929842
3. 未动态验证
4. 示例账号、编号、金额与日期是本条测试数据；执行前按前置条件准备，未填写的产品决策不得自行假定。</x:v>
      </x:c>
    </x:row>
    <x:row r="342" ht="175" customHeight="1">
      <x:c r="A342" s="10" t="n">
        <x:v>341</x:v>
      </x:c>
      <x:c r="B342" s="10" t="str">
        <x:v>USER-0341</x:v>
      </x:c>
      <x:c r="C342" s="10" t="str">
        <x:v>直播</x:v>
      </x:c>
      <x:c r="D342" s="10" t="str">
        <x:v>直播间（普通房）（用户）</x:v>
      </x:c>
      <x:c r="E342" s="10" t="str">
        <x:v>功能需求</x:v>
      </x:c>
      <x:c r="F342" s="10" t="str">
        <x:v>P2</x:v>
      </x:c>
      <x:c r="G342" s="9" t="str">
        <x:v>验证密码房成员限制下非团员进入</x:v>
      </x:c>
      <x:c r="H342" s="9" t="str">
        <x:v>成员准入检查顺序</x:v>
      </x:c>
      <x:c r="I342" s="9" t="str">
        <x:v>1. 用户为本条执行者
2. 用户甲可用，与主播乙无拉黑关系，未被本场踢出；主播乙当前直播中
3. 主播乙密码房密码为 1234，已开启仅粉丝团成员准入
4. 用户甲不是当前有效团员</x:v>
      </x:c>
      <x:c r="J342" s="9" t="str">
        <x:v>1. 打开 S001 直播卡片</x:v>
      </x:c>
      <x:c r="K342" s="9" t="str">
        <x:v>显示访问受限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来源（当前证据）：liveshow-proto/MainBasis/统一需求文档.md；位置：第 764 行；REQ-13cdd1512b85、第 765 行；REQ-af9fad486413、第 769 行；REQ-917c1f13f2fe、第 772 行；REQ-8db6c2c015b3、第 773 行；REQ-b74f97b0fa2e、第 758 行
2. 规则：BR-00259B6C039F86
3. 未动态验证
4. 示例账号、编号、金额与日期是本条测试数据；执行前按前置条件准备，未填写的产品决策不得自行假定。</x:v>
      </x:c>
    </x:row>
    <x:row r="343" ht="175" customHeight="1">
      <x:c r="A343" s="10" t="n">
        <x:v>342</x:v>
      </x:c>
      <x:c r="B343" s="10" t="str">
        <x:v>USER-0342</x:v>
      </x:c>
      <x:c r="C343" s="10" t="str">
        <x:v>直播</x:v>
      </x:c>
      <x:c r="D343" s="10" t="str">
        <x:v>直播间（普通房）（用户）</x:v>
      </x:c>
      <x:c r="E343" s="10" t="str">
        <x:v>功能需求</x:v>
      </x:c>
      <x:c r="F343" s="10" t="str">
        <x:v>P2</x:v>
      </x:c>
      <x:c r="G343" s="9" t="str">
        <x:v>验证密码房成员限制下团员进入</x:v>
      </x:c>
      <x:c r="H343" s="9" t="str">
        <x:v>成员准入检查顺序</x:v>
      </x:c>
      <x:c r="I343" s="9" t="str">
        <x:v>1. 用户为本条执行者
2. 用户甲可用，与主播乙无拉黑关系，未被本场踢出；主播乙当前直播中
3. 主播乙密码房密码为 1234，已开启仅粉丝团成员准入
4. 用户甲是当前有效团员</x:v>
      </x:c>
      <x:c r="J343" s="9" t="str">
        <x:v>1. 打开 S001 直播卡片</x:v>
      </x:c>
      <x:c r="K343" s="9" t="str">
        <x:v>显示输入房间密码的入口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来源（当前证据）：liveshow-proto/MainBasis/统一需求文档.md；位置：第 764 行；REQ-13cdd1512b85、第 765 行；REQ-af9fad486413、第 769 行；REQ-917c1f13f2fe、第 772 行；REQ-8db6c2c015b3、第 773 行；REQ-b74f97b0fa2e、第 758 行
2. 规则：BR-84D5BA807EA768
3. 未动态验证
4. 示例账号、编号、金额与日期是本条测试数据；执行前按前置条件准备，未填写的产品决策不得自行假定。</x:v>
      </x:c>
    </x:row>
    <x:row r="344" ht="160" customHeight="1">
      <x:c r="A344" s="10" t="n">
        <x:v>343</x:v>
      </x:c>
      <x:c r="B344" s="10" t="str">
        <x:v>USER-0343</x:v>
      </x:c>
      <x:c r="C344" s="10" t="str">
        <x:v>直播</x:v>
      </x:c>
      <x:c r="D344" s="10" t="str">
        <x:v>直播间（普通房）（运营账号）</x:v>
      </x:c>
      <x:c r="E344" s="10" t="str">
        <x:v>功能需求</x:v>
      </x:c>
      <x:c r="F344" s="10" t="str">
        <x:v>P2</x:v>
      </x:c>
      <x:c r="G344" s="9" t="str">
        <x:v>验证运营账号免验证进入门票房</x:v>
      </x:c>
      <x:c r="H344" s="9" t="str">
        <x:v>运营账号入房特权</x:v>
      </x:c>
      <x:c r="I344" s="9" t="str">
        <x:v>1. 运营账号为本条执行者
2. 用户甲可用，与主播乙无拉黑关系，未被本场踢出；主播乙当前直播中
3. 当前执行账号为公会甲运营账号，与主播乙无拉黑关系；S001 为门票房</x:v>
      </x:c>
      <x:c r="J344" s="9" t="str">
        <x:v>1. 打开 S001 直播卡片</x:v>
      </x:c>
      <x:c r="K344" s="9" t="str">
        <x:v>进入 S001 直播间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来源（当前证据）：liveshow-proto/MainBasis/统一需求文档.md；位置：第 767 行；REQ-376b8a19b5d1、第 769 行；REQ-917c1f13f2fe、第 772 行；REQ-8db6c2c015b3、第 758 行
2. 规则：BR-23D1900065DDC7
3. 未动态验证
4. 示例账号、编号、金额与日期是本条测试数据；执行前按前置条件准备，未填写的产品决策不得自行假定。</x:v>
      </x:c>
    </x:row>
    <x:row r="345" ht="160" customHeight="1">
      <x:c r="A345" s="10" t="n">
        <x:v>344</x:v>
      </x:c>
      <x:c r="B345" s="10" t="str">
        <x:v>USER-0344</x:v>
      </x:c>
      <x:c r="C345" s="10" t="str">
        <x:v>直播</x:v>
      </x:c>
      <x:c r="D345" s="10" t="str">
        <x:v>直播间（普通房）（运营账号）</x:v>
      </x:c>
      <x:c r="E345" s="10" t="str">
        <x:v>功能需求</x:v>
      </x:c>
      <x:c r="F345" s="10" t="str">
        <x:v>P2</x:v>
      </x:c>
      <x:c r="G345" s="9" t="str">
        <x:v>验证运营账号免验证进入密码房</x:v>
      </x:c>
      <x:c r="H345" s="9" t="str">
        <x:v>运营账号入房特权</x:v>
      </x:c>
      <x:c r="I345" s="9" t="str">
        <x:v>1. 运营账号为本条执行者
2. 用户甲可用，与主播乙无拉黑关系，未被本场踢出；主播乙当前直播中
3. 当前执行账号为公会甲运营账号，与主播乙无拉黑关系；S001 为密码房</x:v>
      </x:c>
      <x:c r="J345" s="9" t="str">
        <x:v>1. 打开 S001 直播卡片</x:v>
      </x:c>
      <x:c r="K345" s="9" t="str">
        <x:v>进入 S001 直播间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来源（当前证据）：liveshow-proto/MainBasis/统一需求文档.md；位置：第 767 行；REQ-376b8a19b5d1、第 769 行；REQ-917c1f13f2fe、第 772 行；REQ-8db6c2c015b3、第 758 行
2. 规则：BR-3453788A87598F
3. 未动态验证
4. 示例账号、编号、金额与日期是本条测试数据；执行前按前置条件准备，未填写的产品决策不得自行假定。</x:v>
      </x:c>
    </x:row>
    <x:row r="346" ht="205" customHeight="1">
      <x:c r="A346" s="10" t="n">
        <x:v>345</x:v>
      </x:c>
      <x:c r="B346" s="10" t="str">
        <x:v>USER-0345</x:v>
      </x:c>
      <x:c r="C346" s="10" t="str">
        <x:v>直播</x:v>
      </x:c>
      <x:c r="D346" s="10" t="str">
        <x:v>礼物（用户）</x:v>
      </x:c>
      <x:c r="E346" s="10" t="str">
        <x:v>功能需求</x:v>
      </x:c>
      <x:c r="F346" s="10" t="str">
        <x:v>P1</x:v>
      </x:c>
      <x:c r="G346" s="9" t="str">
        <x:v>验证赠送100金币礼物时余额 99</x:v>
      </x:c>
      <x:c r="H346" s="9" t="str">
        <x:v>送礼余额门槛</x:v>
      </x:c>
      <x:c r="I346" s="9" t="str">
        <x:v>1. 用户为本条执行者
2. 普通用户甲已进入主播乙直播间；礼物甲为当前上架普通礼物，单价 100 金币
3. 用户甲余额为 99</x:v>
      </x:c>
      <x:c r="J346" s="9" t="str">
        <x:v>1. 打开礼物面板
2. 选择礼物甲
3. 选择数量 1
4. 点击赠送</x:v>
      </x:c>
      <x:c r="K346" s="9" t="str">
        <x:v>显示余额不足的充值提示</x:v>
      </x:c>
      <x:c r="L346" s="10" t="str">
        <x:v>FLOW-3674B837</x:v>
      </x:c>
      <x:c r="M346" s="10" t="str">
        <x:v>未测</x:v>
      </x:c>
      <x:c r="N346" s="10" t="str"/>
      <x:c r="O346" s="9" t="str">
        <x:v>1. 来源（当前证据）：liveshow-proto/MainBasis/统一需求文档.md；位置：第 1576 行；REQ-80a63c1ae2ea、第 1577 行；REQ-661e85b151ed、第 1578 行；REQ-007896e4eadc、第 1580 行；REQ-266b9b9485db、第 1583 行；REQ-4d7983ee3408、第 1585 行；REQ-066734efc56b、第 1586 行；REQ-bed789897c95、第 1574 行
2. 规则：BR-8E7A5058D3FCF0
3. 未动态验证
4. 示例账号、编号、金额与日期是本条测试数据；执行前按前置条件准备，未填写的产品决策不得自行假定。</x:v>
      </x:c>
    </x:row>
    <x:row r="347" ht="205" customHeight="1">
      <x:c r="A347" s="10" t="n">
        <x:v>346</x:v>
      </x:c>
      <x:c r="B347" s="10" t="str">
        <x:v>USER-0346</x:v>
      </x:c>
      <x:c r="C347" s="10" t="str">
        <x:v>直播</x:v>
      </x:c>
      <x:c r="D347" s="10" t="str">
        <x:v>礼物（用户）</x:v>
      </x:c>
      <x:c r="E347" s="10" t="str">
        <x:v>功能需求</x:v>
      </x:c>
      <x:c r="F347" s="10" t="str">
        <x:v>P1</x:v>
      </x:c>
      <x:c r="G347" s="9" t="str">
        <x:v>验证赠送100金币礼物时余额 100</x:v>
      </x:c>
      <x:c r="H347" s="9" t="str">
        <x:v>送礼余额门槛</x:v>
      </x:c>
      <x:c r="I347" s="9" t="str">
        <x:v>1. 用户为本条执行者
2. 普通用户甲已进入主播乙直播间；礼物甲为当前上架普通礼物，单价 100 金币
3. 用户甲余额为 100</x:v>
      </x:c>
      <x:c r="J347" s="9" t="str">
        <x:v>1. 打开礼物面板
2. 选择礼物甲
3. 选择数量 1
4. 点击赠送</x:v>
      </x:c>
      <x:c r="K347" s="9" t="str">
        <x:v>礼物甲赠送成功</x:v>
      </x:c>
      <x:c r="L347" s="10" t="str">
        <x:v>FLOW-3674B837</x:v>
      </x:c>
      <x:c r="M347" s="10" t="str">
        <x:v>未测</x:v>
      </x:c>
      <x:c r="N347" s="10" t="str"/>
      <x:c r="O347" s="9" t="str">
        <x:v>1. 来源（当前证据）：liveshow-proto/MainBasis/统一需求文档.md；位置：第 1576 行；REQ-80a63c1ae2ea、第 1577 行；REQ-661e85b151ed、第 1578 行；REQ-007896e4eadc、第 1580 行；REQ-266b9b9485db、第 1583 行；REQ-4d7983ee3408、第 1585 行；REQ-066734efc56b、第 1586 行；REQ-bed789897c95、第 1574 行
2. 规则：BR-4664C1F1C7C81B
3. 未动态验证
4. 示例账号、编号、金额与日期是本条测试数据；执行前按前置条件准备，未填写的产品决策不得自行假定。</x:v>
      </x:c>
    </x:row>
    <x:row r="348" ht="205" customHeight="1">
      <x:c r="A348" s="10" t="n">
        <x:v>347</x:v>
      </x:c>
      <x:c r="B348" s="10" t="str">
        <x:v>USER-0347</x:v>
      </x:c>
      <x:c r="C348" s="10" t="str">
        <x:v>直播</x:v>
      </x:c>
      <x:c r="D348" s="10" t="str">
        <x:v>礼物（用户）</x:v>
      </x:c>
      <x:c r="E348" s="10" t="str">
        <x:v>功能需求</x:v>
      </x:c>
      <x:c r="F348" s="10" t="str">
        <x:v>P1</x:v>
      </x:c>
      <x:c r="G348" s="9" t="str">
        <x:v>验证赠送100金币礼物时余额 101</x:v>
      </x:c>
      <x:c r="H348" s="9" t="str">
        <x:v>送礼余额门槛</x:v>
      </x:c>
      <x:c r="I348" s="9" t="str">
        <x:v>1. 用户为本条执行者
2. 普通用户甲已进入主播乙直播间；礼物甲为当前上架普通礼物，单价 100 金币
3. 用户甲余额为 101</x:v>
      </x:c>
      <x:c r="J348" s="9" t="str">
        <x:v>1. 打开礼物面板
2. 选择礼物甲
3. 选择数量 1
4. 点击赠送</x:v>
      </x:c>
      <x:c r="K348" s="9" t="str">
        <x:v>礼物甲赠送成功</x:v>
      </x:c>
      <x:c r="L348" s="10" t="str">
        <x:v>FLOW-3674B837</x:v>
      </x:c>
      <x:c r="M348" s="10" t="str">
        <x:v>未测</x:v>
      </x:c>
      <x:c r="N348" s="10" t="str"/>
      <x:c r="O348" s="9" t="str">
        <x:v>1. 来源（当前证据）：liveshow-proto/MainBasis/统一需求文档.md；位置：第 1576 行；REQ-80a63c1ae2ea、第 1577 行；REQ-661e85b151ed、第 1578 行；REQ-007896e4eadc、第 1580 行；REQ-266b9b9485db、第 1583 行；REQ-4d7983ee3408、第 1585 行；REQ-066734efc56b、第 1586 行；REQ-bed789897c95、第 1574 行
2. 规则：BR-040C1301C8C20E
3. 未动态验证
4. 示例账号、编号、金额与日期是本条测试数据；执行前按前置条件准备，未填写的产品决策不得自行假定。</x:v>
      </x:c>
    </x:row>
    <x:row r="349" ht="130" customHeight="1">
      <x:c r="A349" s="10" t="n">
        <x:v>348</x:v>
      </x:c>
      <x:c r="B349" s="10" t="str">
        <x:v>USER-0348</x:v>
      </x:c>
      <x:c r="C349" s="10" t="str">
        <x:v>直播</x:v>
      </x:c>
      <x:c r="D349" s="10" t="str">
        <x:v>礼物（用户）</x:v>
      </x:c>
      <x:c r="E349" s="10" t="str">
        <x:v>功能需求</x:v>
      </x:c>
      <x:c r="F349" s="10" t="str">
        <x:v>P2</x:v>
      </x:c>
      <x:c r="G349" s="9" t="str">
        <x:v>验证确认前礼物下架不能继续赠送</x:v>
      </x:c>
      <x:c r="H349" s="9" t="str">
        <x:v>赠送时礼物有效性</x:v>
      </x:c>
      <x:c r="I349" s="9" t="str">
        <x:v>1. 用户为本条执行者
2. 普通用户甲已进入主播乙直播间；礼物甲为当前上架普通礼物，单价 100 金币
3. 用户甲余额 200；用户选中礼物甲后，后台已将礼物甲下架</x:v>
      </x:c>
      <x:c r="J349" s="9" t="str">
        <x:v>1. 打开礼物面板
2. 点击赠送</x:v>
      </x:c>
      <x:c r="K349" s="9" t="str">
        <x:v>礼物甲未赠送成功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来源（当前证据）：liveshow-proto/MainBasis/统一需求文档.md；位置：第 1578 行；REQ-007896e4eadc、第 1574 行
2. 规则：BR-0D1914536C1DEE
3. 未动态验证
4. 示例账号、编号、金额与日期是本条测试数据；执行前按前置条件准备，未填写的产品决策不得自行假定。</x:v>
      </x:c>
    </x:row>
    <x:row r="350" ht="145" customHeight="1">
      <x:c r="A350" s="10" t="n">
        <x:v>349</x:v>
      </x:c>
      <x:c r="B350" s="10" t="str">
        <x:v>USER-0349</x:v>
      </x:c>
      <x:c r="C350" s="10" t="str">
        <x:v>直播</x:v>
      </x:c>
      <x:c r="D350" s="10" t="str">
        <x:v>礼物（用户）</x:v>
      </x:c>
      <x:c r="E350" s="10" t="str">
        <x:v>功能需求</x:v>
      </x:c>
      <x:c r="F350" s="10" t="str">
        <x:v>P1</x:v>
      </x:c>
      <x:c r="G350" s="9" t="str">
        <x:v>验证已完成礼物不支持退款</x:v>
      </x:c>
      <x:c r="H350" s="9" t="str">
        <x:v>礼物不可退</x:v>
      </x:c>
      <x:c r="I350" s="9" t="str">
        <x:v>1. 用户为本条执行者
2. 普通用户甲已进入主播乙直播间；礼物甲为当前上架普通礼物，单价 100 金币
3. 用户甲已成功赠送礼物甲</x:v>
      </x:c>
      <x:c r="J350" s="9" t="str">
        <x:v>1. 打开礼物面板</x:v>
      </x:c>
      <x:c r="K350" s="9" t="str">
        <x:v>不提供已送礼物退款入口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来源（当前证据）：liveshow-proto/MainBasis/统一需求文档.md；位置：第 1583 行；REQ-4d7983ee3408、第 1341 行；REQ-9c7ac2554e43、第 1574 行
2. 规则：BR-2B11ECF77DB052
3. 未动态验证
4. 示例账号、编号、金额与日期是本条测试数据；执行前按前置条件准备，未填写的产品决策不得自行假定。</x:v>
      </x:c>
    </x:row>
    <x:row r="351" ht="175" customHeight="1">
      <x:c r="A351" s="10" t="n">
        <x:v>350</x:v>
      </x:c>
      <x:c r="B351" s="10" t="str">
        <x:v>USER-0350</x:v>
      </x:c>
      <x:c r="C351" s="10" t="str">
        <x:v>直播</x:v>
      </x:c>
      <x:c r="D351" s="10" t="str">
        <x:v>直播间（主播）（主播）</x:v>
      </x:c>
      <x:c r="E351" s="10" t="str">
        <x:v>功能需求</x:v>
      </x:c>
      <x:c r="F351" s="10" t="str">
        <x:v>P2</x:v>
      </x:c>
      <x:c r="G351" s="9" t="str">
        <x:v>验证主播对观众执行禁言</x:v>
      </x:c>
      <x:c r="H351" s="9" t="str">
        <x:v>禁言生效范围</x:v>
      </x:c>
      <x:c r="I351" s="9" t="str">
        <x:v>1. 主播为本条执行者
2. 主播甲正在普通房 S001 直播，观众乙在线
3. 观众乙有一条可定位的公屏评论“测试评论乙”</x:v>
      </x:c>
      <x:c r="J351" s="9" t="str">
        <x:v>1. 打开观众乙资料卡
2. 点击禁言
3. 确认禁言
4. 查看观众乙资料卡</x:v>
      </x:c>
      <x:c r="K351" s="9" t="str">
        <x:v>观众乙的资料卡显示本场禁言状态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来源（当前证据）：liveshow-proto/MainBasis/统一需求文档.md；位置：第 801 行；REQ-7ba223129156、第 803 行；REQ-a19d6b159f0b、第 804 行；REQ-683b4064d1ec、第 807 行；REQ-5d70e4b3fe67、第 808 行；REQ-70272cb84275、第 796 行
2. 规则：BR-D9A30337CB0516
3. 未动态验证
4. 示例账号、编号、金额与日期是本条测试数据；执行前按前置条件准备，未填写的产品决策不得自行假定。</x:v>
      </x:c>
    </x:row>
    <x:row r="352" ht="175" customHeight="1">
      <x:c r="A352" s="10" t="n">
        <x:v>351</x:v>
      </x:c>
      <x:c r="B352" s="10" t="str">
        <x:v>USER-0351</x:v>
      </x:c>
      <x:c r="C352" s="10" t="str">
        <x:v>直播</x:v>
      </x:c>
      <x:c r="D352" s="10" t="str">
        <x:v>直播间（主播）（主播）</x:v>
      </x:c>
      <x:c r="E352" s="10" t="str">
        <x:v>功能需求</x:v>
      </x:c>
      <x:c r="F352" s="10" t="str">
        <x:v>P2</x:v>
      </x:c>
      <x:c r="G352" s="9" t="str">
        <x:v>验证主播对观众执行踢出</x:v>
      </x:c>
      <x:c r="H352" s="9" t="str">
        <x:v>踢出生效范围</x:v>
      </x:c>
      <x:c r="I352" s="9" t="str">
        <x:v>1. 主播为本条执行者
2. 主播甲正在普通房 S001 直播，观众乙在线
3. 观众乙有一条可定位的公屏评论“测试评论乙”</x:v>
      </x:c>
      <x:c r="J352" s="9" t="str">
        <x:v>1. 打开观众乙资料卡
2. 点击踢出
3. 确认踢出
4. 查看在线观众列表</x:v>
      </x:c>
      <x:c r="K352" s="9" t="str">
        <x:v>在线观众列表不再包含乙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来源（当前证据）：liveshow-proto/MainBasis/统一需求文档.md；位置：第 801 行；REQ-7ba223129156、第 803 行；REQ-a19d6b159f0b、第 804 行；REQ-683b4064d1ec、第 807 行；REQ-5d70e4b3fe67、第 808 行；REQ-70272cb84275、第 796 行
2. 规则：BR-3892333A75ACD7
3. 未动态验证
4. 示例账号、编号、金额与日期是本条测试数据；执行前按前置条件准备，未填写的产品决策不得自行假定。</x:v>
      </x:c>
    </x:row>
    <x:row r="353" ht="175" customHeight="1">
      <x:c r="A353" s="10" t="n">
        <x:v>352</x:v>
      </x:c>
      <x:c r="B353" s="10" t="str">
        <x:v>USER-0352</x:v>
      </x:c>
      <x:c r="C353" s="10" t="str">
        <x:v>直播</x:v>
      </x:c>
      <x:c r="D353" s="10" t="str">
        <x:v>用户资料卡·房管（房管）</x:v>
      </x:c>
      <x:c r="E353" s="10" t="str">
        <x:v>功能需求</x:v>
      </x:c>
      <x:c r="F353" s="10" t="str">
        <x:v>P2</x:v>
      </x:c>
      <x:c r="G353" s="9" t="str">
        <x:v>验证房管对观众执行禁言</x:v>
      </x:c>
      <x:c r="H353" s="9" t="str">
        <x:v>禁言生效范围</x:v>
      </x:c>
      <x:c r="I353" s="9" t="str">
        <x:v>1. 房管为本条执行者
2. 房管甲已被当前主播授权，观众乙在线
3. 观众乙有一条可定位的公屏评论“测试评论乙”</x:v>
      </x:c>
      <x:c r="J353" s="9" t="str">
        <x:v>1. 打开观众乙资料卡
2. 点击禁言
3. 确认禁言
4. 查看观众乙资料卡</x:v>
      </x:c>
      <x:c r="K353" s="9" t="str">
        <x:v>观众乙的资料卡显示本场禁言状态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来源（当前证据）：liveshow-proto/MainBasis/统一需求文档.md；位置：第 1695 行；REQ-e37fd98de8ad、第 1696 行；REQ-8068c209e737、第 1697 行；REQ-0ab6c2bbea8e、第 1698 行；REQ-c1b7c1798471、第 1699 行；REQ-0165e1efd627、第 1694 行
2. 规则：BR-3CBE408884F5DB
3. 未动态验证
4. 示例账号、编号、金额与日期是本条测试数据；执行前按前置条件准备，未填写的产品决策不得自行假定。</x:v>
      </x:c>
    </x:row>
    <x:row r="354" ht="175" customHeight="1">
      <x:c r="A354" s="10" t="n">
        <x:v>353</x:v>
      </x:c>
      <x:c r="B354" s="10" t="str">
        <x:v>USER-0353</x:v>
      </x:c>
      <x:c r="C354" s="10" t="str">
        <x:v>直播</x:v>
      </x:c>
      <x:c r="D354" s="10" t="str">
        <x:v>用户资料卡·房管（房管）</x:v>
      </x:c>
      <x:c r="E354" s="10" t="str">
        <x:v>功能需求</x:v>
      </x:c>
      <x:c r="F354" s="10" t="str">
        <x:v>P2</x:v>
      </x:c>
      <x:c r="G354" s="9" t="str">
        <x:v>验证房管对观众执行踢出</x:v>
      </x:c>
      <x:c r="H354" s="9" t="str">
        <x:v>踢出生效范围</x:v>
      </x:c>
      <x:c r="I354" s="9" t="str">
        <x:v>1. 房管为本条执行者
2. 房管甲已被当前主播授权，观众乙在线
3. 观众乙有一条可定位的公屏评论“测试评论乙”</x:v>
      </x:c>
      <x:c r="J354" s="9" t="str">
        <x:v>1. 打开观众乙资料卡
2. 点击踢出
3. 确认踢出
4. 查看在线观众列表</x:v>
      </x:c>
      <x:c r="K354" s="9" t="str">
        <x:v>在线观众列表不再包含乙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来源（当前证据）：liveshow-proto/MainBasis/统一需求文档.md；位置：第 1695 行；REQ-e37fd98de8ad、第 1696 行；REQ-8068c209e737、第 1697 行；REQ-0ab6c2bbea8e、第 1698 行；REQ-c1b7c1798471、第 1699 行；REQ-0165e1efd627、第 1694 行
2. 规则：BR-4AA1341139B38F
3. 未动态验证
4. 示例账号、编号、金额与日期是本条测试数据；执行前按前置条件准备，未填写的产品决策不得自行假定。</x:v>
      </x:c>
    </x:row>
    <x:row r="355" ht="175" customHeight="1">
      <x:c r="A355" s="10" t="n">
        <x:v>354</x:v>
      </x:c>
      <x:c r="B355" s="10" t="str">
        <x:v>USER-0354</x:v>
      </x:c>
      <x:c r="C355" s="10" t="str">
        <x:v>直播</x:v>
      </x:c>
      <x:c r="D355" s="10" t="str">
        <x:v>被禁言（用户）</x:v>
      </x:c>
      <x:c r="E355" s="10" t="str">
        <x:v>功能需求</x:v>
      </x:c>
      <x:c r="F355" s="10" t="str">
        <x:v>P2</x:v>
      </x:c>
      <x:c r="G355" s="9" t="str">
        <x:v>验证本场禁言后公屏无法发言</x:v>
      </x:c>
      <x:c r="H355" s="9" t="str">
        <x:v>本场禁言提示</x:v>
      </x:c>
      <x:c r="I355" s="9" t="str">
        <x:v>1. 用户为本条执行者
2. 观众乙被主播甲在 S001 禁言</x:v>
      </x:c>
      <x:c r="J355" s="9" t="str">
        <x:v>1. 查看评论输入区</x:v>
      </x:c>
      <x:c r="K355" s="9" t="str">
        <x:v>公屏发言入口不可用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来源（当前证据）：liveshow-proto/MainBasis/统一需求文档.md；位置：第 1630 行；REQ-45a34d176517、第 1631 行；REQ-356e381feef2、第 1632 行；REQ-d2b99245e75b、第 1633 行；REQ-bcffb5921e06、第 1629 行
2. 规则：BR-27ED3BBA5BC334
3. 未动态验证
4. 示例账号、编号、金额与日期是本条测试数据；执行前按前置条件准备，未填写的产品决策不得自行假定。</x:v>
      </x:c>
    </x:row>
    <x:row r="356" ht="145" customHeight="1">
      <x:c r="A356" s="10" t="n">
        <x:v>355</x:v>
      </x:c>
      <x:c r="B356" s="10" t="str">
        <x:v>USER-0355</x:v>
      </x:c>
      <x:c r="C356" s="10" t="str">
        <x:v>直播</x:v>
      </x:c>
      <x:c r="D356" s="10" t="str">
        <x:v>被禁言（用户）</x:v>
      </x:c>
      <x:c r="E356" s="10" t="str">
        <x:v>功能需求</x:v>
      </x:c>
      <x:c r="F356" s="10" t="str">
        <x:v>P2</x:v>
      </x:c>
      <x:c r="G356" s="9" t="str">
        <x:v>验证下一场直播不继承上场禁言</x:v>
      </x:c>
      <x:c r="H356" s="9" t="str">
        <x:v>禁言按场次重置</x:v>
      </x:c>
      <x:c r="I356" s="9" t="str">
        <x:v>1. 用户为本条执行者
2. 观众乙被主播甲在 S001 禁言
3. S001 已结束，主播甲已开播 S002</x:v>
      </x:c>
      <x:c r="J356" s="9" t="str">
        <x:v>1. 打开 S002 直播间
2. 发送公屏文字“新场消息”</x:v>
      </x:c>
      <x:c r="K356" s="9" t="str">
        <x:v>S002 公屏显示“新场消息”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来源（当前证据）：liveshow-proto/MainBasis/统一需求文档.md；位置：第 1630 行；REQ-45a34d176517、第 1632 行；REQ-d2b99245e75b、第 1629 行
2. 规则：BR-C877BADA9828D7
3. 未动态验证
4. 示例账号、编号、金额与日期是本条测试数据；执行前按前置条件准备，未填写的产品决策不得自行假定。</x:v>
      </x:c>
    </x:row>
    <x:row r="357" ht="145" customHeight="1">
      <x:c r="A357" s="10" t="n">
        <x:v>356</x:v>
      </x:c>
      <x:c r="B357" s="10" t="str">
        <x:v>USER-0356</x:v>
      </x:c>
      <x:c r="C357" s="10" t="str">
        <x:v>主播管理</x:v>
      </x:c>
      <x:c r="D357" s="10" t="str">
        <x:v>房管管理（主播）</x:v>
      </x:c>
      <x:c r="E357" s="10" t="str">
        <x:v>功能需求</x:v>
      </x:c>
      <x:c r="F357" s="10" t="str">
        <x:v>P2</x:v>
      </x:c>
      <x:c r="G357" s="9" t="str">
        <x:v>验证已有 0 名房管时添加乙</x:v>
      </x:c>
      <x:c r="H357" s="9" t="str">
        <x:v>房管数量上限</x:v>
      </x:c>
      <x:c r="I357" s="9" t="str">
        <x:v>1. 主播为本条执行者
2. 主播甲账号已登录；目标用户乙无拉黑关系且尚不是房管
3. 主播甲长期房管数量为 0</x:v>
      </x:c>
      <x:c r="J357" s="9" t="str">
        <x:v>1. 打开房管管理
2. 选择用户乙
3. 确认设置房管</x:v>
      </x:c>
      <x:c r="K357" s="9" t="str">
        <x:v>房管列表包含用户乙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来源（当前证据）：liveshow-proto/MainBasis/统一需求文档.md；位置：第 1150 行；REQ-6dde361727ce、第 1156 行；REQ-93134b08beb0、第 1147 行
2. 规则：BR-393C1AEBDA4A88
3. 未动态验证
4. 示例账号、编号、金额与日期是本条测试数据；执行前按前置条件准备，未填写的产品决策不得自行假定。</x:v>
      </x:c>
    </x:row>
    <x:row r="358" ht="145" customHeight="1">
      <x:c r="A358" s="10" t="n">
        <x:v>357</x:v>
      </x:c>
      <x:c r="B358" s="10" t="str">
        <x:v>USER-0357</x:v>
      </x:c>
      <x:c r="C358" s="10" t="str">
        <x:v>主播管理</x:v>
      </x:c>
      <x:c r="D358" s="10" t="str">
        <x:v>房管管理（主播）</x:v>
      </x:c>
      <x:c r="E358" s="10" t="str">
        <x:v>功能需求</x:v>
      </x:c>
      <x:c r="F358" s="10" t="str">
        <x:v>P2</x:v>
      </x:c>
      <x:c r="G358" s="9" t="str">
        <x:v>验证已有 2 名房管时添加乙</x:v>
      </x:c>
      <x:c r="H358" s="9" t="str">
        <x:v>房管数量上限</x:v>
      </x:c>
      <x:c r="I358" s="9" t="str">
        <x:v>1. 主播为本条执行者
2. 主播甲账号已登录；目标用户乙无拉黑关系且尚不是房管
3. 主播甲长期房管数量为 2</x:v>
      </x:c>
      <x:c r="J358" s="9" t="str">
        <x:v>1. 打开房管管理
2. 选择用户乙
3. 确认设置房管</x:v>
      </x:c>
      <x:c r="K358" s="9" t="str">
        <x:v>房管列表包含用户乙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来源（当前证据）：liveshow-proto/MainBasis/统一需求文档.md；位置：第 1150 行；REQ-6dde361727ce、第 1156 行；REQ-93134b08beb0、第 1147 行
2. 规则：BR-1234A0D4EE11B4
3. 未动态验证
4. 示例账号、编号、金额与日期是本条测试数据；执行前按前置条件准备，未填写的产品决策不得自行假定。</x:v>
      </x:c>
    </x:row>
    <x:row r="359" ht="145" customHeight="1">
      <x:c r="A359" s="10" t="n">
        <x:v>358</x:v>
      </x:c>
      <x:c r="B359" s="10" t="str">
        <x:v>USER-0358</x:v>
      </x:c>
      <x:c r="C359" s="10" t="str">
        <x:v>主播管理</x:v>
      </x:c>
      <x:c r="D359" s="10" t="str">
        <x:v>房管管理（主播）</x:v>
      </x:c>
      <x:c r="E359" s="10" t="str">
        <x:v>功能需求</x:v>
      </x:c>
      <x:c r="F359" s="10" t="str">
        <x:v>P2</x:v>
      </x:c>
      <x:c r="G359" s="9" t="str">
        <x:v>验证已有 3 名房管时添加乙</x:v>
      </x:c>
      <x:c r="H359" s="9" t="str">
        <x:v>房管数量上限</x:v>
      </x:c>
      <x:c r="I359" s="9" t="str">
        <x:v>1. 主播为本条执行者
2. 主播甲账号已登录；目标用户乙无拉黑关系且尚不是房管
3. 主播甲长期房管数量为 3</x:v>
      </x:c>
      <x:c r="J359" s="9" t="str">
        <x:v>1. 打开房管管理
2. 选择用户乙
3. 确认设置房管</x:v>
      </x:c>
      <x:c r="K359" s="9" t="str">
        <x:v>房管列表不包含用户乙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来源（当前证据）：liveshow-proto/MainBasis/统一需求文档.md；位置：第 1150 行；REQ-6dde361727ce、第 1156 行；REQ-93134b08beb0、第 1147 行
2. 规则：BR-31BEBD5AAC5172
3. 未动态验证
4. 示例账号、编号、金额与日期是本条测试数据；执行前按前置条件准备，未填写的产品决策不得自行假定。</x:v>
      </x:c>
    </x:row>
    <x:row r="360" ht="205" customHeight="1">
      <x:c r="A360" s="10" t="n">
        <x:v>359</x:v>
      </x:c>
      <x:c r="B360" s="10" t="str">
        <x:v>USER-0359</x:v>
      </x:c>
      <x:c r="C360" s="10" t="str">
        <x:v>主播管理</x:v>
      </x:c>
      <x:c r="D360" s="10" t="str">
        <x:v>房管管理（主播）</x:v>
      </x:c>
      <x:c r="E360" s="10" t="str">
        <x:v>功能需求</x:v>
      </x:c>
      <x:c r="F360" s="10" t="str">
        <x:v>P2</x:v>
      </x:c>
      <x:c r="G360" s="9" t="str">
        <x:v>验证房管授权跨直播场次保留</x:v>
      </x:c>
      <x:c r="H360" s="9" t="str">
        <x:v>房管长期授权</x:v>
      </x:c>
      <x:c r="I360" s="9" t="str">
        <x:v>1. 主播为本条执行者
2. 主播甲已登录，用户乙已被设置为房管，S001 已结束，S002 已开播</x:v>
      </x:c>
      <x:c r="J360" s="9" t="str">
        <x:v>1. 打开房管管理</x:v>
      </x:c>
      <x:c r="K360" s="9" t="str">
        <x:v>房管列表仍包含用户乙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来源（当前证据）：liveshow-proto/MainBasis/统一需求文档.md；位置：第 1149 行；REQ-ddae36460c4f、第 1150 行；REQ-6dde361727ce、第 1152 行；REQ-fb48ea3b9666、第 1153 行；REQ-717f359e5a4f、第 1154 行；REQ-f2ba90b0b147、第 1155 行；REQ-94bc292839c6、第 1156 行；REQ-93134b08beb0、第 1147 行
2. 规则：BR-30330E4D05AED9
3. 未动态验证
4. 示例账号、编号、金额与日期是本条测试数据；执行前按前置条件准备，未填写的产品决策不得自行假定。</x:v>
      </x:c>
    </x:row>
    <x:row r="361" ht="190" customHeight="1">
      <x:c r="A361" s="10" t="n">
        <x:v>360</x:v>
      </x:c>
      <x:c r="B361" s="10" t="str">
        <x:v>USER-0360</x:v>
      </x:c>
      <x:c r="C361" s="10" t="str">
        <x:v>直播</x:v>
      </x:c>
      <x:c r="D361" s="10" t="str">
        <x:v>连麦主播（主播）</x:v>
      </x:c>
      <x:c r="E361" s="10" t="str">
        <x:v>功能需求</x:v>
      </x:c>
      <x:c r="F361" s="10" t="str">
        <x:v>P2</x:v>
      </x:c>
      <x:c r="G361" s="9" t="str">
        <x:v>验证普通房主播发起连麦邀请</x:v>
      </x:c>
      <x:c r="H361" s="9" t="str">
        <x:v>连麦邀请发起</x:v>
      </x:c>
      <x:c r="I361" s="9" t="str">
        <x:v>1. 主播为本条执行者
2. 主播甲在普通房 S001 直播，主播乙在普通房 S002 直播，双方未连麦且无拉黑关系</x:v>
      </x:c>
      <x:c r="J361" s="9" t="str">
        <x:v>1. 打开连麦主播列表
2. 点击主播乙的邀请</x:v>
      </x:c>
      <x:c r="K361" s="9" t="str">
        <x:v>对主播乙的邀请显示等待回应</x:v>
      </x:c>
      <x:c r="L361" s="10" t="str">
        <x:v>FLOW-C4714004</x:v>
      </x:c>
      <x:c r="M361" s="10" t="str">
        <x:v>未测</x:v>
      </x:c>
      <x:c r="N361" s="10" t="str"/>
      <x:c r="O361" s="9" t="str">
        <x:v>1. 来源（当前证据）：liveshow-proto/MainBasis/统一需求文档.md；位置：第 1825 行；REQ-f9623e60781e、第 1826 行；REQ-250e13b31320、第 1827 行；REQ-fcf4f0b8f117、第 1828 行；REQ-00c732684671、第 1829 行；REQ-fed69bde9ff8、第 1830 行；REQ-b5c3e7b92403、第 1823 行
2. 规则：BR-7E260642D0FC27
3. 未动态验证
4. 示例账号、编号、金额与日期是本条测试数据；执行前按前置条件准备，未填写的产品决策不得自行假定。</x:v>
      </x:c>
    </x:row>
    <x:row r="362" ht="175" customHeight="1">
      <x:c r="A362" s="10" t="n">
        <x:v>361</x:v>
      </x:c>
      <x:c r="B362" s="10" t="str">
        <x:v>USER-0361</x:v>
      </x:c>
      <x:c r="C362" s="10" t="str">
        <x:v>直播</x:v>
      </x:c>
      <x:c r="D362" s="10" t="str">
        <x:v>连麦主播（主播）</x:v>
      </x:c>
      <x:c r="E362" s="10" t="str">
        <x:v>功能需求</x:v>
      </x:c>
      <x:c r="F362" s="10" t="str">
        <x:v>P2</x:v>
      </x:c>
      <x:c r="G362" s="9" t="str">
        <x:v>验证只能保留一条已发出的连麦邀请</x:v>
      </x:c>
      <x:c r="H362" s="9" t="str">
        <x:v>发出邀请数量限制</x:v>
      </x:c>
      <x:c r="I362" s="9" t="str">
        <x:v>1. 主播为本条执行者
2. 主播甲在普通房 S001 直播，主播乙在普通房 S002 直播，双方未连麦且无拉黑关系
3. 甲已向乙发出邀请且等待回应，丙同样满足连麦条件</x:v>
      </x:c>
      <x:c r="J362" s="9" t="str">
        <x:v>1. 打开连麦主播列表
2. 点击邀请主播丙</x:v>
      </x:c>
      <x:c r="K362" s="9" t="str">
        <x:v>未发出第二条对丙的邀请</x:v>
      </x:c>
      <x:c r="L362" s="10" t="str">
        <x:v>FLOW-C4714004</x:v>
      </x:c>
      <x:c r="M362" s="10" t="str">
        <x:v>未测</x:v>
      </x:c>
      <x:c r="N362" s="10" t="str"/>
      <x:c r="O362" s="9" t="str">
        <x:v>1. 来源（当前证据）：liveshow-proto/MainBasis/统一需求文档.md；位置：第 1825 行；REQ-f9623e60781e、第 1828 行；REQ-00c732684671、第 1829 行；REQ-fed69bde9ff8、第 1830 行；REQ-b5c3e7b92403、第 1823 行
2. 规则：BR-97B50C78E79961
3. 未动态验证
4. 示例账号、编号、金额与日期是本条测试数据；执行前按前置条件准备，未填写的产品决策不得自行假定。</x:v>
      </x:c>
    </x:row>
    <x:row r="363" ht="190" customHeight="1">
      <x:c r="A363" s="10" t="n">
        <x:v>362</x:v>
      </x:c>
      <x:c r="B363" s="10" t="str">
        <x:v>USER-0362</x:v>
      </x:c>
      <x:c r="C363" s="10" t="str">
        <x:v>直播</x:v>
      </x:c>
      <x:c r="D363" s="10" t="str">
        <x:v>收到连麦邀请（主播）</x:v>
      </x:c>
      <x:c r="E363" s="10" t="str">
        <x:v>功能需求</x:v>
      </x:c>
      <x:c r="F363" s="10" t="str">
        <x:v>P2</x:v>
      </x:c>
      <x:c r="G363" s="9" t="str">
        <x:v>验证接收多个连麦邀请</x:v>
      </x:c>
      <x:c r="H363" s="9" t="str">
        <x:v>来自乙的邀请保留</x:v>
      </x:c>
      <x:c r="I363" s="9" t="str">
        <x:v>1. 主播为本条执行者
2. 主播甲正在普通房直播，未连麦，收到乙与丙的邀请</x:v>
      </x:c>
      <x:c r="J363" s="9" t="str">
        <x:v>1. 打开连麦邀请列表</x:v>
      </x:c>
      <x:c r="K363" s="9" t="str">
        <x:v>列表保留来自乙的邀请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来源（当前证据）：liveshow-proto/MainBasis/统一需求文档.md；位置：第 1841 行；REQ-9fa5cc4e0691、第 1842 行；REQ-710201f95e6c、第 1843 行；REQ-2ca651adc6a8、第 1844 行；REQ-834d5ef87be0、第 1845 行；REQ-1a86c568fda4、第 1846 行；REQ-7ccdccc5eb39、第 1840 行
2. 规则：BR-2FD6DFBE4FB96F
3. 未动态验证
4. 示例账号、编号、金额与日期是本条测试数据；执行前按前置条件准备，未填写的产品决策不得自行假定。</x:v>
      </x:c>
    </x:row>
    <x:row r="364" ht="190" customHeight="1">
      <x:c r="A364" s="10" t="n">
        <x:v>363</x:v>
      </x:c>
      <x:c r="B364" s="10" t="str">
        <x:v>USER-0363</x:v>
      </x:c>
      <x:c r="C364" s="10" t="str">
        <x:v>直播</x:v>
      </x:c>
      <x:c r="D364" s="10" t="str">
        <x:v>收到连麦邀请（主播）</x:v>
      </x:c>
      <x:c r="E364" s="10" t="str">
        <x:v>功能需求</x:v>
      </x:c>
      <x:c r="F364" s="10" t="str">
        <x:v>P2</x:v>
      </x:c>
      <x:c r="G364" s="9" t="str">
        <x:v>验证接收多个连麦邀请</x:v>
      </x:c>
      <x:c r="H364" s="9" t="str">
        <x:v>来自丙的邀请保留</x:v>
      </x:c>
      <x:c r="I364" s="9" t="str">
        <x:v>1. 主播为本条执行者
2. 主播甲正在普通房直播，未连麦，收到乙与丙的邀请</x:v>
      </x:c>
      <x:c r="J364" s="9" t="str">
        <x:v>1. 打开连麦邀请列表</x:v>
      </x:c>
      <x:c r="K364" s="9" t="str">
        <x:v>列表保留来自丙的邀请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来源（当前证据）：liveshow-proto/MainBasis/统一需求文档.md；位置：第 1841 行；REQ-9fa5cc4e0691、第 1842 行；REQ-710201f95e6c、第 1843 行；REQ-2ca651adc6a8、第 1844 行；REQ-834d5ef87be0、第 1845 行；REQ-1a86c568fda4、第 1846 行；REQ-7ccdccc5eb39、第 1840 行
2. 规则：BR-FCD7B2409A6BD7
3. 未动态验证
4. 示例账号、编号、金额与日期是本条测试数据；执行前按前置条件准备，未填写的产品决策不得自行假定。</x:v>
      </x:c>
    </x:row>
    <x:row r="365" ht="160" customHeight="1">
      <x:c r="A365" s="10" t="n">
        <x:v>364</x:v>
      </x:c>
      <x:c r="B365" s="10" t="str">
        <x:v>USER-0364</x:v>
      </x:c>
      <x:c r="C365" s="10" t="str">
        <x:v>直播</x:v>
      </x:c>
      <x:c r="D365" s="10" t="str">
        <x:v>收到连麦邀请（主播）</x:v>
      </x:c>
      <x:c r="E365" s="10" t="str">
        <x:v>功能需求</x:v>
      </x:c>
      <x:c r="F365" s="10" t="str">
        <x:v>P2</x:v>
      </x:c>
      <x:c r="G365" s="9" t="str">
        <x:v>验证接受邀请后保留其他收到邀请</x:v>
      </x:c>
      <x:c r="H365" s="9" t="str">
        <x:v>接受邀请后的其他来邀</x:v>
      </x:c>
      <x:c r="I365" s="9" t="str">
        <x:v>1. 主播为本条执行者
2. 主播甲正在普通房直播，未连麦，收到乙与丙的邀请
3. 甲还向丁发出了一条等待回应的邀请</x:v>
      </x:c>
      <x:c r="J365" s="9" t="str">
        <x:v>1. 打开来自乙的邀请
2. 点击接受</x:v>
      </x:c>
      <x:c r="K365" s="9" t="str">
        <x:v>来自丙的邀请仍保留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来源（当前证据）：liveshow-proto/MainBasis/统一需求文档.md；位置：第 1843 行；REQ-2ca651adc6a8、第 1845 行；REQ-1a86c568fda4、第 1846 行；REQ-7ccdccc5eb39、第 1840 行
2. 规则：BR-E03777ADE952B0
3. 未动态验证
4. 示例账号、编号、金额与日期是本条测试数据；执行前按前置条件准备，未填写的产品决策不得自行假定。</x:v>
      </x:c>
    </x:row>
    <x:row r="366" ht="160" customHeight="1">
      <x:c r="A366" s="10" t="n">
        <x:v>365</x:v>
      </x:c>
      <x:c r="B366" s="10" t="str">
        <x:v>USER-0365</x:v>
      </x:c>
      <x:c r="C366" s="10" t="str">
        <x:v>直播</x:v>
      </x:c>
      <x:c r="D366" s="10" t="str">
        <x:v>收到连麦邀请（主播）</x:v>
      </x:c>
      <x:c r="E366" s="10" t="str">
        <x:v>功能需求</x:v>
      </x:c>
      <x:c r="F366" s="10" t="str">
        <x:v>P2</x:v>
      </x:c>
      <x:c r="G366" s="9" t="str">
        <x:v>验证接受邀请后保留其他收到邀请</x:v>
      </x:c>
      <x:c r="H366" s="9" t="str">
        <x:v>接受邀请后的已发邀请</x:v>
      </x:c>
      <x:c r="I366" s="9" t="str">
        <x:v>1. 主播为本条执行者
2. 主播甲正在普通房直播，未连麦，收到乙与丙的邀请
3. 甲还向丁发出了一条等待回应的邀请</x:v>
      </x:c>
      <x:c r="J366" s="9" t="str">
        <x:v>1. 打开来自乙的邀请
2. 点击接受</x:v>
      </x:c>
      <x:c r="K366" s="9" t="str">
        <x:v>甲向丁发出的邀请失效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来源（当前证据）：liveshow-proto/MainBasis/统一需求文档.md；位置：第 1843 行；REQ-2ca651adc6a8、第 1845 行；REQ-1a86c568fda4、第 1846 行；REQ-7ccdccc5eb39、第 1840 行
2. 规则：BR-77214DB7458425
3. 未动态验证
4. 示例账号、编号、金额与日期是本条测试数据；执行前按前置条件准备，未填写的产品决策不得自行假定。</x:v>
      </x:c>
    </x:row>
    <x:row r="367" ht="190" customHeight="1">
      <x:c r="A367" s="10" t="n">
        <x:v>366</x:v>
      </x:c>
      <x:c r="B367" s="10" t="str">
        <x:v>USER-0366</x:v>
      </x:c>
      <x:c r="C367" s="10" t="str">
        <x:v>直播</x:v>
      </x:c>
      <x:c r="D367" s="10" t="str">
        <x:v>收到连麦邀请（主播）</x:v>
      </x:c>
      <x:c r="E367" s="10" t="str">
        <x:v>异常用例</x:v>
      </x:c>
      <x:c r="F367" s="10" t="str">
        <x:v>P2</x:v>
      </x:c>
      <x:c r="G367" s="9" t="str">
        <x:v>验证拒绝连麦邀请</x:v>
      </x:c>
      <x:c r="H367" s="9" t="str">
        <x:v>连麦邀请终止</x:v>
      </x:c>
      <x:c r="I367" s="9" t="str">
        <x:v>1. 主播为本条执行者
2. 主播甲正在普通房直播，未连麦，收到乙与丙的邀请
3. 甲乙之间有等待处理的邀请</x:v>
      </x:c>
      <x:c r="J367" s="9" t="str">
        <x:v>1. 打开来自乙的邀请
2. 点击拒绝</x:v>
      </x:c>
      <x:c r="K367" s="9" t="str">
        <x:v>甲乙之间的该邀请失效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来源（当前证据）：liveshow-proto/MainBasis/统一需求文档.md；位置：第 1841 行；REQ-9fa5cc4e0691、第 1842 行；REQ-710201f95e6c、第 1843 行；REQ-2ca651adc6a8、第 1844 行；REQ-834d5ef87be0、第 1845 行；REQ-1a86c568fda4、第 1846 行；REQ-7ccdccc5eb39、第 1840 行
2. 规则：BR-BF57FC6925B5CD
3. 未动态验证
4. 示例账号、编号、金额与日期是本条测试数据；执行前按前置条件准备，未填写的产品决策不得自行假定。</x:v>
      </x:c>
    </x:row>
    <x:row r="368" ht="175" customHeight="1">
      <x:c r="A368" s="10" t="n">
        <x:v>367</x:v>
      </x:c>
      <x:c r="B368" s="10" t="str">
        <x:v>USER-0367</x:v>
      </x:c>
      <x:c r="C368" s="10" t="str">
        <x:v>直播</x:v>
      </x:c>
      <x:c r="D368" s="10" t="str">
        <x:v>连麦主播（主播）</x:v>
      </x:c>
      <x:c r="E368" s="10" t="str">
        <x:v>功能需求</x:v>
      </x:c>
      <x:c r="F368" s="10" t="str">
        <x:v>P2</x:v>
      </x:c>
      <x:c r="G368" s="9" t="str">
        <x:v>验证取消连麦邀请</x:v>
      </x:c>
      <x:c r="H368" s="9" t="str">
        <x:v>连麦邀请终止</x:v>
      </x:c>
      <x:c r="I368" s="9" t="str">
        <x:v>1. 主播为本条执行者
2. 主播甲在普通房 S001 直播，主播乙在普通房 S002 直播，双方未连麦且无拉黑关系
3. 甲乙之间有等待处理的邀请</x:v>
      </x:c>
      <x:c r="J368" s="9" t="str">
        <x:v>1. 打开发给乙的邀请
2. 点击取消</x:v>
      </x:c>
      <x:c r="K368" s="9" t="str">
        <x:v>甲乙之间的该邀请失效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来源（当前证据）：liveshow-proto/MainBasis/统一需求文档.md；位置：第 1825 行；REQ-f9623e60781e、第 1828 行；REQ-00c732684671、第 1829 行；REQ-fed69bde9ff8、第 1830 行；REQ-b5c3e7b92403、第 1823 行
2. 规则：BR-EAB59D42D55D39
3. 未动态验证
4. 示例账号、编号、金额与日期是本条测试数据；执行前按前置条件准备，未填写的产品决策不得自行假定。</x:v>
      </x:c>
    </x:row>
    <x:row r="369" ht="175" customHeight="1">
      <x:c r="A369" s="10" t="n">
        <x:v>368</x:v>
      </x:c>
      <x:c r="B369" s="10" t="str">
        <x:v>USER-0368</x:v>
      </x:c>
      <x:c r="C369" s="10" t="str">
        <x:v>直播</x:v>
      </x:c>
      <x:c r="D369" s="10" t="str">
        <x:v>直播间·连麦中·主播（主播）</x:v>
      </x:c>
      <x:c r="E369" s="10" t="str">
        <x:v>功能需求</x:v>
      </x:c>
      <x:c r="F369" s="10" t="str">
        <x:v>P2</x:v>
      </x:c>
      <x:c r="G369" s="9" t="str">
        <x:v>验证连麦中不能再发起或接受邀请</x:v>
      </x:c>
      <x:c r="H369" s="9" t="str">
        <x:v>连麦中邀请限制</x:v>
      </x:c>
      <x:c r="I369" s="9" t="str">
        <x:v>1. 主播为本条执行者
2. 主播甲和乙已在各自普通房中成功连麦</x:v>
      </x:c>
      <x:c r="J369" s="9" t="str">
        <x:v>1. 打开更多功能</x:v>
      </x:c>
      <x:c r="K369" s="9" t="str">
        <x:v>不能发起或接受新的连麦邀请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来源（当前证据）：liveshow-proto/MainBasis/统一需求文档.md；位置：第 824 行；REQ-1c00ca749351、第 825 行；REQ-c6f9368faf6c、第 829 行；REQ-563e5bc0aaf7、第 830 行；REQ-cbb251726985、第 832 行；REQ-724f42aad9ee、第 823 行
2. 规则：BR-4380E836B35C7B
3. 未动态验证
4. 示例账号、编号、金额与日期是本条测试数据；执行前按前置条件准备，未填写的产品决策不得自行假定。</x:v>
      </x:c>
    </x:row>
    <x:row r="370" ht="145" customHeight="1">
      <x:c r="A370" s="10" t="n">
        <x:v>369</x:v>
      </x:c>
      <x:c r="B370" s="10" t="str">
        <x:v>USER-0369</x:v>
      </x:c>
      <x:c r="C370" s="10" t="str">
        <x:v>直播</x:v>
      </x:c>
      <x:c r="D370" s="10" t="str">
        <x:v>退出连麦确认（主播）</x:v>
      </x:c>
      <x:c r="E370" s="10" t="str">
        <x:v>功能需求</x:v>
      </x:c>
      <x:c r="F370" s="10" t="str">
        <x:v>P2</x:v>
      </x:c>
      <x:c r="G370" s="9" t="str">
        <x:v>验证结束连麦后自身直播继续</x:v>
      </x:c>
      <x:c r="H370" s="9" t="str">
        <x:v>连麦终止</x:v>
      </x:c>
      <x:c r="I370" s="9" t="str">
        <x:v>1. 主播为本条执行者
2. 主播甲与乙已连麦，各自直播场次仍在进行</x:v>
      </x:c>
      <x:c r="J370" s="9" t="str">
        <x:v>1. 打开退出连麦确认
2. 点击确认</x:v>
      </x:c>
      <x:c r="K370" s="9" t="str">
        <x:v>甲退出连麦画面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来源（当前证据）：liveshow-proto/MainBasis/统一需求文档.md；位置：第 1898 行；REQ-6516ede9aac0、第 1899 行；REQ-9669e16fa307、第 1897 行
2. 规则：BR-C7BF2FDE999D22
3. 未动态验证
4. 示例账号、编号、金额与日期是本条测试数据；执行前按前置条件准备，未填写的产品决策不得自行假定。</x:v>
      </x:c>
    </x:row>
    <x:row r="371" ht="145" customHeight="1">
      <x:c r="A371" s="10" t="n">
        <x:v>370</x:v>
      </x:c>
      <x:c r="B371" s="10" t="str">
        <x:v>USER-0370</x:v>
      </x:c>
      <x:c r="C371" s="10" t="str">
        <x:v>直播</x:v>
      </x:c>
      <x:c r="D371" s="10" t="str">
        <x:v>退出连麦确认（主播）</x:v>
      </x:c>
      <x:c r="E371" s="10" t="str">
        <x:v>功能需求</x:v>
      </x:c>
      <x:c r="F371" s="10" t="str">
        <x:v>P2</x:v>
      </x:c>
      <x:c r="G371" s="9" t="str">
        <x:v>验证结束连麦后自身直播继续</x:v>
      </x:c>
      <x:c r="H371" s="9" t="str">
        <x:v>连麦结束不关播</x:v>
      </x:c>
      <x:c r="I371" s="9" t="str">
        <x:v>1. 主播为本条执行者
2. 主播甲与乙已连麦，各自直播场次仍在进行</x:v>
      </x:c>
      <x:c r="J371" s="9" t="str">
        <x:v>1. 打开退出连麦确认
2. 点击确认</x:v>
      </x:c>
      <x:c r="K371" s="9" t="str">
        <x:v>甲的原直播场次仍在直播中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来源（当前证据）：liveshow-proto/MainBasis/统一需求文档.md；位置：第 1898 行；REQ-6516ede9aac0、第 1899 行；REQ-9669e16fa307、第 1897 行
2. 规则：BR-BBF12A35A14CE9
3. 未动态验证
4. 示例账号、编号、金额与日期是本条测试数据；执行前按前置条件准备，未填写的产品决策不得自行假定。</x:v>
      </x:c>
    </x:row>
    <x:row r="372" ht="130" customHeight="1">
      <x:c r="A372" s="10" t="n">
        <x:v>371</x:v>
      </x:c>
      <x:c r="B372" s="10" t="str">
        <x:v>USER-0371</x:v>
      </x:c>
      <x:c r="C372" s="10" t="str">
        <x:v>直播</x:v>
      </x:c>
      <x:c r="D372" s="10" t="str">
        <x:v>退出连麦确认（主播）</x:v>
      </x:c>
      <x:c r="E372" s="10" t="str">
        <x:v>功能需求</x:v>
      </x:c>
      <x:c r="F372" s="10" t="str">
        <x:v>P2</x:v>
      </x:c>
      <x:c r="G372" s="9" t="str">
        <x:v>验证取消结束连麦</x:v>
      </x:c>
      <x:c r="H372" s="9" t="str">
        <x:v>连麦终止取消</x:v>
      </x:c>
      <x:c r="I372" s="9" t="str">
        <x:v>1. 主播为本条执行者
2. 主播甲与乙已连麦，各自直播场次仍在进行</x:v>
      </x:c>
      <x:c r="J372" s="9" t="str">
        <x:v>1. 打开退出连麦确认
2. 点击取消</x:v>
      </x:c>
      <x:c r="K372" s="9" t="str">
        <x:v>甲乙连麦保持进行中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来源（当前证据）：liveshow-proto/MainBasis/统一需求文档.md；位置：第 1899 行；REQ-9669e16fa307、第 1897 行
2. 规则：BR-85652A83A51B96
3. 未动态验证
4. 示例账号、编号、金额与日期是本条测试数据；执行前按前置条件准备，未填写的产品决策不得自行假定。</x:v>
      </x:c>
    </x:row>
    <x:row r="373" ht="250" customHeight="1">
      <x:c r="A373" s="10" t="n">
        <x:v>372</x:v>
      </x:c>
      <x:c r="B373" s="10" t="str">
        <x:v>USER-0372</x:v>
      </x:c>
      <x:c r="C373" s="10" t="str">
        <x:v>主播管理</x:v>
      </x:c>
      <x:c r="D373" s="10" t="str">
        <x:v>直播记录（主播）</x:v>
      </x:c>
      <x:c r="E373" s="10" t="str">
        <x:v>功能需求</x:v>
      </x:c>
      <x:c r="F373" s="10" t="str">
        <x:v>P2</x:v>
      </x:c>
      <x:c r="G373" s="9" t="str">
        <x:v>验证多次开播保留独立场次记录</x:v>
      </x:c>
      <x:c r="H373" s="9" t="str">
        <x:v>场次独立记录</x:v>
      </x:c>
      <x:c r="I373" s="9" t="str">
        <x:v>1. 主播为本条执行者
2. 主播甲有已结束场次 S001 和 S002，固定直播间 ID 相同，两个场次 ID 不同</x:v>
      </x:c>
      <x:c r="J373" s="9" t="str">
        <x:v>1. 打开直播记录</x:v>
      </x:c>
      <x:c r="K373" s="9" t="str">
        <x:v>S001 和 S002 各有一条直播记录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来源（当前证据）：liveshow-proto/MainBasis/统一需求文档.md；位置：第 1261 行；REQ-4fc2dd894f97、第 1262 行；REQ-c094f7abd18b、第 1263 行；REQ-ec6a0cb31db7、第 1264 行；REQ-b552d3d74668、第 1265 行；REQ-d023a2bf3fd4、第 1266 行；REQ-055449c7eb9d、第 1267 行；REQ-f1e1f573f151、第 1268 行；REQ-e8aae3a8555f、第 1270 行；REQ-217ee56feb5c、第 1273 行；REQ-6a021ec4ec30、第 1274 行；REQ-a6f849e9e52e、第 1259 行
2. 规则：BR-27395541D6AB2E
3. 未动态验证
4. 示例账号、编号、金额与日期是本条测试数据；执行前按前置条件准备，未填写的产品决策不得自行假定。</x:v>
      </x:c>
    </x:row>
    <x:row r="374" ht="250" customHeight="1">
      <x:c r="A374" s="10" t="n">
        <x:v>373</x:v>
      </x:c>
      <x:c r="B374" s="10" t="str">
        <x:v>USER-0373</x:v>
      </x:c>
      <x:c r="C374" s="10" t="str">
        <x:v>主播管理</x:v>
      </x:c>
      <x:c r="D374" s="10" t="str">
        <x:v>直播记录（主播）</x:v>
      </x:c>
      <x:c r="E374" s="10" t="str">
        <x:v>功能需求</x:v>
      </x:c>
      <x:c r="F374" s="10" t="str">
        <x:v>P2</x:v>
      </x:c>
      <x:c r="G374" s="9" t="str">
        <x:v>验证修改新场次主题不改历史记录</x:v>
      </x:c>
      <x:c r="H374" s="9" t="str">
        <x:v>历史主题快照</x:v>
      </x:c>
      <x:c r="I374" s="9" t="str">
        <x:v>1. 主播为本条执行者
2. 主播甲有已结束场次 S001 和 S002，固定直播间 ID 相同，两个场次 ID 不同
3. S001 结束时主题为“旧主题”，当前新场次主题为“新主题”</x:v>
      </x:c>
      <x:c r="J374" s="9" t="str">
        <x:v>1. 打开直播记录
2. 查看 S001</x:v>
      </x:c>
      <x:c r="K374" s="9" t="str">
        <x:v>S001 仍显示“旧主题”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来源（当前证据）：liveshow-proto/MainBasis/统一需求文档.md；位置：第 1261 行；REQ-4fc2dd894f97、第 1262 行；REQ-c094f7abd18b、第 1263 行；REQ-ec6a0cb31db7、第 1264 行；REQ-b552d3d74668、第 1265 行；REQ-d023a2bf3fd4、第 1266 行；REQ-055449c7eb9d、第 1267 行；REQ-f1e1f573f151、第 1268 行；REQ-e8aae3a8555f、第 1270 行；REQ-217ee56feb5c、第 1273 行；REQ-6a021ec4ec30、第 1274 行；REQ-a6f849e9e52e、第 1259 行
2. 规则：BR-989839EF5C1432
3. 未动态验证
4. 示例账号、编号、金额与日期是本条测试数据；执行前按前置条件准备，未填写的产品决策不得自行假定。</x:v>
      </x:c>
    </x:row>
    <x:row r="375" ht="160" customHeight="1">
      <x:c r="A375" s="10" t="n">
        <x:v>374</x:v>
      </x:c>
      <x:c r="B375" s="10" t="str">
        <x:v>USER-0374</x:v>
      </x:c>
      <x:c r="C375" s="10" t="str">
        <x:v>主播管理</x:v>
      </x:c>
      <x:c r="D375" s="10" t="str">
        <x:v>粉丝团设置（主播）</x:v>
      </x:c>
      <x:c r="E375" s="10" t="str">
        <x:v>功能需求</x:v>
      </x:c>
      <x:c r="F375" s="10" t="str">
        <x:v>P2</x:v>
      </x:c>
      <x:c r="G375" s="9" t="str">
        <x:v>验证粉丝团名称 0 字</x:v>
      </x:c>
      <x:c r="H375" s="9" t="str">
        <x:v>粉丝团名称长度</x:v>
      </x:c>
      <x:c r="I375" s="9" t="str">
        <x:v>1. 主播为本条执行者
2. 主播甲是粉丝团所属主播，已有成员乙
3. 累计贡献条件设为 0</x:v>
      </x:c>
      <x:c r="J375" s="9" t="str">
        <x:v>1. 打开粉丝团设置
2. 清空名称
3. 点击保存</x:v>
      </x:c>
      <x:c r="K375" s="9" t="str">
        <x:v>本次名称未保存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来源（当前证据）：liveshow-proto/MainBasis/统一需求文档.md；位置：第 1238 行；REQ-aa76d1f2aa67、第 1242 行；REQ-188125f1ce89、第 1243 行；REQ-73346c4d9ed3、第 1236 行
2. 规则：BR-7C0D5C2F81A7F1
3. 未动态验证
4. 示例账号、编号、金额与日期是本条测试数据；执行前按前置条件准备，未填写的产品决策不得自行假定。</x:v>
      </x:c>
    </x:row>
    <x:row r="376" ht="160" customHeight="1">
      <x:c r="A376" s="10" t="n">
        <x:v>375</x:v>
      </x:c>
      <x:c r="B376" s="10" t="str">
        <x:v>USER-0375</x:v>
      </x:c>
      <x:c r="C376" s="10" t="str">
        <x:v>主播管理</x:v>
      </x:c>
      <x:c r="D376" s="10" t="str">
        <x:v>粉丝团设置（主播）</x:v>
      </x:c>
      <x:c r="E376" s="10" t="str">
        <x:v>功能需求</x:v>
      </x:c>
      <x:c r="F376" s="10" t="str">
        <x:v>P2</x:v>
      </x:c>
      <x:c r="G376" s="9" t="str">
        <x:v>验证粉丝团名称 1 字</x:v>
      </x:c>
      <x:c r="H376" s="9" t="str">
        <x:v>粉丝团名称长度</x:v>
      </x:c>
      <x:c r="I376" s="9" t="str">
        <x:v>1. 主播为本条执行者
2. 主播甲是粉丝团所属主播，已有成员乙
3. 累计贡献条件设为 0</x:v>
      </x:c>
      <x:c r="J376" s="9" t="str">
        <x:v>1. 打开粉丝团设置
2. 输入由 1 个“测”组成的名称
3. 点击保存</x:v>
      </x:c>
      <x:c r="K376" s="9" t="str">
        <x:v>名称保存为 1 个“测”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来源（当前证据）：liveshow-proto/MainBasis/统一需求文档.md；位置：第 1238 行；REQ-aa76d1f2aa67、第 1242 行；REQ-188125f1ce89、第 1243 行；REQ-73346c4d9ed3、第 1236 行
2. 规则：BR-4C50BE0B72F2FC
3. 未动态验证
4. 示例账号、编号、金额与日期是本条测试数据；执行前按前置条件准备，未填写的产品决策不得自行假定。</x:v>
      </x:c>
    </x:row>
    <x:row r="377" ht="160" customHeight="1">
      <x:c r="A377" s="10" t="n">
        <x:v>376</x:v>
      </x:c>
      <x:c r="B377" s="10" t="str">
        <x:v>USER-0376</x:v>
      </x:c>
      <x:c r="C377" s="10" t="str">
        <x:v>主播管理</x:v>
      </x:c>
      <x:c r="D377" s="10" t="str">
        <x:v>粉丝团设置（主播）</x:v>
      </x:c>
      <x:c r="E377" s="10" t="str">
        <x:v>功能需求</x:v>
      </x:c>
      <x:c r="F377" s="10" t="str">
        <x:v>P2</x:v>
      </x:c>
      <x:c r="G377" s="9" t="str">
        <x:v>验证粉丝团名称 20 字</x:v>
      </x:c>
      <x:c r="H377" s="9" t="str">
        <x:v>粉丝团名称长度</x:v>
      </x:c>
      <x:c r="I377" s="9" t="str">
        <x:v>1. 主播为本条执行者
2. 主播甲是粉丝团所属主播，已有成员乙
3. 累计贡献条件设为 0</x:v>
      </x:c>
      <x:c r="J377" s="9" t="str">
        <x:v>1. 打开粉丝团设置
2. 输入由 20 个“测”组成的名称
3. 点击保存</x:v>
      </x:c>
      <x:c r="K377" s="9" t="str">
        <x:v>名称保存为 20 个“测”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来源（当前证据）：liveshow-proto/MainBasis/统一需求文档.md；位置：第 1238 行；REQ-aa76d1f2aa67、第 1242 行；REQ-188125f1ce89、第 1243 行；REQ-73346c4d9ed3、第 1236 行
2. 规则：BR-CD1FC0178B097A
3. 未动态验证
4. 示例账号、编号、金额与日期是本条测试数据；执行前按前置条件准备，未填写的产品决策不得自行假定。</x:v>
      </x:c>
    </x:row>
    <x:row r="378" ht="160" customHeight="1">
      <x:c r="A378" s="10" t="n">
        <x:v>377</x:v>
      </x:c>
      <x:c r="B378" s="10" t="str">
        <x:v>USER-0377</x:v>
      </x:c>
      <x:c r="C378" s="10" t="str">
        <x:v>主播管理</x:v>
      </x:c>
      <x:c r="D378" s="10" t="str">
        <x:v>粉丝团设置（主播）</x:v>
      </x:c>
      <x:c r="E378" s="10" t="str">
        <x:v>功能需求</x:v>
      </x:c>
      <x:c r="F378" s="10" t="str">
        <x:v>P2</x:v>
      </x:c>
      <x:c r="G378" s="9" t="str">
        <x:v>验证粉丝团名称 21 字</x:v>
      </x:c>
      <x:c r="H378" s="9" t="str">
        <x:v>粉丝团名称长度</x:v>
      </x:c>
      <x:c r="I378" s="9" t="str">
        <x:v>1. 主播为本条执行者
2. 主播甲是粉丝团所属主播，已有成员乙
3. 累计贡献条件设为 0</x:v>
      </x:c>
      <x:c r="J378" s="9" t="str">
        <x:v>1. 打开粉丝团设置
2. 输入由 21 个“测”组成的名称
3. 点击保存</x:v>
      </x:c>
      <x:c r="K378" s="9" t="str">
        <x:v>本次名称未保存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来源（当前证据）：liveshow-proto/MainBasis/统一需求文档.md；位置：第 1238 行；REQ-aa76d1f2aa67、第 1242 行；REQ-188125f1ce89、第 1243 行；REQ-73346c4d9ed3、第 1236 行
2. 规则：BR-774D5F120E6472
3. 未动态验证
4. 示例账号、编号、金额与日期是本条测试数据；执行前按前置条件准备，未填写的产品决策不得自行假定。</x:v>
      </x:c>
    </x:row>
    <x:row r="379" ht="145" customHeight="1">
      <x:c r="A379" s="10" t="n">
        <x:v>378</x:v>
      </x:c>
      <x:c r="B379" s="10" t="str">
        <x:v>USER-0378</x:v>
      </x:c>
      <x:c r="C379" s="10" t="str">
        <x:v>主播管理</x:v>
      </x:c>
      <x:c r="D379" s="10" t="str">
        <x:v>粉丝团设置（主播）</x:v>
      </x:c>
      <x:c r="E379" s="10" t="str">
        <x:v>功能需求</x:v>
      </x:c>
      <x:c r="F379" s="10" t="str">
        <x:v>P2</x:v>
      </x:c>
      <x:c r="G379" s="9" t="str">
        <x:v>验证入团贡献门槛 -1</x:v>
      </x:c>
      <x:c r="H379" s="9" t="str">
        <x:v>入团贡献门槛范围</x:v>
      </x:c>
      <x:c r="I379" s="9" t="str">
        <x:v>1. 主播为本条执行者
2. 主播甲是粉丝团所属主播，已有成员乙
3. 名称为“测试粉丝团”</x:v>
      </x:c>
      <x:c r="J379" s="9" t="str">
        <x:v>1. 打开粉丝团设置
2. 输入累计贡献 -1
3. 点击保存</x:v>
      </x:c>
      <x:c r="K379" s="9" t="str">
        <x:v>本次加入条件未保存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来源（当前证据）：liveshow-proto/MainBasis/统一需求文档.md；位置：第 1240 行；REQ-e145ac7a518b、第 1243 行；REQ-73346c4d9ed3、第 1236 行
2. 规则：BR-64FFF3226CC09A
3. 未动态验证
4. 示例账号、编号、金额与日期是本条测试数据；执行前按前置条件准备，未填写的产品决策不得自行假定。</x:v>
      </x:c>
    </x:row>
    <x:row r="380" ht="145" customHeight="1">
      <x:c r="A380" s="10" t="n">
        <x:v>379</x:v>
      </x:c>
      <x:c r="B380" s="10" t="str">
        <x:v>USER-0379</x:v>
      </x:c>
      <x:c r="C380" s="10" t="str">
        <x:v>主播管理</x:v>
      </x:c>
      <x:c r="D380" s="10" t="str">
        <x:v>粉丝团设置（主播）</x:v>
      </x:c>
      <x:c r="E380" s="10" t="str">
        <x:v>功能需求</x:v>
      </x:c>
      <x:c r="F380" s="10" t="str">
        <x:v>P2</x:v>
      </x:c>
      <x:c r="G380" s="9" t="str">
        <x:v>验证入团贡献门槛 0</x:v>
      </x:c>
      <x:c r="H380" s="9" t="str">
        <x:v>入团贡献门槛范围</x:v>
      </x:c>
      <x:c r="I380" s="9" t="str">
        <x:v>1. 主播为本条执行者
2. 主播甲是粉丝团所属主播，已有成员乙
3. 名称为“测试粉丝团”</x:v>
      </x:c>
      <x:c r="J380" s="9" t="str">
        <x:v>1. 打开粉丝团设置
2. 输入累计贡献 0
3. 点击保存</x:v>
      </x:c>
      <x:c r="K380" s="9" t="str">
        <x:v>累计贡献条件保存为 0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来源（当前证据）：liveshow-proto/MainBasis/统一需求文档.md；位置：第 1240 行；REQ-e145ac7a518b、第 1243 行；REQ-73346c4d9ed3、第 1236 行
2. 规则：BR-873661816ABCC0
3. 未动态验证
4. 示例账号、编号、金额与日期是本条测试数据；执行前按前置条件准备，未填写的产品决策不得自行假定。</x:v>
      </x:c>
    </x:row>
    <x:row r="381" ht="145" customHeight="1">
      <x:c r="A381" s="10" t="n">
        <x:v>380</x:v>
      </x:c>
      <x:c r="B381" s="10" t="str">
        <x:v>USER-0380</x:v>
      </x:c>
      <x:c r="C381" s="10" t="str">
        <x:v>主播管理</x:v>
      </x:c>
      <x:c r="D381" s="10" t="str">
        <x:v>粉丝团设置（主播）</x:v>
      </x:c>
      <x:c r="E381" s="10" t="str">
        <x:v>功能需求</x:v>
      </x:c>
      <x:c r="F381" s="10" t="str">
        <x:v>P2</x:v>
      </x:c>
      <x:c r="G381" s="9" t="str">
        <x:v>验证入团贡献门槛 1</x:v>
      </x:c>
      <x:c r="H381" s="9" t="str">
        <x:v>入团贡献门槛范围</x:v>
      </x:c>
      <x:c r="I381" s="9" t="str">
        <x:v>1. 主播为本条执行者
2. 主播甲是粉丝团所属主播，已有成员乙
3. 名称为“测试粉丝团”</x:v>
      </x:c>
      <x:c r="J381" s="9" t="str">
        <x:v>1. 打开粉丝团设置
2. 输入累计贡献 1
3. 点击保存</x:v>
      </x:c>
      <x:c r="K381" s="9" t="str">
        <x:v>累计贡献条件保存为 1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来源（当前证据）：liveshow-proto/MainBasis/统一需求文档.md；位置：第 1240 行；REQ-e145ac7a518b、第 1243 行；REQ-73346c4d9ed3、第 1236 行
2. 规则：BR-5F668791544386
3. 未动态验证
4. 示例账号、编号、金额与日期是本条测试数据；执行前按前置条件准备，未填写的产品决策不得自行假定。</x:v>
      </x:c>
    </x:row>
    <x:row r="382" ht="145" customHeight="1">
      <x:c r="A382" s="10" t="n">
        <x:v>381</x:v>
      </x:c>
      <x:c r="B382" s="10" t="str">
        <x:v>USER-0381</x:v>
      </x:c>
      <x:c r="C382" s="10" t="str">
        <x:v>主播管理</x:v>
      </x:c>
      <x:c r="D382" s="10" t="str">
        <x:v>粉丝团设置（主播）</x:v>
      </x:c>
      <x:c r="E382" s="10" t="str">
        <x:v>功能需求</x:v>
      </x:c>
      <x:c r="F382" s="10" t="str">
        <x:v>P2</x:v>
      </x:c>
      <x:c r="G382" s="9" t="str">
        <x:v>验证入团贡献门槛 0.5</x:v>
      </x:c>
      <x:c r="H382" s="9" t="str">
        <x:v>入团贡献门槛范围</x:v>
      </x:c>
      <x:c r="I382" s="9" t="str">
        <x:v>1. 主播为本条执行者
2. 主播甲是粉丝团所属主播，已有成员乙
3. 名称为“测试粉丝团”</x:v>
      </x:c>
      <x:c r="J382" s="9" t="str">
        <x:v>1. 打开粉丝团设置
2. 输入累计贡献 0.5
3. 点击保存</x:v>
      </x:c>
      <x:c r="K382" s="9" t="str">
        <x:v>本次加入条件未保存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来源（当前证据）：liveshow-proto/MainBasis/统一需求文档.md；位置：第 1240 行；REQ-e145ac7a518b、第 1243 行；REQ-73346c4d9ed3、第 1236 行
2. 规则：BR-9A95F7F3CF035B
3. 未动态验证
4. 示例账号、编号、金额与日期是本条测试数据；执行前按前置条件准备，未填写的产品决策不得自行假定。</x:v>
      </x:c>
    </x:row>
    <x:row r="383" ht="130" customHeight="1">
      <x:c r="A383" s="10" t="n">
        <x:v>382</x:v>
      </x:c>
      <x:c r="B383" s="10" t="str">
        <x:v>USER-0382</x:v>
      </x:c>
      <x:c r="C383" s="10" t="str">
        <x:v>主播管理</x:v>
      </x:c>
      <x:c r="D383" s="10" t="str">
        <x:v>粉丝团设置（主播）</x:v>
      </x:c>
      <x:c r="E383" s="10" t="str">
        <x:v>功能需求</x:v>
      </x:c>
      <x:c r="F383" s="10" t="str">
        <x:v>P2</x:v>
      </x:c>
      <x:c r="G383" s="9" t="str">
        <x:v>验证修改加入门槛不移出既有成员</x:v>
      </x:c>
      <x:c r="H383" s="9" t="str">
        <x:v>加入条件变更的老成员保留</x:v>
      </x:c>
      <x:c r="I383" s="9" t="str">
        <x:v>1. 主播为本条执行者
2. 主播甲是粉丝团所属主播，已有成员乙
3. 成员乙累计贡献 10，当前加入门槛 0</x:v>
      </x:c>
      <x:c r="J383" s="9" t="str">
        <x:v>1. 打开粉丝团设置
2. 输入累计贡献 100
3. 点击保存</x:v>
      </x:c>
      <x:c r="K383" s="9" t="str">
        <x:v>乙仍为当前粉丝团成员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来源（当前证据）：liveshow-proto/MainBasis/统一需求文档.md；位置：第 1241 行；REQ-c0bc6a748d7f、第 1236 行
2. 规则：BR-A09A9A38FB98C8
3. 未动态验证
4. 示例账号、编号、金额与日期是本条测试数据；执行前按前置条件准备，未填写的产品决策不得自行假定。</x:v>
      </x:c>
    </x:row>
    <x:row r="384" ht="130" customHeight="1">
      <x:c r="A384" s="10" t="n">
        <x:v>383</x:v>
      </x:c>
      <x:c r="B384" s="10" t="str">
        <x:v>USER-0383</x:v>
      </x:c>
      <x:c r="C384" s="10" t="str">
        <x:v>首页与发现</x:v>
      </x:c>
      <x:c r="D384" s="10" t="str">
        <x:v>首页（用户）</x:v>
      </x:c>
      <x:c r="E384" s="10" t="str">
        <x:v>功能需求</x:v>
      </x:c>
      <x:c r="F384" s="10" t="str">
        <x:v>P2</x:v>
      </x:c>
      <x:c r="G384" s="9" t="str">
        <x:v>验证首页使用搜索 </x:v>
      </x:c>
      <x:c r="H384" s="9" t="str">
        <x:v>目标入口</x:v>
      </x:c>
      <x:c r="I384" s="9" t="str">
        <x:v>1. 用户为本条执行者
2. 首页已展示；涉及列表记录时，列表中存在可选择的本账号记录甲</x:v>
      </x:c>
      <x:c r="J384" s="9" t="str">
        <x:v>1. 点击搜索 </x:v>
      </x:c>
      <x:c r="K384" s="9" t="str">
        <x:v>进入搜索页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来源（当前证据）：liveshow-proto/MainBasis/统一需求文档.md；位置：第 533 行；REQ-509b608bd4e7、第 517 行
2. 规则：BR-3D963C6A3816A3
3. 未动态验证
4. 示例账号、编号、金额与日期是本条测试数据；执行前按前置条件准备，未填写的产品决策不得自行假定。</x:v>
      </x:c>
    </x:row>
    <x:row r="385" ht="130" customHeight="1">
      <x:c r="A385" s="10" t="n">
        <x:v>384</x:v>
      </x:c>
      <x:c r="B385" s="10" t="str">
        <x:v>USER-0384</x:v>
      </x:c>
      <x:c r="C385" s="10" t="str">
        <x:v>首页与发现</x:v>
      </x:c>
      <x:c r="D385" s="10" t="str">
        <x:v>搜索结果（用户）</x:v>
      </x:c>
      <x:c r="E385" s="10" t="str">
        <x:v>功能需求</x:v>
      </x:c>
      <x:c r="F385" s="10" t="str">
        <x:v>P2</x:v>
      </x:c>
      <x:c r="G385" s="9" t="str">
        <x:v>验证搜索结果使用直播中的结果 </x:v>
      </x:c>
      <x:c r="H385" s="9" t="str">
        <x:v>目标入口</x:v>
      </x:c>
      <x:c r="I385" s="9" t="str">
        <x:v>1. 用户为本条执行者
2. 搜索结果已展示；涉及列表记录时，列表中存在可选择的本账号记录甲</x:v>
      </x:c>
      <x:c r="J385" s="9" t="str">
        <x:v>1. 点击直播中的结果 </x:v>
      </x:c>
      <x:c r="K385" s="9" t="str">
        <x:v>进入直播间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来源（当前证据）：liveshow-proto/MainBasis/统一需求文档.md；位置：第 589 行；REQ-517b2a4a3b1f、第 582 行
2. 规则：BR-2580557C1114AC
3. 未动态验证
4. 示例账号、编号、金额与日期是本条测试数据；执行前按前置条件准备，未填写的产品决策不得自行假定。</x:v>
      </x:c>
    </x:row>
    <x:row r="386" ht="130" customHeight="1">
      <x:c r="A386" s="10" t="n">
        <x:v>385</x:v>
      </x:c>
      <x:c r="B386" s="10" t="str">
        <x:v>USER-0385</x:v>
      </x:c>
      <x:c r="C386" s="10" t="str">
        <x:v>首页与发现</x:v>
      </x:c>
      <x:c r="D386" s="10" t="str">
        <x:v>全部任务（用户）</x:v>
      </x:c>
      <x:c r="E386" s="10" t="str">
        <x:v>功能需求</x:v>
      </x:c>
      <x:c r="F386" s="10" t="str">
        <x:v>P2</x:v>
      </x:c>
      <x:c r="G386" s="9" t="str">
        <x:v>验证全部任务使用返回 </x:v>
      </x:c>
      <x:c r="H386" s="9" t="str">
        <x:v>目标入口</x:v>
      </x:c>
      <x:c r="I386" s="9" t="str">
        <x:v>1. 用户为本条执行者
2. 全部任务已展示；涉及列表记录时，列表中存在可选择的本账号记录甲</x:v>
      </x:c>
      <x:c r="J386" s="9" t="str">
        <x:v>1. 点击返回 </x:v>
      </x:c>
      <x:c r="K386" s="9" t="str">
        <x:v>回到充值福利页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来源（当前证据）：liveshow-proto/MainBasis/统一需求文档.md；位置：第 637 行；REQ-c3c7d67d479f、第 625 行
2. 规则：BR-D91167859B8EC9
3. 未动态验证
4. 示例账号、编号、金额与日期是本条测试数据；执行前按前置条件准备，未填写的产品决策不得自行假定。</x:v>
      </x:c>
    </x:row>
    <x:row r="387" ht="130" customHeight="1">
      <x:c r="A387" s="10" t="n">
        <x:v>386</x:v>
      </x:c>
      <x:c r="B387" s="10" t="str">
        <x:v>USER-0386</x:v>
      </x:c>
      <x:c r="C387" s="10" t="str">
        <x:v>个人中心</x:v>
      </x:c>
      <x:c r="D387" s="10" t="str">
        <x:v>我的（用户）</x:v>
      </x:c>
      <x:c r="E387" s="10" t="str">
        <x:v>功能需求</x:v>
      </x:c>
      <x:c r="F387" s="10" t="str">
        <x:v>P2</x:v>
      </x:c>
      <x:c r="G387" s="9" t="str">
        <x:v>验证我的使用好友数 </x:v>
      </x:c>
      <x:c r="H387" s="9" t="str">
        <x:v>目标入口</x:v>
      </x:c>
      <x:c r="I387" s="9" t="str">
        <x:v>1. 用户为本条执行者
2. 我的已展示；涉及列表记录时，列表中存在可选择的本账号记录甲</x:v>
      </x:c>
      <x:c r="J387" s="9" t="str">
        <x:v>1. 点击好友数 </x:v>
      </x:c>
      <x:c r="K387" s="9" t="str">
        <x:v>进入好友列表 P043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来源（当前证据）：liveshow-proto/MainBasis/统一需求文档.md；位置：第 684 行；REQ-a638e46b1a6a、第 676 行
2. 规则：BR-BDDEBD62ADD790
3. 未动态验证
4. 示例账号、编号、金额与日期是本条测试数据；执行前按前置条件准备，未填写的产品决策不得自行假定。</x:v>
      </x:c>
    </x:row>
    <x:row r="388" ht="130" customHeight="1">
      <x:c r="A388" s="10" t="n">
        <x:v>387</x:v>
      </x:c>
      <x:c r="B388" s="10" t="str">
        <x:v>USER-0387</x:v>
      </x:c>
      <x:c r="C388" s="10" t="str">
        <x:v>个人中心</x:v>
      </x:c>
      <x:c r="D388" s="10" t="str">
        <x:v>我的（用户）</x:v>
      </x:c>
      <x:c r="E388" s="10" t="str">
        <x:v>功能需求</x:v>
      </x:c>
      <x:c r="F388" s="10" t="str">
        <x:v>P2</x:v>
      </x:c>
      <x:c r="G388" s="9" t="str">
        <x:v>验证我的使用粉丝数 </x:v>
      </x:c>
      <x:c r="H388" s="9" t="str">
        <x:v>目标入口</x:v>
      </x:c>
      <x:c r="I388" s="9" t="str">
        <x:v>1. 用户为本条执行者
2. 我的已展示；涉及列表记录时，列表中存在可选择的本账号记录甲</x:v>
      </x:c>
      <x:c r="J388" s="9" t="str">
        <x:v>1. 点击粉丝数 </x:v>
      </x:c>
      <x:c r="K388" s="9" t="str">
        <x:v>进入粉丝列表 P045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来源（当前证据）：liveshow-proto/MainBasis/统一需求文档.md；位置：第 684 行；REQ-a638e46b1a6a、第 676 行
2. 规则：BR-763CC7CA4C3EFD
3. 未动态验证
4. 示例账号、编号、金额与日期是本条测试数据；执行前按前置条件准备，未填写的产品决策不得自行假定。</x:v>
      </x:c>
    </x:row>
    <x:row r="389" ht="130" customHeight="1">
      <x:c r="A389" s="10" t="n">
        <x:v>388</x:v>
      </x:c>
      <x:c r="B389" s="10" t="str">
        <x:v>USER-0388</x:v>
      </x:c>
      <x:c r="C389" s="10" t="str">
        <x:v>消息与社交</x:v>
      </x:c>
      <x:c r="D389" s="10" t="str">
        <x:v>好友列表（用户）</x:v>
      </x:c>
      <x:c r="E389" s="10" t="str">
        <x:v>功能需求</x:v>
      </x:c>
      <x:c r="F389" s="10" t="str">
        <x:v>P2</x:v>
      </x:c>
      <x:c r="G389" s="9" t="str">
        <x:v>验证好友列表使用返回 </x:v>
      </x:c>
      <x:c r="H389" s="9" t="str">
        <x:v>目标入口</x:v>
      </x:c>
      <x:c r="I389" s="9" t="str">
        <x:v>1. 用户为本条执行者
2. 好友列表已展示；涉及列表记录时，列表中存在可选择的本账号记录甲</x:v>
      </x:c>
      <x:c r="J389" s="9" t="str">
        <x:v>1. 点击返回 </x:v>
      </x:c>
      <x:c r="K389" s="9" t="str">
        <x:v>进入消息中心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来源（当前证据）：liveshow-proto/MainBasis/统一需求文档.md；位置：第 867 行；REQ-6a0e0397b14c、第 854 行
2. 规则：BR-80447DDE94ACCB
3. 未动态验证
4. 示例账号、编号、金额与日期是本条测试数据；执行前按前置条件准备，未填写的产品决策不得自行假定。</x:v>
      </x:c>
    </x:row>
    <x:row r="390" ht="130" customHeight="1">
      <x:c r="A390" s="10" t="n">
        <x:v>389</x:v>
      </x:c>
      <x:c r="B390" s="10" t="str">
        <x:v>USER-0389</x:v>
      </x:c>
      <x:c r="C390" s="10" t="str">
        <x:v>公会管理</x:v>
      </x:c>
      <x:c r="D390" s="10" t="str">
        <x:v>申请加入公会（用户）</x:v>
      </x:c>
      <x:c r="E390" s="10" t="str">
        <x:v>功能需求</x:v>
      </x:c>
      <x:c r="F390" s="10" t="str">
        <x:v>P2</x:v>
      </x:c>
      <x:c r="G390" s="9" t="str">
        <x:v>验证申请加入公会使用更换公会 </x:v>
      </x:c>
      <x:c r="H390" s="9" t="str">
        <x:v>目标入口</x:v>
      </x:c>
      <x:c r="I390" s="9" t="str">
        <x:v>1. 用户为本条执行者
2. 申请加入公会已展示；涉及列表记录时，列表中存在可选择的本账号记录甲</x:v>
      </x:c>
      <x:c r="J390" s="9" t="str">
        <x:v>1. 点击更换公会 </x:v>
      </x:c>
      <x:c r="K390" s="9" t="str">
        <x:v>返回公会选择页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来源（当前证据）：liveshow-proto/MainBasis/统一需求文档.md；位置：第 989 行；REQ-f78668563215、第 975 行
2. 规则：BR-B3DB7C7C3B4B28
3. 未动态验证
4. 示例账号、编号、金额与日期是本条测试数据；执行前按前置条件准备，未填写的产品决策不得自行假定。</x:v>
      </x:c>
    </x:row>
    <x:row r="391" ht="130" customHeight="1">
      <x:c r="A391" s="10" t="n">
        <x:v>390</x:v>
      </x:c>
      <x:c r="B391" s="10" t="str">
        <x:v>USER-0390</x:v>
      </x:c>
      <x:c r="C391" s="10" t="str">
        <x:v>公会管理</x:v>
      </x:c>
      <x:c r="D391" s="10" t="str">
        <x:v>公会详情（用户）</x:v>
      </x:c>
      <x:c r="E391" s="10" t="str">
        <x:v>功能需求</x:v>
      </x:c>
      <x:c r="F391" s="10" t="str">
        <x:v>P2</x:v>
      </x:c>
      <x:c r="G391" s="9" t="str">
        <x:v>验证公会详情使用返回 </x:v>
      </x:c>
      <x:c r="H391" s="9" t="str">
        <x:v>目标入口</x:v>
      </x:c>
      <x:c r="I391" s="9" t="str">
        <x:v>1. 用户为本条执行者
2. 公会详情已展示；涉及列表记录时，列表中存在可选择的本账号记录甲</x:v>
      </x:c>
      <x:c r="J391" s="9" t="str">
        <x:v>1. 点击返回 </x:v>
      </x:c>
      <x:c r="K391" s="9" t="str">
        <x:v>进入我的公会 P032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来源（当前证据）：liveshow-proto/MainBasis/统一需求文档.md；位置：第 1024 行；REQ-14e3be4a1844、第 1005 行
2. 规则：BR-53C28D3BFAC1C2
3. 未动态验证
4. 示例账号、编号、金额与日期是本条测试数据；执行前按前置条件准备，未填写的产品决策不得自行假定。</x:v>
      </x:c>
    </x:row>
    <x:row r="392" ht="130" customHeight="1">
      <x:c r="A392" s="10" t="n">
        <x:v>391</x:v>
      </x:c>
      <x:c r="B392" s="10" t="str">
        <x:v>USER-0391</x:v>
      </x:c>
      <x:c r="C392" s="10" t="str">
        <x:v>主播管理</x:v>
      </x:c>
      <x:c r="D392" s="10" t="str">
        <x:v>分成记录（主播）</x:v>
      </x:c>
      <x:c r="E392" s="10" t="str">
        <x:v>功能需求</x:v>
      </x:c>
      <x:c r="F392" s="10" t="str">
        <x:v>P2</x:v>
      </x:c>
      <x:c r="G392" s="9" t="str">
        <x:v>验证分成记录使用返回 </x:v>
      </x:c>
      <x:c r="H392" s="9" t="str">
        <x:v>目标入口</x:v>
      </x:c>
      <x:c r="I392" s="9" t="str">
        <x:v>1. 主播为本条执行者
2. 分成记录已展示；涉及列表记录时，列表中存在可选择的本账号记录甲</x:v>
      </x:c>
      <x:c r="J392" s="9" t="str">
        <x:v>1. 点击返回 </x:v>
      </x:c>
      <x:c r="K392" s="9" t="str">
        <x:v>回到主播中心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来源（当前证据）：liveshow-proto/MainBasis/统一需求文档.md；位置：第 1286 行；REQ-e5697a7f1e6c、第 1277 行
2. 规则：BR-E287D9D0D69CA1
3. 未动态验证
4. 示例账号、编号、金额与日期是本条测试数据；执行前按前置条件准备，未填写的产品决策不得自行假定。</x:v>
      </x:c>
    </x:row>
    <x:row r="393" ht="130" customHeight="1">
      <x:c r="A393" s="10" t="n">
        <x:v>392</x:v>
      </x:c>
      <x:c r="B393" s="10" t="str">
        <x:v>USER-0392</x:v>
      </x:c>
      <x:c r="C393" s="10" t="str">
        <x:v>账号与登录</x:v>
      </x:c>
      <x:c r="D393" s="10" t="str">
        <x:v>登录与注册（用户）</x:v>
      </x:c>
      <x:c r="E393" s="10" t="str">
        <x:v>功能需求</x:v>
      </x:c>
      <x:c r="F393" s="10" t="str">
        <x:v>P1</x:v>
      </x:c>
      <x:c r="G393" s="9" t="str">
        <x:v>验证登录与注册使用手机号登录 </x:v>
      </x:c>
      <x:c r="H393" s="9" t="str">
        <x:v>目标入口</x:v>
      </x:c>
      <x:c r="I393" s="9" t="str">
        <x:v>1. 用户为本条执行者
2. 登录与注册已展示；涉及列表记录时，列表中存在可选择的本账号记录甲</x:v>
      </x:c>
      <x:c r="J393" s="9" t="str">
        <x:v>1. 点击手机号登录 </x:v>
      </x:c>
      <x:c r="K393" s="9" t="str">
        <x:v>进入手机号登录页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来源（当前证据）：liveshow-proto/MainBasis/统一需求文档.md；位置：第 1369 行；REQ-5747707e2366、第 1347 行
2. 规则：BR-54DD7B055509D9
3. 未动态验证
4. 示例账号、编号、金额与日期是本条测试数据；执行前按前置条件准备，未填写的产品决策不得自行假定。</x:v>
      </x:c>
    </x:row>
    <x:row r="394" ht="130" customHeight="1">
      <x:c r="A394" s="10" t="n">
        <x:v>393</x:v>
      </x:c>
      <x:c r="B394" s="10" t="str">
        <x:v>USER-0393</x:v>
      </x:c>
      <x:c r="C394" s="10" t="str">
        <x:v>账号与登录</x:v>
      </x:c>
      <x:c r="D394" s="10" t="str">
        <x:v>登录与注册（用户）</x:v>
      </x:c>
      <x:c r="E394" s="10" t="str">
        <x:v>功能需求</x:v>
      </x:c>
      <x:c r="F394" s="10" t="str">
        <x:v>P1</x:v>
      </x:c>
      <x:c r="G394" s="9" t="str">
        <x:v>验证登录与注册使用邮箱 </x:v>
      </x:c>
      <x:c r="H394" s="9" t="str">
        <x:v>目标入口</x:v>
      </x:c>
      <x:c r="I394" s="9" t="str">
        <x:v>1. 用户为本条执行者
2. 登录与注册已展示；涉及列表记录时，列表中存在可选择的本账号记录甲</x:v>
      </x:c>
      <x:c r="J394" s="9" t="str">
        <x:v>1. 点击邮箱 </x:v>
      </x:c>
      <x:c r="K394" s="9" t="str">
        <x:v>进入邮箱登录页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来源（当前证据）：liveshow-proto/MainBasis/统一需求文档.md；位置：第 1370 行；REQ-33b03452c3c7、第 1347 行
2. 规则：BR-AC50D194C26F4E
3. 未动态验证
4. 示例账号、编号、金额与日期是本条测试数据；执行前按前置条件准备，未填写的产品决策不得自行假定。</x:v>
      </x:c>
    </x:row>
    <x:row r="395" ht="130" customHeight="1">
      <x:c r="A395" s="10" t="n">
        <x:v>394</x:v>
      </x:c>
      <x:c r="B395" s="10" t="str">
        <x:v>USER-0394</x:v>
      </x:c>
      <x:c r="C395" s="10" t="str">
        <x:v>个人中心</x:v>
      </x:c>
      <x:c r="D395" s="10" t="str">
        <x:v>未设置密码（用户）</x:v>
      </x:c>
      <x:c r="E395" s="10" t="str">
        <x:v>功能需求</x:v>
      </x:c>
      <x:c r="F395" s="10" t="str">
        <x:v>P2</x:v>
      </x:c>
      <x:c r="G395" s="9" t="str">
        <x:v>验证未设置密码使用设置密码 </x:v>
      </x:c>
      <x:c r="H395" s="9" t="str">
        <x:v>目标入口</x:v>
      </x:c>
      <x:c r="I395" s="9" t="str">
        <x:v>1. 用户为本条执行者
2. 未设置密码已展示；涉及列表记录时，列表中存在可选择的本账号记录甲</x:v>
      </x:c>
      <x:c r="J395" s="9" t="str">
        <x:v>1. 点击设置密码 </x:v>
      </x:c>
      <x:c r="K395" s="9" t="str">
        <x:v>进入设置密码页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来源（当前证据）：liveshow-proto/MainBasis/统一需求文档.md；位置：第 1479 行；REQ-c12238909b43、第 1474 行
2. 规则：BR-6F0812542B92FF
3. 未动态验证
4. 示例账号、编号、金额与日期是本条测试数据；执行前按前置条件准备，未填写的产品决策不得自行假定。</x:v>
      </x:c>
    </x:row>
    <x:row r="396" ht="130" customHeight="1">
      <x:c r="A396" s="10" t="n">
        <x:v>395</x:v>
      </x:c>
      <x:c r="B396" s="10" t="str">
        <x:v>USER-0395</x:v>
      </x:c>
      <x:c r="C396" s="10" t="str">
        <x:v>个人中心</x:v>
      </x:c>
      <x:c r="D396" s="10" t="str">
        <x:v>修改密码（用户）</x:v>
      </x:c>
      <x:c r="E396" s="10" t="str">
        <x:v>功能需求</x:v>
      </x:c>
      <x:c r="F396" s="10" t="str">
        <x:v>P2</x:v>
      </x:c>
      <x:c r="G396" s="9" t="str">
        <x:v>验证修改密码使用忘记当前密码 </x:v>
      </x:c>
      <x:c r="H396" s="9" t="str">
        <x:v>目标入口</x:v>
      </x:c>
      <x:c r="I396" s="9" t="str">
        <x:v>1. 用户为本条执行者
2. 修改密码已展示；涉及列表记录时，列表中存在可选择的本账号记录甲</x:v>
      </x:c>
      <x:c r="J396" s="9" t="str">
        <x:v>1. 点击忘记当前密码 </x:v>
      </x:c>
      <x:c r="K396" s="9" t="str">
        <x:v>进入忘记密码页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来源（当前证据）：liveshow-proto/MainBasis/统一需求文档.md；位置：第 1505 行；REQ-6920f539ff83、第 1496 行
2. 规则：BR-1FDC37C16D1BE6
3. 未动态验证
4. 示例账号、编号、金额与日期是本条测试数据；执行前按前置条件准备，未填写的产品决策不得自行假定。</x:v>
      </x:c>
    </x:row>
    <x:row r="397" ht="175" customHeight="1">
      <x:c r="A397" s="10" t="n">
        <x:v>396</x:v>
      </x:c>
      <x:c r="B397" s="10" t="str">
        <x:v>USER-0396</x:v>
      </x:c>
      <x:c r="C397" s="10" t="str">
        <x:v>主播管理</x:v>
      </x:c>
      <x:c r="D397" s="10" t="str">
        <x:v>公会通知（主播）</x:v>
      </x:c>
      <x:c r="E397" s="10" t="str">
        <x:v>功能需求</x:v>
      </x:c>
      <x:c r="F397" s="10" t="str">
        <x:v>P2</x:v>
      </x:c>
      <x:c r="G397" s="9" t="str">
        <x:v>验证主播收到公会运营消息</x:v>
      </x:c>
      <x:c r="H397" s="9" t="str">
        <x:v>主播接收公会消息</x:v>
      </x:c>
      <x:c r="I397" s="9" t="str">
        <x:v>1. 主播为本条执行者
2. 主播乙属于公会甲，公会长已向乙发送“公会运营测试”</x:v>
      </x:c>
      <x:c r="J397" s="9" t="str">
        <x:v>1. 打开公会通知</x:v>
      </x:c>
      <x:c r="K397" s="9" t="str">
        <x:v>通知列表包含“公会运营测试”</x:v>
      </x:c>
      <x:c r="L397" s="10" t="str">
        <x:v>FLOW-62C3136D</x:v>
      </x:c>
      <x:c r="M397" s="10" t="str">
        <x:v>未测</x:v>
      </x:c>
      <x:c r="N397" s="10" t="str"/>
      <x:c r="O397" s="9" t="str">
        <x:v>1. 来源（当前证据）：liveshow-proto/MainBasis/统一需求文档.md；位置：第 1161 行；REQ-6e53209ec69b、第 1162 行；REQ-60f97773a8af、第 1163 行；REQ-4a4d3dc2c8a5、第 1164 行；REQ-7bc85d9f5b42、第 1159 行
2. 规则：BR-E3FBAD8D9469D9
3. 未动态验证
4. 示例账号、编号、金额与日期是本条测试数据；执行前按前置条件准备，未填写的产品决策不得自行假定。</x:v>
      </x:c>
    </x:row>
    <x:row r="398" ht="145" customHeight="1">
      <x:c r="A398" s="10" t="n">
        <x:v>397</x:v>
      </x:c>
      <x:c r="B398" s="10" t="str">
        <x:v>USER-0397</x:v>
      </x:c>
      <x:c r="C398" s="10" t="str">
        <x:v>个人中心</x:v>
      </x:c>
      <x:c r="D398" s="10" t="str">
        <x:v>我的（运营账号）</x:v>
      </x:c>
      <x:c r="E398" s="10" t="str">
        <x:v>功能需求</x:v>
      </x:c>
      <x:c r="F398" s="10" t="str">
        <x:v>P2</x:v>
      </x:c>
      <x:c r="G398" s="9" t="str">
        <x:v>验证运营账号查看公会发放后的余额</x:v>
      </x:c>
      <x:c r="H398" s="9" t="str">
        <x:v>虚拟金币余额</x:v>
      </x:c>
      <x:c r="I398" s="9" t="str">
        <x:v>1. 运营账号为本条执行者
2. 当前执行者为公会甲运营账号 O001；公会刚发放 150 虚拟金币，原余额 100</x:v>
      </x:c>
      <x:c r="J398" s="9" t="str">
        <x:v>1. 打开我的
2. 查看金币余额</x:v>
      </x:c>
      <x:c r="K398" s="9" t="str">
        <x:v>虚拟金币余额 = 250 金币</x:v>
      </x:c>
      <x:c r="L398" s="10" t="str">
        <x:v>FLOW-E6B5F087</x:v>
      </x:c>
      <x:c r="M398" s="10" t="str">
        <x:v>未测</x:v>
      </x:c>
      <x:c r="N398" s="10" t="str"/>
      <x:c r="O398" s="9" t="str">
        <x:v>1. 来源（当前证据）：liveshow-proto/MainBasis/统一需求文档.md；位置：第 681 行；REQ-95d55a52be24、第 676 行、第 3375 行；REQ-2d8cefe6c177
2. 规则：BR-58391EB9244829
3. 未动态验证
4. 示例账号、编号、金额与日期是本条测试数据；执行前按前置条件准备，未填写的产品决策不得自行假定。</x:v>
      </x:c>
    </x:row>
    <x:row r="399" ht="145" customHeight="1">
      <x:c r="A399" s="10" t="n">
        <x:v>398</x:v>
      </x:c>
      <x:c r="B399" s="10" t="str">
        <x:v>USER-0398</x:v>
      </x:c>
      <x:c r="C399" s="10" t="str">
        <x:v>账号与登录</x:v>
      </x:c>
      <x:c r="D399" s="10" t="str">
        <x:v>登录与注册（用户）</x:v>
      </x:c>
      <x:c r="E399" s="10" t="str">
        <x:v>异常用例</x:v>
      </x:c>
      <x:c r="F399" s="10" t="str">
        <x:v>P1</x:v>
      </x:c>
      <x:c r="G399" s="9" t="str">
        <x:v>验证封禁账号不能建立登录会话</x:v>
      </x:c>
      <x:c r="H399" s="9" t="str">
        <x:v>封禁账号登录拒绝</x:v>
      </x:c>
      <x:c r="I399" s="9" t="str">
        <x:v>1. 用户为本条执行者
2. 账号甲已被平台封禁，当前使用关联该账号的 Google 测试身份</x:v>
      </x:c>
      <x:c r="J399" s="9" t="str">
        <x:v>1. 打开登录与注册
2. 勾选协议
3. 点击 Google
4. 点击账号甲授权页的确认授权</x:v>
      </x:c>
      <x:c r="K399" s="9" t="str">
        <x:v>未进入首页</x:v>
      </x:c>
      <x:c r="L399" s="10" t="str">
        <x:v>FLOW-449636A1</x:v>
      </x:c>
      <x:c r="M399" s="10" t="str">
        <x:v>未测</x:v>
      </x:c>
      <x:c r="N399" s="10" t="str"/>
      <x:c r="O399" s="9" t="str">
        <x:v>1. 来源（当前证据）：liveshow-proto/MainBasis/统一需求文档.md；位置：第 1360 行；REQ-c006ed524230、第 1367 行；REQ-f07ba4f39c72、第 1347 行
2. 规则：BR-EEAB905E0A0674
3. 未动态验证
4. 示例账号、编号、金额与日期是本条测试数据；执行前按前置条件准备，未填写的产品决策不得自行假定。</x:v>
      </x:c>
    </x:row>
    <x:row r="400" ht="175" customHeight="1">
      <x:c r="A400" s="10" t="n">
        <x:v>399</x:v>
      </x:c>
      <x:c r="B400" s="10" t="str">
        <x:v>USER-0399</x:v>
      </x:c>
      <x:c r="C400" s="10" t="str">
        <x:v>直播</x:v>
      </x:c>
      <x:c r="D400" s="10" t="str">
        <x:v>直播间（主播）（主播）</x:v>
      </x:c>
      <x:c r="E400" s="10" t="str">
        <x:v>异常用例</x:v>
      </x:c>
      <x:c r="F400" s="10" t="str">
        <x:v>P1</x:v>
      </x:c>
      <x:c r="G400" s="9" t="str">
        <x:v>验证账号封禁终止正在进行的直播</x:v>
      </x:c>
      <x:c r="H400" s="9" t="str">
        <x:v>封禁后的当前场次</x:v>
      </x:c>
      <x:c r="I400" s="9" t="str">
        <x:v>1. 主播为本条执行者
2. 主播甲原在 S001 直播，平台现已封禁主播甲账号</x:v>
      </x:c>
      <x:c r="J400" s="9" t="str">
        <x:v>1. 查看原主播直播间</x:v>
      </x:c>
      <x:c r="K400" s="9" t="str">
        <x:v>S001 已结束</x:v>
      </x:c>
      <x:c r="L400" s="10" t="str">
        <x:v>FLOW-449636A1</x:v>
      </x:c>
      <x:c r="M400" s="10" t="str">
        <x:v>未测</x:v>
      </x:c>
      <x:c r="N400" s="10" t="str"/>
      <x:c r="O400" s="9" t="str">
        <x:v>1. 来源（当前证据）：liveshow-proto/MainBasis/统一需求文档.md；位置：第 802 行；REQ-5ebd79b1bbf8、第 805 行；REQ-dd74c6de0e69、第 807 行；REQ-5d70e4b3fe67、第 1360 行；REQ-c006ed524230、第 796 行
2. 规则：BR-8A4DF934C78737
3. 未动态验证
4. 示例账号、编号、金额与日期是本条测试数据；执行前按前置条件准备，未填写的产品决策不得自行假定。</x:v>
      </x:c>
    </x:row>
    <x:row r="401" ht="220" customHeight="1">
      <x:c r="A401" s="10" t="n">
        <x:v>400</x:v>
      </x:c>
      <x:c r="B401" s="10" t="str">
        <x:v>USER-0400</x:v>
      </x:c>
      <x:c r="C401" s="10" t="str">
        <x:v>公会管理</x:v>
      </x:c>
      <x:c r="D401" s="10" t="str">
        <x:v>我的公会（用户）</x:v>
      </x:c>
      <x:c r="E401" s="10" t="str">
        <x:v>功能需求</x:v>
      </x:c>
      <x:c r="F401" s="10" t="str">
        <x:v>P2</x:v>
      </x:c>
      <x:c r="G401" s="9" t="str">
        <x:v>验证公会停用后解除主播所属关系</x:v>
      </x:c>
      <x:c r="H401" s="9" t="str">
        <x:v>公会停用后的归属</x:v>
      </x:c>
      <x:c r="I401" s="9" t="str">
        <x:v>1. 用户为本条执行者
2. 主播乙原属于公会甲，平台已停用公会甲</x:v>
      </x:c>
      <x:c r="J401" s="9" t="str">
        <x:v>1. 打开我的公会
2. 查看公会甲</x:v>
      </x:c>
      <x:c r="K401" s="9" t="str">
        <x:v>公会甲不再是当前所属公会</x:v>
      </x:c>
      <x:c r="L401" s="10" t="str">
        <x:v>FLOW-BBDF5E6E</x:v>
      </x:c>
      <x:c r="M401" s="10" t="str">
        <x:v>未测</x:v>
      </x:c>
      <x:c r="N401" s="10" t="str"/>
      <x:c r="O401" s="9" t="str">
        <x:v>1. 来源（当前证据）：liveshow-proto/MainBasis/统一需求文档.md；位置：第 994 行；REQ-d72906c23271、第 995 行；REQ-a928c89adce3、第 996 行；REQ-d51b9931ad53、第 997 行；REQ-a12fc7f0f101、第 998 行；REQ-79ac284bd1ea、第 999 行；REQ-3a4e7948c61c、第 1000 行；REQ-33be2218af0e、第 1001 行；REQ-a8135e417055、第 1002 行；REQ-8d7f1a453117、第 992 行
2. 规则：BR-3BD8B43EB2BC2F
3. 未动态验证
4. 示例账号、编号、金额与日期是本条测试数据；执行前按前置条件准备，未填写的产品决策不得自行假定。</x:v>
      </x:c>
    </x:row>
    <x:row r="402" ht="280" customHeight="1">
      <x:c r="A402" s="10" t="n">
        <x:v>401</x:v>
      </x:c>
      <x:c r="B402" s="10" t="str">
        <x:v>USER-0401</x:v>
      </x:c>
      <x:c r="C402" s="10" t="str">
        <x:v>直播</x:v>
      </x:c>
      <x:c r="D402" s="10" t="str">
        <x:v>直播间（主播）（主播）</x:v>
      </x:c>
      <x:c r="E402" s="10" t="str">
        <x:v>功能需求</x:v>
      </x:c>
      <x:c r="F402" s="10" t="str">
        <x:v>P2</x:v>
      </x:c>
      <x:c r="G402" s="9" t="str">
        <x:v>验证平台不处置后的主播直播状态</x:v>
      </x:c>
      <x:c r="H402" s="9" t="str">
        <x:v>平台处置后的直播状态</x:v>
      </x:c>
      <x:c r="I402" s="9" t="str">
        <x:v>1. 主播为本条执行者
2. 主播乙的 S001 原在直播；平台刚完成 RP001 的不处置</x:v>
      </x:c>
      <x:c r="J402" s="9" t="str">
        <x:v>1. 查看当前直播间</x:v>
      </x:c>
      <x:c r="K402" s="9" t="str">
        <x:v>S001 为直播中</x:v>
      </x:c>
      <x:c r="L402" s="10" t="str">
        <x:v>FLOW-1AF39D89</x:v>
      </x:c>
      <x:c r="M402" s="10" t="str">
        <x:v>未测</x:v>
      </x:c>
      <x:c r="N402" s="10" t="str"/>
      <x:c r="O402" s="9" t="str">
        <x:v>1. 来源（当前证据）：liveshow-proto/MainBasis/统一需求文档.md；位置：第 797 行；REQ-9676a9ade1da、第 802 行；REQ-5ebd79b1bbf8、第 805 行；REQ-dd74c6de0e69、第 807 行；REQ-5d70e4b3fe67、第 850 行；REQ-26c90db50167、第 1865 行；REQ-fd0092181557、第 2409 行；REQ-02eb22f92b59、第 2410 行；REQ-b8c55635b4fb、第 2537 行；REQ-c3c43cdfeffa、第 2584 行；REQ-5486bbbe8ae4、第 2595 行；REQ-0f804538eb02、第 2596 行；REQ-d2dab6a4ea9a、第 2675 行；REQ-dd130a0f8dd4、第 2678 行；REQ-9bc480896cd5、第 796 行
2. 规则：BR-D94BEA9FB834F2
3. 未动态验证
4. 示例账号、编号、金额与日期是本条测试数据；执行前按前置条件准备，未填写的产品决策不得自行假定。</x:v>
      </x:c>
    </x:row>
    <x:row r="403" ht="280" customHeight="1">
      <x:c r="A403" s="10" t="n">
        <x:v>402</x:v>
      </x:c>
      <x:c r="B403" s="10" t="str">
        <x:v>USER-0402</x:v>
      </x:c>
      <x:c r="C403" s="10" t="str">
        <x:v>直播</x:v>
      </x:c>
      <x:c r="D403" s="10" t="str">
        <x:v>直播间（主播）（主播）</x:v>
      </x:c>
      <x:c r="E403" s="10" t="str">
        <x:v>功能需求</x:v>
      </x:c>
      <x:c r="F403" s="10" t="str">
        <x:v>P2</x:v>
      </x:c>
      <x:c r="G403" s="9" t="str">
        <x:v>验证平台警告后的主播直播状态</x:v>
      </x:c>
      <x:c r="H403" s="9" t="str">
        <x:v>平台处置后的直播状态</x:v>
      </x:c>
      <x:c r="I403" s="9" t="str">
        <x:v>1. 主播为本条执行者
2. 主播乙的 S001 原在直播；平台刚完成 RP001 的警告</x:v>
      </x:c>
      <x:c r="J403" s="9" t="str">
        <x:v>1. 查看当前直播间</x:v>
      </x:c>
      <x:c r="K403" s="9" t="str">
        <x:v>S001 为直播中</x:v>
      </x:c>
      <x:c r="L403" s="10" t="str">
        <x:v>FLOW-1AF39D89</x:v>
      </x:c>
      <x:c r="M403" s="10" t="str">
        <x:v>未测</x:v>
      </x:c>
      <x:c r="N403" s="10" t="str"/>
      <x:c r="O403" s="9" t="str">
        <x:v>1. 来源（当前证据）：liveshow-proto/MainBasis/统一需求文档.md；位置：第 797 行；REQ-9676a9ade1da、第 802 行；REQ-5ebd79b1bbf8、第 805 行；REQ-dd74c6de0e69、第 807 行；REQ-5d70e4b3fe67、第 850 行；REQ-26c90db50167、第 1865 行；REQ-fd0092181557、第 2409 行；REQ-02eb22f92b59、第 2410 行；REQ-b8c55635b4fb、第 2537 行；REQ-c3c43cdfeffa、第 2584 行；REQ-5486bbbe8ae4、第 2595 行；REQ-0f804538eb02、第 2596 行；REQ-d2dab6a4ea9a、第 2675 行；REQ-dd130a0f8dd4、第 2678 行；REQ-9bc480896cd5、第 796 行
2. 规则：BR-D0AAA2DF50D872
3. 未动态验证
4. 示例账号、编号、金额与日期是本条测试数据；执行前按前置条件准备，未填写的产品决策不得自行假定。</x:v>
      </x:c>
    </x:row>
    <x:row r="404" ht="280" customHeight="1">
      <x:c r="A404" s="10" t="n">
        <x:v>403</x:v>
      </x:c>
      <x:c r="B404" s="10" t="str">
        <x:v>USER-0403</x:v>
      </x:c>
      <x:c r="C404" s="10" t="str">
        <x:v>直播</x:v>
      </x:c>
      <x:c r="D404" s="10" t="str">
        <x:v>直播间（主播）（主播）</x:v>
      </x:c>
      <x:c r="E404" s="10" t="str">
        <x:v>功能需求</x:v>
      </x:c>
      <x:c r="F404" s="10" t="str">
        <x:v>P2</x:v>
      </x:c>
      <x:c r="G404" s="9" t="str">
        <x:v>验证平台关播后的主播直播状态</x:v>
      </x:c>
      <x:c r="H404" s="9" t="str">
        <x:v>平台处置后的直播状态</x:v>
      </x:c>
      <x:c r="I404" s="9" t="str">
        <x:v>1. 主播为本条执行者
2. 主播乙的 S001 原在直播；平台刚完成 RP001 的关播</x:v>
      </x:c>
      <x:c r="J404" s="9" t="str">
        <x:v>1. 查看当前直播间</x:v>
      </x:c>
      <x:c r="K404" s="9" t="str">
        <x:v>S001 为已结束</x:v>
      </x:c>
      <x:c r="L404" s="10" t="str">
        <x:v>FLOW-1AF39D89</x:v>
      </x:c>
      <x:c r="M404" s="10" t="str">
        <x:v>未测</x:v>
      </x:c>
      <x:c r="N404" s="10" t="str"/>
      <x:c r="O404" s="9" t="str">
        <x:v>1. 来源（当前证据）：liveshow-proto/MainBasis/统一需求文档.md；位置：第 797 行；REQ-9676a9ade1da、第 802 行；REQ-5ebd79b1bbf8、第 805 行；REQ-dd74c6de0e69、第 807 行；REQ-5d70e4b3fe67、第 850 行；REQ-26c90db50167、第 1865 行；REQ-fd0092181557、第 2409 行；REQ-02eb22f92b59、第 2410 行；REQ-b8c55635b4fb、第 2537 行；REQ-c3c43cdfeffa、第 2584 行；REQ-5486bbbe8ae4、第 2595 行；REQ-0f804538eb02、第 2596 行；REQ-d2dab6a4ea9a、第 2675 行；REQ-dd130a0f8dd4、第 2678 行；REQ-9bc480896cd5、第 796 行
2. 规则：BR-CE969A4310D3ED
3. 未动态验证
4. 示例账号、编号、金额与日期是本条测试数据；执行前按前置条件准备，未填写的产品决策不得自行假定。</x:v>
      </x:c>
    </x:row>
    <x:row r="405" ht="280" customHeight="1">
      <x:c r="A405" s="10" t="n">
        <x:v>404</x:v>
      </x:c>
      <x:c r="B405" s="10" t="str">
        <x:v>USER-0404</x:v>
      </x:c>
      <x:c r="C405" s="10" t="str">
        <x:v>直播</x:v>
      </x:c>
      <x:c r="D405" s="10" t="str">
        <x:v>直播间（主播）（主播）</x:v>
      </x:c>
      <x:c r="E405" s="10" t="str">
        <x:v>功能需求</x:v>
      </x:c>
      <x:c r="F405" s="10" t="str">
        <x:v>P1</x:v>
      </x:c>
      <x:c r="G405" s="9" t="str">
        <x:v>验证平台关闭直播权限后的主播直播状态</x:v>
      </x:c>
      <x:c r="H405" s="9" t="str">
        <x:v>平台处置后的直播状态</x:v>
      </x:c>
      <x:c r="I405" s="9" t="str">
        <x:v>1. 主播为本条执行者
2. 主播乙的 S001 原在直播；平台刚完成 RP001 的关闭直播权限</x:v>
      </x:c>
      <x:c r="J405" s="9" t="str">
        <x:v>1. 查看当前直播间</x:v>
      </x:c>
      <x:c r="K405" s="9" t="str">
        <x:v>S001 为已结束</x:v>
      </x:c>
      <x:c r="L405" s="10" t="str">
        <x:v>FLOW-1AF39D89</x:v>
      </x:c>
      <x:c r="M405" s="10" t="str">
        <x:v>未测</x:v>
      </x:c>
      <x:c r="N405" s="10" t="str"/>
      <x:c r="O405" s="9" t="str">
        <x:v>1. 来源（当前证据）：liveshow-proto/MainBasis/统一需求文档.md；位置：第 797 行；REQ-9676a9ade1da、第 802 行；REQ-5ebd79b1bbf8、第 805 行；REQ-dd74c6de0e69、第 807 行；REQ-5d70e4b3fe67、第 850 行；REQ-26c90db50167、第 1865 行；REQ-fd0092181557、第 2409 行；REQ-02eb22f92b59、第 2410 行；REQ-b8c55635b4fb、第 2537 行；REQ-c3c43cdfeffa、第 2584 行；REQ-5486bbbe8ae4、第 2595 行；REQ-0f804538eb02、第 2596 行；REQ-d2dab6a4ea9a、第 2675 行；REQ-dd130a0f8dd4、第 2678 行；REQ-9bc480896cd5、第 796 行
2. 规则：BR-6DD901ED450A29
3. 未动态验证
4. 示例账号、编号、金额与日期是本条测试数据；执行前按前置条件准备，未填写的产品决策不得自行假定。</x:v>
      </x:c>
    </x:row>
    <x:row r="406" ht="175" customHeight="1">
      <x:c r="A406" s="10" t="n">
        <x:v>405</x:v>
      </x:c>
      <x:c r="B406" s="10" t="str">
        <x:v>USER-0405</x:v>
      </x:c>
      <x:c r="C406" s="10" t="str">
        <x:v>直播</x:v>
      </x:c>
      <x:c r="D406" s="10" t="str">
        <x:v>举报直播间（用户）</x:v>
      </x:c>
      <x:c r="E406" s="10" t="str">
        <x:v>功能需求</x:v>
      </x:c>
      <x:c r="F406" s="10" t="str">
        <x:v>P2</x:v>
      </x:c>
      <x:c r="G406" s="9" t="str">
        <x:v>验证直播场次举报选择色情低俗</x:v>
      </x:c>
      <x:c r="H406" s="9" t="str">
        <x:v>举报类型选择</x:v>
      </x:c>
      <x:c r="I406" s="9" t="str">
        <x:v>1. 用户为本条执行者
2. 用户甲已登录，举报对象为当前可举报的直播场次乙</x:v>
      </x:c>
      <x:c r="J406" s="9" t="str">
        <x:v>1. 打开举报直播场次页面
2. 选择色情低俗
3. 提交举报</x:v>
      </x:c>
      <x:c r="K406" s="9" t="str">
        <x:v>提交的举报类型为色情低俗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来源（当前证据）：liveshow-proto/MainBasis/统一需求文档.md；位置：第 780 行；REQ-5cd0945cbfbd、第 782 行；REQ-70c22d54cfec、第 783 行；REQ-34dd77b1a73d、第 784 行；REQ-c35cc339a6a2、第 785 行；REQ-70ff17b1f30a、第 779 行
2. 规则：BR-399DB723FC57A8
3. 未动态验证
4. 示例账号、编号、金额与日期是本条测试数据；执行前按前置条件准备，未填写的产品决策不得自行假定。</x:v>
      </x:c>
    </x:row>
    <x:row r="407" ht="175" customHeight="1">
      <x:c r="A407" s="10" t="n">
        <x:v>406</x:v>
      </x:c>
      <x:c r="B407" s="10" t="str">
        <x:v>USER-0406</x:v>
      </x:c>
      <x:c r="C407" s="10" t="str">
        <x:v>直播</x:v>
      </x:c>
      <x:c r="D407" s="10" t="str">
        <x:v>举报直播间（用户）</x:v>
      </x:c>
      <x:c r="E407" s="10" t="str">
        <x:v>功能需求</x:v>
      </x:c>
      <x:c r="F407" s="10" t="str">
        <x:v>P2</x:v>
      </x:c>
      <x:c r="G407" s="9" t="str">
        <x:v>验证直播场次举报选择涉及宗教政治</x:v>
      </x:c>
      <x:c r="H407" s="9" t="str">
        <x:v>举报类型选择</x:v>
      </x:c>
      <x:c r="I407" s="9" t="str">
        <x:v>1. 用户为本条执行者
2. 用户甲已登录，举报对象为当前可举报的直播场次乙</x:v>
      </x:c>
      <x:c r="J407" s="9" t="str">
        <x:v>1. 打开举报直播场次页面
2. 选择涉及宗教政治
3. 提交举报</x:v>
      </x:c>
      <x:c r="K407" s="9" t="str">
        <x:v>提交的举报类型为涉及宗教政治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来源（当前证据）：liveshow-proto/MainBasis/统一需求文档.md；位置：第 780 行；REQ-5cd0945cbfbd、第 782 行；REQ-70c22d54cfec、第 783 行；REQ-34dd77b1a73d、第 784 行；REQ-c35cc339a6a2、第 785 行；REQ-70ff17b1f30a、第 779 行
2. 规则：BR-37E63B9CC65474
3. 未动态验证
4. 示例账号、编号、金额与日期是本条测试数据；执行前按前置条件准备，未填写的产品决策不得自行假定。</x:v>
      </x:c>
    </x:row>
    <x:row r="408" ht="175" customHeight="1">
      <x:c r="A408" s="10" t="n">
        <x:v>407</x:v>
      </x:c>
      <x:c r="B408" s="10" t="str">
        <x:v>USER-0407</x:v>
      </x:c>
      <x:c r="C408" s="10" t="str">
        <x:v>直播</x:v>
      </x:c>
      <x:c r="D408" s="10" t="str">
        <x:v>举报直播间（用户）</x:v>
      </x:c>
      <x:c r="E408" s="10" t="str">
        <x:v>功能需求</x:v>
      </x:c>
      <x:c r="F408" s="10" t="str">
        <x:v>P2</x:v>
      </x:c>
      <x:c r="G408" s="9" t="str">
        <x:v>验证直播场次举报选择暴恐血腥</x:v>
      </x:c>
      <x:c r="H408" s="9" t="str">
        <x:v>举报类型选择</x:v>
      </x:c>
      <x:c r="I408" s="9" t="str">
        <x:v>1. 用户为本条执行者
2. 用户甲已登录，举报对象为当前可举报的直播场次乙</x:v>
      </x:c>
      <x:c r="J408" s="9" t="str">
        <x:v>1. 打开举报直播场次页面
2. 选择暴恐血腥
3. 提交举报</x:v>
      </x:c>
      <x:c r="K408" s="9" t="str">
        <x:v>提交的举报类型为暴恐血腥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来源（当前证据）：liveshow-proto/MainBasis/统一需求文档.md；位置：第 780 行；REQ-5cd0945cbfbd、第 782 行；REQ-70c22d54cfec、第 783 行；REQ-34dd77b1a73d、第 784 行；REQ-c35cc339a6a2、第 785 行；REQ-70ff17b1f30a、第 779 行
2. 规则：BR-0D1D1BBCF6E74B
3. 未动态验证
4. 示例账号、编号、金额与日期是本条测试数据；执行前按前置条件准备，未填写的产品决策不得自行假定。</x:v>
      </x:c>
    </x:row>
    <x:row r="409" ht="175" customHeight="1">
      <x:c r="A409" s="10" t="n">
        <x:v>408</x:v>
      </x:c>
      <x:c r="B409" s="10" t="str">
        <x:v>USER-0408</x:v>
      </x:c>
      <x:c r="C409" s="10" t="str">
        <x:v>直播</x:v>
      </x:c>
      <x:c r="D409" s="10" t="str">
        <x:v>举报直播间（用户）</x:v>
      </x:c>
      <x:c r="E409" s="10" t="str">
        <x:v>功能需求</x:v>
      </x:c>
      <x:c r="F409" s="10" t="str">
        <x:v>P2</x:v>
      </x:c>
      <x:c r="G409" s="9" t="str">
        <x:v>验证直播场次举报选择未成年人有害</x:v>
      </x:c>
      <x:c r="H409" s="9" t="str">
        <x:v>举报类型选择</x:v>
      </x:c>
      <x:c r="I409" s="9" t="str">
        <x:v>1. 用户为本条执行者
2. 用户甲已登录，举报对象为当前可举报的直播场次乙</x:v>
      </x:c>
      <x:c r="J409" s="9" t="str">
        <x:v>1. 打开举报直播场次页面
2. 选择未成年人有害
3. 提交举报</x:v>
      </x:c>
      <x:c r="K409" s="9" t="str">
        <x:v>提交的举报类型为未成年人有害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来源（当前证据）：liveshow-proto/MainBasis/统一需求文档.md；位置：第 780 行；REQ-5cd0945cbfbd、第 782 行；REQ-70c22d54cfec、第 783 行；REQ-34dd77b1a73d、第 784 行；REQ-c35cc339a6a2、第 785 行；REQ-70ff17b1f30a、第 779 行
2. 规则：BR-FE32813CF71E96
3. 未动态验证
4. 示例账号、编号、金额与日期是本条测试数据；执行前按前置条件准备，未填写的产品决策不得自行假定。</x:v>
      </x:c>
    </x:row>
    <x:row r="410" ht="175" customHeight="1">
      <x:c r="A410" s="10" t="n">
        <x:v>409</x:v>
      </x:c>
      <x:c r="B410" s="10" t="str">
        <x:v>USER-0409</x:v>
      </x:c>
      <x:c r="C410" s="10" t="str">
        <x:v>直播</x:v>
      </x:c>
      <x:c r="D410" s="10" t="str">
        <x:v>举报直播间（用户）</x:v>
      </x:c>
      <x:c r="E410" s="10" t="str">
        <x:v>功能需求</x:v>
      </x:c>
      <x:c r="F410" s="10" t="str">
        <x:v>P2</x:v>
      </x:c>
      <x:c r="G410" s="9" t="str">
        <x:v>验证直播场次举报选择其他</x:v>
      </x:c>
      <x:c r="H410" s="9" t="str">
        <x:v>举报类型选择</x:v>
      </x:c>
      <x:c r="I410" s="9" t="str">
        <x:v>1. 用户为本条执行者
2. 用户甲已登录，举报对象为当前可举报的直播场次乙</x:v>
      </x:c>
      <x:c r="J410" s="9" t="str">
        <x:v>1. 打开举报直播场次页面
2. 选择其他
3. 提交举报</x:v>
      </x:c>
      <x:c r="K410" s="9" t="str">
        <x:v>提交的举报类型为其他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来源（当前证据）：liveshow-proto/MainBasis/统一需求文档.md；位置：第 780 行；REQ-5cd0945cbfbd、第 782 行；REQ-70c22d54cfec、第 783 行；REQ-34dd77b1a73d、第 784 行；REQ-c35cc339a6a2、第 785 行；REQ-70ff17b1f30a、第 779 行
2. 规则：BR-EE2F8017A3BF85
3. 未动态验证
4. 示例账号、编号、金额与日期是本条测试数据；执行前按前置条件准备，未填写的产品决策不得自行假定。</x:v>
      </x:c>
    </x:row>
    <x:row r="411" ht="175" customHeight="1">
      <x:c r="A411" s="10" t="n">
        <x:v>410</x:v>
      </x:c>
      <x:c r="B411" s="10" t="str">
        <x:v>USER-0410</x:v>
      </x:c>
      <x:c r="C411" s="10" t="str">
        <x:v>直播</x:v>
      </x:c>
      <x:c r="D411" s="10" t="str">
        <x:v>举报用户（用户）</x:v>
      </x:c>
      <x:c r="E411" s="10" t="str">
        <x:v>功能需求</x:v>
      </x:c>
      <x:c r="F411" s="10" t="str">
        <x:v>P2</x:v>
      </x:c>
      <x:c r="G411" s="9" t="str">
        <x:v>验证账号举报选择色情低俗</x:v>
      </x:c>
      <x:c r="H411" s="9" t="str">
        <x:v>举报类型选择</x:v>
      </x:c>
      <x:c r="I411" s="9" t="str">
        <x:v>1. 用户为本条执行者
2. 用户甲已登录，举报对象为当前可举报的账号乙</x:v>
      </x:c>
      <x:c r="J411" s="9" t="str">
        <x:v>1. 打开举报账号页面
2. 选择色情低俗
3. 提交举报</x:v>
      </x:c>
      <x:c r="K411" s="9" t="str">
        <x:v>提交的举报类型为色情低俗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来源（当前证据）：liveshow-proto/MainBasis/统一需求文档.md；位置：第 789 行；REQ-8dc817ffb01f、第 791 行；REQ-8c322038d82f、第 792 行；REQ-cec4572b7621、第 793 行；REQ-a9bb248fbeab、第 788 行
2. 规则：BR-9142BC8892F509
3. 未动态验证
4. 示例账号、编号、金额与日期是本条测试数据；执行前按前置条件准备，未填写的产品决策不得自行假定。</x:v>
      </x:c>
    </x:row>
    <x:row r="412" ht="175" customHeight="1">
      <x:c r="A412" s="10" t="n">
        <x:v>411</x:v>
      </x:c>
      <x:c r="B412" s="10" t="str">
        <x:v>USER-0411</x:v>
      </x:c>
      <x:c r="C412" s="10" t="str">
        <x:v>直播</x:v>
      </x:c>
      <x:c r="D412" s="10" t="str">
        <x:v>举报用户（用户）</x:v>
      </x:c>
      <x:c r="E412" s="10" t="str">
        <x:v>功能需求</x:v>
      </x:c>
      <x:c r="F412" s="10" t="str">
        <x:v>P2</x:v>
      </x:c>
      <x:c r="G412" s="9" t="str">
        <x:v>验证账号举报选择涉及宗教政治</x:v>
      </x:c>
      <x:c r="H412" s="9" t="str">
        <x:v>举报类型选择</x:v>
      </x:c>
      <x:c r="I412" s="9" t="str">
        <x:v>1. 用户为本条执行者
2. 用户甲已登录，举报对象为当前可举报的账号乙</x:v>
      </x:c>
      <x:c r="J412" s="9" t="str">
        <x:v>1. 打开举报账号页面
2. 选择涉及宗教政治
3. 提交举报</x:v>
      </x:c>
      <x:c r="K412" s="9" t="str">
        <x:v>提交的举报类型为涉及宗教政治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来源（当前证据）：liveshow-proto/MainBasis/统一需求文档.md；位置：第 789 行；REQ-8dc817ffb01f、第 791 行；REQ-8c322038d82f、第 792 行；REQ-cec4572b7621、第 793 行；REQ-a9bb248fbeab、第 788 行
2. 规则：BR-57685FF3E37F42
3. 未动态验证
4. 示例账号、编号、金额与日期是本条测试数据；执行前按前置条件准备，未填写的产品决策不得自行假定。</x:v>
      </x:c>
    </x:row>
    <x:row r="413" ht="175" customHeight="1">
      <x:c r="A413" s="10" t="n">
        <x:v>412</x:v>
      </x:c>
      <x:c r="B413" s="10" t="str">
        <x:v>USER-0412</x:v>
      </x:c>
      <x:c r="C413" s="10" t="str">
        <x:v>直播</x:v>
      </x:c>
      <x:c r="D413" s="10" t="str">
        <x:v>举报用户（用户）</x:v>
      </x:c>
      <x:c r="E413" s="10" t="str">
        <x:v>功能需求</x:v>
      </x:c>
      <x:c r="F413" s="10" t="str">
        <x:v>P2</x:v>
      </x:c>
      <x:c r="G413" s="9" t="str">
        <x:v>验证账号举报选择暴恐血腥</x:v>
      </x:c>
      <x:c r="H413" s="9" t="str">
        <x:v>举报类型选择</x:v>
      </x:c>
      <x:c r="I413" s="9" t="str">
        <x:v>1. 用户为本条执行者
2. 用户甲已登录，举报对象为当前可举报的账号乙</x:v>
      </x:c>
      <x:c r="J413" s="9" t="str">
        <x:v>1. 打开举报账号页面
2. 选择暴恐血腥
3. 提交举报</x:v>
      </x:c>
      <x:c r="K413" s="9" t="str">
        <x:v>提交的举报类型为暴恐血腥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来源（当前证据）：liveshow-proto/MainBasis/统一需求文档.md；位置：第 789 行；REQ-8dc817ffb01f、第 791 行；REQ-8c322038d82f、第 792 行；REQ-cec4572b7621、第 793 行；REQ-a9bb248fbeab、第 788 行
2. 规则：BR-367DB3F0DD8109
3. 未动态验证
4. 示例账号、编号、金额与日期是本条测试数据；执行前按前置条件准备，未填写的产品决策不得自行假定。</x:v>
      </x:c>
    </x:row>
    <x:row r="414" ht="175" customHeight="1">
      <x:c r="A414" s="10" t="n">
        <x:v>413</x:v>
      </x:c>
      <x:c r="B414" s="10" t="str">
        <x:v>USER-0413</x:v>
      </x:c>
      <x:c r="C414" s="10" t="str">
        <x:v>直播</x:v>
      </x:c>
      <x:c r="D414" s="10" t="str">
        <x:v>举报用户（用户）</x:v>
      </x:c>
      <x:c r="E414" s="10" t="str">
        <x:v>功能需求</x:v>
      </x:c>
      <x:c r="F414" s="10" t="str">
        <x:v>P2</x:v>
      </x:c>
      <x:c r="G414" s="9" t="str">
        <x:v>验证账号举报选择未成年人有害</x:v>
      </x:c>
      <x:c r="H414" s="9" t="str">
        <x:v>举报类型选择</x:v>
      </x:c>
      <x:c r="I414" s="9" t="str">
        <x:v>1. 用户为本条执行者
2. 用户甲已登录，举报对象为当前可举报的账号乙</x:v>
      </x:c>
      <x:c r="J414" s="9" t="str">
        <x:v>1. 打开举报账号页面
2. 选择未成年人有害
3. 提交举报</x:v>
      </x:c>
      <x:c r="K414" s="9" t="str">
        <x:v>提交的举报类型为未成年人有害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来源（当前证据）：liveshow-proto/MainBasis/统一需求文档.md；位置：第 789 行；REQ-8dc817ffb01f、第 791 行；REQ-8c322038d82f、第 792 行；REQ-cec4572b7621、第 793 行；REQ-a9bb248fbeab、第 788 行
2. 规则：BR-D76793C295EB98
3. 未动态验证
4. 示例账号、编号、金额与日期是本条测试数据；执行前按前置条件准备，未填写的产品决策不得自行假定。</x:v>
      </x:c>
    </x:row>
    <x:row r="415" ht="175" customHeight="1">
      <x:c r="A415" s="10" t="n">
        <x:v>414</x:v>
      </x:c>
      <x:c r="B415" s="10" t="str">
        <x:v>USER-0414</x:v>
      </x:c>
      <x:c r="C415" s="10" t="str">
        <x:v>直播</x:v>
      </x:c>
      <x:c r="D415" s="10" t="str">
        <x:v>举报用户（用户）</x:v>
      </x:c>
      <x:c r="E415" s="10" t="str">
        <x:v>功能需求</x:v>
      </x:c>
      <x:c r="F415" s="10" t="str">
        <x:v>P2</x:v>
      </x:c>
      <x:c r="G415" s="9" t="str">
        <x:v>验证账号举报选择其他</x:v>
      </x:c>
      <x:c r="H415" s="9" t="str">
        <x:v>举报类型选择</x:v>
      </x:c>
      <x:c r="I415" s="9" t="str">
        <x:v>1. 用户为本条执行者
2. 用户甲已登录，举报对象为当前可举报的账号乙</x:v>
      </x:c>
      <x:c r="J415" s="9" t="str">
        <x:v>1. 打开举报账号页面
2. 选择其他
3. 提交举报</x:v>
      </x:c>
      <x:c r="K415" s="9" t="str">
        <x:v>提交的举报类型为其他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来源（当前证据）：liveshow-proto/MainBasis/统一需求文档.md；位置：第 789 行；REQ-8dc817ffb01f、第 791 行；REQ-8c322038d82f、第 792 行；REQ-cec4572b7621、第 793 行；REQ-a9bb248fbeab、第 788 行
2. 规则：BR-8BCBC12E483B30
3. 未动态验证
4. 示例账号、编号、金额与日期是本条测试数据；执行前按前置条件准备，未填写的产品决策不得自行假定。</x:v>
      </x:c>
    </x:row>
    <x:row r="416" ht="175" customHeight="1">
      <x:c r="A416" s="10" t="n">
        <x:v>415</x:v>
      </x:c>
      <x:c r="B416" s="10" t="str">
        <x:v>USER-0415</x:v>
      </x:c>
      <x:c r="C416" s="10" t="str">
        <x:v>个人中心</x:v>
      </x:c>
      <x:c r="D416" s="10" t="str">
        <x:v>我的装扮（用户）</x:v>
      </x:c>
      <x:c r="E416" s="10" t="str">
        <x:v>功能需求</x:v>
      </x:c>
      <x:c r="F416" s="10" t="str">
        <x:v>P2</x:v>
      </x:c>
      <x:c r="G416" s="9" t="str">
        <x:v>验证道具配置修改不重写已拥有期限</x:v>
      </x:c>
      <x:c r="H416" s="9" t="str">
        <x:v>已发放道具期限快照</x:v>
      </x:c>
      <x:c r="I416" s="9" t="str">
        <x:v>1. 用户为本条执行者
2. 用户乙已获得道具甲，原有效期 09/01 至 09/30，后台后来将新发放期限改为永久</x:v>
      </x:c>
      <x:c r="J416" s="9" t="str">
        <x:v>1. 打开我的装扮
2. 查看道具甲</x:v>
      </x:c>
      <x:c r="K416" s="9" t="str">
        <x:v>道具甲有效期仍截止 09/30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来源（当前证据）：liveshow-proto/MainBasis/统一需求文档.md；位置：第 734 行；REQ-9c8849c7f7ca、第 736 行；REQ-7228b94a5deb、第 742 行；REQ-971eafce429b、第 2803 行；REQ-91af942de282、第 2818 行；REQ-558d7e0eabe1、第 728 行
2. 规则：BR-B3B3E52A2B7CAE
3. 未动态验证
4. 示例账号、编号、金额与日期是本条测试数据；执行前按前置条件准备，未填写的产品决策不得自行假定。</x:v>
      </x:c>
    </x:row>
    <x:row r="417" ht="145" customHeight="1">
      <x:c r="A417" s="10" t="n">
        <x:v>416</x:v>
      </x:c>
      <x:c r="B417" s="10" t="str">
        <x:v>USER-0416</x:v>
      </x:c>
      <x:c r="C417" s="10" t="str">
        <x:v>首页与发现</x:v>
      </x:c>
      <x:c r="D417" s="10" t="str">
        <x:v>首次登录通知说明（用户）</x:v>
      </x:c>
      <x:c r="E417" s="10" t="str">
        <x:v>功能需求</x:v>
      </x:c>
      <x:c r="F417" s="10" t="str">
        <x:v>P2</x:v>
      </x:c>
      <x:c r="G417" s="9" t="str">
        <x:v>验证首次通知说明选择开启通知</x:v>
      </x:c>
      <x:c r="H417" s="9" t="str">
        <x:v>首次通知说明处理</x:v>
      </x:c>
      <x:c r="I417" s="9" t="str">
        <x:v>1. 用户为本条执行者
2. 用户甲首次登录后进入首页，尚未对通知说明作出选择</x:v>
      </x:c>
      <x:c r="J417" s="9" t="str">
        <x:v>1. 点击开启通知</x:v>
      </x:c>
      <x:c r="K417" s="9" t="str">
        <x:v>显示系统通知授权弹窗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来源（当前证据）：liveshow-proto/MainBasis/统一需求文档.md；位置：第 1538 行；REQ-c5181f8521fc、第 1539 行；REQ-1c8b0773d23f、第 1533 行
2. 规则：BR-8C7D2FCD79C390
3. 未动态验证
4. 示例账号、编号、金额与日期是本条测试数据；执行前按前置条件准备，未填写的产品决策不得自行假定。</x:v>
      </x:c>
    </x:row>
    <x:row r="418" ht="145" customHeight="1">
      <x:c r="A418" s="10" t="n">
        <x:v>417</x:v>
      </x:c>
      <x:c r="B418" s="10" t="str">
        <x:v>USER-0417</x:v>
      </x:c>
      <x:c r="C418" s="10" t="str">
        <x:v>首页与发现</x:v>
      </x:c>
      <x:c r="D418" s="10" t="str">
        <x:v>首次登录通知说明（用户）</x:v>
      </x:c>
      <x:c r="E418" s="10" t="str">
        <x:v>功能需求</x:v>
      </x:c>
      <x:c r="F418" s="10" t="str">
        <x:v>P2</x:v>
      </x:c>
      <x:c r="G418" s="9" t="str">
        <x:v>验证首次通知说明选择暂不开启</x:v>
      </x:c>
      <x:c r="H418" s="9" t="str">
        <x:v>首次通知说明处理</x:v>
      </x:c>
      <x:c r="I418" s="9" t="str">
        <x:v>1. 用户为本条执行者
2. 用户甲首次登录后进入首页，尚未对通知说明作出选择</x:v>
      </x:c>
      <x:c r="J418" s="9" t="str">
        <x:v>1. 点击暂不开启</x:v>
      </x:c>
      <x:c r="K418" s="9" t="str">
        <x:v>通知说明关闭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来源（当前证据）：liveshow-proto/MainBasis/统一需求文档.md；位置：第 1538 行；REQ-c5181f8521fc、第 1539 行；REQ-1c8b0773d23f、第 1533 行
2. 规则：BR-FC58D82FFDF5A4
3. 未动态验证
4. 示例账号、编号、金额与日期是本条测试数据；执行前按前置条件准备，未填写的产品决策不得自行假定。</x:v>
      </x:c>
    </x:row>
    <x:row r="419" ht="145" customHeight="1">
      <x:c r="A419" s="10" t="n">
        <x:v>418</x:v>
      </x:c>
      <x:c r="B419" s="10" t="str">
        <x:v>USER-0418</x:v>
      </x:c>
      <x:c r="C419" s="10" t="str">
        <x:v>首页与发现</x:v>
      </x:c>
      <x:c r="D419" s="10" t="str">
        <x:v>首次登录通知说明（用户）</x:v>
      </x:c>
      <x:c r="E419" s="10" t="str">
        <x:v>功能需求</x:v>
      </x:c>
      <x:c r="F419" s="10" t="str">
        <x:v>P1</x:v>
      </x:c>
      <x:c r="G419" s="9" t="str">
        <x:v>验证已经选择开启通知后再次登录</x:v>
      </x:c>
      <x:c r="H419" s="9" t="str">
        <x:v>通知说明只展示一次</x:v>
      </x:c>
      <x:c r="I419" s="9" t="str">
        <x:v>1. 用户为本条执行者
2. 用户甲首次登录后进入首页，尚未对通知说明作出选择
3. 上次已选择开启通知并退出登录</x:v>
      </x:c>
      <x:c r="J419" s="9" t="str">
        <x:v>1. 完成用户甲的重新登录
2. 打开首页</x:v>
      </x:c>
      <x:c r="K419" s="9" t="str">
        <x:v>不再显示首次通知说明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来源（当前证据）：liveshow-proto/MainBasis/统一需求文档.md；位置：第 1538 行；REQ-c5181f8521fc、第 1539 行；REQ-1c8b0773d23f、第 1533 行
2. 规则：BR-7015F7F508BEE4
3. 未动态验证
4. 示例账号、编号、金额与日期是本条测试数据；执行前按前置条件准备，未填写的产品决策不得自行假定。</x:v>
      </x:c>
    </x:row>
    <x:row r="420" ht="145" customHeight="1">
      <x:c r="A420" s="10" t="n">
        <x:v>419</x:v>
      </x:c>
      <x:c r="B420" s="10" t="str">
        <x:v>USER-0419</x:v>
      </x:c>
      <x:c r="C420" s="10" t="str">
        <x:v>首页与发现</x:v>
      </x:c>
      <x:c r="D420" s="10" t="str">
        <x:v>首次登录通知说明（用户）</x:v>
      </x:c>
      <x:c r="E420" s="10" t="str">
        <x:v>功能需求</x:v>
      </x:c>
      <x:c r="F420" s="10" t="str">
        <x:v>P1</x:v>
      </x:c>
      <x:c r="G420" s="9" t="str">
        <x:v>验证已经选择暂不开启后再次登录</x:v>
      </x:c>
      <x:c r="H420" s="9" t="str">
        <x:v>通知说明只展示一次</x:v>
      </x:c>
      <x:c r="I420" s="9" t="str">
        <x:v>1. 用户为本条执行者
2. 用户甲首次登录后进入首页，尚未对通知说明作出选择
3. 上次已选择暂不开启并退出登录</x:v>
      </x:c>
      <x:c r="J420" s="9" t="str">
        <x:v>1. 完成用户甲的重新登录
2. 打开首页</x:v>
      </x:c>
      <x:c r="K420" s="9" t="str">
        <x:v>不再显示首次通知说明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来源（当前证据）：liveshow-proto/MainBasis/统一需求文档.md；位置：第 1538 行；REQ-c5181f8521fc、第 1539 行；REQ-1c8b0773d23f、第 1533 行
2. 规则：BR-8549F3824B80B1
3. 未动态验证
4. 示例账号、编号、金额与日期是本条测试数据；执行前按前置条件准备，未填写的产品决策不得自行假定。</x:v>
      </x:c>
    </x:row>
    <x:row r="421" ht="145" customHeight="1">
      <x:c r="A421" s="10" t="n">
        <x:v>420</x:v>
      </x:c>
      <x:c r="B421" s="10" t="str">
        <x:v>USER-0420</x:v>
      </x:c>
      <x:c r="C421" s="10" t="str">
        <x:v>首页与发现</x:v>
      </x:c>
      <x:c r="D421" s="10" t="str">
        <x:v>系统通知授权弹窗（用户）</x:v>
      </x:c>
      <x:c r="E421" s="10" t="str">
        <x:v>功能需求</x:v>
      </x:c>
      <x:c r="F421" s="10" t="str">
        <x:v>P2</x:v>
      </x:c>
      <x:c r="G421" s="9" t="str">
        <x:v>验证系统通知授权选择允许</x:v>
      </x:c>
      <x:c r="H421" s="9" t="str">
        <x:v>系统授权结果记录</x:v>
      </x:c>
      <x:c r="I421" s="9" t="str">
        <x:v>1. 用户为本条执行者
2. 当前显示系统通知授权弹窗</x:v>
      </x:c>
      <x:c r="J421" s="9" t="str">
        <x:v>1. 点击允许
2. 打开设置
3. 查看系统通知</x:v>
      </x:c>
      <x:c r="K421" s="9" t="str">
        <x:v>系统通知显示已开启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来源（当前证据）：liveshow-proto/MainBasis/统一需求文档.md；位置：第 1547 行；REQ-16dc8a06fc75、第 1548 行；REQ-37f11691aa7c、第 1542 行
2. 规则：BR-D83B4CB77A71D9
3. 未动态验证
4. 示例账号、编号、金额与日期是本条测试数据；执行前按前置条件准备，未填写的产品决策不得自行假定。</x:v>
      </x:c>
    </x:row>
    <x:row r="422" ht="145" customHeight="1">
      <x:c r="A422" s="10" t="n">
        <x:v>421</x:v>
      </x:c>
      <x:c r="B422" s="10" t="str">
        <x:v>USER-0421</x:v>
      </x:c>
      <x:c r="C422" s="10" t="str">
        <x:v>首页与发现</x:v>
      </x:c>
      <x:c r="D422" s="10" t="str">
        <x:v>系统通知授权弹窗（用户）</x:v>
      </x:c>
      <x:c r="E422" s="10" t="str">
        <x:v>异常用例</x:v>
      </x:c>
      <x:c r="F422" s="10" t="str">
        <x:v>P2</x:v>
      </x:c>
      <x:c r="G422" s="9" t="str">
        <x:v>验证系统通知授权选择不允许</x:v>
      </x:c>
      <x:c r="H422" s="9" t="str">
        <x:v>系统授权结果记录</x:v>
      </x:c>
      <x:c r="I422" s="9" t="str">
        <x:v>1. 用户为本条执行者
2. 当前显示系统通知授权弹窗</x:v>
      </x:c>
      <x:c r="J422" s="9" t="str">
        <x:v>1. 点击不允许
2. 打开设置
3. 查看系统通知</x:v>
      </x:c>
      <x:c r="K422" s="9" t="str">
        <x:v>系统通知显示已拒绝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来源（当前证据）：liveshow-proto/MainBasis/统一需求文档.md；位置：第 1547 行；REQ-16dc8a06fc75、第 1548 行；REQ-37f11691aa7c、第 1542 行
2. 规则：BR-60F66F62F37455
3. 未动态验证
4. 示例账号、编号、金额与日期是本条测试数据；执行前按前置条件准备，未填写的产品决策不得自行假定。</x:v>
      </x:c>
    </x:row>
    <x:row r="423" ht="145" customHeight="1">
      <x:c r="A423" s="10" t="n">
        <x:v>422</x:v>
      </x:c>
      <x:c r="B423" s="10" t="str">
        <x:v>USER-0422</x:v>
      </x:c>
      <x:c r="C423" s="10" t="str">
        <x:v>个人中心</x:v>
      </x:c>
      <x:c r="D423" s="10" t="str">
        <x:v>系统通知·已拒绝（用户）</x:v>
      </x:c>
      <x:c r="E423" s="10" t="str">
        <x:v>异常用例</x:v>
      </x:c>
      <x:c r="F423" s="10" t="str">
        <x:v>P2</x:v>
      </x:c>
      <x:c r="G423" s="9" t="str">
        <x:v>验证系统通知拒绝后选择暂不开启</x:v>
      </x:c>
      <x:c r="H423" s="9" t="str">
        <x:v>系统拒绝后的设置引导</x:v>
      </x:c>
      <x:c r="I423" s="9" t="str">
        <x:v>1. 用户为本条执行者
2. 当前设备系统通知权限已拒绝</x:v>
      </x:c>
      <x:c r="J423" s="9" t="str">
        <x:v>1. 打开设置
2. 点击系统通知
3. 点击暂不开启</x:v>
      </x:c>
      <x:c r="K423" s="9" t="str">
        <x:v>前往系统设置提示关闭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来源（当前证据）：liveshow-proto/MainBasis/统一需求文档.md；位置：第 1561 行；REQ-6b526b040fc3、第 1563 行；REQ-ab2e5019404e、第 1558 行
2. 规则：BR-67EC1DB31DCCCF
3. 未动态验证
4. 示例账号、编号、金额与日期是本条测试数据；执行前按前置条件准备，未填写的产品决策不得自行假定。</x:v>
      </x:c>
    </x:row>
    <x:row r="424" ht="145" customHeight="1">
      <x:c r="A424" s="10" t="n">
        <x:v>423</x:v>
      </x:c>
      <x:c r="B424" s="10" t="str">
        <x:v>USER-0423</x:v>
      </x:c>
      <x:c r="C424" s="10" t="str">
        <x:v>个人中心</x:v>
      </x:c>
      <x:c r="D424" s="10" t="str">
        <x:v>系统通知·已拒绝（用户）</x:v>
      </x:c>
      <x:c r="E424" s="10" t="str">
        <x:v>异常用例</x:v>
      </x:c>
      <x:c r="F424" s="10" t="str">
        <x:v>P2</x:v>
      </x:c>
      <x:c r="G424" s="9" t="str">
        <x:v>验证系统通知拒绝后选择前往设置</x:v>
      </x:c>
      <x:c r="H424" s="9" t="str">
        <x:v>系统拒绝后的设置引导</x:v>
      </x:c>
      <x:c r="I424" s="9" t="str">
        <x:v>1. 用户为本条执行者
2. 当前设备系统通知权限已拒绝</x:v>
      </x:c>
      <x:c r="J424" s="9" t="str">
        <x:v>1. 打开设置
2. 点击系统通知
3. 点击前往设置</x:v>
      </x:c>
      <x:c r="K424" s="9" t="str">
        <x:v>打开手机系统设置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来源（当前证据）：liveshow-proto/MainBasis/统一需求文档.md；位置：第 1561 行；REQ-6b526b040fc3、第 1563 行；REQ-ab2e5019404e、第 1558 行
2. 规则：BR-8051D612C791CB
3. 未动态验证
4. 示例账号、编号、金额与日期是本条测试数据；执行前按前置条件准备，未填写的产品决策不得自行假定。</x:v>
      </x:c>
    </x:row>
    <x:row r="425" ht="130" customHeight="1">
      <x:c r="A425" s="10" t="n">
        <x:v>424</x:v>
      </x:c>
      <x:c r="B425" s="10" t="str">
        <x:v>USER-0424</x:v>
      </x:c>
      <x:c r="C425" s="10" t="str">
        <x:v>个人中心</x:v>
      </x:c>
      <x:c r="D425" s="10" t="str">
        <x:v>系统通知·已授权（用户）</x:v>
      </x:c>
      <x:c r="E425" s="10" t="str">
        <x:v>功能需求</x:v>
      </x:c>
      <x:c r="F425" s="10" t="str">
        <x:v>P2</x:v>
      </x:c>
      <x:c r="G425" s="9" t="str">
        <x:v>验证已有授权再次点击系统通知</x:v>
      </x:c>
      <x:c r="H425" s="9" t="str">
        <x:v>已有系统授权提示</x:v>
      </x:c>
      <x:c r="I425" s="9" t="str">
        <x:v>1. 用户为本条执行者
2. 当前设备已授予系统通知权限</x:v>
      </x:c>
      <x:c r="J425" s="9" t="str">
        <x:v>1. 打开设置
2. 点击系统通知</x:v>
      </x:c>
      <x:c r="K425" s="9" t="str">
        <x:v>提示“系统通知已开启”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来源（当前证据）：liveshow-proto/MainBasis/统一需求文档.md；位置：第 1571 行；REQ-38dd8250cdfd、第 1566 行
2. 规则：BR-6E53D42A203DAB
3. 未动态验证
4. 示例账号、编号、金额与日期是本条测试数据；执行前按前置条件准备，未填写的产品决策不得自行假定。</x:v>
      </x:c>
    </x:row>
    <x:row r="426" ht="160" customHeight="1">
      <x:c r="A426" s="10" t="n">
        <x:v>425</x:v>
      </x:c>
      <x:c r="B426" s="10" t="str">
        <x:v>USER-0425</x:v>
      </x:c>
      <x:c r="C426" s="10" t="str">
        <x:v>个人中心</x:v>
      </x:c>
      <x:c r="D426" s="10" t="str">
        <x:v>系统通知·已授权（用户）</x:v>
      </x:c>
      <x:c r="E426" s="10" t="str">
        <x:v>功能需求</x:v>
      </x:c>
      <x:c r="F426" s="10" t="str">
        <x:v>P2</x:v>
      </x:c>
      <x:c r="G426" s="9" t="str">
        <x:v>验证开播提醒分类开关独立</x:v>
      </x:c>
      <x:c r="H426" s="9" t="str">
        <x:v>通知分类独立性</x:v>
      </x:c>
      <x:c r="I426" s="9" t="str">
        <x:v>1. 用户为本条执行者
2. 当前设备已授予系统通知权限
3. 开播提醒偏好为开启，另一个分类也为开启</x:v>
      </x:c>
      <x:c r="J426" s="9" t="str">
        <x:v>1. 打开设置
2. 关闭开播提醒</x:v>
      </x:c>
      <x:c r="K426" s="9" t="str">
        <x:v>另一个通知分类仍为开启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来源（当前证据）：liveshow-proto/MainBasis/统一需求文档.md；位置：第 1569 行；REQ-44a79bfd880e、第 1570 行；REQ-d5b5caf244b0、第 1571 行；REQ-38dd8250cdfd、第 1566 行
2. 规则：BR-7340D4AF0D71F6
3. 未动态验证
4. 示例账号、编号、金额与日期是本条测试数据；执行前按前置条件准备，未填写的产品决策不得自行假定。</x:v>
      </x:c>
    </x:row>
    <x:row r="427" ht="160" customHeight="1">
      <x:c r="A427" s="10" t="n">
        <x:v>426</x:v>
      </x:c>
      <x:c r="B427" s="10" t="str">
        <x:v>USER-0426</x:v>
      </x:c>
      <x:c r="C427" s="10" t="str">
        <x:v>个人中心</x:v>
      </x:c>
      <x:c r="D427" s="10" t="str">
        <x:v>系统通知·已授权（用户）</x:v>
      </x:c>
      <x:c r="E427" s="10" t="str">
        <x:v>功能需求</x:v>
      </x:c>
      <x:c r="F427" s="10" t="str">
        <x:v>P2</x:v>
      </x:c>
      <x:c r="G427" s="9" t="str">
        <x:v>验证互动通知分类开关独立</x:v>
      </x:c>
      <x:c r="H427" s="9" t="str">
        <x:v>通知分类独立性</x:v>
      </x:c>
      <x:c r="I427" s="9" t="str">
        <x:v>1. 用户为本条执行者
2. 当前设备已授予系统通知权限
3. 互动通知偏好为开启，另一个分类也为开启</x:v>
      </x:c>
      <x:c r="J427" s="9" t="str">
        <x:v>1. 打开设置
2. 关闭互动通知</x:v>
      </x:c>
      <x:c r="K427" s="9" t="str">
        <x:v>另一个通知分类仍为开启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来源（当前证据）：liveshow-proto/MainBasis/统一需求文档.md；位置：第 1569 行；REQ-44a79bfd880e、第 1570 行；REQ-d5b5caf244b0、第 1571 行；REQ-38dd8250cdfd、第 1566 行
2. 规则：BR-3C236A6F95796B
3. 未动态验证
4. 示例账号、编号、金额与日期是本条测试数据；执行前按前置条件准备，未填写的产品决策不得自行假定。</x:v>
      </x:c>
    </x:row>
    <x:row r="428" ht="145" customHeight="1">
      <x:c r="A428" s="10" t="n">
        <x:v>427</x:v>
      </x:c>
      <x:c r="B428" s="10" t="str">
        <x:v>USER-0427</x:v>
      </x:c>
      <x:c r="C428" s="10" t="str">
        <x:v>个人中心</x:v>
      </x:c>
      <x:c r="D428" s="10" t="str">
        <x:v>设置（用户）</x:v>
      </x:c>
      <x:c r="E428" s="10" t="str">
        <x:v>功能需求</x:v>
      </x:c>
      <x:c r="F428" s="10" t="str">
        <x:v>P2</x:v>
      </x:c>
      <x:c r="G428" s="9" t="str">
        <x:v>验证联系方式显示脱敏值</x:v>
      </x:c>
      <x:c r="H428" s="9" t="str">
        <x:v>手机号脱敏</x:v>
      </x:c>
      <x:c r="I428" s="9" t="str">
        <x:v>1. 用户为本条执行者
2. 用户甲已登录且绑定手机号 +62 81234567890、邮箱 qa.test@example.com</x:v>
      </x:c>
      <x:c r="J428" s="9" t="str">
        <x:v>1. 打开设置</x:v>
      </x:c>
      <x:c r="K428" s="9" t="str">
        <x:v>手机号保留 +62，号码中间部分被遮蔽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来源（当前证据）：liveshow-proto/MainBasis/统一需求文档.md；位置：第 1444 行；REQ-a7b87f8491c2、第 1445 行；REQ-2ff6e6688c79、第 1442 行
2. 规则：BR-D09BD29384C61E
3. 未动态验证
4. 示例账号、编号、金额与日期是本条测试数据；执行前按前置条件准备，未填写的产品决策不得自行假定。</x:v>
      </x:c>
    </x:row>
    <x:row r="429" ht="145" customHeight="1">
      <x:c r="A429" s="10" t="n">
        <x:v>428</x:v>
      </x:c>
      <x:c r="B429" s="10" t="str">
        <x:v>USER-0428</x:v>
      </x:c>
      <x:c r="C429" s="10" t="str">
        <x:v>个人中心</x:v>
      </x:c>
      <x:c r="D429" s="10" t="str">
        <x:v>设置（用户）</x:v>
      </x:c>
      <x:c r="E429" s="10" t="str">
        <x:v>功能需求</x:v>
      </x:c>
      <x:c r="F429" s="10" t="str">
        <x:v>P2</x:v>
      </x:c>
      <x:c r="G429" s="9" t="str">
        <x:v>验证联系方式显示脱敏值</x:v>
      </x:c>
      <x:c r="H429" s="9" t="str">
        <x:v>邮箱脱敏</x:v>
      </x:c>
      <x:c r="I429" s="9" t="str">
        <x:v>1. 用户为本条执行者
2. 用户甲已登录且绑定手机号 +62 81234567890、邮箱 qa.test@example.com</x:v>
      </x:c>
      <x:c r="J429" s="9" t="str">
        <x:v>1. 打开设置</x:v>
      </x:c>
      <x:c r="K429" s="9" t="str">
        <x:v>邮箱账号部分被遮蔽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来源（当前证据）：liveshow-proto/MainBasis/统一需求文档.md；位置：第 1444 行；REQ-a7b87f8491c2、第 1445 行；REQ-2ff6e6688c79、第 1442 行
2. 规则：BR-9C12BFADD384F9
3. 未动态验证
4. 示例账号、编号、金额与日期是本条测试数据；执行前按前置条件准备，未填写的产品决策不得自行假定。</x:v>
      </x:c>
    </x:row>
    <x:row r="430" ht="175" customHeight="1">
      <x:c r="A430" s="10" t="n">
        <x:v>429</x:v>
      </x:c>
      <x:c r="B430" s="10" t="str">
        <x:v>USER-0429</x:v>
      </x:c>
      <x:c r="C430" s="10" t="str">
        <x:v>个人中心</x:v>
      </x:c>
      <x:c r="D430" s="10" t="str">
        <x:v>设置（用户）</x:v>
      </x:c>
      <x:c r="E430" s="10" t="str">
        <x:v>功能需求</x:v>
      </x:c>
      <x:c r="F430" s="10" t="str">
        <x:v>P1</x:v>
      </x:c>
      <x:c r="G430" s="9" t="str">
        <x:v>验证登录密码未设置时的入口</x:v>
      </x:c>
      <x:c r="H430" s="9" t="str">
        <x:v>密码状态回显</x:v>
      </x:c>
      <x:c r="I430" s="9" t="str">
        <x:v>1. 用户为本条执行者
2. 用户甲已登录且绑定手机号 +62 81234567890、邮箱 qa.test@example.com
3. 当前账号未设置密码</x:v>
      </x:c>
      <x:c r="J430" s="9" t="str">
        <x:v>1. 打开设置</x:v>
      </x:c>
      <x:c r="K430" s="9" t="str">
        <x:v>登录密码显示“未设置”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来源（当前证据）：liveshow-proto/MainBasis/统一需求文档.md；位置：第 1446 行；REQ-da54d083fb0a、第 1453 行；REQ-4fdff45d29cb、第 1454 行；REQ-620f415b6634、第 1461 行；REQ-f186d449c143、第 1464 行；REQ-344eeae4d06a、第 1442 行
2. 规则：BR-B22F7989BB5361
3. 未动态验证
4. 示例账号、编号、金额与日期是本条测试数据；执行前按前置条件准备，未填写的产品决策不得自行假定。</x:v>
      </x:c>
    </x:row>
    <x:row r="431" ht="175" customHeight="1">
      <x:c r="A431" s="10" t="n">
        <x:v>430</x:v>
      </x:c>
      <x:c r="B431" s="10" t="str">
        <x:v>USER-0430</x:v>
      </x:c>
      <x:c r="C431" s="10" t="str">
        <x:v>个人中心</x:v>
      </x:c>
      <x:c r="D431" s="10" t="str">
        <x:v>设置（用户）</x:v>
      </x:c>
      <x:c r="E431" s="10" t="str">
        <x:v>功能需求</x:v>
      </x:c>
      <x:c r="F431" s="10" t="str">
        <x:v>P1</x:v>
      </x:c>
      <x:c r="G431" s="9" t="str">
        <x:v>验证登录密码未设置时的入口</x:v>
      </x:c>
      <x:c r="H431" s="9" t="str">
        <x:v>密码入口分流</x:v>
      </x:c>
      <x:c r="I431" s="9" t="str">
        <x:v>1. 用户为本条执行者
2. 用户甲已登录且绑定手机号 +62 81234567890、邮箱 qa.test@example.com
3. 当前账号未设置密码</x:v>
      </x:c>
      <x:c r="J431" s="9" t="str">
        <x:v>1. 打开设置</x:v>
      </x:c>
      <x:c r="K431" s="9" t="str">
        <x:v>显示“设置密码”入口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来源（当前证据）：liveshow-proto/MainBasis/统一需求文档.md；位置：第 1446 行；REQ-da54d083fb0a、第 1453 行；REQ-4fdff45d29cb、第 1454 行；REQ-620f415b6634、第 1461 行；REQ-f186d449c143、第 1464 行；REQ-344eeae4d06a、第 1442 行
2. 规则：BR-47E73BC2F188F1
3. 未动态验证
4. 示例账号、编号、金额与日期是本条测试数据；执行前按前置条件准备，未填写的产品决策不得自行假定。</x:v>
      </x:c>
    </x:row>
    <x:row r="432" ht="175" customHeight="1">
      <x:c r="A432" s="10" t="n">
        <x:v>431</x:v>
      </x:c>
      <x:c r="B432" s="10" t="str">
        <x:v>USER-0431</x:v>
      </x:c>
      <x:c r="C432" s="10" t="str">
        <x:v>个人中心</x:v>
      </x:c>
      <x:c r="D432" s="10" t="str">
        <x:v>设置（用户）</x:v>
      </x:c>
      <x:c r="E432" s="10" t="str">
        <x:v>功能需求</x:v>
      </x:c>
      <x:c r="F432" s="10" t="str">
        <x:v>P1</x:v>
      </x:c>
      <x:c r="G432" s="9" t="str">
        <x:v>验证登录密码已设置时的入口</x:v>
      </x:c>
      <x:c r="H432" s="9" t="str">
        <x:v>密码状态回显</x:v>
      </x:c>
      <x:c r="I432" s="9" t="str">
        <x:v>1. 用户为本条执行者
2. 用户甲已登录且绑定手机号 +62 81234567890、邮箱 qa.test@example.com
3. 当前账号已设置密码 QaTest#2026</x:v>
      </x:c>
      <x:c r="J432" s="9" t="str">
        <x:v>1. 打开设置</x:v>
      </x:c>
      <x:c r="K432" s="9" t="str">
        <x:v>登录密码显示“已设置”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来源（当前证据）：liveshow-proto/MainBasis/统一需求文档.md；位置：第 1446 行；REQ-da54d083fb0a、第 1453 行；REQ-4fdff45d29cb、第 1454 行；REQ-620f415b6634、第 1461 行；REQ-f186d449c143、第 1464 行；REQ-344eeae4d06a、第 1442 行
2. 规则：BR-F2B515EC772E89
3. 未动态验证
4. 示例账号、编号、金额与日期是本条测试数据；执行前按前置条件准备，未填写的产品决策不得自行假定。</x:v>
      </x:c>
    </x:row>
    <x:row r="433" ht="175" customHeight="1">
      <x:c r="A433" s="10" t="n">
        <x:v>432</x:v>
      </x:c>
      <x:c r="B433" s="10" t="str">
        <x:v>USER-0432</x:v>
      </x:c>
      <x:c r="C433" s="10" t="str">
        <x:v>个人中心</x:v>
      </x:c>
      <x:c r="D433" s="10" t="str">
        <x:v>设置（用户）</x:v>
      </x:c>
      <x:c r="E433" s="10" t="str">
        <x:v>功能需求</x:v>
      </x:c>
      <x:c r="F433" s="10" t="str">
        <x:v>P1</x:v>
      </x:c>
      <x:c r="G433" s="9" t="str">
        <x:v>验证登录密码已设置时的入口</x:v>
      </x:c>
      <x:c r="H433" s="9" t="str">
        <x:v>密码入口分流</x:v>
      </x:c>
      <x:c r="I433" s="9" t="str">
        <x:v>1. 用户为本条执行者
2. 用户甲已登录且绑定手机号 +62 81234567890、邮箱 qa.test@example.com
3. 当前账号已设置密码 QaTest#2026</x:v>
      </x:c>
      <x:c r="J433" s="9" t="str">
        <x:v>1. 打开设置</x:v>
      </x:c>
      <x:c r="K433" s="9" t="str">
        <x:v>显示“修改密码”入口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来源（当前证据）：liveshow-proto/MainBasis/统一需求文档.md；位置：第 1446 行；REQ-da54d083fb0a、第 1453 行；REQ-4fdff45d29cb、第 1454 行；REQ-620f415b6634、第 1461 行；REQ-f186d449c143、第 1464 行；REQ-344eeae4d06a、第 1442 行
2. 规则：BR-CA613C4184D1C3
3. 未动态验证
4. 示例账号、编号、金额与日期是本条测试数据；执行前按前置条件准备，未填写的产品决策不得自行假定。</x:v>
      </x:c>
    </x:row>
    <x:row r="434" ht="130" customHeight="1">
      <x:c r="A434" s="10" t="n">
        <x:v>433</x:v>
      </x:c>
      <x:c r="B434" s="10" t="str">
        <x:v>USER-0433</x:v>
      </x:c>
      <x:c r="C434" s="10" t="str">
        <x:v>个人中心</x:v>
      </x:c>
      <x:c r="D434" s="10" t="str">
        <x:v>设置（用户）</x:v>
      </x:c>
      <x:c r="E434" s="10" t="str">
        <x:v>功能需求</x:v>
      </x:c>
      <x:c r="F434" s="10" t="str">
        <x:v>P2</x:v>
      </x:c>
      <x:c r="G434" s="9" t="str">
        <x:v>验证系统通知关闭仍保留站内通知</x:v>
      </x:c>
      <x:c r="H434" s="9" t="str">
        <x:v>系统授权与站内消息分离</x:v>
      </x:c>
      <x:c r="I434" s="9" t="str">
        <x:v>1. 用户为本条执行者
2. 用户甲已登录且绑定手机号 +62 81234567890、邮箱 qa.test@example.com
3. 手机系统通知权限未开启；平台向用户甲发送站内通知“通知测试”</x:v>
      </x:c>
      <x:c r="J434" s="9" t="str">
        <x:v>1. 打开系统通知中心</x:v>
      </x:c>
      <x:c r="K434" s="9" t="str">
        <x:v>站内通知列表包含“通知测试”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来源（当前证据）：liveshow-proto/MainBasis/统一需求文档.md；位置：第 1456 行；REQ-2cf14872bf9d、第 1442 行
2. 规则：BR-B7B1A4DF0F9780
3. 未动态验证
4. 示例账号、编号、金额与日期是本条测试数据；执行前按前置条件准备，未填写的产品决策不得自行假定。</x:v>
      </x:c>
    </x:row>
    <x:row r="435" ht="160" customHeight="1">
      <x:c r="A435" s="10" t="n">
        <x:v>434</x:v>
      </x:c>
      <x:c r="B435" s="10" t="str">
        <x:v>USER-0434</x:v>
      </x:c>
      <x:c r="C435" s="10" t="str">
        <x:v>个人中心</x:v>
      </x:c>
      <x:c r="D435" s="10" t="str">
        <x:v>我的（用户）</x:v>
      </x:c>
      <x:c r="E435" s="10" t="str">
        <x:v>功能需求</x:v>
      </x:c>
      <x:c r="F435" s="10" t="str">
        <x:v>P2</x:v>
      </x:c>
      <x:c r="G435" s="9" t="str">
        <x:v>验证我的粉丝数统计有效关系</x:v>
      </x:c>
      <x:c r="H435" s="9" t="str">
        <x:v>粉丝数有效关系口径</x:v>
      </x:c>
      <x:c r="I435" s="9" t="str">
        <x:v>1. 用户为本条执行者
2. 当前普通用户甲昵称“测试甲”，ID 1001；有 2 个有效粉丝、3 个有效关注、1 个有效好友</x:v>
      </x:c>
      <x:c r="J435" s="9" t="str">
        <x:v>1. 打开我的
2. 查看粉丝数</x:v>
      </x:c>
      <x:c r="K435" s="9" t="str">
        <x:v>粉丝数显示 2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来源（当前证据）：liveshow-proto/MainBasis/统一需求文档.md；位置：第 679 行；REQ-375ca5bfa73a、第 680 行；REQ-59d825f4d64b、第 684 行；REQ-a638e46b1a6a、第 676 行
2. 规则：BR-07B8925EC07155
3. 未动态验证
4. 示例账号、编号、金额与日期是本条测试数据；执行前按前置条件准备，未填写的产品决策不得自行假定。</x:v>
      </x:c>
    </x:row>
    <x:row r="436" ht="160" customHeight="1">
      <x:c r="A436" s="10" t="n">
        <x:v>435</x:v>
      </x:c>
      <x:c r="B436" s="10" t="str">
        <x:v>USER-0435</x:v>
      </x:c>
      <x:c r="C436" s="10" t="str">
        <x:v>个人中心</x:v>
      </x:c>
      <x:c r="D436" s="10" t="str">
        <x:v>我的（用户）</x:v>
      </x:c>
      <x:c r="E436" s="10" t="str">
        <x:v>功能需求</x:v>
      </x:c>
      <x:c r="F436" s="10" t="str">
        <x:v>P2</x:v>
      </x:c>
      <x:c r="G436" s="9" t="str">
        <x:v>验证我的关注数统计有效关系</x:v>
      </x:c>
      <x:c r="H436" s="9" t="str">
        <x:v>关注数有效关系口径</x:v>
      </x:c>
      <x:c r="I436" s="9" t="str">
        <x:v>1. 用户为本条执行者
2. 当前普通用户甲昵称“测试甲”，ID 1001；有 2 个有效粉丝、3 个有效关注、1 个有效好友</x:v>
      </x:c>
      <x:c r="J436" s="9" t="str">
        <x:v>1. 打开我的
2. 查看关注数</x:v>
      </x:c>
      <x:c r="K436" s="9" t="str">
        <x:v>关注数显示 3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来源（当前证据）：liveshow-proto/MainBasis/统一需求文档.md；位置：第 679 行；REQ-375ca5bfa73a、第 680 行；REQ-59d825f4d64b、第 684 行；REQ-a638e46b1a6a、第 676 行
2. 规则：BR-4CFB3A5F40D3C5
3. 未动态验证
4. 示例账号、编号、金额与日期是本条测试数据；执行前按前置条件准备，未填写的产品决策不得自行假定。</x:v>
      </x:c>
    </x:row>
    <x:row r="437" ht="160" customHeight="1">
      <x:c r="A437" s="10" t="n">
        <x:v>436</x:v>
      </x:c>
      <x:c r="B437" s="10" t="str">
        <x:v>USER-0436</x:v>
      </x:c>
      <x:c r="C437" s="10" t="str">
        <x:v>个人中心</x:v>
      </x:c>
      <x:c r="D437" s="10" t="str">
        <x:v>我的（用户）</x:v>
      </x:c>
      <x:c r="E437" s="10" t="str">
        <x:v>功能需求</x:v>
      </x:c>
      <x:c r="F437" s="10" t="str">
        <x:v>P2</x:v>
      </x:c>
      <x:c r="G437" s="9" t="str">
        <x:v>验证我的好友数统计有效关系</x:v>
      </x:c>
      <x:c r="H437" s="9" t="str">
        <x:v>好友数有效关系口径</x:v>
      </x:c>
      <x:c r="I437" s="9" t="str">
        <x:v>1. 用户为本条执行者
2. 当前普通用户甲昵称“测试甲”，ID 1001；有 2 个有效粉丝、3 个有效关注、1 个有效好友</x:v>
      </x:c>
      <x:c r="J437" s="9" t="str">
        <x:v>1. 打开我的
2. 查看好友数</x:v>
      </x:c>
      <x:c r="K437" s="9" t="str">
        <x:v>好友数显示 1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来源（当前证据）：liveshow-proto/MainBasis/统一需求文档.md；位置：第 679 行；REQ-375ca5bfa73a、第 680 行；REQ-59d825f4d64b、第 684 行；REQ-a638e46b1a6a、第 676 行
2. 规则：BR-C47F2AB15F3F09
3. 未动态验证
4. 示例账号、编号、金额与日期是本条测试数据；执行前按前置条件准备，未填写的产品决策不得自行假定。</x:v>
      </x:c>
    </x:row>
    <x:row r="438" ht="145" customHeight="1">
      <x:c r="A438" s="10" t="n">
        <x:v>437</x:v>
      </x:c>
      <x:c r="B438" s="10" t="str">
        <x:v>USER-0437</x:v>
      </x:c>
      <x:c r="C438" s="10" t="str">
        <x:v>个人中心</x:v>
      </x:c>
      <x:c r="D438" s="10" t="str">
        <x:v>我的（用户）</x:v>
      </x:c>
      <x:c r="E438" s="10" t="str">
        <x:v>功能需求</x:v>
      </x:c>
      <x:c r="F438" s="10" t="str">
        <x:v>P2</x:v>
      </x:c>
      <x:c r="G438" s="9" t="str">
        <x:v>验证我的展示 0 枚可展示勋章</x:v>
      </x:c>
      <x:c r="H438" s="9" t="str">
        <x:v>我的勋章可见范围</x:v>
      </x:c>
      <x:c r="I438" s="9" t="str">
        <x:v>1. 用户为本条执行者
2. 当前普通用户甲昵称“测试甲”，ID 1001；有 2 个有效粉丝、3 个有效关注、1 个有效好友
3. 当前有效且已佩戴可展示勋章为 0 枚</x:v>
      </x:c>
      <x:c r="J438" s="9" t="str">
        <x:v>1. 打开我的
2. 查看勋章区域</x:v>
      </x:c>
      <x:c r="K438" s="9" t="str">
        <x:v>勋章区域隐藏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来源（当前证据）：liveshow-proto/MainBasis/统一需求文档.md；位置：第 679 行；REQ-375ca5bfa73a、第 689 行；REQ-4c86f5e6f24c、第 676 行
2. 规则：BR-14CCE372F8DC34
3. 未动态验证
4. 示例账号、编号、金额与日期是本条测试数据；执行前按前置条件准备，未填写的产品决策不得自行假定。</x:v>
      </x:c>
    </x:row>
    <x:row r="439" ht="145" customHeight="1">
      <x:c r="A439" s="10" t="n">
        <x:v>438</x:v>
      </x:c>
      <x:c r="B439" s="10" t="str">
        <x:v>USER-0438</x:v>
      </x:c>
      <x:c r="C439" s="10" t="str">
        <x:v>个人中心</x:v>
      </x:c>
      <x:c r="D439" s="10" t="str">
        <x:v>我的（用户）</x:v>
      </x:c>
      <x:c r="E439" s="10" t="str">
        <x:v>功能需求</x:v>
      </x:c>
      <x:c r="F439" s="10" t="str">
        <x:v>P2</x:v>
      </x:c>
      <x:c r="G439" s="9" t="str">
        <x:v>验证我的展示 1 枚可展示勋章</x:v>
      </x:c>
      <x:c r="H439" s="9" t="str">
        <x:v>我的勋章可见范围</x:v>
      </x:c>
      <x:c r="I439" s="9" t="str">
        <x:v>1. 用户为本条执行者
2. 当前普通用户甲昵称“测试甲”，ID 1001；有 2 个有效粉丝、3 个有效关注、1 个有效好友
3. 当前有效且已佩戴可展示勋章为 1 枚</x:v>
      </x:c>
      <x:c r="J439" s="9" t="str">
        <x:v>1. 打开我的
2. 查看勋章区域</x:v>
      </x:c>
      <x:c r="K439" s="9" t="str">
        <x:v>显示 1 枚勋章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来源（当前证据）：liveshow-proto/MainBasis/统一需求文档.md；位置：第 679 行；REQ-375ca5bfa73a、第 689 行；REQ-4c86f5e6f24c、第 676 行
2. 规则：BR-1D979AB02AE9DF
3. 未动态验证
4. 示例账号、编号、金额与日期是本条测试数据；执行前按前置条件准备，未填写的产品决策不得自行假定。</x:v>
      </x:c>
    </x:row>
    <x:row r="440" ht="145" customHeight="1">
      <x:c r="A440" s="10" t="n">
        <x:v>439</x:v>
      </x:c>
      <x:c r="B440" s="10" t="str">
        <x:v>USER-0439</x:v>
      </x:c>
      <x:c r="C440" s="10" t="str">
        <x:v>个人中心</x:v>
      </x:c>
      <x:c r="D440" s="10" t="str">
        <x:v>我的（用户）</x:v>
      </x:c>
      <x:c r="E440" s="10" t="str">
        <x:v>功能需求</x:v>
      </x:c>
      <x:c r="F440" s="10" t="str">
        <x:v>P2</x:v>
      </x:c>
      <x:c r="G440" s="9" t="str">
        <x:v>验证我的展示 5 枚可展示勋章</x:v>
      </x:c>
      <x:c r="H440" s="9" t="str">
        <x:v>我的勋章可见范围</x:v>
      </x:c>
      <x:c r="I440" s="9" t="str">
        <x:v>1. 用户为本条执行者
2. 当前普通用户甲昵称“测试甲”，ID 1001；有 2 个有效粉丝、3 个有效关注、1 个有效好友
3. 当前有效且已佩戴可展示勋章为 5 枚</x:v>
      </x:c>
      <x:c r="J440" s="9" t="str">
        <x:v>1. 打开我的
2. 查看勋章区域</x:v>
      </x:c>
      <x:c r="K440" s="9" t="str">
        <x:v>显示 5 枚勋章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来源（当前证据）：liveshow-proto/MainBasis/统一需求文档.md；位置：第 679 行；REQ-375ca5bfa73a、第 689 行；REQ-4c86f5e6f24c、第 676 行
2. 规则：BR-377F1800B90484
3. 未动态验证
4. 示例账号、编号、金额与日期是本条测试数据；执行前按前置条件准备，未填写的产品决策不得自行假定。</x:v>
      </x:c>
    </x:row>
    <x:row r="441" ht="130" customHeight="1">
      <x:c r="A441" s="10" t="n">
        <x:v>440</x:v>
      </x:c>
      <x:c r="B441" s="10" t="str">
        <x:v>USER-0440</x:v>
      </x:c>
      <x:c r="C441" s="10" t="str">
        <x:v>个人中心</x:v>
      </x:c>
      <x:c r="D441" s="10" t="str">
        <x:v>我的（用户）</x:v>
      </x:c>
      <x:c r="E441" s="10" t="str">
        <x:v>功能需求</x:v>
      </x:c>
      <x:c r="F441" s="10" t="str">
        <x:v>P2</x:v>
      </x:c>
      <x:c r="G441" s="9" t="str">
        <x:v>验证我的点击编辑资料</x:v>
      </x:c>
      <x:c r="H441" s="9" t="str">
        <x:v>我的功能入口</x:v>
      </x:c>
      <x:c r="I441" s="9" t="str">
        <x:v>1. 用户为本条执行者
2. 当前普通用户甲昵称“测试甲”，ID 1001；有 2 个有效粉丝、3 个有效关注、1 个有效好友</x:v>
      </x:c>
      <x:c r="J441" s="9" t="str">
        <x:v>1. 打开我的
2. 点击编辑资料</x:v>
      </x:c>
      <x:c r="K441" s="9" t="str">
        <x:v>进入资料编辑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来源（当前证据）：liveshow-proto/MainBasis/统一需求文档.md；位置：第 686 行；REQ-d36d1a894d3a、第 676 行
2. 规则：BR-A2EA09D9B8FA0C
3. 未动态验证
4. 示例账号、编号、金额与日期是本条测试数据；执行前按前置条件准备，未填写的产品决策不得自行假定。</x:v>
      </x:c>
    </x:row>
    <x:row r="442" ht="145" customHeight="1">
      <x:c r="A442" s="10" t="n">
        <x:v>441</x:v>
      </x:c>
      <x:c r="B442" s="10" t="str">
        <x:v>USER-0441</x:v>
      </x:c>
      <x:c r="C442" s="10" t="str">
        <x:v>个人中心</x:v>
      </x:c>
      <x:c r="D442" s="10" t="str">
        <x:v>我的（用户）</x:v>
      </x:c>
      <x:c r="E442" s="10" t="str">
        <x:v>功能需求</x:v>
      </x:c>
      <x:c r="F442" s="10" t="str">
        <x:v>P2</x:v>
      </x:c>
      <x:c r="G442" s="9" t="str">
        <x:v>验证我的点击设置</x:v>
      </x:c>
      <x:c r="H442" s="9" t="str">
        <x:v>我的功能入口</x:v>
      </x:c>
      <x:c r="I442" s="9" t="str">
        <x:v>1. 用户为本条执行者
2. 当前普通用户甲昵称“测试甲”，ID 1001；有 2 个有效粉丝、3 个有效关注、1 个有效好友</x:v>
      </x:c>
      <x:c r="J442" s="9" t="str">
        <x:v>1. 打开我的
2. 点击设置</x:v>
      </x:c>
      <x:c r="K442" s="9" t="str">
        <x:v>进入设置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来源（当前证据）：liveshow-proto/MainBasis/统一需求文档.md；位置：第 687 行；REQ-1f89377126bd、第 692 行；REQ-e6f7cdd9a68b、第 676 行
2. 规则：BR-EC2F2B1917B371
3. 未动态验证
4. 示例账号、编号、金额与日期是本条测试数据；执行前按前置条件准备，未填写的产品决策不得自行假定。</x:v>
      </x:c>
    </x:row>
    <x:row r="443" ht="145" customHeight="1">
      <x:c r="A443" s="10" t="n">
        <x:v>442</x:v>
      </x:c>
      <x:c r="B443" s="10" t="str">
        <x:v>USER-0442</x:v>
      </x:c>
      <x:c r="C443" s="10" t="str">
        <x:v>个人中心</x:v>
      </x:c>
      <x:c r="D443" s="10" t="str">
        <x:v>我的（用户）</x:v>
      </x:c>
      <x:c r="E443" s="10" t="str">
        <x:v>功能需求</x:v>
      </x:c>
      <x:c r="F443" s="10" t="str">
        <x:v>P1</x:v>
      </x:c>
      <x:c r="G443" s="9" t="str">
        <x:v>验证我的点击充值</x:v>
      </x:c>
      <x:c r="H443" s="9" t="str">
        <x:v>我的功能入口</x:v>
      </x:c>
      <x:c r="I443" s="9" t="str">
        <x:v>1. 用户为本条执行者
2. 当前普通用户甲昵称“测试甲”，ID 1001；有 2 个有效粉丝、3 个有效关注、1 个有效好友</x:v>
      </x:c>
      <x:c r="J443" s="9" t="str">
        <x:v>1. 打开我的
2. 点击充值</x:v>
      </x:c>
      <x:c r="K443" s="9" t="str">
        <x:v>进入余额充值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来源（当前证据）：liveshow-proto/MainBasis/统一需求文档.md；位置：第 684 行；REQ-a638e46b1a6a、第 688 行；REQ-12a79d7f6b5e、第 676 行
2. 规则：BR-179033CCC1B592
3. 未动态验证
4. 示例账号、编号、金额与日期是本条测试数据；执行前按前置条件准备，未填写的产品决策不得自行假定。</x:v>
      </x:c>
    </x:row>
    <x:row r="444" ht="130" customHeight="1">
      <x:c r="A444" s="10" t="n">
        <x:v>443</x:v>
      </x:c>
      <x:c r="B444" s="10" t="str">
        <x:v>USER-0443</x:v>
      </x:c>
      <x:c r="C444" s="10" t="str">
        <x:v>个人中心</x:v>
      </x:c>
      <x:c r="D444" s="10" t="str">
        <x:v>我的（用户）</x:v>
      </x:c>
      <x:c r="E444" s="10" t="str">
        <x:v>功能需求</x:v>
      </x:c>
      <x:c r="F444" s="10" t="str">
        <x:v>P2</x:v>
      </x:c>
      <x:c r="G444" s="9" t="str">
        <x:v>验证我的点击我的装扮</x:v>
      </x:c>
      <x:c r="H444" s="9" t="str">
        <x:v>我的功能入口</x:v>
      </x:c>
      <x:c r="I444" s="9" t="str">
        <x:v>1. 用户为本条执行者
2. 当前普通用户甲昵称“测试甲”，ID 1001；有 2 个有效粉丝、3 个有效关注、1 个有效好友</x:v>
      </x:c>
      <x:c r="J444" s="9" t="str">
        <x:v>1. 打开我的
2. 点击我的装扮</x:v>
      </x:c>
      <x:c r="K444" s="9" t="str">
        <x:v>进入我的装扮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来源（当前证据）：liveshow-proto/MainBasis/统一需求文档.md；位置：第 689 行；REQ-4c86f5e6f24c、第 676 行
2. 规则：BR-A6F19DF9FDCDD5
3. 未动态验证
4. 示例账号、编号、金额与日期是本条测试数据；执行前按前置条件准备，未填写的产品决策不得自行假定。</x:v>
      </x:c>
    </x:row>
    <x:row r="445" ht="130" customHeight="1">
      <x:c r="A445" s="10" t="n">
        <x:v>444</x:v>
      </x:c>
      <x:c r="B445" s="10" t="str">
        <x:v>USER-0444</x:v>
      </x:c>
      <x:c r="C445" s="10" t="str">
        <x:v>个人中心</x:v>
      </x:c>
      <x:c r="D445" s="10" t="str">
        <x:v>我的（用户）</x:v>
      </x:c>
      <x:c r="E445" s="10" t="str">
        <x:v>功能需求</x:v>
      </x:c>
      <x:c r="F445" s="10" t="str">
        <x:v>P2</x:v>
      </x:c>
      <x:c r="G445" s="9" t="str">
        <x:v>验证我的点击粉丝团</x:v>
      </x:c>
      <x:c r="H445" s="9" t="str">
        <x:v>我的功能入口</x:v>
      </x:c>
      <x:c r="I445" s="9" t="str">
        <x:v>1. 用户为本条执行者
2. 当前普通用户甲昵称“测试甲”，ID 1001；有 2 个有效粉丝、3 个有效关注、1 个有效好友</x:v>
      </x:c>
      <x:c r="J445" s="9" t="str">
        <x:v>1. 打开我的
2. 点击粉丝团</x:v>
      </x:c>
      <x:c r="K445" s="9" t="str">
        <x:v>进入我的粉丝团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来源（当前证据）：liveshow-proto/MainBasis/统一需求文档.md；位置：第 690 行；REQ-011cb5115ed5、第 676 行
2. 规则：BR-947106B0672C98
3. 未动态验证
4. 示例账号、编号、金额与日期是本条测试数据；执行前按前置条件准备，未填写的产品决策不得自行假定。</x:v>
      </x:c>
    </x:row>
    <x:row r="446" ht="130" customHeight="1">
      <x:c r="A446" s="10" t="n">
        <x:v>445</x:v>
      </x:c>
      <x:c r="B446" s="10" t="str">
        <x:v>USER-0445</x:v>
      </x:c>
      <x:c r="C446" s="10" t="str">
        <x:v>个人中心</x:v>
      </x:c>
      <x:c r="D446" s="10" t="str">
        <x:v>我的（用户）</x:v>
      </x:c>
      <x:c r="E446" s="10" t="str">
        <x:v>功能需求</x:v>
      </x:c>
      <x:c r="F446" s="10" t="str">
        <x:v>P2</x:v>
      </x:c>
      <x:c r="G446" s="9" t="str">
        <x:v>验证我的点击邀请奖励</x:v>
      </x:c>
      <x:c r="H446" s="9" t="str">
        <x:v>我的功能入口</x:v>
      </x:c>
      <x:c r="I446" s="9" t="str">
        <x:v>1. 用户为本条执行者
2. 当前普通用户甲昵称“测试甲”，ID 1001；有 2 个有效粉丝、3 个有效关注、1 个有效好友</x:v>
      </x:c>
      <x:c r="J446" s="9" t="str">
        <x:v>1. 打开我的
2. 点击邀请奖励</x:v>
      </x:c>
      <x:c r="K446" s="9" t="str">
        <x:v>进入邀请好友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来源（当前证据）：liveshow-proto/MainBasis/统一需求文档.md；位置：第 691 行；REQ-21f616b62d75、第 676 行
2. 规则：BR-F2E86665FD8F88
3. 未动态验证
4. 示例账号、编号、金额与日期是本条测试数据；执行前按前置条件准备，未填写的产品决策不得自行假定。</x:v>
      </x:c>
    </x:row>
    <x:row r="447" ht="130" customHeight="1">
      <x:c r="A447" s="10" t="n">
        <x:v>446</x:v>
      </x:c>
      <x:c r="B447" s="10" t="str">
        <x:v>USER-0446</x:v>
      </x:c>
      <x:c r="C447" s="10" t="str">
        <x:v>个人中心</x:v>
      </x:c>
      <x:c r="D447" s="10" t="str">
        <x:v>我的（用户）</x:v>
      </x:c>
      <x:c r="E447" s="10" t="str">
        <x:v>功能需求</x:v>
      </x:c>
      <x:c r="F447" s="10" t="str">
        <x:v>P2</x:v>
      </x:c>
      <x:c r="G447" s="9" t="str">
        <x:v>验证我的点击公会中心</x:v>
      </x:c>
      <x:c r="H447" s="9" t="str">
        <x:v>我的功能入口</x:v>
      </x:c>
      <x:c r="I447" s="9" t="str">
        <x:v>1. 用户为本条执行者
2. 当前普通用户甲昵称“测试甲”，ID 1001；有 2 个有效粉丝、3 个有效关注、1 个有效好友</x:v>
      </x:c>
      <x:c r="J447" s="9" t="str">
        <x:v>1. 打开我的
2. 点击公会中心</x:v>
      </x:c>
      <x:c r="K447" s="9" t="str">
        <x:v>进入公会中心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来源（当前证据）：liveshow-proto/MainBasis/统一需求文档.md；位置：第 694 行；REQ-0e6ef4d24cf8、第 676 行
2. 规则：BR-4B68139ABE56A1
3. 未动态验证
4. 示例账号、编号、金额与日期是本条测试数据；执行前按前置条件准备，未填写的产品决策不得自行假定。</x:v>
      </x:c>
    </x:row>
    <x:row r="448" ht="130" customHeight="1">
      <x:c r="A448" s="10" t="n">
        <x:v>447</x:v>
      </x:c>
      <x:c r="B448" s="10" t="str">
        <x:v>USER-0447</x:v>
      </x:c>
      <x:c r="C448" s="10" t="str">
        <x:v>个人中心</x:v>
      </x:c>
      <x:c r="D448" s="10" t="str">
        <x:v>我的（用户）</x:v>
      </x:c>
      <x:c r="E448" s="10" t="str">
        <x:v>功能需求</x:v>
      </x:c>
      <x:c r="F448" s="10" t="str">
        <x:v>P2</x:v>
      </x:c>
      <x:c r="G448" s="9" t="str">
        <x:v>验证我的点击黑名单</x:v>
      </x:c>
      <x:c r="H448" s="9" t="str">
        <x:v>我的功能入口</x:v>
      </x:c>
      <x:c r="I448" s="9" t="str">
        <x:v>1. 用户为本条执行者
2. 当前普通用户甲昵称“测试甲”，ID 1001；有 2 个有效粉丝、3 个有效关注、1 个有效好友</x:v>
      </x:c>
      <x:c r="J448" s="9" t="str">
        <x:v>1. 打开我的
2. 点击黑名单</x:v>
      </x:c>
      <x:c r="K448" s="9" t="str">
        <x:v>进入黑名单管理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来源（当前证据）：liveshow-proto/MainBasis/统一需求文档.md；位置：第 695 行；REQ-7b14e4db972c、第 676 行
2. 规则：BR-4036ECCFE2925A
3. 未动态验证
4. 示例账号、编号、金额与日期是本条测试数据；执行前按前置条件准备，未填写的产品决策不得自行假定。</x:v>
      </x:c>
    </x:row>
    <x:row r="449" ht="130" customHeight="1">
      <x:c r="A449" s="10" t="n">
        <x:v>448</x:v>
      </x:c>
      <x:c r="B449" s="10" t="str">
        <x:v>USER-0448</x:v>
      </x:c>
      <x:c r="C449" s="10" t="str">
        <x:v>个人中心</x:v>
      </x:c>
      <x:c r="D449" s="10" t="str">
        <x:v>我的（用户）</x:v>
      </x:c>
      <x:c r="E449" s="10" t="str">
        <x:v>功能需求</x:v>
      </x:c>
      <x:c r="F449" s="10" t="str">
        <x:v>P2</x:v>
      </x:c>
      <x:c r="G449" s="9" t="str">
        <x:v>验证我的点击联系客服</x:v>
      </x:c>
      <x:c r="H449" s="9" t="str">
        <x:v>我的功能入口</x:v>
      </x:c>
      <x:c r="I449" s="9" t="str">
        <x:v>1. 用户为本条执行者
2. 当前普通用户甲昵称“测试甲”，ID 1001；有 2 个有效粉丝、3 个有效关注、1 个有效好友</x:v>
      </x:c>
      <x:c r="J449" s="9" t="str">
        <x:v>1. 打开我的
2. 点击联系客服</x:v>
      </x:c>
      <x:c r="K449" s="9" t="str">
        <x:v>进入联系客服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来源（当前证据）：liveshow-proto/MainBasis/统一需求文档.md；位置：第 696 行；REQ-436b5410bae5、第 676 行
2. 规则：BR-A75353BBE5EB27
3. 未动态验证
4. 示例账号、编号、金额与日期是本条测试数据；执行前按前置条件准备，未填写的产品决策不得自行假定。</x:v>
      </x:c>
    </x:row>
    <x:row r="450" ht="130" customHeight="1">
      <x:c r="A450" s="10" t="n">
        <x:v>449</x:v>
      </x:c>
      <x:c r="B450" s="10" t="str">
        <x:v>USER-0449</x:v>
      </x:c>
      <x:c r="C450" s="10" t="str">
        <x:v>个人中心</x:v>
      </x:c>
      <x:c r="D450" s="10" t="str">
        <x:v>我的（运营账号）</x:v>
      </x:c>
      <x:c r="E450" s="10" t="str">
        <x:v>功能需求</x:v>
      </x:c>
      <x:c r="F450" s="10" t="str">
        <x:v>P1</x:v>
      </x:c>
      <x:c r="G450" s="9" t="str">
        <x:v>验证运营账号点击充值</x:v>
      </x:c>
      <x:c r="H450" s="9" t="str">
        <x:v>运营账号功能限制</x:v>
      </x:c>
      <x:c r="I450" s="9" t="str">
        <x:v>1. 运营账号为本条执行者
2. 当前运营账号甲昵称“测试甲”，ID 1001；有 2 个有效粉丝、3 个有效关注、1 个有效好友
3. 当前执行者为公会运营账号</x:v>
      </x:c>
      <x:c r="J450" s="9" t="str">
        <x:v>1. 打开我的
2. 点击充值</x:v>
      </x:c>
      <x:c r="K450" s="9" t="str">
        <x:v>提示“运营账号无法操作”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来源（当前证据）：liveshow-proto/MainBasis/统一需求文档.md；位置：第 688 行；REQ-12a79d7f6b5e、第 676 行
2. 规则：BR-028B20A56E05E0
3. 未动态验证
4. 示例账号、编号、金额与日期是本条测试数据；执行前按前置条件准备，未填写的产品决策不得自行假定。</x:v>
      </x:c>
    </x:row>
    <x:row r="451" ht="130" customHeight="1">
      <x:c r="A451" s="10" t="n">
        <x:v>450</x:v>
      </x:c>
      <x:c r="B451" s="10" t="str">
        <x:v>USER-0450</x:v>
      </x:c>
      <x:c r="C451" s="10" t="str">
        <x:v>个人中心</x:v>
      </x:c>
      <x:c r="D451" s="10" t="str">
        <x:v>我的（运营账号）</x:v>
      </x:c>
      <x:c r="E451" s="10" t="str">
        <x:v>功能需求</x:v>
      </x:c>
      <x:c r="F451" s="10" t="str">
        <x:v>P2</x:v>
      </x:c>
      <x:c r="G451" s="9" t="str">
        <x:v>验证运营账号点击我的装扮</x:v>
      </x:c>
      <x:c r="H451" s="9" t="str">
        <x:v>运营账号功能限制</x:v>
      </x:c>
      <x:c r="I451" s="9" t="str">
        <x:v>1. 运营账号为本条执行者
2. 当前运营账号甲昵称“测试甲”，ID 1001；有 2 个有效粉丝、3 个有效关注、1 个有效好友
3. 当前执行者为公会运营账号</x:v>
      </x:c>
      <x:c r="J451" s="9" t="str">
        <x:v>1. 打开我的
2. 点击我的装扮</x:v>
      </x:c>
      <x:c r="K451" s="9" t="str">
        <x:v>提示“运营账号无法操作”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来源（当前证据）：liveshow-proto/MainBasis/统一需求文档.md；位置：第 688 行；REQ-12a79d7f6b5e、第 676 行
2. 规则：BR-F6B9E2A1B5F2B1
3. 未动态验证
4. 示例账号、编号、金额与日期是本条测试数据；执行前按前置条件准备，未填写的产品决策不得自行假定。</x:v>
      </x:c>
    </x:row>
    <x:row r="452" ht="130" customHeight="1">
      <x:c r="A452" s="10" t="n">
        <x:v>451</x:v>
      </x:c>
      <x:c r="B452" s="10" t="str">
        <x:v>USER-0451</x:v>
      </x:c>
      <x:c r="C452" s="10" t="str">
        <x:v>个人中心</x:v>
      </x:c>
      <x:c r="D452" s="10" t="str">
        <x:v>我的（运营账号）</x:v>
      </x:c>
      <x:c r="E452" s="10" t="str">
        <x:v>功能需求</x:v>
      </x:c>
      <x:c r="F452" s="10" t="str">
        <x:v>P2</x:v>
      </x:c>
      <x:c r="G452" s="9" t="str">
        <x:v>验证运营账号点击粉丝团</x:v>
      </x:c>
      <x:c r="H452" s="9" t="str">
        <x:v>运营账号功能限制</x:v>
      </x:c>
      <x:c r="I452" s="9" t="str">
        <x:v>1. 运营账号为本条执行者
2. 当前运营账号甲昵称“测试甲”，ID 1001；有 2 个有效粉丝、3 个有效关注、1 个有效好友
3. 当前执行者为公会运营账号</x:v>
      </x:c>
      <x:c r="J452" s="9" t="str">
        <x:v>1. 打开我的
2. 点击粉丝团</x:v>
      </x:c>
      <x:c r="K452" s="9" t="str">
        <x:v>提示“运营账号无法操作”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来源（当前证据）：liveshow-proto/MainBasis/统一需求文档.md；位置：第 688 行；REQ-12a79d7f6b5e、第 676 行
2. 规则：BR-7A35D174951239
3. 未动态验证
4. 示例账号、编号、金额与日期是本条测试数据；执行前按前置条件准备，未填写的产品决策不得自行假定。</x:v>
      </x:c>
    </x:row>
    <x:row r="453" ht="130" customHeight="1">
      <x:c r="A453" s="10" t="n">
        <x:v>452</x:v>
      </x:c>
      <x:c r="B453" s="10" t="str">
        <x:v>USER-0452</x:v>
      </x:c>
      <x:c r="C453" s="10" t="str">
        <x:v>个人中心</x:v>
      </x:c>
      <x:c r="D453" s="10" t="str">
        <x:v>我的（运营账号）</x:v>
      </x:c>
      <x:c r="E453" s="10" t="str">
        <x:v>功能需求</x:v>
      </x:c>
      <x:c r="F453" s="10" t="str">
        <x:v>P2</x:v>
      </x:c>
      <x:c r="G453" s="9" t="str">
        <x:v>验证运营账号点击邀请奖励</x:v>
      </x:c>
      <x:c r="H453" s="9" t="str">
        <x:v>运营账号功能限制</x:v>
      </x:c>
      <x:c r="I453" s="9" t="str">
        <x:v>1. 运营账号为本条执行者
2. 当前运营账号甲昵称“测试甲”，ID 1001；有 2 个有效粉丝、3 个有效关注、1 个有效好友
3. 当前执行者为公会运营账号</x:v>
      </x:c>
      <x:c r="J453" s="9" t="str">
        <x:v>1. 打开我的
2. 点击邀请奖励</x:v>
      </x:c>
      <x:c r="K453" s="9" t="str">
        <x:v>提示“运营账号无法操作”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来源（当前证据）：liveshow-proto/MainBasis/统一需求文档.md；位置：第 688 行；REQ-12a79d7f6b5e、第 676 行
2. 规则：BR-6BD8C734DD5C81
3. 未动态验证
4. 示例账号、编号、金额与日期是本条测试数据；执行前按前置条件准备，未填写的产品决策不得自行假定。</x:v>
      </x:c>
    </x:row>
    <x:row r="454" ht="130" customHeight="1">
      <x:c r="A454" s="10" t="n">
        <x:v>453</x:v>
      </x:c>
      <x:c r="B454" s="10" t="str">
        <x:v>USER-0453</x:v>
      </x:c>
      <x:c r="C454" s="10" t="str">
        <x:v>个人中心</x:v>
      </x:c>
      <x:c r="D454" s="10" t="str">
        <x:v>我的（运营账号）</x:v>
      </x:c>
      <x:c r="E454" s="10" t="str">
        <x:v>功能需求</x:v>
      </x:c>
      <x:c r="F454" s="10" t="str">
        <x:v>P2</x:v>
      </x:c>
      <x:c r="G454" s="9" t="str">
        <x:v>验证运营账号点击开始直播</x:v>
      </x:c>
      <x:c r="H454" s="9" t="str">
        <x:v>运营账号功能限制</x:v>
      </x:c>
      <x:c r="I454" s="9" t="str">
        <x:v>1. 运营账号为本条执行者
2. 当前运营账号甲昵称“测试甲”，ID 1001；有 2 个有效粉丝、3 个有效关注、1 个有效好友
3. 当前执行者为公会运营账号</x:v>
      </x:c>
      <x:c r="J454" s="9" t="str">
        <x:v>1. 打开我的
2. 点击开始直播</x:v>
      </x:c>
      <x:c r="K454" s="9" t="str">
        <x:v>提示“运营账号无法操作”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来源（当前证据）：liveshow-proto/MainBasis/统一需求文档.md；位置：第 688 行；REQ-12a79d7f6b5e、第 676 行
2. 规则：BR-BA50B9A894B38A
3. 未动态验证
4. 示例账号、编号、金额与日期是本条测试数据；执行前按前置条件准备，未填写的产品决策不得自行假定。</x:v>
      </x:c>
    </x:row>
    <x:row r="455" ht="130" customHeight="1">
      <x:c r="A455" s="10" t="n">
        <x:v>454</x:v>
      </x:c>
      <x:c r="B455" s="10" t="str">
        <x:v>USER-0454</x:v>
      </x:c>
      <x:c r="C455" s="10" t="str">
        <x:v>个人中心</x:v>
      </x:c>
      <x:c r="D455" s="10" t="str">
        <x:v>我的（运营账号）</x:v>
      </x:c>
      <x:c r="E455" s="10" t="str">
        <x:v>功能需求</x:v>
      </x:c>
      <x:c r="F455" s="10" t="str">
        <x:v>P2</x:v>
      </x:c>
      <x:c r="G455" s="9" t="str">
        <x:v>验证运营账号点击主播中心</x:v>
      </x:c>
      <x:c r="H455" s="9" t="str">
        <x:v>运营账号功能限制</x:v>
      </x:c>
      <x:c r="I455" s="9" t="str">
        <x:v>1. 运营账号为本条执行者
2. 当前运营账号甲昵称“测试甲”，ID 1001；有 2 个有效粉丝、3 个有效关注、1 个有效好友
3. 当前执行者为公会运营账号</x:v>
      </x:c>
      <x:c r="J455" s="9" t="str">
        <x:v>1. 打开我的
2. 点击主播中心</x:v>
      </x:c>
      <x:c r="K455" s="9" t="str">
        <x:v>提示“运营账号无法操作”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来源（当前证据）：liveshow-proto/MainBasis/统一需求文档.md；位置：第 688 行；REQ-12a79d7f6b5e、第 676 行
2. 规则：BR-BBF66F40019E14
3. 未动态验证
4. 示例账号、编号、金额与日期是本条测试数据；执行前按前置条件准备，未填写的产品决策不得自行假定。</x:v>
      </x:c>
    </x:row>
    <x:row r="456" ht="130" customHeight="1">
      <x:c r="A456" s="10" t="n">
        <x:v>455</x:v>
      </x:c>
      <x:c r="B456" s="10" t="str">
        <x:v>USER-0455</x:v>
      </x:c>
      <x:c r="C456" s="10" t="str">
        <x:v>个人中心</x:v>
      </x:c>
      <x:c r="D456" s="10" t="str">
        <x:v>我的（运营账号）</x:v>
      </x:c>
      <x:c r="E456" s="10" t="str">
        <x:v>功能需求</x:v>
      </x:c>
      <x:c r="F456" s="10" t="str">
        <x:v>P2</x:v>
      </x:c>
      <x:c r="G456" s="9" t="str">
        <x:v>验证运营账号点击公会中心</x:v>
      </x:c>
      <x:c r="H456" s="9" t="str">
        <x:v>运营账号功能限制</x:v>
      </x:c>
      <x:c r="I456" s="9" t="str">
        <x:v>1. 运营账号为本条执行者
2. 当前运营账号甲昵称“测试甲”，ID 1001；有 2 个有效粉丝、3 个有效关注、1 个有效好友
3. 当前执行者为公会运营账号</x:v>
      </x:c>
      <x:c r="J456" s="9" t="str">
        <x:v>1. 打开我的
2. 点击公会中心</x:v>
      </x:c>
      <x:c r="K456" s="9" t="str">
        <x:v>提示“运营账号无法操作”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来源（当前证据）：liveshow-proto/MainBasis/统一需求文档.md；位置：第 688 行；REQ-12a79d7f6b5e、第 676 行
2. 规则：BR-90A3047DF38ADD
3. 未动态验证
4. 示例账号、编号、金额与日期是本条测试数据；执行前按前置条件准备，未填写的产品决策不得自行假定。</x:v>
      </x:c>
    </x:row>
    <x:row r="457" ht="145" customHeight="1">
      <x:c r="A457" s="10" t="n">
        <x:v>456</x:v>
      </x:c>
      <x:c r="B457" s="10" t="str">
        <x:v>USER-0456</x:v>
      </x:c>
      <x:c r="C457" s="10" t="str">
        <x:v>个人中心</x:v>
      </x:c>
      <x:c r="D457" s="10" t="str">
        <x:v>联系客服（用户）</x:v>
      </x:c>
      <x:c r="E457" s="10" t="str">
        <x:v>功能需求</x:v>
      </x:c>
      <x:c r="F457" s="10" t="str">
        <x:v>P2</x:v>
      </x:c>
      <x:c r="G457" s="9" t="str">
        <x:v>验证WhatsApp取运营配置</x:v>
      </x:c>
      <x:c r="H457" s="9" t="str">
        <x:v>客服配置回显</x:v>
      </x:c>
      <x:c r="I457" s="9" t="str">
        <x:v>1. 用户为本条执行者
2. 运营配置客服 WhatsApp 为 +6281234567890，邮箱为 support@example.com</x:v>
      </x:c>
      <x:c r="J457" s="9" t="str">
        <x:v>1. 打开联系客服
2. 查看WhatsApp</x:v>
      </x:c>
      <x:c r="K457" s="9" t="str">
        <x:v>WhatsApp显示 +6281234567890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来源（当前证据）：liveshow-proto/MainBasis/统一需求文档.md；位置：第 701 行；REQ-46c79377c746、第 704 行；REQ-35c830c03f70、第 699 行
2. 规则：BR-FA6949B8896FA2
3. 未动态验证
4. 示例账号、编号、金额与日期是本条测试数据；执行前按前置条件准备，未填写的产品决策不得自行假定。</x:v>
      </x:c>
    </x:row>
    <x:row r="458" ht="130" customHeight="1">
      <x:c r="A458" s="10" t="n">
        <x:v>457</x:v>
      </x:c>
      <x:c r="B458" s="10" t="str">
        <x:v>USER-0457</x:v>
      </x:c>
      <x:c r="C458" s="10" t="str">
        <x:v>个人中心</x:v>
      </x:c>
      <x:c r="D458" s="10" t="str">
        <x:v>联系客服（用户）</x:v>
      </x:c>
      <x:c r="E458" s="10" t="str">
        <x:v>功能需求</x:v>
      </x:c>
      <x:c r="F458" s="10" t="str">
        <x:v>P2</x:v>
      </x:c>
      <x:c r="G458" s="9" t="str">
        <x:v>验证复制WhatsApp</x:v>
      </x:c>
      <x:c r="H458" s="9" t="str">
        <x:v>客服内容复制</x:v>
      </x:c>
      <x:c r="I458" s="9" t="str">
        <x:v>1. 用户为本条执行者
2. 运营配置客服 WhatsApp 为 +6281234567890，邮箱为 support@example.com</x:v>
      </x:c>
      <x:c r="J458" s="9" t="str">
        <x:v>1. 打开联系客服
2. 点击WhatsApp</x:v>
      </x:c>
      <x:c r="K458" s="9" t="str">
        <x:v>剪贴板内容为 +6281234567890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来源（当前证据）：liveshow-proto/MainBasis/统一需求文档.md；位置：第 704 行；REQ-35c830c03f70、第 699 行
2. 规则：BR-07F624E98CF797
3. 未动态验证
4. 示例账号、编号、金额与日期是本条测试数据；执行前按前置条件准备，未填写的产品决策不得自行假定。</x:v>
      </x:c>
    </x:row>
    <x:row r="459" ht="130" customHeight="1">
      <x:c r="A459" s="10" t="n">
        <x:v>458</x:v>
      </x:c>
      <x:c r="B459" s="10" t="str">
        <x:v>USER-0458</x:v>
      </x:c>
      <x:c r="C459" s="10" t="str">
        <x:v>个人中心</x:v>
      </x:c>
      <x:c r="D459" s="10" t="str">
        <x:v>联系客服（用户）</x:v>
      </x:c>
      <x:c r="E459" s="10" t="str">
        <x:v>功能需求</x:v>
      </x:c>
      <x:c r="F459" s="10" t="str">
        <x:v>P2</x:v>
      </x:c>
      <x:c r="G459" s="9" t="str">
        <x:v>验证复制WhatsApp</x:v>
      </x:c>
      <x:c r="H459" s="9" t="str">
        <x:v>客服复制提示</x:v>
      </x:c>
      <x:c r="I459" s="9" t="str">
        <x:v>1. 用户为本条执行者
2. 运营配置客服 WhatsApp 为 +6281234567890，邮箱为 support@example.com</x:v>
      </x:c>
      <x:c r="J459" s="9" t="str">
        <x:v>1. 打开联系客服
2. 点击WhatsApp</x:v>
      </x:c>
      <x:c r="K459" s="9" t="str">
        <x:v>提示“已复制”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来源（当前证据）：liveshow-proto/MainBasis/统一需求文档.md；位置：第 704 行；REQ-35c830c03f70、第 699 行
2. 规则：BR-907D78BD3DCF55
3. 未动态验证
4. 示例账号、编号、金额与日期是本条测试数据；执行前按前置条件准备，未填写的产品决策不得自行假定。</x:v>
      </x:c>
    </x:row>
    <x:row r="460" ht="145" customHeight="1">
      <x:c r="A460" s="10" t="n">
        <x:v>459</x:v>
      </x:c>
      <x:c r="B460" s="10" t="str">
        <x:v>USER-0459</x:v>
      </x:c>
      <x:c r="C460" s="10" t="str">
        <x:v>个人中心</x:v>
      </x:c>
      <x:c r="D460" s="10" t="str">
        <x:v>联系客服（用户）</x:v>
      </x:c>
      <x:c r="E460" s="10" t="str">
        <x:v>功能需求</x:v>
      </x:c>
      <x:c r="F460" s="10" t="str">
        <x:v>P2</x:v>
      </x:c>
      <x:c r="G460" s="9" t="str">
        <x:v>验证官方客服邮箱取运营配置</x:v>
      </x:c>
      <x:c r="H460" s="9" t="str">
        <x:v>客服配置回显</x:v>
      </x:c>
      <x:c r="I460" s="9" t="str">
        <x:v>1. 用户为本条执行者
2. 运营配置客服 WhatsApp 为 +6281234567890，邮箱为 support@example.com</x:v>
      </x:c>
      <x:c r="J460" s="9" t="str">
        <x:v>1. 打开联系客服
2. 查看官方客服邮箱</x:v>
      </x:c>
      <x:c r="K460" s="9" t="str">
        <x:v>官方客服邮箱显示 support@example.com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来源（当前证据）：liveshow-proto/MainBasis/统一需求文档.md；位置：第 702 行；REQ-fa4258fa09ce、第 704 行；REQ-35c830c03f70、第 699 行
2. 规则：BR-520579EB5A2624
3. 未动态验证
4. 示例账号、编号、金额与日期是本条测试数据；执行前按前置条件准备，未填写的产品决策不得自行假定。</x:v>
      </x:c>
    </x:row>
    <x:row r="461" ht="130" customHeight="1">
      <x:c r="A461" s="10" t="n">
        <x:v>460</x:v>
      </x:c>
      <x:c r="B461" s="10" t="str">
        <x:v>USER-0460</x:v>
      </x:c>
      <x:c r="C461" s="10" t="str">
        <x:v>个人中心</x:v>
      </x:c>
      <x:c r="D461" s="10" t="str">
        <x:v>联系客服（用户）</x:v>
      </x:c>
      <x:c r="E461" s="10" t="str">
        <x:v>功能需求</x:v>
      </x:c>
      <x:c r="F461" s="10" t="str">
        <x:v>P2</x:v>
      </x:c>
      <x:c r="G461" s="9" t="str">
        <x:v>验证复制官方客服邮箱</x:v>
      </x:c>
      <x:c r="H461" s="9" t="str">
        <x:v>客服内容复制</x:v>
      </x:c>
      <x:c r="I461" s="9" t="str">
        <x:v>1. 用户为本条执行者
2. 运营配置客服 WhatsApp 为 +6281234567890，邮箱为 support@example.com</x:v>
      </x:c>
      <x:c r="J461" s="9" t="str">
        <x:v>1. 打开联系客服
2. 点击官方客服邮箱</x:v>
      </x:c>
      <x:c r="K461" s="9" t="str">
        <x:v>剪贴板内容为 support@example.com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来源（当前证据）：liveshow-proto/MainBasis/统一需求文档.md；位置：第 704 行；REQ-35c830c03f70、第 699 行
2. 规则：BR-D55163FEE78FC6
3. 未动态验证
4. 示例账号、编号、金额与日期是本条测试数据；执行前按前置条件准备，未填写的产品决策不得自行假定。</x:v>
      </x:c>
    </x:row>
    <x:row r="462" ht="130" customHeight="1">
      <x:c r="A462" s="10" t="n">
        <x:v>461</x:v>
      </x:c>
      <x:c r="B462" s="10" t="str">
        <x:v>USER-0461</x:v>
      </x:c>
      <x:c r="C462" s="10" t="str">
        <x:v>个人中心</x:v>
      </x:c>
      <x:c r="D462" s="10" t="str">
        <x:v>联系客服（用户）</x:v>
      </x:c>
      <x:c r="E462" s="10" t="str">
        <x:v>功能需求</x:v>
      </x:c>
      <x:c r="F462" s="10" t="str">
        <x:v>P2</x:v>
      </x:c>
      <x:c r="G462" s="9" t="str">
        <x:v>验证复制官方客服邮箱</x:v>
      </x:c>
      <x:c r="H462" s="9" t="str">
        <x:v>客服复制提示</x:v>
      </x:c>
      <x:c r="I462" s="9" t="str">
        <x:v>1. 用户为本条执行者
2. 运营配置客服 WhatsApp 为 +6281234567890，邮箱为 support@example.com</x:v>
      </x:c>
      <x:c r="J462" s="9" t="str">
        <x:v>1. 打开联系客服
2. 点击官方客服邮箱</x:v>
      </x:c>
      <x:c r="K462" s="9" t="str">
        <x:v>提示“已复制”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来源（当前证据）：liveshow-proto/MainBasis/统一需求文档.md；位置：第 704 行；REQ-35c830c03f70、第 699 行
2. 规则：BR-EFE1224D9B569A
3. 未动态验证
4. 示例账号、编号、金额与日期是本条测试数据；执行前按前置条件准备，未填写的产品决策不得自行假定。</x:v>
      </x:c>
    </x:row>
    <x:row r="463" ht="130" customHeight="1">
      <x:c r="A463" s="10" t="n">
        <x:v>462</x:v>
      </x:c>
      <x:c r="B463" s="10" t="str">
        <x:v>USER-0462</x:v>
      </x:c>
      <x:c r="C463" s="10" t="str">
        <x:v>个人中心</x:v>
      </x:c>
      <x:c r="D463" s="10" t="str">
        <x:v>我的装扮（用户）</x:v>
      </x:c>
      <x:c r="E463" s="10" t="str">
        <x:v>功能需求</x:v>
      </x:c>
      <x:c r="F463" s="10" t="str">
        <x:v>P2</x:v>
      </x:c>
      <x:c r="G463" s="9" t="str">
        <x:v>验证佩戴新头像框替换同类旧道具</x:v>
      </x:c>
      <x:c r="H463" s="9" t="str">
        <x:v>同类装扮互斥</x:v>
      </x:c>
      <x:c r="I463" s="9" t="str">
        <x:v>1. 用户为本条执行者
2. 用户甲拥有有效头像框甲、乙，聊天气泡甲、乙及勋章甲至己
3. 当前佩戴头像框甲</x:v>
      </x:c>
      <x:c r="J463" s="9" t="str">
        <x:v>1. 打开我的装扮
2. 选择头像框分类
3. 点击头像框乙</x:v>
      </x:c>
      <x:c r="K463" s="9" t="str">
        <x:v>仅头像框乙处于已佩戴状态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来源（当前证据）：liveshow-proto/MainBasis/统一需求文档.md；位置：第 741 行；REQ-135008fb4450、第 728 行
2. 规则：BR-1F312F4B2CE415
3. 未动态验证
4. 示例账号、编号、金额与日期是本条测试数据；执行前按前置条件准备，未填写的产品决策不得自行假定。</x:v>
      </x:c>
    </x:row>
    <x:row r="464" ht="130" customHeight="1">
      <x:c r="A464" s="10" t="n">
        <x:v>463</x:v>
      </x:c>
      <x:c r="B464" s="10" t="str">
        <x:v>USER-0463</x:v>
      </x:c>
      <x:c r="C464" s="10" t="str">
        <x:v>个人中心</x:v>
      </x:c>
      <x:c r="D464" s="10" t="str">
        <x:v>我的装扮（用户）</x:v>
      </x:c>
      <x:c r="E464" s="10" t="str">
        <x:v>功能需求</x:v>
      </x:c>
      <x:c r="F464" s="10" t="str">
        <x:v>P2</x:v>
      </x:c>
      <x:c r="G464" s="9" t="str">
        <x:v>验证佩戴新聊天气泡替换同类旧道具</x:v>
      </x:c>
      <x:c r="H464" s="9" t="str">
        <x:v>同类装扮互斥</x:v>
      </x:c>
      <x:c r="I464" s="9" t="str">
        <x:v>1. 用户为本条执行者
2. 用户甲拥有有效头像框甲、乙，聊天气泡甲、乙及勋章甲至己
3. 当前佩戴聊天气泡甲</x:v>
      </x:c>
      <x:c r="J464" s="9" t="str">
        <x:v>1. 打开我的装扮
2. 选择聊天气泡分类
3. 点击聊天气泡乙</x:v>
      </x:c>
      <x:c r="K464" s="9" t="str">
        <x:v>仅聊天气泡乙处于已佩戴状态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来源（当前证据）：liveshow-proto/MainBasis/统一需求文档.md；位置：第 741 行；REQ-135008fb4450、第 728 行
2. 规则：BR-1548FF247DC80C
3. 未动态验证
4. 示例账号、编号、金额与日期是本条测试数据；执行前按前置条件准备，未填写的产品决策不得自行假定。</x:v>
      </x:c>
    </x:row>
    <x:row r="465" ht="145" customHeight="1">
      <x:c r="A465" s="10" t="n">
        <x:v>464</x:v>
      </x:c>
      <x:c r="B465" s="10" t="str">
        <x:v>USER-0464</x:v>
      </x:c>
      <x:c r="C465" s="10" t="str">
        <x:v>个人中心</x:v>
      </x:c>
      <x:c r="D465" s="10" t="str">
        <x:v>我的装扮（用户）</x:v>
      </x:c>
      <x:c r="E465" s="10" t="str">
        <x:v>功能需求</x:v>
      </x:c>
      <x:c r="F465" s="10" t="str">
        <x:v>P2</x:v>
      </x:c>
      <x:c r="G465" s="9" t="str">
        <x:v>验证已有 4 枚勋章时佩戴另一枚</x:v>
      </x:c>
      <x:c r="H465" s="9" t="str">
        <x:v>勋章佩戴数量上限</x:v>
      </x:c>
      <x:c r="I465" s="9" t="str">
        <x:v>1. 用户为本条执行者
2. 用户甲拥有有效头像框甲、乙，聊天气泡甲、乙及勋章甲至己
3. 当前已佩戴 4 枚勋章，目标勋章己尚未佩戴</x:v>
      </x:c>
      <x:c r="J465" s="9" t="str">
        <x:v>1. 打开我的装扮
2. 选择勋章
3. 点击勋章己</x:v>
      </x:c>
      <x:c r="K465" s="9" t="str">
        <x:v>勋章己显示已佩戴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来源（当前证据）：liveshow-proto/MainBasis/统一需求文档.md；位置：第 733 行；REQ-d0c6e46cb920、第 741 行；REQ-135008fb4450、第 728 行
2. 规则：BR-41078D0C2965DB
3. 未动态验证
4. 示例账号、编号、金额与日期是本条测试数据；执行前按前置条件准备，未填写的产品决策不得自行假定。</x:v>
      </x:c>
    </x:row>
    <x:row r="466" ht="145" customHeight="1">
      <x:c r="A466" s="10" t="n">
        <x:v>465</x:v>
      </x:c>
      <x:c r="B466" s="10" t="str">
        <x:v>USER-0465</x:v>
      </x:c>
      <x:c r="C466" s="10" t="str">
        <x:v>个人中心</x:v>
      </x:c>
      <x:c r="D466" s="10" t="str">
        <x:v>我的装扮（用户）</x:v>
      </x:c>
      <x:c r="E466" s="10" t="str">
        <x:v>功能需求</x:v>
      </x:c>
      <x:c r="F466" s="10" t="str">
        <x:v>P2</x:v>
      </x:c>
      <x:c r="G466" s="9" t="str">
        <x:v>验证已有 5 枚勋章时佩戴另一枚</x:v>
      </x:c>
      <x:c r="H466" s="9" t="str">
        <x:v>勋章佩戴数量上限</x:v>
      </x:c>
      <x:c r="I466" s="9" t="str">
        <x:v>1. 用户为本条执行者
2. 用户甲拥有有效头像框甲、乙，聊天气泡甲、乙及勋章甲至己
3. 当前已佩戴 5 枚勋章，目标勋章己尚未佩戴</x:v>
      </x:c>
      <x:c r="J466" s="9" t="str">
        <x:v>1. 打开我的装扮
2. 选择勋章
3. 点击勋章己</x:v>
      </x:c>
      <x:c r="K466" s="9" t="str">
        <x:v>勋章己未佩戴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来源（当前证据）：liveshow-proto/MainBasis/统一需求文档.md；位置：第 733 行；REQ-d0c6e46cb920、第 741 行；REQ-135008fb4450、第 728 行
2. 规则：BR-946417F89CC490
3. 未动态验证
4. 示例账号、编号、金额与日期是本条测试数据；执行前按前置条件准备，未填写的产品决策不得自行假定。</x:v>
      </x:c>
    </x:row>
    <x:row r="467" ht="130" customHeight="1">
      <x:c r="A467" s="10" t="n">
        <x:v>466</x:v>
      </x:c>
      <x:c r="B467" s="10" t="str">
        <x:v>USER-0466</x:v>
      </x:c>
      <x:c r="C467" s="10" t="str">
        <x:v>个人中心</x:v>
      </x:c>
      <x:c r="D467" s="10" t="str">
        <x:v>我的装扮（用户）</x:v>
      </x:c>
      <x:c r="E467" s="10" t="str">
        <x:v>功能需求</x:v>
      </x:c>
      <x:c r="F467" s="10" t="str">
        <x:v>P2</x:v>
      </x:c>
      <x:c r="G467" s="9" t="str">
        <x:v>验证已佩戴道具到期自动失效</x:v>
      </x:c>
      <x:c r="H467" s="9" t="str">
        <x:v>过期装扮标识</x:v>
      </x:c>
      <x:c r="I467" s="9" t="str">
        <x:v>1. 用户为本条执行者
2. 用户甲在到期前拥有有效头像框甲、乙，聊天气泡甲、乙及勋章甲至己
3. 头像框甲已佩戴，当前时间达到其有效期之后</x:v>
      </x:c>
      <x:c r="J467" s="9" t="str">
        <x:v>1. 打开我的装扮
2. 查看头像框甲</x:v>
      </x:c>
      <x:c r="K467" s="9" t="str">
        <x:v>头像框甲显示“已过期”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来源（当前证据）：liveshow-proto/MainBasis/统一需求文档.md；位置：第 737 行；REQ-a634bce5f1b9、第 728 行
2. 规则：BR-3F78D7DC0657D6
3. 未动态验证
4. 示例账号、编号、金额与日期是本条测试数据；执行前按前置条件准备，未填写的产品决策不得自行假定。</x:v>
      </x:c>
    </x:row>
    <x:row r="468" ht="130" customHeight="1">
      <x:c r="A468" s="10" t="n">
        <x:v>467</x:v>
      </x:c>
      <x:c r="B468" s="10" t="str">
        <x:v>USER-0467</x:v>
      </x:c>
      <x:c r="C468" s="10" t="str">
        <x:v>个人中心</x:v>
      </x:c>
      <x:c r="D468" s="10" t="str">
        <x:v>我的装扮（用户）</x:v>
      </x:c>
      <x:c r="E468" s="10" t="str">
        <x:v>功能需求</x:v>
      </x:c>
      <x:c r="F468" s="10" t="str">
        <x:v>P2</x:v>
      </x:c>
      <x:c r="G468" s="9" t="str">
        <x:v>验证已佩戴道具到期自动失效</x:v>
      </x:c>
      <x:c r="H468" s="9" t="str">
        <x:v>过期装扮不可佩戴</x:v>
      </x:c>
      <x:c r="I468" s="9" t="str">
        <x:v>1. 用户为本条执行者
2. 用户甲在到期前拥有有效头像框甲、乙，聊天气泡甲、乙及勋章甲至己
3. 头像框甲已佩戴，当前时间达到其有效期之后</x:v>
      </x:c>
      <x:c r="J468" s="9" t="str">
        <x:v>1. 打开我的装扮
2. 查看头像框甲</x:v>
      </x:c>
      <x:c r="K468" s="9" t="str">
        <x:v>头像框甲不再处于佩戴状态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来源（当前证据）：liveshow-proto/MainBasis/统一需求文档.md；位置：第 737 行；REQ-a634bce5f1b9、第 728 行
2. 规则：BR-85B61EB2ACA5C0
3. 未动态验证
4. 示例账号、编号、金额与日期是本条测试数据；执行前按前置条件准备，未填写的产品决策不得自行假定。</x:v>
      </x:c>
    </x:row>
    <x:row r="469" ht="130" customHeight="1">
      <x:c r="A469" s="10" t="n">
        <x:v>468</x:v>
      </x:c>
      <x:c r="B469" s="10" t="str">
        <x:v>USER-0468</x:v>
      </x:c>
      <x:c r="C469" s="10" t="str">
        <x:v>个人中心</x:v>
      </x:c>
      <x:c r="D469" s="10" t="str">
        <x:v>我的装扮（用户）</x:v>
      </x:c>
      <x:c r="E469" s="10" t="str">
        <x:v>功能需求</x:v>
      </x:c>
      <x:c r="F469" s="10" t="str">
        <x:v>P2</x:v>
      </x:c>
      <x:c r="G469" s="9" t="str">
        <x:v>验证已拥有装扮按佩戴状态排序</x:v>
      </x:c>
      <x:c r="H469" s="9" t="str">
        <x:v>装扮状态分组顺序</x:v>
      </x:c>
      <x:c r="I469" s="9" t="str">
        <x:v>1. 用户为本条执行者
2. 用户甲拥有有效头像框甲、乙，聊天气泡甲、乙及勋章甲至己
3. 甲已佩戴，乙未佩戴，丙已失效，三者同一分类</x:v>
      </x:c>
      <x:c r="J469" s="9" t="str">
        <x:v>1. 打开我的装扮
2. 查看已拥有列表</x:v>
      </x:c>
      <x:c r="K469" s="9" t="str">
        <x:v>排列顺序为甲、乙、丙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来源（当前证据）：liveshow-proto/MainBasis/统一需求文档.md；位置：第 741 行；REQ-135008fb4450、第 728 行
2. 规则：BR-66A243705DB069
3. 未动态验证
4. 示例账号、编号、金额与日期是本条测试数据；执行前按前置条件准备，未填写的产品决策不得自行假定。</x:v>
      </x:c>
    </x:row>
    <x:row r="470" ht="130" customHeight="1">
      <x:c r="A470" s="10" t="n">
        <x:v>469</x:v>
      </x:c>
      <x:c r="B470" s="10" t="str">
        <x:v>USER-0469</x:v>
      </x:c>
      <x:c r="C470" s="10" t="str">
        <x:v>个人中心</x:v>
      </x:c>
      <x:c r="D470" s="10" t="str">
        <x:v>我的装扮（用户）</x:v>
      </x:c>
      <x:c r="E470" s="10" t="str">
        <x:v>功能需求</x:v>
      </x:c>
      <x:c r="F470" s="10" t="str">
        <x:v>P2</x:v>
      </x:c>
      <x:c r="G470" s="9" t="str">
        <x:v>验证相同状态装扮按获得时间倒序</x:v>
      </x:c>
      <x:c r="H470" s="9" t="str">
        <x:v>装扮获取时间排序</x:v>
      </x:c>
      <x:c r="I470" s="9" t="str">
        <x:v>1. 用户为本条执行者
2. 用户甲拥有有效头像框甲、乙，聊天气泡甲、乙及勋章甲至己
3. 同一分类道具甲和乙均未佩戴，甲获取时间晚于乙</x:v>
      </x:c>
      <x:c r="J470" s="9" t="str">
        <x:v>1. 打开我的装扮
2. 查看已拥有列表</x:v>
      </x:c>
      <x:c r="K470" s="9" t="str">
        <x:v>甲排在乙前面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来源（当前证据）：liveshow-proto/MainBasis/统一需求文档.md；位置：第 741 行；REQ-135008fb4450、第 728 行
2. 规则：BR-C1EAAF66BBFC82
3. 未动态验证
4. 示例账号、编号、金额与日期是本条测试数据；执行前按前置条件准备，未填写的产品决策不得自行假定。</x:v>
      </x:c>
    </x:row>
    <x:row r="471" ht="130" customHeight="1">
      <x:c r="A471" s="10" t="n">
        <x:v>470</x:v>
      </x:c>
      <x:c r="B471" s="10" t="str">
        <x:v>USER-0470</x:v>
      </x:c>
      <x:c r="C471" s="10" t="str">
        <x:v>个人中心</x:v>
      </x:c>
      <x:c r="D471" s="10" t="str">
        <x:v>装扮商城（用户）</x:v>
      </x:c>
      <x:c r="E471" s="10" t="str">
        <x:v>功能需求</x:v>
      </x:c>
      <x:c r="F471" s="10" t="str">
        <x:v>P2</x:v>
      </x:c>
      <x:c r="G471" s="9" t="str">
        <x:v>验证装扮商城仅显示允许购买的上架道具</x:v>
      </x:c>
      <x:c r="H471" s="9" t="str">
        <x:v>不允许购买的道具不展示</x:v>
      </x:c>
      <x:c r="I471" s="9" t="str">
        <x:v>1. 用户为本条执行者
2. 用户甲为普通账号；道具甲允许购买且上架，道具乙不允许购买，道具丙已下架</x:v>
      </x:c>
      <x:c r="J471" s="9" t="str">
        <x:v>1. 打开装扮商城</x:v>
      </x:c>
      <x:c r="K471" s="9" t="str">
        <x:v>商城不显示道具乙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来源（当前证据）：liveshow-proto/MainBasis/统一需求文档.md；位置：第 747 行；REQ-d2faa5ffb1d6、第 745 行
2. 规则：BR-7C43A64C121E09
3. 未动态验证
4. 示例账号、编号、金额与日期是本条测试数据；执行前按前置条件准备，未填写的产品决策不得自行假定。</x:v>
      </x:c>
    </x:row>
    <x:row r="472" ht="130" customHeight="1">
      <x:c r="A472" s="10" t="n">
        <x:v>471</x:v>
      </x:c>
      <x:c r="B472" s="10" t="str">
        <x:v>USER-0471</x:v>
      </x:c>
      <x:c r="C472" s="10" t="str">
        <x:v>个人中心</x:v>
      </x:c>
      <x:c r="D472" s="10" t="str">
        <x:v>装扮商城（用户）</x:v>
      </x:c>
      <x:c r="E472" s="10" t="str">
        <x:v>功能需求</x:v>
      </x:c>
      <x:c r="F472" s="10" t="str">
        <x:v>P2</x:v>
      </x:c>
      <x:c r="G472" s="9" t="str">
        <x:v>验证装扮商城仅显示允许购买的上架道具</x:v>
      </x:c>
      <x:c r="H472" s="9" t="str">
        <x:v>已下架道具不展示</x:v>
      </x:c>
      <x:c r="I472" s="9" t="str">
        <x:v>1. 用户为本条执行者
2. 用户甲为普通账号；道具甲允许购买且上架，道具乙不允许购买，道具丙已下架</x:v>
      </x:c>
      <x:c r="J472" s="9" t="str">
        <x:v>1. 打开装扮商城</x:v>
      </x:c>
      <x:c r="K472" s="9" t="str">
        <x:v>商城不显示道具丙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来源（当前证据）：liveshow-proto/MainBasis/统一需求文档.md；位置：第 747 行；REQ-d2faa5ffb1d6、第 745 行
2. 规则：BR-5A790BFB5334B8
3. 未动态验证
4. 示例账号、编号、金额与日期是本条测试数据；执行前按前置条件准备，未填写的产品决策不得自行假定。</x:v>
      </x:c>
    </x:row>
    <x:row r="473" ht="145" customHeight="1">
      <x:c r="A473" s="10" t="n">
        <x:v>472</x:v>
      </x:c>
      <x:c r="B473" s="10" t="str">
        <x:v>USER-0472</x:v>
      </x:c>
      <x:c r="C473" s="10" t="str">
        <x:v>个人中心</x:v>
      </x:c>
      <x:c r="D473" s="10" t="str">
        <x:v>装扮商城（用户）</x:v>
      </x:c>
      <x:c r="E473" s="10" t="str">
        <x:v>功能需求</x:v>
      </x:c>
      <x:c r="F473" s="10" t="str">
        <x:v>P2</x:v>
      </x:c>
      <x:c r="G473" s="9" t="str">
        <x:v>验证永久已拥有道具不可重复购买</x:v>
      </x:c>
      <x:c r="H473" s="9" t="str">
        <x:v>持有道具防重复购买</x:v>
      </x:c>
      <x:c r="I473" s="9" t="str">
        <x:v>1. 用户为本条执行者
2. 用户甲为普通账号；道具甲允许购买且上架，道具乙不允许购买，道具丙已下架
3. 用户甲已拥有永久道具甲</x:v>
      </x:c>
      <x:c r="J473" s="9" t="str">
        <x:v>1. 打开装扮商城
2. 查看道具甲</x:v>
      </x:c>
      <x:c r="K473" s="9" t="str">
        <x:v>道具甲显示“已获得”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来源（当前证据）：liveshow-proto/MainBasis/统一需求文档.md；位置：第 746 行；REQ-964e0be5b065、第 747 行；REQ-d2faa5ffb1d6、第 745 行
2. 规则：BR-14A064B58720EE
3. 未动态验证
4. 示例账号、编号、金额与日期是本条测试数据；执行前按前置条件准备，未填写的产品决策不得自行假定。</x:v>
      </x:c>
    </x:row>
    <x:row r="474" ht="145" customHeight="1">
      <x:c r="A474" s="10" t="n">
        <x:v>473</x:v>
      </x:c>
      <x:c r="B474" s="10" t="str">
        <x:v>USER-0473</x:v>
      </x:c>
      <x:c r="C474" s="10" t="str">
        <x:v>个人中心</x:v>
      </x:c>
      <x:c r="D474" s="10" t="str">
        <x:v>装扮商城（用户）</x:v>
      </x:c>
      <x:c r="E474" s="10" t="str">
        <x:v>功能需求</x:v>
      </x:c>
      <x:c r="F474" s="10" t="str">
        <x:v>P2</x:v>
      </x:c>
      <x:c r="G474" s="9" t="str">
        <x:v>验证限时已拥有道具不可重复购买</x:v>
      </x:c>
      <x:c r="H474" s="9" t="str">
        <x:v>持有道具防重复购买</x:v>
      </x:c>
      <x:c r="I474" s="9" t="str">
        <x:v>1. 用户为本条执行者
2. 用户甲为普通账号；道具甲允许购买且上架，道具乙不允许购买，道具丙已下架
3. 用户甲已拥有限时道具甲</x:v>
      </x:c>
      <x:c r="J474" s="9" t="str">
        <x:v>1. 打开装扮商城
2. 查看道具甲</x:v>
      </x:c>
      <x:c r="K474" s="9" t="str">
        <x:v>道具甲显示“已获得”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来源（当前证据）：liveshow-proto/MainBasis/统一需求文档.md；位置：第 746 行；REQ-964e0be5b065、第 747 行；REQ-d2faa5ffb1d6、第 745 行
2. 规则：BR-30163486ECF4C1
3. 未动态验证
4. 示例账号、编号、金额与日期是本条测试数据；执行前按前置条件准备，未填写的产品决策不得自行假定。</x:v>
      </x:c>
    </x:row>
    <x:row r="475" ht="130" customHeight="1">
      <x:c r="A475" s="10" t="n">
        <x:v>474</x:v>
      </x:c>
      <x:c r="B475" s="10" t="str">
        <x:v>USER-0474</x:v>
      </x:c>
      <x:c r="C475" s="10" t="str">
        <x:v>个人中心</x:v>
      </x:c>
      <x:c r="D475" s="10" t="str">
        <x:v>购买确认（用户）</x:v>
      </x:c>
      <x:c r="E475" s="10" t="str">
        <x:v>功能需求</x:v>
      </x:c>
      <x:c r="F475" s="10" t="str">
        <x:v>P2</x:v>
      </x:c>
      <x:c r="G475" s="9" t="str">
        <x:v>验证取消装扮购买</x:v>
      </x:c>
      <x:c r="H475" s="9" t="str">
        <x:v>购买取消</x:v>
      </x:c>
      <x:c r="I475" s="9" t="str">
        <x:v>1. 用户为本条执行者
2. 用户甲已选上架且允许购买的头像框甲，价格 100 金币，尚未拥有</x:v>
      </x:c>
      <x:c r="J475" s="9" t="str">
        <x:v>1. 打开购买确认
2. 点击取消</x:v>
      </x:c>
      <x:c r="K475" s="9" t="str">
        <x:v>未获得头像框甲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来源（当前证据）：liveshow-proto/MainBasis/统一需求文档.md；位置：第 751 行；REQ-3399ecc6c459、第 750 行
2. 规则：BR-F01A2BAD187A00
3. 未动态验证
4. 示例账号、编号、金额与日期是本条测试数据；执行前按前置条件准备，未填写的产品决策不得自行假定。</x:v>
      </x:c>
    </x:row>
    <x:row r="476" ht="130" customHeight="1">
      <x:c r="A476" s="10" t="n">
        <x:v>475</x:v>
      </x:c>
      <x:c r="B476" s="10" t="str">
        <x:v>USER-0475</x:v>
      </x:c>
      <x:c r="C476" s="10" t="str">
        <x:v>个人中心</x:v>
      </x:c>
      <x:c r="D476" s="10" t="str">
        <x:v>购买确认（用户）</x:v>
      </x:c>
      <x:c r="E476" s="10" t="str">
        <x:v>功能需求</x:v>
      </x:c>
      <x:c r="F476" s="10" t="str">
        <x:v>P1</x:v>
      </x:c>
      <x:c r="G476" s="9" t="str">
        <x:v>验证购买100金币装扮时余额 99</x:v>
      </x:c>
      <x:c r="H476" s="9" t="str">
        <x:v>装扮购买余额边界</x:v>
      </x:c>
      <x:c r="I476" s="9" t="str">
        <x:v>1. 用户为本条执行者
2. 用户甲已选上架且允许购买的头像框甲，价格 100 金币，尚未拥有
3. 用户甲真实余额 99</x:v>
      </x:c>
      <x:c r="J476" s="9" t="str">
        <x:v>1. 打开购买确认
2. 查看金币不足提示的操作按钮</x:v>
      </x:c>
      <x:c r="K476" s="9" t="str">
        <x:v>显示去充值按钮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来源（当前证据）：liveshow-proto/MainBasis/统一需求文档.md；位置：第 751 行；REQ-3399ecc6c459、第 750 行
2. 规则：BR-9C18DF60BC7407
3. 未动态验证
4. 示例账号、编号、金额与日期是本条测试数据；执行前按前置条件准备，未填写的产品决策不得自行假定。</x:v>
      </x:c>
    </x:row>
    <x:row r="477" ht="130" customHeight="1">
      <x:c r="A477" s="10" t="n">
        <x:v>476</x:v>
      </x:c>
      <x:c r="B477" s="10" t="str">
        <x:v>USER-0476</x:v>
      </x:c>
      <x:c r="C477" s="10" t="str">
        <x:v>个人中心</x:v>
      </x:c>
      <x:c r="D477" s="10" t="str">
        <x:v>购买确认（用户）</x:v>
      </x:c>
      <x:c r="E477" s="10" t="str">
        <x:v>功能需求</x:v>
      </x:c>
      <x:c r="F477" s="10" t="str">
        <x:v>P1</x:v>
      </x:c>
      <x:c r="G477" s="9" t="str">
        <x:v>验证购买100金币装扮时余额 100</x:v>
      </x:c>
      <x:c r="H477" s="9" t="str">
        <x:v>装扮购买余额边界</x:v>
      </x:c>
      <x:c r="I477" s="9" t="str">
        <x:v>1. 用户为本条执行者
2. 用户甲已选上架且允许购买的头像框甲，价格 100 金币，尚未拥有
3. 用户甲真实余额 100</x:v>
      </x:c>
      <x:c r="J477" s="9" t="str">
        <x:v>1. 打开购买确认
2. 点击购买</x:v>
      </x:c>
      <x:c r="K477" s="9" t="str">
        <x:v>提示“购买成功”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来源（当前证据）：liveshow-proto/MainBasis/统一需求文档.md；位置：第 751 行；REQ-3399ecc6c459、第 750 行
2. 规则：BR-EED66211B9975B
3. 未动态验证
4. 示例账号、编号、金额与日期是本条测试数据；执行前按前置条件准备，未填写的产品决策不得自行假定。</x:v>
      </x:c>
    </x:row>
    <x:row r="478" ht="130" customHeight="1">
      <x:c r="A478" s="10" t="n">
        <x:v>477</x:v>
      </x:c>
      <x:c r="B478" s="10" t="str">
        <x:v>USER-0477</x:v>
      </x:c>
      <x:c r="C478" s="10" t="str">
        <x:v>个人中心</x:v>
      </x:c>
      <x:c r="D478" s="10" t="str">
        <x:v>购买确认（用户）</x:v>
      </x:c>
      <x:c r="E478" s="10" t="str">
        <x:v>功能需求</x:v>
      </x:c>
      <x:c r="F478" s="10" t="str">
        <x:v>P1</x:v>
      </x:c>
      <x:c r="G478" s="9" t="str">
        <x:v>验证购买100金币装扮时余额 101</x:v>
      </x:c>
      <x:c r="H478" s="9" t="str">
        <x:v>装扮购买余额边界</x:v>
      </x:c>
      <x:c r="I478" s="9" t="str">
        <x:v>1. 用户为本条执行者
2. 用户甲已选上架且允许购买的头像框甲，价格 100 金币，尚未拥有
3. 用户甲真实余额 101</x:v>
      </x:c>
      <x:c r="J478" s="9" t="str">
        <x:v>1. 打开购买确认
2. 点击购买</x:v>
      </x:c>
      <x:c r="K478" s="9" t="str">
        <x:v>提示“购买成功”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来源（当前证据）：liveshow-proto/MainBasis/统一需求文档.md；位置：第 751 行；REQ-3399ecc6c459、第 750 行
2. 规则：BR-BBFE3A2F6CF579
3. 未动态验证
4. 示例账号、编号、金额与日期是本条测试数据；执行前按前置条件准备，未填写的产品决策不得自行假定。</x:v>
      </x:c>
    </x:row>
    <x:row r="479" ht="130" customHeight="1">
      <x:c r="A479" s="10" t="n">
        <x:v>478</x:v>
      </x:c>
      <x:c r="B479" s="10" t="str">
        <x:v>USER-0478</x:v>
      </x:c>
      <x:c r="C479" s="10" t="str">
        <x:v>个人中心</x:v>
      </x:c>
      <x:c r="D479" s="10" t="str">
        <x:v>购买确认（用户）</x:v>
      </x:c>
      <x:c r="E479" s="10" t="str">
        <x:v>功能需求</x:v>
      </x:c>
      <x:c r="F479" s="10" t="str">
        <x:v>P2</x:v>
      </x:c>
      <x:c r="G479" s="9" t="str">
        <x:v>验证购买前商品变为下架</x:v>
      </x:c>
      <x:c r="H479" s="9" t="str">
        <x:v>购买提交时重查状态</x:v>
      </x:c>
      <x:c r="I479" s="9" t="str">
        <x:v>1. 用户为本条执行者
2. 用户甲已选上架且允许购买的头像框甲，价格 100 金币，尚未拥有
3. 购买确认打开后，头像框甲下架</x:v>
      </x:c>
      <x:c r="J479" s="9" t="str">
        <x:v>1. 点击购买</x:v>
      </x:c>
      <x:c r="K479" s="9" t="str">
        <x:v>未新增头像框甲购买记录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来源（当前证据）：liveshow-proto/MainBasis/统一需求文档.md；位置：第 751 行；REQ-3399ecc6c459、第 750 行
2. 规则：BR-5937D0097DA952
3. 未动态验证
4. 示例账号、编号、金额与日期是本条测试数据；执行前按前置条件准备，未填写的产品决策不得自行假定。</x:v>
      </x:c>
    </x:row>
    <x:row r="480" ht="130" customHeight="1">
      <x:c r="A480" s="10" t="n">
        <x:v>479</x:v>
      </x:c>
      <x:c r="B480" s="10" t="str">
        <x:v>USER-0479</x:v>
      </x:c>
      <x:c r="C480" s="10" t="str">
        <x:v>个人中心</x:v>
      </x:c>
      <x:c r="D480" s="10" t="str">
        <x:v>购买确认（用户）</x:v>
      </x:c>
      <x:c r="E480" s="10" t="str">
        <x:v>功能需求</x:v>
      </x:c>
      <x:c r="F480" s="10" t="str">
        <x:v>P2</x:v>
      </x:c>
      <x:c r="G480" s="9" t="str">
        <x:v>验证购买前商品变为已被用户甲获得</x:v>
      </x:c>
      <x:c r="H480" s="9" t="str">
        <x:v>购买提交时重查状态</x:v>
      </x:c>
      <x:c r="I480" s="9" t="str">
        <x:v>1. 用户为本条执行者
2. 用户甲已选上架且允许购买的头像框甲，价格 100 金币，尚未拥有
3. 购买确认打开后，头像框甲已被用户甲获得</x:v>
      </x:c>
      <x:c r="J480" s="9" t="str">
        <x:v>1. 点击购买</x:v>
      </x:c>
      <x:c r="K480" s="9" t="str">
        <x:v>未新增头像框甲购买记录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来源（当前证据）：liveshow-proto/MainBasis/统一需求文档.md；位置：第 751 行；REQ-3399ecc6c459、第 750 行
2. 规则：BR-CF7703319E0D8A
3. 未动态验证
4. 示例账号、编号、金额与日期是本条测试数据；执行前按前置条件准备，未填写的产品决策不得自行假定。</x:v>
      </x:c>
    </x:row>
    <x:row r="481" ht="130" customHeight="1">
      <x:c r="A481" s="10" t="n">
        <x:v>480</x:v>
      </x:c>
      <x:c r="B481" s="10" t="str">
        <x:v>USER-0480</x:v>
      </x:c>
      <x:c r="C481" s="10" t="str">
        <x:v>个人中心</x:v>
      </x:c>
      <x:c r="D481" s="10" t="str">
        <x:v>购买确认（用户）</x:v>
      </x:c>
      <x:c r="E481" s="10" t="str">
        <x:v>功能需求</x:v>
      </x:c>
      <x:c r="F481" s="10" t="str">
        <x:v>P2</x:v>
      </x:c>
      <x:c r="G481" s="9" t="str">
        <x:v>验证装扮购买成功后点击继续购买</x:v>
      </x:c>
      <x:c r="H481" s="9" t="str">
        <x:v>装扮购买后续入口</x:v>
      </x:c>
      <x:c r="I481" s="9" t="str">
        <x:v>1. 用户为本条执行者
2. 用户甲已选上架且允许购买的头像框甲，价格 100 金币，尚未拥有
3. 头像框甲已成功购买，当前显示购买成功弹窗</x:v>
      </x:c>
      <x:c r="J481" s="9" t="str">
        <x:v>1. 点击继续购买</x:v>
      </x:c>
      <x:c r="K481" s="9" t="str">
        <x:v>停留装扮商城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来源（当前证据）：liveshow-proto/MainBasis/统一需求文档.md；位置：第 751 行；REQ-3399ecc6c459、第 750 行
2. 规则：BR-84910438D8DA6B
3. 未动态验证
4. 示例账号、编号、金额与日期是本条测试数据；执行前按前置条件准备，未填写的产品决策不得自行假定。</x:v>
      </x:c>
    </x:row>
    <x:row r="482" ht="130" customHeight="1">
      <x:c r="A482" s="10" t="n">
        <x:v>481</x:v>
      </x:c>
      <x:c r="B482" s="10" t="str">
        <x:v>USER-0481</x:v>
      </x:c>
      <x:c r="C482" s="10" t="str">
        <x:v>个人中心</x:v>
      </x:c>
      <x:c r="D482" s="10" t="str">
        <x:v>购买确认（用户）</x:v>
      </x:c>
      <x:c r="E482" s="10" t="str">
        <x:v>功能需求</x:v>
      </x:c>
      <x:c r="F482" s="10" t="str">
        <x:v>P2</x:v>
      </x:c>
      <x:c r="G482" s="9" t="str">
        <x:v>验证装扮购买成功后点击去佩戴</x:v>
      </x:c>
      <x:c r="H482" s="9" t="str">
        <x:v>装扮购买后续入口</x:v>
      </x:c>
      <x:c r="I482" s="9" t="str">
        <x:v>1. 用户为本条执行者
2. 用户甲已选上架且允许购买的头像框甲，价格 100 金币，尚未拥有
3. 头像框甲已成功购买，当前显示购买成功弹窗</x:v>
      </x:c>
      <x:c r="J482" s="9" t="str">
        <x:v>1. 点击去佩戴</x:v>
      </x:c>
      <x:c r="K482" s="9" t="str">
        <x:v>进入我的装扮已拥有的头像框分类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来源（当前证据）：liveshow-proto/MainBasis/统一需求文档.md；位置：第 751 行；REQ-3399ecc6c459、第 750 行
2. 规则：BR-4779CAD5B4364C
3. 未动态验证
4. 示例账号、编号、金额与日期是本条测试数据；执行前按前置条件准备，未填写的产品决策不得自行假定。</x:v>
      </x:c>
    </x:row>
    <x:row r="483" ht="175" customHeight="1">
      <x:c r="A483" s="10" t="n">
        <x:v>482</x:v>
      </x:c>
      <x:c r="B483" s="10" t="str">
        <x:v>USER-0482</x:v>
      </x:c>
      <x:c r="C483" s="10" t="str">
        <x:v>首页与发现</x:v>
      </x:c>
      <x:c r="D483" s="10" t="str">
        <x:v>邀请好友（用户）</x:v>
      </x:c>
      <x:c r="E483" s="10" t="str">
        <x:v>功能需求</x:v>
      </x:c>
      <x:c r="F483" s="10" t="str">
        <x:v>P2</x:v>
      </x:c>
      <x:c r="G483" s="9" t="str">
        <x:v>验证邀请统计使用成功邀请人数</x:v>
      </x:c>
      <x:c r="H483" s="9" t="str">
        <x:v>成功邀请人数</x:v>
      </x:c>
      <x:c r="I483" s="9" t="str">
        <x:v>1. 用户为本条执行者
2. 当前活动配置每位成功邀请好友奖励 10 金币；用户甲成功邀请好友乙、丙共 2 人</x:v>
      </x:c>
      <x:c r="J483" s="9" t="str">
        <x:v>1. 打开邀请好友</x:v>
      </x:c>
      <x:c r="K483" s="9" t="str">
        <x:v>已邀请好友显示 2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来源（当前证据）：liveshow-proto/MainBasis/统一需求文档.md；位置：第 642 行；REQ-1028b23fcb3c、第 643 行；REQ-99c9c053820e、第 645 行；REQ-d2b2aa2425d8、第 646 行；REQ-7ccfa7f59f24、第 647 行；REQ-abc8e1c873de、第 640 行
2. 规则：BR-6A06BBE9900D1E
3. 未动态验证
4. 示例账号、编号、金额与日期是本条测试数据；执行前按前置条件准备，未填写的产品决策不得自行假定。</x:v>
      </x:c>
    </x:row>
    <x:row r="484" ht="175" customHeight="1">
      <x:c r="A484" s="10" t="n">
        <x:v>483</x:v>
      </x:c>
      <x:c r="B484" s="10" t="str">
        <x:v>USER-0483</x:v>
      </x:c>
      <x:c r="C484" s="10" t="str">
        <x:v>首页与发现</x:v>
      </x:c>
      <x:c r="D484" s="10" t="str">
        <x:v>邀请好友（用户）</x:v>
      </x:c>
      <x:c r="E484" s="10" t="str">
        <x:v>功能需求</x:v>
      </x:c>
      <x:c r="F484" s="10" t="str">
        <x:v>P2</x:v>
      </x:c>
      <x:c r="G484" s="9" t="str">
        <x:v>验证邀请统计使用成功邀请人数</x:v>
      </x:c>
      <x:c r="H484" s="9" t="str">
        <x:v>累计获得金币</x:v>
      </x:c>
      <x:c r="I484" s="9" t="str">
        <x:v>1. 用户为本条执行者
2. 当前活动配置每位成功邀请好友奖励 10 金币；用户甲成功邀请好友乙、丙共 2 人</x:v>
      </x:c>
      <x:c r="J484" s="9" t="str">
        <x:v>1. 打开邀请好友</x:v>
      </x:c>
      <x:c r="K484" s="9" t="str">
        <x:v>累计获得金币 = 20 金币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来源（当前证据）：liveshow-proto/MainBasis/统一需求文档.md；位置：第 642 行；REQ-1028b23fcb3c、第 643 行；REQ-99c9c053820e、第 645 行；REQ-d2b2aa2425d8、第 646 行；REQ-7ccfa7f59f24、第 647 行；REQ-abc8e1c873de、第 640 行
2. 规则：BR-BD8A1D1B98C865
3. 未动态验证
4. 示例账号、编号、金额与日期是本条测试数据；执行前按前置条件准备，未填写的产品决策不得自行假定。</x:v>
      </x:c>
    </x:row>
    <x:row r="485" ht="130" customHeight="1">
      <x:c r="A485" s="10" t="n">
        <x:v>484</x:v>
      </x:c>
      <x:c r="B485" s="10" t="str">
        <x:v>USER-0484</x:v>
      </x:c>
      <x:c r="C485" s="10" t="str">
        <x:v>首页与发现</x:v>
      </x:c>
      <x:c r="D485" s="10" t="str">
        <x:v>邀请好友（用户）</x:v>
      </x:c>
      <x:c r="E485" s="10" t="str">
        <x:v>功能需求</x:v>
      </x:c>
      <x:c r="F485" s="10" t="str">
        <x:v>P2</x:v>
      </x:c>
      <x:c r="G485" s="9" t="str">
        <x:v>验证邀请记录按日期倒序</x:v>
      </x:c>
      <x:c r="H485" s="9" t="str">
        <x:v>邀请记录顺序</x:v>
      </x:c>
      <x:c r="I485" s="9" t="str">
        <x:v>1. 用户为本条执行者
2. 当前活动配置每位成功邀请好友奖励 10 金币；用户甲成功邀请好友乙、丙共 2 人
3. 乙邀请日期为 09/01，丙邀请日期为 09/02</x:v>
      </x:c>
      <x:c r="J485" s="9" t="str">
        <x:v>1. 打开邀请好友
2. 切换邀请记录</x:v>
      </x:c>
      <x:c r="K485" s="9" t="str">
        <x:v>丙排在乙前面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来源（当前证据）：liveshow-proto/MainBasis/统一需求文档.md；位置：第 647 行；REQ-abc8e1c873de、第 640 行
2. 规则：BR-B3B5E731FC504F
3. 未动态验证
4. 示例账号、编号、金额与日期是本条测试数据；执行前按前置条件准备，未填写的产品决策不得自行假定。</x:v>
      </x:c>
    </x:row>
    <x:row r="486" ht="130" customHeight="1">
      <x:c r="A486" s="10" t="n">
        <x:v>485</x:v>
      </x:c>
      <x:c r="B486" s="10" t="str">
        <x:v>USER-0485</x:v>
      </x:c>
      <x:c r="C486" s="10" t="str">
        <x:v>首页与发现</x:v>
      </x:c>
      <x:c r="D486" s="10" t="str">
        <x:v>邀请好友·选项（用户）</x:v>
      </x:c>
      <x:c r="E486" s="10" t="str">
        <x:v>功能需求</x:v>
      </x:c>
      <x:c r="F486" s="10" t="str">
        <x:v>P2</x:v>
      </x:c>
      <x:c r="G486" s="9" t="str">
        <x:v>验证复制链接不计为成功邀请</x:v>
      </x:c>
      <x:c r="H486" s="9" t="str">
        <x:v>分享与有效邀请分离</x:v>
      </x:c>
      <x:c r="I486" s="9" t="str">
        <x:v>1. 用户为本条执行者
2. 当前显示用户甲的邀请分享选项；已成功邀请人数为 2</x:v>
      </x:c>
      <x:c r="J486" s="9" t="str">
        <x:v>1. 点击复制链接
2. 返回邀请好友</x:v>
      </x:c>
      <x:c r="K486" s="9" t="str">
        <x:v>已邀请好友仍为 2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来源（当前证据）：liveshow-proto/MainBasis/统一需求文档.md；位置：第 1915 行；REQ-8331dedb9c7b、第 1912 行
2. 规则：BR-07B33C350C88BD
3. 未动态验证
4. 示例账号、编号、金额与日期是本条测试数据；执行前按前置条件准备，未填写的产品决策不得自行假定。</x:v>
      </x:c>
    </x:row>
    <x:row r="487" ht="130" customHeight="1">
      <x:c r="A487" s="10" t="n">
        <x:v>486</x:v>
      </x:c>
      <x:c r="B487" s="10" t="str">
        <x:v>USER-0486</x:v>
      </x:c>
      <x:c r="C487" s="10" t="str">
        <x:v>首页与发现</x:v>
      </x:c>
      <x:c r="D487" s="10" t="str">
        <x:v>邀请好友·选项（用户）</x:v>
      </x:c>
      <x:c r="E487" s="10" t="str">
        <x:v>功能需求</x:v>
      </x:c>
      <x:c r="F487" s="10" t="str">
        <x:v>P2</x:v>
      </x:c>
      <x:c r="G487" s="9" t="str">
        <x:v>验证发送给好友不计为成功邀请</x:v>
      </x:c>
      <x:c r="H487" s="9" t="str">
        <x:v>分享与有效邀请分离</x:v>
      </x:c>
      <x:c r="I487" s="9" t="str">
        <x:v>1. 用户为本条执行者
2. 当前显示用户甲的邀请分享选项；已成功邀请人数为 2</x:v>
      </x:c>
      <x:c r="J487" s="9" t="str">
        <x:v>1. 点击发送给好友
2. 返回邀请好友</x:v>
      </x:c>
      <x:c r="K487" s="9" t="str">
        <x:v>已邀请好友仍为 2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来源（当前证据）：liveshow-proto/MainBasis/统一需求文档.md；位置：第 1915 行；REQ-8331dedb9c7b、第 1912 行
2. 规则：BR-807838F4FBA145
3. 未动态验证
4. 示例账号、编号、金额与日期是本条测试数据；执行前按前置条件准备，未填写的产品决策不得自行假定。</x:v>
      </x:c>
    </x:row>
    <x:row r="488" ht="130" customHeight="1">
      <x:c r="A488" s="10" t="n">
        <x:v>487</x:v>
      </x:c>
      <x:c r="B488" s="10" t="str">
        <x:v>USER-0487</x:v>
      </x:c>
      <x:c r="C488" s="10" t="str">
        <x:v>首页与发现</x:v>
      </x:c>
      <x:c r="D488" s="10" t="str">
        <x:v>邀请好友·选项（用户）</x:v>
      </x:c>
      <x:c r="E488" s="10" t="str">
        <x:v>功能需求</x:v>
      </x:c>
      <x:c r="F488" s="10" t="str">
        <x:v>P2</x:v>
      </x:c>
      <x:c r="G488" s="9" t="str">
        <x:v>验证保存图片不计为成功邀请</x:v>
      </x:c>
      <x:c r="H488" s="9" t="str">
        <x:v>分享与有效邀请分离</x:v>
      </x:c>
      <x:c r="I488" s="9" t="str">
        <x:v>1. 用户为本条执行者
2. 当前显示用户甲的邀请分享选项；已成功邀请人数为 2</x:v>
      </x:c>
      <x:c r="J488" s="9" t="str">
        <x:v>1. 点击保存图片
2. 返回邀请好友</x:v>
      </x:c>
      <x:c r="K488" s="9" t="str">
        <x:v>已邀请好友仍为 2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来源（当前证据）：liveshow-proto/MainBasis/统一需求文档.md；位置：第 1915 行；REQ-8331dedb9c7b、第 1912 行
2. 规则：BR-E5392972230582
3. 未动态验证
4. 示例账号、编号、金额与日期是本条测试数据；执行前按前置条件准备，未填写的产品决策不得自行假定。</x:v>
      </x:c>
    </x:row>
    <x:row r="489" ht="145" customHeight="1">
      <x:c r="A489" s="10" t="n">
        <x:v>488</x:v>
      </x:c>
      <x:c r="B489" s="10" t="str">
        <x:v>USER-0488</x:v>
      </x:c>
      <x:c r="C489" s="10" t="str">
        <x:v>首页与发现</x:v>
      </x:c>
      <x:c r="D489" s="10" t="str">
        <x:v>邀请好友·选项（用户）</x:v>
      </x:c>
      <x:c r="E489" s="10" t="str">
        <x:v>功能需求</x:v>
      </x:c>
      <x:c r="F489" s="10" t="str">
        <x:v>P2</x:v>
      </x:c>
      <x:c r="G489" s="9" t="str">
        <x:v>验证复制邀请链接给出反馈</x:v>
      </x:c>
      <x:c r="H489" s="9" t="str">
        <x:v>邀请链接复制提示</x:v>
      </x:c>
      <x:c r="I489" s="9" t="str">
        <x:v>1. 用户为本条执行者
2. 当前显示用户甲的邀请分享选项；已成功邀请人数为 2</x:v>
      </x:c>
      <x:c r="J489" s="9" t="str">
        <x:v>1. 点击复制链接</x:v>
      </x:c>
      <x:c r="K489" s="9" t="str">
        <x:v>提示“复制成功”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来源（当前证据）：liveshow-proto/MainBasis/统一需求文档.md；位置：第 1914 行；REQ-fb3af64eb689、第 1916 行；REQ-f02ca831c50d、第 1912 行
2. 规则：BR-9C09B5B3406403
3. 未动态验证
4. 示例账号、编号、金额与日期是本条测试数据；执行前按前置条件准备，未填写的产品决策不得自行假定。</x:v>
      </x:c>
    </x:row>
    <x:row r="490" ht="145" customHeight="1">
      <x:c r="A490" s="10" t="n">
        <x:v>489</x:v>
      </x:c>
      <x:c r="B490" s="10" t="str">
        <x:v>USER-0489</x:v>
      </x:c>
      <x:c r="C490" s="10" t="str">
        <x:v>首页与发现</x:v>
      </x:c>
      <x:c r="D490" s="10" t="str">
        <x:v>邀请好友·选项（用户）</x:v>
      </x:c>
      <x:c r="E490" s="10" t="str">
        <x:v>功能需求</x:v>
      </x:c>
      <x:c r="F490" s="10" t="str">
        <x:v>P2</x:v>
      </x:c>
      <x:c r="G490" s="9" t="str">
        <x:v>验证发送邀请使用系统分享</x:v>
      </x:c>
      <x:c r="H490" s="9" t="str">
        <x:v>邀请系统分享入口</x:v>
      </x:c>
      <x:c r="I490" s="9" t="str">
        <x:v>1. 用户为本条执行者
2. 当前显示用户甲的邀请分享选项；已成功邀请人数为 2</x:v>
      </x:c>
      <x:c r="J490" s="9" t="str">
        <x:v>1. 点击发送给好友</x:v>
      </x:c>
      <x:c r="K490" s="9" t="str">
        <x:v>打开系统分享界面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来源（当前证据）：liveshow-proto/MainBasis/统一需求文档.md；位置：第 1914 行；REQ-fb3af64eb689、第 1917 行；REQ-1c675ff25b98、第 1912 行
2. 规则：BR-284E2E4DC6041F
3. 未动态验证
4. 示例账号、编号、金额与日期是本条测试数据；执行前按前置条件准备，未填写的产品决策不得自行假定。</x:v>
      </x:c>
    </x:row>
    <x:row r="491" ht="130" customHeight="1">
      <x:c r="A491" s="10" t="n">
        <x:v>490</x:v>
      </x:c>
      <x:c r="B491" s="10" t="str">
        <x:v>USER-0490</x:v>
      </x:c>
      <x:c r="C491" s="10" t="str">
        <x:v>粉丝团</x:v>
      </x:c>
      <x:c r="D491" s="10" t="str">
        <x:v>我的粉丝团（用户）</x:v>
      </x:c>
      <x:c r="E491" s="10" t="str">
        <x:v>功能需求</x:v>
      </x:c>
      <x:c r="F491" s="10" t="str">
        <x:v>P2</x:v>
      </x:c>
      <x:c r="G491" s="9" t="str">
        <x:v>验证我的粉丝团按本次入团时间倒序</x:v>
      </x:c>
      <x:c r="H491" s="9" t="str">
        <x:v>有效团籍顺序</x:v>
      </x:c>
      <x:c r="I491" s="9" t="str">
        <x:v>1. 用户为本条执行者
2. 用户甲当前加入主播乙、丙的两个粉丝团；本次加入乙团时间晚于丙团</x:v>
      </x:c>
      <x:c r="J491" s="9" t="str">
        <x:v>1. 打开我的粉丝团</x:v>
      </x:c>
      <x:c r="K491" s="9" t="str">
        <x:v>乙团排在丙团前面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来源（当前证据）：liveshow-proto/MainBasis/统一需求文档.md；位置：第 1102 行；REQ-f0b5607d3a9e、第 1085 行
2. 规则：BR-A20182E9AC8C6A
3. 未动态验证
4. 示例账号、编号、金额与日期是本条测试数据；执行前按前置条件准备，未填写的产品决策不得自行假定。</x:v>
      </x:c>
    </x:row>
    <x:row r="492" ht="175" customHeight="1">
      <x:c r="A492" s="10" t="n">
        <x:v>491</x:v>
      </x:c>
      <x:c r="B492" s="10" t="str">
        <x:v>USER-0491</x:v>
      </x:c>
      <x:c r="C492" s="10" t="str">
        <x:v>粉丝团</x:v>
      </x:c>
      <x:c r="D492" s="10" t="str">
        <x:v>我的粉丝团（用户）</x:v>
      </x:c>
      <x:c r="E492" s="10" t="str">
        <x:v>功能需求</x:v>
      </x:c>
      <x:c r="F492" s="10" t="str">
        <x:v>P2</x:v>
      </x:c>
      <x:c r="G492" s="9" t="str">
        <x:v>验证重新入团更新本次加入日期</x:v>
      </x:c>
      <x:c r="H492" s="9" t="str">
        <x:v>重新入团日期</x:v>
      </x:c>
      <x:c r="I492" s="9" t="str">
        <x:v>1. 用户为本条执行者
2. 用户甲当前加入主播乙、丙的两个粉丝团；本次加入乙团时间晚于丙团
3. 甲曾加入乙团后退出，今天重新加入乙团</x:v>
      </x:c>
      <x:c r="J492" s="9" t="str">
        <x:v>1. 打开我的粉丝团
2. 查看乙团卡片</x:v>
      </x:c>
      <x:c r="K492" s="9" t="str">
        <x:v>加入日期显示今天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来源（当前证据）：liveshow-proto/MainBasis/统一需求文档.md；位置：第 1090 行；REQ-5773069f8c9b、第 1093 行；REQ-91d599404b3b、第 1095 行；REQ-1dccf04f8d96、第 1101 行；REQ-e53313feaa8d、第 1085 行
2. 规则：BR-DB0C0FB45F0B3E
3. 未动态验证
4. 示例账号、编号、金额与日期是本条测试数据；执行前按前置条件准备，未填写的产品决策不得自行假定。</x:v>
      </x:c>
    </x:row>
    <x:row r="493" ht="145" customHeight="1">
      <x:c r="A493" s="10" t="n">
        <x:v>492</x:v>
      </x:c>
      <x:c r="B493" s="10" t="str">
        <x:v>USER-0492</x:v>
      </x:c>
      <x:c r="C493" s="10" t="str">
        <x:v>粉丝团</x:v>
      </x:c>
      <x:c r="D493" s="10" t="str">
        <x:v>我的粉丝团（用户）</x:v>
      </x:c>
      <x:c r="E493" s="10" t="str">
        <x:v>功能需求</x:v>
      </x:c>
      <x:c r="F493" s="10" t="str">
        <x:v>P2</x:v>
      </x:c>
      <x:c r="G493" s="9" t="str">
        <x:v>验证总贡献保留入团前后和退团期间消费</x:v>
      </x:c>
      <x:c r="H493" s="9" t="str">
        <x:v>总贡献</x:v>
      </x:c>
      <x:c r="I493" s="9" t="str">
        <x:v>1. 用户为本条执行者
2. 用户甲当前加入主播乙、丙的两个粉丝团；本次加入乙团时间晚于丙团
3. 甲向乙团主播的成功赠礼为：入团前100、团内200、退团期间300、重新入团后400金币</x:v>
      </x:c>
      <x:c r="J493" s="9" t="str">
        <x:v>1. 打开我的粉丝团
2. 查看乙团总贡献</x:v>
      </x:c>
      <x:c r="K493" s="9" t="str">
        <x:v>总贡献 = 1000 金币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来源（当前证据）：liveshow-proto/MainBasis/统一需求文档.md；位置：第 1095 行；REQ-1dccf04f8d96、第 1099 行；REQ-f9943d155e02、第 1085 行
2. 规则：BR-96FAA1180C5CA3
3. 未动态验证
4. 示例账号、编号、金额与日期是本条测试数据；执行前按前置条件准备，未填写的产品决策不得自行假定。</x:v>
      </x:c>
    </x:row>
    <x:row r="494" ht="130" customHeight="1">
      <x:c r="A494" s="10" t="n">
        <x:v>493</x:v>
      </x:c>
      <x:c r="B494" s="10" t="str">
        <x:v>USER-0493</x:v>
      </x:c>
      <x:c r="C494" s="10" t="str">
        <x:v>粉丝团</x:v>
      </x:c>
      <x:c r="D494" s="10" t="str">
        <x:v>我的粉丝团（用户）</x:v>
      </x:c>
      <x:c r="E494" s="10" t="str">
        <x:v>功能需求</x:v>
      </x:c>
      <x:c r="F494" s="10" t="str">
        <x:v>P2</x:v>
      </x:c>
      <x:c r="G494" s="9" t="str">
        <x:v>验证没有有效团籍时显示空态</x:v>
      </x:c>
      <x:c r="H494" s="9" t="str">
        <x:v>我的粉丝团空态</x:v>
      </x:c>
      <x:c r="I494" s="9" t="str">
        <x:v>1. 用户为本条执行者
2. 用户甲当前加入主播乙、丙的两个粉丝团；本次加入乙团时间晚于丙团
3. 本条账号已退出所有粉丝团</x:v>
      </x:c>
      <x:c r="J494" s="9" t="str">
        <x:v>1. 打开我的粉丝团</x:v>
      </x:c>
      <x:c r="K494" s="9" t="str">
        <x:v>显示“暂未加入粉丝团”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来源（当前证据）：liveshow-proto/MainBasis/统一需求文档.md；位置：第 1103 行；REQ-7246eea0cf07、第 1085 行
2. 规则：BR-65CEA31F854FB2
3. 未动态验证
4. 示例账号、编号、金额与日期是本条测试数据；执行前按前置条件准备，未填写的产品决策不得自行假定。</x:v>
      </x:c>
    </x:row>
    <x:row r="495" ht="160" customHeight="1">
      <x:c r="A495" s="10" t="n">
        <x:v>494</x:v>
      </x:c>
      <x:c r="B495" s="10" t="str">
        <x:v>USER-0494</x:v>
      </x:c>
      <x:c r="C495" s="10" t="str">
        <x:v>粉丝团</x:v>
      </x:c>
      <x:c r="D495" s="10" t="str">
        <x:v>我的粉丝团（用户）</x:v>
      </x:c>
      <x:c r="E495" s="10" t="str">
        <x:v>功能需求</x:v>
      </x:c>
      <x:c r="F495" s="10" t="str">
        <x:v>P2</x:v>
      </x:c>
      <x:c r="G495" s="9" t="str">
        <x:v>验证粉丝团主播未开播的直播入口</x:v>
      </x:c>
      <x:c r="H495" s="9" t="str">
        <x:v>团卡片直播入口</x:v>
      </x:c>
      <x:c r="I495" s="9" t="str">
        <x:v>1. 用户为本条执行者
2. 用户甲当前加入主播乙、丙的两个粉丝团；本次加入乙团时间晚于丙团
3. 乙团主播当前未开播</x:v>
      </x:c>
      <x:c r="J495" s="9" t="str">
        <x:v>1. 打开我的粉丝团
2. 查看乙团卡片</x:v>
      </x:c>
      <x:c r="K495" s="9" t="str">
        <x:v>乙团头像不显示直播标记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来源（当前证据）：liveshow-proto/MainBasis/统一需求文档.md；位置：第 1087 行；REQ-e728d38fdf88、第 1091 行；REQ-dc110b656375、第 1104 行；REQ-afffb431b83e、第 1085 行
2. 规则：BR-6525412EEE963A
3. 未动态验证
4. 示例账号、编号、金额与日期是本条测试数据；执行前按前置条件准备，未填写的产品决策不得自行假定。</x:v>
      </x:c>
    </x:row>
    <x:row r="496" ht="160" customHeight="1">
      <x:c r="A496" s="10" t="n">
        <x:v>495</x:v>
      </x:c>
      <x:c r="B496" s="10" t="str">
        <x:v>USER-0495</x:v>
      </x:c>
      <x:c r="C496" s="10" t="str">
        <x:v>粉丝团</x:v>
      </x:c>
      <x:c r="D496" s="10" t="str">
        <x:v>我的粉丝团（用户）</x:v>
      </x:c>
      <x:c r="E496" s="10" t="str">
        <x:v>功能需求</x:v>
      </x:c>
      <x:c r="F496" s="10" t="str">
        <x:v>P2</x:v>
      </x:c>
      <x:c r="G496" s="9" t="str">
        <x:v>验证粉丝团主播在播的直播入口</x:v>
      </x:c>
      <x:c r="H496" s="9" t="str">
        <x:v>团卡片直播入口</x:v>
      </x:c>
      <x:c r="I496" s="9" t="str">
        <x:v>1. 用户为本条执行者
2. 用户甲当前加入主播乙、丙的两个粉丝团；本次加入乙团时间晚于丙团
3. 乙团主播当前正在直播</x:v>
      </x:c>
      <x:c r="J496" s="9" t="str">
        <x:v>1. 打开我的粉丝团
2. 查看乙团卡片</x:v>
      </x:c>
      <x:c r="K496" s="9" t="str">
        <x:v>乙团头像显示直播标记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来源（当前证据）：liveshow-proto/MainBasis/统一需求文档.md；位置：第 1087 行；REQ-e728d38fdf88、第 1091 行；REQ-dc110b656375、第 1104 行；REQ-afffb431b83e、第 1085 行
2. 规则：BR-6721DE0D9EF343
3. 未动态验证
4. 示例账号、编号、金额与日期是本条测试数据；执行前按前置条件准备，未填写的产品决策不得自行假定。</x:v>
      </x:c>
    </x:row>
    <x:row r="497" ht="130" customHeight="1">
      <x:c r="A497" s="10" t="n">
        <x:v>496</x:v>
      </x:c>
      <x:c r="B497" s="10" t="str">
        <x:v>USER-0496</x:v>
      </x:c>
      <x:c r="C497" s="10" t="str">
        <x:v>粉丝团</x:v>
      </x:c>
      <x:c r="D497" s="10" t="str">
        <x:v>贡献榜（用户）</x:v>
      </x:c>
      <x:c r="E497" s="10" t="str">
        <x:v>功能需求</x:v>
      </x:c>
      <x:c r="F497" s="10" t="str">
        <x:v>P2</x:v>
      </x:c>
      <x:c r="G497" s="9" t="str">
        <x:v>验证粉丝团贡献榜有 98 名可排名成员</x:v>
      </x:c>
      <x:c r="H497" s="9" t="str">
        <x:v>粉丝团榜单数量上限</x:v>
      </x:c>
      <x:c r="I497" s="9" t="str">
        <x:v>1. 用户为本条执行者
2. 用户甲属于主播乙的有效粉丝团，榜单所选周期内有有效赠礼数据
3. 周期内有 98 个有效成员，贡献和后续排序字段能够确定顺序</x:v>
      </x:c>
      <x:c r="J497" s="9" t="str">
        <x:v>1. 打开乙团贡献榜</x:v>
      </x:c>
      <x:c r="K497" s="9" t="str">
        <x:v>展示 98 名成员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来源（当前证据）：liveshow-proto/MainBasis/统一需求文档.md；位置：第 1112 行；REQ-7eddb785c4b6、第 1107 行
2. 规则：BR-65935829C3F02B
3. 未动态验证
4. 示例账号、编号、金额与日期是本条测试数据；执行前按前置条件准备，未填写的产品决策不得自行假定。</x:v>
      </x:c>
    </x:row>
    <x:row r="498" ht="130" customHeight="1">
      <x:c r="A498" s="10" t="n">
        <x:v>497</x:v>
      </x:c>
      <x:c r="B498" s="10" t="str">
        <x:v>USER-0497</x:v>
      </x:c>
      <x:c r="C498" s="10" t="str">
        <x:v>粉丝团</x:v>
      </x:c>
      <x:c r="D498" s="10" t="str">
        <x:v>贡献榜（用户）</x:v>
      </x:c>
      <x:c r="E498" s="10" t="str">
        <x:v>功能需求</x:v>
      </x:c>
      <x:c r="F498" s="10" t="str">
        <x:v>P2</x:v>
      </x:c>
      <x:c r="G498" s="9" t="str">
        <x:v>验证粉丝团贡献榜有 99 名可排名成员</x:v>
      </x:c>
      <x:c r="H498" s="9" t="str">
        <x:v>粉丝团榜单数量上限</x:v>
      </x:c>
      <x:c r="I498" s="9" t="str">
        <x:v>1. 用户为本条执行者
2. 用户甲属于主播乙的有效粉丝团，榜单所选周期内有有效赠礼数据
3. 周期内有 99 个有效成员，贡献和后续排序字段能够确定顺序</x:v>
      </x:c>
      <x:c r="J498" s="9" t="str">
        <x:v>1. 打开乙团贡献榜</x:v>
      </x:c>
      <x:c r="K498" s="9" t="str">
        <x:v>展示 99 名成员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来源（当前证据）：liveshow-proto/MainBasis/统一需求文档.md；位置：第 1112 行；REQ-7eddb785c4b6、第 1107 行
2. 规则：BR-0CC19C683CE0F0
3. 未动态验证
4. 示例账号、编号、金额与日期是本条测试数据；执行前按前置条件准备，未填写的产品决策不得自行假定。</x:v>
      </x:c>
    </x:row>
    <x:row r="499" ht="130" customHeight="1">
      <x:c r="A499" s="10" t="n">
        <x:v>498</x:v>
      </x:c>
      <x:c r="B499" s="10" t="str">
        <x:v>USER-0498</x:v>
      </x:c>
      <x:c r="C499" s="10" t="str">
        <x:v>粉丝团</x:v>
      </x:c>
      <x:c r="D499" s="10" t="str">
        <x:v>贡献榜（用户）</x:v>
      </x:c>
      <x:c r="E499" s="10" t="str">
        <x:v>功能需求</x:v>
      </x:c>
      <x:c r="F499" s="10" t="str">
        <x:v>P2</x:v>
      </x:c>
      <x:c r="G499" s="9" t="str">
        <x:v>验证粉丝团贡献榜有 100 名可排名成员</x:v>
      </x:c>
      <x:c r="H499" s="9" t="str">
        <x:v>粉丝团榜单数量上限</x:v>
      </x:c>
      <x:c r="I499" s="9" t="str">
        <x:v>1. 用户为本条执行者
2. 用户甲属于主播乙的有效粉丝团，榜单所选周期内有有效赠礼数据
3. 周期内有 100 个有效成员，贡献和后续排序字段能够确定顺序</x:v>
      </x:c>
      <x:c r="J499" s="9" t="str">
        <x:v>1. 打开乙团贡献榜</x:v>
      </x:c>
      <x:c r="K499" s="9" t="str">
        <x:v>展示 99 名成员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来源（当前证据）：liveshow-proto/MainBasis/统一需求文档.md；位置：第 1112 行；REQ-7eddb785c4b6、第 1107 行
2. 规则：BR-F1F92807139061
3. 未动态验证
4. 示例账号、编号、金额与日期是本条测试数据；执行前按前置条件准备，未填写的产品决策不得自行假定。</x:v>
      </x:c>
    </x:row>
    <x:row r="500" ht="145" customHeight="1">
      <x:c r="A500" s="10" t="n">
        <x:v>499</x:v>
      </x:c>
      <x:c r="B500" s="10" t="str">
        <x:v>USER-0499</x:v>
      </x:c>
      <x:c r="C500" s="10" t="str">
        <x:v>粉丝团</x:v>
      </x:c>
      <x:c r="D500" s="10" t="str">
        <x:v>贡献榜（用户）</x:v>
      </x:c>
      <x:c r="E500" s="10" t="str">
        <x:v>功能需求</x:v>
      </x:c>
      <x:c r="F500" s="10" t="str">
        <x:v>P2</x:v>
      </x:c>
      <x:c r="G500" s="9" t="str">
        <x:v>验证粉丝团榜单按贡献值排序</x:v>
      </x:c>
      <x:c r="H500" s="9" t="str">
        <x:v>团榜贡献值优先级</x:v>
      </x:c>
      <x:c r="I500" s="9" t="str">
        <x:v>1. 用户为本条执行者
2. 用户甲属于主播乙的有效粉丝团，榜单所选周期内有有效赠礼数据
3. A、B 均为有效团员，高于贡献值的排序条件全部相同，贡献值在 A 为 10、B 为 20</x:v>
      </x:c>
      <x:c r="J500" s="9" t="str">
        <x:v>1. 打开乙团贡献榜</x:v>
      </x:c>
      <x:c r="K500" s="9" t="str">
        <x:v>B 排在 A 前面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来源（当前证据）：liveshow-proto/MainBasis/统一需求文档.md；位置：第 1111 行；REQ-f2d77ae32fb0、第 1112 行；REQ-7eddb785c4b6、第 1107 行
2. 规则：BR-8C70084164D741
3. 未动态验证
4. 示例账号、编号、金额与日期是本条测试数据；执行前按前置条件准备，未填写的产品决策不得自行假定。</x:v>
      </x:c>
    </x:row>
    <x:row r="501" ht="145" customHeight="1">
      <x:c r="A501" s="10" t="n">
        <x:v>500</x:v>
      </x:c>
      <x:c r="B501" s="10" t="str">
        <x:v>USER-0500</x:v>
      </x:c>
      <x:c r="C501" s="10" t="str">
        <x:v>粉丝团</x:v>
      </x:c>
      <x:c r="D501" s="10" t="str">
        <x:v>贡献榜（用户）</x:v>
      </x:c>
      <x:c r="E501" s="10" t="str">
        <x:v>功能需求</x:v>
      </x:c>
      <x:c r="F501" s="10" t="str">
        <x:v>P2</x:v>
      </x:c>
      <x:c r="G501" s="9" t="str">
        <x:v>验证粉丝团榜单按粉丝等级排序</x:v>
      </x:c>
      <x:c r="H501" s="9" t="str">
        <x:v>团榜粉丝等级优先级</x:v>
      </x:c>
      <x:c r="I501" s="9" t="str">
        <x:v>1. 用户为本条执行者
2. 用户甲属于主播乙的有效粉丝团，榜单所选周期内有有效赠礼数据
3. A、B 均为有效团员，高于粉丝等级的排序条件全部相同，粉丝等级在 A 为 10、B 为 20</x:v>
      </x:c>
      <x:c r="J501" s="9" t="str">
        <x:v>1. 打开乙团贡献榜</x:v>
      </x:c>
      <x:c r="K501" s="9" t="str">
        <x:v>B 排在 A 前面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来源（当前证据）：liveshow-proto/MainBasis/统一需求文档.md；位置：第 1111 行；REQ-f2d77ae32fb0、第 1112 行；REQ-7eddb785c4b6、第 1107 行
2. 规则：BR-F63F5FE605236A
3. 未动态验证
4. 示例账号、编号、金额与日期是本条测试数据；执行前按前置条件准备，未填写的产品决策不得自行假定。</x:v>
      </x:c>
    </x:row>
    <x:row r="502" ht="145" customHeight="1">
      <x:c r="A502" s="10" t="n">
        <x:v>501</x:v>
      </x:c>
      <x:c r="B502" s="10" t="str">
        <x:v>USER-0501</x:v>
      </x:c>
      <x:c r="C502" s="10" t="str">
        <x:v>粉丝团</x:v>
      </x:c>
      <x:c r="D502" s="10" t="str">
        <x:v>贡献榜（用户）</x:v>
      </x:c>
      <x:c r="E502" s="10" t="str">
        <x:v>功能需求</x:v>
      </x:c>
      <x:c r="F502" s="10" t="str">
        <x:v>P2</x:v>
      </x:c>
      <x:c r="G502" s="9" t="str">
        <x:v>验证粉丝团榜单按财富等级排序</x:v>
      </x:c>
      <x:c r="H502" s="9" t="str">
        <x:v>团榜财富等级优先级</x:v>
      </x:c>
      <x:c r="I502" s="9" t="str">
        <x:v>1. 用户为本条执行者
2. 用户甲属于主播乙的有效粉丝团，榜单所选周期内有有效赠礼数据
3. A、B 均为有效团员，高于财富等级的排序条件全部相同，财富等级在 A 为 10、B 为 20</x:v>
      </x:c>
      <x:c r="J502" s="9" t="str">
        <x:v>1. 打开乙团贡献榜</x:v>
      </x:c>
      <x:c r="K502" s="9" t="str">
        <x:v>B 排在 A 前面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来源（当前证据）：liveshow-proto/MainBasis/统一需求文档.md；位置：第 1111 行；REQ-f2d77ae32fb0、第 1112 行；REQ-7eddb785c4b6、第 1107 行
2. 规则：BR-4D731819D88EF7
3. 未动态验证
4. 示例账号、编号、金额与日期是本条测试数据；执行前按前置条件准备，未填写的产品决策不得自行假定。</x:v>
      </x:c>
    </x:row>
    <x:row r="503" ht="145" customHeight="1">
      <x:c r="A503" s="10" t="n">
        <x:v>502</x:v>
      </x:c>
      <x:c r="B503" s="10" t="str">
        <x:v>USER-0502</x:v>
      </x:c>
      <x:c r="C503" s="10" t="str">
        <x:v>粉丝团</x:v>
      </x:c>
      <x:c r="D503" s="10" t="str">
        <x:v>贡献榜（用户）</x:v>
      </x:c>
      <x:c r="E503" s="10" t="str">
        <x:v>功能需求</x:v>
      </x:c>
      <x:c r="F503" s="10" t="str">
        <x:v>P2</x:v>
      </x:c>
      <x:c r="G503" s="9" t="str">
        <x:v>验证粉丝团榜单按用户 ID 数字部分排序</x:v>
      </x:c>
      <x:c r="H503" s="9" t="str">
        <x:v>团榜用户 ID 数字部分优先级</x:v>
      </x:c>
      <x:c r="I503" s="9" t="str">
        <x:v>1. 用户为本条执行者
2. 用户甲属于主播乙的有效粉丝团，榜单所选周期内有有效赠礼数据
3. A、B 均为有效团员，高于用户 ID 数字部分的排序条件全部相同，用户 ID 数字部分在 A 为 10、B 为 20</x:v>
      </x:c>
      <x:c r="J503" s="9" t="str">
        <x:v>1. 打开乙团贡献榜</x:v>
      </x:c>
      <x:c r="K503" s="9" t="str">
        <x:v>A 排在 B 前面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来源（当前证据）：liveshow-proto/MainBasis/统一需求文档.md；位置：第 1111 行；REQ-f2d77ae32fb0、第 1112 行；REQ-7eddb785c4b6、第 1107 行
2. 规则：BR-73F960951AD527
3. 未动态验证
4. 示例账号、编号、金额与日期是本条测试数据；执行前按前置条件准备，未填写的产品决策不得自行假定。</x:v>
      </x:c>
    </x:row>
    <x:row r="504" ht="130" customHeight="1">
      <x:c r="A504" s="10" t="n">
        <x:v>503</x:v>
      </x:c>
      <x:c r="B504" s="10" t="str">
        <x:v>USER-0503</x:v>
      </x:c>
      <x:c r="C504" s="10" t="str">
        <x:v>粉丝团</x:v>
      </x:c>
      <x:c r="D504" s="10" t="str">
        <x:v>贡献榜（用户）</x:v>
      </x:c>
      <x:c r="E504" s="10" t="str">
        <x:v>功能需求</x:v>
      </x:c>
      <x:c r="F504" s="10" t="str">
        <x:v>P2</x:v>
      </x:c>
      <x:c r="G504" s="9" t="str">
        <x:v>验证退团成员退出榜单</x:v>
      </x:c>
      <x:c r="H504" s="9" t="str">
        <x:v>团榜成员范围</x:v>
      </x:c>
      <x:c r="I504" s="9" t="str">
        <x:v>1. 用户为本条执行者
2. 用户甲属于主播乙的有效粉丝团，榜单所选周期内有有效赠礼数据
3. 成员丙在周期内有贡献，但当前已退出乙团</x:v>
      </x:c>
      <x:c r="J504" s="9" t="str">
        <x:v>1. 打开乙团贡献榜</x:v>
      </x:c>
      <x:c r="K504" s="9" t="str">
        <x:v>榜单不包含丙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来源（当前证据）：liveshow-proto/MainBasis/统一需求文档.md；位置：第 1117 行；REQ-1804ee8d77c7、第 1107 行
2. 规则：BR-C72A8E76E5F936
3. 未动态验证
4. 示例账号、编号、金额与日期是本条测试数据；执行前按前置条件准备，未填写的产品决策不得自行假定。</x:v>
      </x:c>
    </x:row>
    <x:row r="505" ht="130" customHeight="1">
      <x:c r="A505" s="10" t="n">
        <x:v>504</x:v>
      </x:c>
      <x:c r="B505" s="10" t="str">
        <x:v>USER-0504</x:v>
      </x:c>
      <x:c r="C505" s="10" t="str">
        <x:v>粉丝团</x:v>
      </x:c>
      <x:c r="D505" s="10" t="str">
        <x:v>贡献榜（用户）</x:v>
      </x:c>
      <x:c r="E505" s="10" t="str">
        <x:v>功能需求</x:v>
      </x:c>
      <x:c r="F505" s="10" t="str">
        <x:v>P2</x:v>
      </x:c>
      <x:c r="G505" s="9" t="str">
        <x:v>验证重新入团恢复本周期历史贡献</x:v>
      </x:c>
      <x:c r="H505" s="9" t="str">
        <x:v>丙本周贡献值</x:v>
      </x:c>
      <x:c r="I505" s="9" t="str">
        <x:v>1. 用户为本条执行者
2. 用户甲属于主播乙的有效粉丝团，榜单所选周期内有有效赠礼数据
3. 丙本周退团前向主播乙送出 100 金币礼物，退出期间送出 200，现已重新入团</x:v>
      </x:c>
      <x:c r="J505" s="9" t="str">
        <x:v>1. 打开乙团贡献榜
2. 选择本周
3. 查看丙</x:v>
      </x:c>
      <x:c r="K505" s="9" t="str">
        <x:v>丙本周贡献值 = 300 金币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来源（当前证据）：liveshow-proto/MainBasis/统一需求文档.md；位置：第 1117 行；REQ-1804ee8d77c7、第 1107 行
2. 规则：BR-4DB06F27B8B356
3. 未动态验证
4. 示例账号、编号、金额与日期是本条测试数据；执行前按前置条件准备，未填写的产品决策不得自行假定。</x:v>
      </x:c>
    </x:row>
    <x:row r="506" ht="130" customHeight="1">
      <x:c r="A506" s="10" t="n">
        <x:v>505</x:v>
      </x:c>
      <x:c r="B506" s="10" t="str">
        <x:v>USER-0505</x:v>
      </x:c>
      <x:c r="C506" s="10" t="str">
        <x:v>公会管理</x:v>
      </x:c>
      <x:c r="D506" s="10" t="str">
        <x:v>公会中心（用户）</x:v>
      </x:c>
      <x:c r="E506" s="10" t="str">
        <x:v>功能需求</x:v>
      </x:c>
      <x:c r="F506" s="10" t="str">
        <x:v>P2</x:v>
      </x:c>
      <x:c r="G506" s="9" t="str">
        <x:v>验证公会中心只展示配置内可用公会</x:v>
      </x:c>
      <x:c r="H506" s="9" t="str">
        <x:v>公会推荐范围</x:v>
      </x:c>
      <x:c r="I506" s="9" t="str">
        <x:v>1. 用户为本条执行者
2. 后台配置展示顺序为公会甲、公会乙；公会丙未配置推荐，公会丁已停用</x:v>
      </x:c>
      <x:c r="J506" s="9" t="str">
        <x:v>1. 打开公会中心</x:v>
      </x:c>
      <x:c r="K506" s="9" t="str">
        <x:v>列表不包含公会丙和公会丁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来源（当前证据）：liveshow-proto/MainBasis/统一需求文档.md；位置：第 966 行；REQ-0128eccb6fcd、第 958 行
2. 规则：BR-C0AC4D3B9D4111
3. 未动态验证
4. 示例账号、编号、金额与日期是本条测试数据；执行前按前置条件准备，未填写的产品决策不得自行假定。</x:v>
      </x:c>
    </x:row>
    <x:row r="507" ht="130" customHeight="1">
      <x:c r="A507" s="10" t="n">
        <x:v>506</x:v>
      </x:c>
      <x:c r="B507" s="10" t="str">
        <x:v>USER-0506</x:v>
      </x:c>
      <x:c r="C507" s="10" t="str">
        <x:v>公会管理</x:v>
      </x:c>
      <x:c r="D507" s="10" t="str">
        <x:v>公会中心（用户）</x:v>
      </x:c>
      <x:c r="E507" s="10" t="str">
        <x:v>功能需求</x:v>
      </x:c>
      <x:c r="F507" s="10" t="str">
        <x:v>P2</x:v>
      </x:c>
      <x:c r="G507" s="9" t="str">
        <x:v>验证公会检索保留后台排序</x:v>
      </x:c>
      <x:c r="H507" s="9" t="str">
        <x:v>公会搜索排序</x:v>
      </x:c>
      <x:c r="I507" s="9" t="str">
        <x:v>1. 用户为本条执行者
2. 后台配置展示顺序为公会甲、公会乙；公会丙未配置推荐，公会丁已停用
3. 公会甲与乙均匹配关键词“测试”</x:v>
      </x:c>
      <x:c r="J507" s="9" t="str">
        <x:v>1. 打开公会中心
2. 输入搜索词“测试”</x:v>
      </x:c>
      <x:c r="K507" s="9" t="str">
        <x:v>公会甲排在公会乙前面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来源（当前证据）：liveshow-proto/MainBasis/统一需求文档.md；位置：第 967 行；REQ-331d58f28877、第 958 行
2. 规则：BR-AA3DFB136D5BC0
3. 未动态验证
4. 示例账号、编号、金额与日期是本条测试数据；执行前按前置条件准备，未填写的产品决策不得自行假定。</x:v>
      </x:c>
    </x:row>
    <x:row r="508" ht="145" customHeight="1">
      <x:c r="A508" s="10" t="n">
        <x:v>507</x:v>
      </x:c>
      <x:c r="B508" s="10" t="str">
        <x:v>USER-0507</x:v>
      </x:c>
      <x:c r="C508" s="10" t="str">
        <x:v>公会管理</x:v>
      </x:c>
      <x:c r="D508" s="10" t="str">
        <x:v>公会中心（用户）</x:v>
      </x:c>
      <x:c r="E508" s="10" t="str">
        <x:v>功能需求</x:v>
      </x:c>
      <x:c r="F508" s="10" t="str">
        <x:v>P2</x:v>
      </x:c>
      <x:c r="G508" s="9" t="str">
        <x:v>验证已加入公会时不能再次申请其他公会</x:v>
      </x:c>
      <x:c r="H508" s="9" t="str">
        <x:v>公会申请互斥</x:v>
      </x:c>
      <x:c r="I508" s="9" t="str">
        <x:v>1. 用户为本条执行者
2. 后台配置展示顺序为公会甲、公会乙；公会丙未配置推荐，公会丁已停用
3. 用户甲当前已加入公会</x:v>
      </x:c>
      <x:c r="J508" s="9" t="str">
        <x:v>1. 打开公会中心
2. 查看公会乙申请按钮</x:v>
      </x:c>
      <x:c r="K508" s="9" t="str">
        <x:v>申请按钮不可用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来源（当前证据）：liveshow-proto/MainBasis/统一需求文档.md；位置：第 969 行；REQ-df508ec6eaf4、第 972 行；REQ-8e4e01d78b49、第 958 行
2. 规则：BR-15FDBEDB160B57
3. 未动态验证
4. 示例账号、编号、金额与日期是本条测试数据；执行前按前置条件准备，未填写的产品决策不得自行假定。</x:v>
      </x:c>
    </x:row>
    <x:row r="509" ht="145" customHeight="1">
      <x:c r="A509" s="10" t="n">
        <x:v>508</x:v>
      </x:c>
      <x:c r="B509" s="10" t="str">
        <x:v>USER-0508</x:v>
      </x:c>
      <x:c r="C509" s="10" t="str">
        <x:v>公会管理</x:v>
      </x:c>
      <x:c r="D509" s="10" t="str">
        <x:v>公会中心（用户）</x:v>
      </x:c>
      <x:c r="E509" s="10" t="str">
        <x:v>功能需求</x:v>
      </x:c>
      <x:c r="F509" s="10" t="str">
        <x:v>P2</x:v>
      </x:c>
      <x:c r="G509" s="9" t="str">
        <x:v>验证有处理中入会申请时不能再次申请其他公会</x:v>
      </x:c>
      <x:c r="H509" s="9" t="str">
        <x:v>公会申请互斥</x:v>
      </x:c>
      <x:c r="I509" s="9" t="str">
        <x:v>1. 用户为本条执行者
2. 后台配置展示顺序为公会甲、公会乙；公会丙未配置推荐，公会丁已停用
3. 用户甲当前有处理中入会申请</x:v>
      </x:c>
      <x:c r="J509" s="9" t="str">
        <x:v>1. 打开公会中心
2. 查看公会乙申请按钮</x:v>
      </x:c>
      <x:c r="K509" s="9" t="str">
        <x:v>申请按钮不可用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来源（当前证据）：liveshow-proto/MainBasis/统一需求文档.md；位置：第 969 行；REQ-df508ec6eaf4、第 972 行；REQ-8e4e01d78b49、第 958 行
2. 规则：BR-98FA54A50C3537
3. 未动态验证
4. 示例账号、编号、金额与日期是本条测试数据；执行前按前置条件准备，未填写的产品决策不得自行假定。</x:v>
      </x:c>
    </x:row>
    <x:row r="510" ht="130" customHeight="1">
      <x:c r="A510" s="10" t="n">
        <x:v>509</x:v>
      </x:c>
      <x:c r="B510" s="10" t="str">
        <x:v>USER-0509</x:v>
      </x:c>
      <x:c r="C510" s="10" t="str">
        <x:v>公会管理</x:v>
      </x:c>
      <x:c r="D510" s="10" t="str">
        <x:v>申请加入公会（用户）</x:v>
      </x:c>
      <x:c r="E510" s="10" t="str">
        <x:v>功能需求</x:v>
      </x:c>
      <x:c r="F510" s="10" t="str">
        <x:v>P2</x:v>
      </x:c>
      <x:c r="G510" s="9" t="str">
        <x:v>验证新申请默认选择 KTP</x:v>
      </x:c>
      <x:c r="H510" s="9" t="str">
        <x:v>入会证件默认类型</x:v>
      </x:c>
      <x:c r="I510" s="9" t="str">
        <x:v>1. 用户为本条执行者
2. 用户甲从公会甲进入入会申请表</x:v>
      </x:c>
      <x:c r="J510" s="9" t="str">
        <x:v>1. 打开申请加入公会</x:v>
      </x:c>
      <x:c r="K510" s="9" t="str">
        <x:v>KTP 处于选中状态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来源（当前证据）：liveshow-proto/MainBasis/统一需求文档.md；位置：第 981 行；REQ-79d0bf462da2、第 975 行
2. 规则：BR-A958D448D52CF1
3. 未动态验证
4. 示例账号、编号、金额与日期是本条测试数据；执行前按前置条件准备，未填写的产品决策不得自行假定。</x:v>
      </x:c>
    </x:row>
    <x:row r="511" ht="175" customHeight="1">
      <x:c r="A511" s="10" t="n">
        <x:v>510</x:v>
      </x:c>
      <x:c r="B511" s="10" t="str">
        <x:v>USER-0510</x:v>
      </x:c>
      <x:c r="C511" s="10" t="str">
        <x:v>公会管理</x:v>
      </x:c>
      <x:c r="D511" s="10" t="str">
        <x:v>申请加入公会（用户）</x:v>
      </x:c>
      <x:c r="E511" s="10" t="str">
        <x:v>功能需求</x:v>
      </x:c>
      <x:c r="F511" s="10" t="str">
        <x:v>P2</x:v>
      </x:c>
      <x:c r="G511" s="9" t="str">
        <x:v>验证切换证件类型清空原证件图片</x:v>
      </x:c>
      <x:c r="H511" s="9" t="str">
        <x:v>证件类型切换清理</x:v>
      </x:c>
      <x:c r="I511" s="9" t="str">
        <x:v>1. 用户为本条执行者
2. 用户甲从公会甲进入入会申请表
3. 当前 KTP 正反面图片均已上传</x:v>
      </x:c>
      <x:c r="J511" s="9" t="str">
        <x:v>1. 选择 SIM</x:v>
      </x:c>
      <x:c r="K511" s="9" t="str">
        <x:v>KTP 正反面图片不再作为本次 SIM 材料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来源（当前证据）：liveshow-proto/MainBasis/统一需求文档.md；位置：第 980 行；REQ-90b7bc82b314、第 981 行；REQ-79d0bf462da2、第 982 行；REQ-eea2fc98ca34、第 987 行；REQ-fff97e38fbb4、第 975 行
2. 规则：BR-026923091D0C72
3. 未动态验证
4. 示例账号、编号、金额与日期是本条测试数据；执行前按前置条件准备，未填写的产品决策不得自行假定。</x:v>
      </x:c>
    </x:row>
    <x:row r="512" ht="130" customHeight="1">
      <x:c r="A512" s="10" t="n">
        <x:v>511</x:v>
      </x:c>
      <x:c r="B512" s="10" t="str">
        <x:v>USER-0511</x:v>
      </x:c>
      <x:c r="C512" s="10" t="str">
        <x:v>公会管理</x:v>
      </x:c>
      <x:c r="D512" s="10" t="str">
        <x:v>公会详情（用户）</x:v>
      </x:c>
      <x:c r="E512" s="10" t="str">
        <x:v>功能需求</x:v>
      </x:c>
      <x:c r="F512" s="10" t="str">
        <x:v>P2</x:v>
      </x:c>
      <x:c r="G512" s="9" t="str">
        <x:v>验证公会申请时间轴按提交时间倒序</x:v>
      </x:c>
      <x:c r="H512" s="9" t="str">
        <x:v>申请时间轴排序</x:v>
      </x:c>
      <x:c r="I512" s="9" t="str">
        <x:v>1. 用户为本条执行者
2. 当前所选公会为公会甲；J001 是 09/01 申请，J002 是 09/02 申请</x:v>
      </x:c>
      <x:c r="J512" s="9" t="str">
        <x:v>1. 打开公会甲详情</x:v>
      </x:c>
      <x:c r="K512" s="9" t="str">
        <x:v>J002 排在 J001 前面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来源（当前证据）：liveshow-proto/MainBasis/统一需求文档.md；位置：第 1018 行；REQ-e30d8cd28d76、第 1005 行
2. 规则：BR-A58B45C6F419A9
3. 未动态验证
4. 示例账号、编号、金额与日期是本条测试数据；执行前按前置条件准备，未填写的产品决策不得自行假定。</x:v>
      </x:c>
    </x:row>
    <x:row r="513" ht="130" customHeight="1">
      <x:c r="A513" s="10" t="n">
        <x:v>512</x:v>
      </x:c>
      <x:c r="B513" s="10" t="str">
        <x:v>USER-0512</x:v>
      </x:c>
      <x:c r="C513" s="10" t="str">
        <x:v>公会管理</x:v>
      </x:c>
      <x:c r="D513" s="10" t="str">
        <x:v>公会详情（用户）</x:v>
      </x:c>
      <x:c r="E513" s="10" t="str">
        <x:v>功能需求</x:v>
      </x:c>
      <x:c r="F513" s="10" t="str">
        <x:v>P2</x:v>
      </x:c>
      <x:c r="G513" s="9" t="str">
        <x:v>验证多笔申请资料展开互不影响</x:v>
      </x:c>
      <x:c r="H513" s="9" t="str">
        <x:v>申请资料独立展开</x:v>
      </x:c>
      <x:c r="I513" s="9" t="str">
        <x:v>1. 用户为本条执行者
2. 当前所选公会为公会甲；J001 是 09/01 申请，J002 是 09/02 申请</x:v>
      </x:c>
      <x:c r="J513" s="9" t="str">
        <x:v>1. 打开公会甲详情
2. 展开 J001 申请资料</x:v>
      </x:c>
      <x:c r="K513" s="9" t="str">
        <x:v>J002 申请资料仍收起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来源（当前证据）：liveshow-proto/MainBasis/统一需求文档.md；位置：第 1025 行；REQ-e8b8a4fe440a、第 1005 行
2. 规则：BR-5A24AD37037686
3. 未动态验证
4. 示例账号、编号、金额与日期是本条测试数据；执行前按前置条件准备，未填写的产品决策不得自行假定。</x:v>
      </x:c>
    </x:row>
    <x:row r="514" ht="130" customHeight="1">
      <x:c r="A514" s="10" t="n">
        <x:v>513</x:v>
      </x:c>
      <x:c r="B514" s="10" t="str">
        <x:v>USER-0513</x:v>
      </x:c>
      <x:c r="C514" s="10" t="str">
        <x:v>公会管理</x:v>
      </x:c>
      <x:c r="D514" s="10" t="str">
        <x:v>公会详情（用户）</x:v>
      </x:c>
      <x:c r="E514" s="10" t="str">
        <x:v>功能需求</x:v>
      </x:c>
      <x:c r="F514" s="10" t="str">
        <x:v>P2</x:v>
      </x:c>
      <x:c r="G514" s="9" t="str">
        <x:v>验证入会申请中仍可查看入会资料快照</x:v>
      </x:c>
      <x:c r="H514" s="9" t="str">
        <x:v>申请资料历史快照</x:v>
      </x:c>
      <x:c r="I514" s="9" t="str">
        <x:v>1. 用户为本条执行者
2. 当前所选公会为公会甲；J001 是 09/01 申请，J002 是 09/02 申请
3. 当前公会关系页面为入会申请中视图；J001 提交时姓名“原姓名”，手机号 81234567890，用户现已修改资料</x:v>
      </x:c>
      <x:c r="J514" s="9" t="str">
        <x:v>1. 打开公会甲详情
2. 展开 J001 申请资料</x:v>
      </x:c>
      <x:c r="K514" s="9" t="str">
        <x:v>J001 申请姓名仍显示“原姓名”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来源（当前证据）：liveshow-proto/MainBasis/统一需求文档.md；位置：第 1022 行；REQ-bf5340d9ebc8、第 1005 行
2. 规则：BR-2C37A9B13E84B8
3. 未动态验证
4. 示例账号、编号、金额与日期是本条测试数据；执行前按前置条件准备，未填写的产品决策不得自行假定。</x:v>
      </x:c>
    </x:row>
    <x:row r="515" ht="130" customHeight="1">
      <x:c r="A515" s="10" t="n">
        <x:v>514</x:v>
      </x:c>
      <x:c r="B515" s="10" t="str">
        <x:v>USER-0514</x:v>
      </x:c>
      <x:c r="C515" s="10" t="str">
        <x:v>公会管理</x:v>
      </x:c>
      <x:c r="D515" s="10" t="str">
        <x:v>公会详情（用户）</x:v>
      </x:c>
      <x:c r="E515" s="10" t="str">
        <x:v>功能需求</x:v>
      </x:c>
      <x:c r="F515" s="10" t="str">
        <x:v>P2</x:v>
      </x:c>
      <x:c r="G515" s="9" t="str">
        <x:v>验证已加入仍可查看入会资料快照</x:v>
      </x:c>
      <x:c r="H515" s="9" t="str">
        <x:v>申请资料历史快照</x:v>
      </x:c>
      <x:c r="I515" s="9" t="str">
        <x:v>1. 用户为本条执行者
2. 当前所选公会为公会甲；J001 是 09/01 申请，J002 是 09/02 申请
3. 当前公会关系页面为已加入视图；J001 提交时姓名“原姓名”，手机号 81234567890，用户现已修改资料</x:v>
      </x:c>
      <x:c r="J515" s="9" t="str">
        <x:v>1. 打开公会甲详情
2. 展开 J001 申请资料</x:v>
      </x:c>
      <x:c r="K515" s="9" t="str">
        <x:v>J001 申请姓名仍显示“原姓名”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来源（当前证据）：liveshow-proto/MainBasis/统一需求文档.md；位置：第 1022 行；REQ-bf5340d9ebc8、第 1005 行
2. 规则：BR-5C6F8A64517549
3. 未动态验证
4. 示例账号、编号、金额与日期是本条测试数据；执行前按前置条件准备，未填写的产品决策不得自行假定。</x:v>
      </x:c>
    </x:row>
    <x:row r="516" ht="130" customHeight="1">
      <x:c r="A516" s="10" t="n">
        <x:v>515</x:v>
      </x:c>
      <x:c r="B516" s="10" t="str">
        <x:v>USER-0515</x:v>
      </x:c>
      <x:c r="C516" s="10" t="str">
        <x:v>公会管理</x:v>
      </x:c>
      <x:c r="D516" s="10" t="str">
        <x:v>公会详情（用户）</x:v>
      </x:c>
      <x:c r="E516" s="10" t="str">
        <x:v>功能需求</x:v>
      </x:c>
      <x:c r="F516" s="10" t="str">
        <x:v>P2</x:v>
      </x:c>
      <x:c r="G516" s="9" t="str">
        <x:v>验证入会已驳回仍可查看入会资料快照</x:v>
      </x:c>
      <x:c r="H516" s="9" t="str">
        <x:v>申请资料历史快照</x:v>
      </x:c>
      <x:c r="I516" s="9" t="str">
        <x:v>1. 用户为本条执行者
2. 当前所选公会为公会甲；J001 是 09/01 申请，J002 是 09/02 申请
3. 当前公会关系页面为入会已驳回视图；J001 提交时姓名“原姓名”，手机号 81234567890，用户现已修改资料</x:v>
      </x:c>
      <x:c r="J516" s="9" t="str">
        <x:v>1. 打开公会甲详情
2. 展开 J001 申请资料</x:v>
      </x:c>
      <x:c r="K516" s="9" t="str">
        <x:v>J001 申请姓名仍显示“原姓名”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来源（当前证据）：liveshow-proto/MainBasis/统一需求文档.md；位置：第 1022 行；REQ-bf5340d9ebc8、第 1005 行
2. 规则：BR-AC20DE72D6F81B
3. 未动态验证
4. 示例账号、编号、金额与日期是本条测试数据；执行前按前置条件准备，未填写的产品决策不得自行假定。</x:v>
      </x:c>
    </x:row>
    <x:row r="517" ht="130" customHeight="1">
      <x:c r="A517" s="10" t="n">
        <x:v>516</x:v>
      </x:c>
      <x:c r="B517" s="10" t="str">
        <x:v>USER-0516</x:v>
      </x:c>
      <x:c r="C517" s="10" t="str">
        <x:v>公会管理</x:v>
      </x:c>
      <x:c r="D517" s="10" t="str">
        <x:v>公会详情（用户）</x:v>
      </x:c>
      <x:c r="E517" s="10" t="str">
        <x:v>功能需求</x:v>
      </x:c>
      <x:c r="F517" s="10" t="str">
        <x:v>P2</x:v>
      </x:c>
      <x:c r="G517" s="9" t="str">
        <x:v>验证退会申请中仍可查看入会资料快照</x:v>
      </x:c>
      <x:c r="H517" s="9" t="str">
        <x:v>申请资料历史快照</x:v>
      </x:c>
      <x:c r="I517" s="9" t="str">
        <x:v>1. 用户为本条执行者
2. 当前所选公会为公会甲；J001 是 09/01 申请，J002 是 09/02 申请
3. 当前公会关系页面为退会申请中视图；J001 提交时姓名“原姓名”，手机号 81234567890，用户现已修改资料</x:v>
      </x:c>
      <x:c r="J517" s="9" t="str">
        <x:v>1. 打开公会甲详情
2. 展开 J001 申请资料</x:v>
      </x:c>
      <x:c r="K517" s="9" t="str">
        <x:v>J001 申请姓名仍显示“原姓名”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来源（当前证据）：liveshow-proto/MainBasis/统一需求文档.md；位置：第 1022 行；REQ-bf5340d9ebc8、第 1005 行
2. 规则：BR-60BA04F2D7CF8E
3. 未动态验证
4. 示例账号、编号、金额与日期是本条测试数据；执行前按前置条件准备，未填写的产品决策不得自行假定。</x:v>
      </x:c>
    </x:row>
    <x:row r="518" ht="130" customHeight="1">
      <x:c r="A518" s="10" t="n">
        <x:v>517</x:v>
      </x:c>
      <x:c r="B518" s="10" t="str">
        <x:v>USER-0517</x:v>
      </x:c>
      <x:c r="C518" s="10" t="str">
        <x:v>公会管理</x:v>
      </x:c>
      <x:c r="D518" s="10" t="str">
        <x:v>公会详情（用户）</x:v>
      </x:c>
      <x:c r="E518" s="10" t="str">
        <x:v>功能需求</x:v>
      </x:c>
      <x:c r="F518" s="10" t="str">
        <x:v>P2</x:v>
      </x:c>
      <x:c r="G518" s="9" t="str">
        <x:v>验证退会已驳回仍可查看入会资料快照</x:v>
      </x:c>
      <x:c r="H518" s="9" t="str">
        <x:v>申请资料历史快照</x:v>
      </x:c>
      <x:c r="I518" s="9" t="str">
        <x:v>1. 用户为本条执行者
2. 当前所选公会为公会甲；J001 是 09/01 申请，J002 是 09/02 申请
3. 当前公会关系页面为退会已驳回视图；J001 提交时姓名“原姓名”，手机号 81234567890，用户现已修改资料</x:v>
      </x:c>
      <x:c r="J518" s="9" t="str">
        <x:v>1. 打开公会甲详情
2. 展开 J001 申请资料</x:v>
      </x:c>
      <x:c r="K518" s="9" t="str">
        <x:v>J001 申请姓名仍显示“原姓名”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来源（当前证据）：liveshow-proto/MainBasis/统一需求文档.md；位置：第 1022 行；REQ-bf5340d9ebc8、第 1005 行
2. 规则：BR-7480F3873D58EC
3. 未动态验证
4. 示例账号、编号、金额与日期是本条测试数据；执行前按前置条件准备，未填写的产品决策不得自行假定。</x:v>
      </x:c>
    </x:row>
    <x:row r="519" ht="130" customHeight="1">
      <x:c r="A519" s="10" t="n">
        <x:v>518</x:v>
      </x:c>
      <x:c r="B519" s="10" t="str">
        <x:v>USER-0518</x:v>
      </x:c>
      <x:c r="C519" s="10" t="str">
        <x:v>公会管理</x:v>
      </x:c>
      <x:c r="D519" s="10" t="str">
        <x:v>公会详情（用户）</x:v>
      </x:c>
      <x:c r="E519" s="10" t="str">
        <x:v>功能需求</x:v>
      </x:c>
      <x:c r="F519" s="10" t="str">
        <x:v>P2</x:v>
      </x:c>
      <x:c r="G519" s="9" t="str">
        <x:v>验证已退出仍可查看入会资料快照</x:v>
      </x:c>
      <x:c r="H519" s="9" t="str">
        <x:v>申请资料历史快照</x:v>
      </x:c>
      <x:c r="I519" s="9" t="str">
        <x:v>1. 用户为本条执行者
2. 当前所选公会为公会甲；J001 是 09/01 申请，J002 是 09/02 申请
3. 当前公会关系页面为已退出视图；J001 提交时姓名“原姓名”，手机号 81234567890，用户现已修改资料</x:v>
      </x:c>
      <x:c r="J519" s="9" t="str">
        <x:v>1. 打开公会甲详情
2. 展开 J001 申请资料</x:v>
      </x:c>
      <x:c r="K519" s="9" t="str">
        <x:v>J001 申请姓名仍显示“原姓名”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来源（当前证据）：liveshow-proto/MainBasis/统一需求文档.md；位置：第 1022 行；REQ-bf5340d9ebc8、第 1005 行
2. 规则：BR-14F923E24FE0B8
3. 未动态验证
4. 示例账号、编号、金额与日期是本条测试数据；执行前按前置条件准备，未填写的产品决策不得自行假定。</x:v>
      </x:c>
    </x:row>
    <x:row r="520" ht="130" customHeight="1">
      <x:c r="A520" s="10" t="n">
        <x:v>519</x:v>
      </x:c>
      <x:c r="B520" s="10" t="str">
        <x:v>USER-0519</x:v>
      </x:c>
      <x:c r="C520" s="10" t="str">
        <x:v>公会管理</x:v>
      </x:c>
      <x:c r="D520" s="10" t="str">
        <x:v>公会详情（用户）</x:v>
      </x:c>
      <x:c r="E520" s="10" t="str">
        <x:v>功能需求</x:v>
      </x:c>
      <x:c r="F520" s="10" t="str">
        <x:v>P2</x:v>
      </x:c>
      <x:c r="G520" s="9" t="str">
        <x:v>验证已加入且无退会申请时申请退出入口</x:v>
      </x:c>
      <x:c r="H520" s="9" t="str">
        <x:v>退会入口条件</x:v>
      </x:c>
      <x:c r="I520" s="9" t="str">
        <x:v>1. 用户为本条执行者
2. 当前所选公会为公会甲；J001 是 09/01 申请，J002 是 09/02 申请
3. 用户甲与公会甲关系为已加入且无退会申请</x:v>
      </x:c>
      <x:c r="J520" s="9" t="str">
        <x:v>1. 打开公会甲详情</x:v>
      </x:c>
      <x:c r="K520" s="9" t="str">
        <x:v>显示申请退出入口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来源（当前证据）：liveshow-proto/MainBasis/统一需求文档.md；位置：第 1023 行；REQ-3f511ec12906、第 1005 行
2. 规则：BR-B7FF7A3D21682F
3. 未动态验证
4. 示例账号、编号、金额与日期是本条测试数据；执行前按前置条件准备，未填写的产品决策不得自行假定。</x:v>
      </x:c>
    </x:row>
    <x:row r="521" ht="130" customHeight="1">
      <x:c r="A521" s="10" t="n">
        <x:v>520</x:v>
      </x:c>
      <x:c r="B521" s="10" t="str">
        <x:v>USER-0520</x:v>
      </x:c>
      <x:c r="C521" s="10" t="str">
        <x:v>公会管理</x:v>
      </x:c>
      <x:c r="D521" s="10" t="str">
        <x:v>公会详情（用户）</x:v>
      </x:c>
      <x:c r="E521" s="10" t="str">
        <x:v>功能需求</x:v>
      </x:c>
      <x:c r="F521" s="10" t="str">
        <x:v>P2</x:v>
      </x:c>
      <x:c r="G521" s="9" t="str">
        <x:v>验证退会申请中时申请退出入口</x:v>
      </x:c>
      <x:c r="H521" s="9" t="str">
        <x:v>退会入口条件</x:v>
      </x:c>
      <x:c r="I521" s="9" t="str">
        <x:v>1. 用户为本条执行者
2. 当前所选公会为公会甲；J001 是 09/01 申请，J002 是 09/02 申请
3. 用户甲与公会甲关系为退会申请中</x:v>
      </x:c>
      <x:c r="J521" s="9" t="str">
        <x:v>1. 打开公会甲详情</x:v>
      </x:c>
      <x:c r="K521" s="9" t="str">
        <x:v>不显示申请退出入口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来源（当前证据）：liveshow-proto/MainBasis/统一需求文档.md；位置：第 1023 行；REQ-3f511ec12906、第 1005 行
2. 规则：BR-02604E8D62DE19
3. 未动态验证
4. 示例账号、编号、金额与日期是本条测试数据；执行前按前置条件准备，未填写的产品决策不得自行假定。</x:v>
      </x:c>
    </x:row>
    <x:row r="522" ht="130" customHeight="1">
      <x:c r="A522" s="10" t="n">
        <x:v>521</x:v>
      </x:c>
      <x:c r="B522" s="10" t="str">
        <x:v>USER-0521</x:v>
      </x:c>
      <x:c r="C522" s="10" t="str">
        <x:v>公会管理</x:v>
      </x:c>
      <x:c r="D522" s="10" t="str">
        <x:v>公会详情（用户）</x:v>
      </x:c>
      <x:c r="E522" s="10" t="str">
        <x:v>功能需求</x:v>
      </x:c>
      <x:c r="F522" s="10" t="str">
        <x:v>P2</x:v>
      </x:c>
      <x:c r="G522" s="9" t="str">
        <x:v>验证已退出时申请退出入口</x:v>
      </x:c>
      <x:c r="H522" s="9" t="str">
        <x:v>退会入口条件</x:v>
      </x:c>
      <x:c r="I522" s="9" t="str">
        <x:v>1. 用户为本条执行者
2. 当前所选公会为公会甲；J001 是 09/01 申请，J002 是 09/02 申请
3. 用户甲与公会甲关系为已退出</x:v>
      </x:c>
      <x:c r="J522" s="9" t="str">
        <x:v>1. 打开公会甲详情</x:v>
      </x:c>
      <x:c r="K522" s="9" t="str">
        <x:v>不显示申请退出入口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来源（当前证据）：liveshow-proto/MainBasis/统一需求文档.md；位置：第 1023 行；REQ-3f511ec12906、第 1005 行
2. 规则：BR-7C725F96A07B4D
3. 未动态验证
4. 示例账号、编号、金额与日期是本条测试数据；执行前按前置条件准备，未填写的产品决策不得自行假定。</x:v>
      </x:c>
    </x:row>
    <x:row r="523" ht="145" customHeight="1">
      <x:c r="A523" s="10" t="n">
        <x:v>522</x:v>
      </x:c>
      <x:c r="B523" s="10" t="str">
        <x:v>USER-0522</x:v>
      </x:c>
      <x:c r="C523" s="10" t="str">
        <x:v>个人中心</x:v>
      </x:c>
      <x:c r="D523" s="10" t="str">
        <x:v>我的（用户）</x:v>
      </x:c>
      <x:c r="E523" s="10" t="str">
        <x:v>功能需求</x:v>
      </x:c>
      <x:c r="F523" s="10" t="str">
        <x:v>P2</x:v>
      </x:c>
      <x:c r="G523" s="9" t="str">
        <x:v>验证财富等级贡献达到 0</x:v>
      </x:c>
      <x:c r="H523" s="9" t="str">
        <x:v>财富等级累计门槛</x:v>
      </x:c>
      <x:c r="I523" s="9" t="str">
        <x:v>1. 用户为本条执行者
2. 用户甲真实送礼贡献已明确为本条输入值；财富等级门槛为 1 级 0、2 级100、3级200，不涉及幸运礼物与退款未决口径
3. 用户甲累计真实普通礼物贡献为 0</x:v>
      </x:c>
      <x:c r="J523" s="9" t="str">
        <x:v>1. 打开我的
2. 查看财富等级</x:v>
      </x:c>
      <x:c r="K523" s="9" t="str">
        <x:v>财富等级为 1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来源（当前证据）：liveshow-proto/MainBasis/统一需求文档.md；位置：第 678 行；REQ-0af0c40e3094、第 2962 行；REQ-93e16c320224、第 676 行
2. 规则：BR-9CDDC1C3CBF8F9
3. 未动态验证
4. 示例账号、编号、金额与日期是本条测试数据；执行前按前置条件准备，未填写的产品决策不得自行假定。</x:v>
      </x:c>
    </x:row>
    <x:row r="524" ht="145" customHeight="1">
      <x:c r="A524" s="10" t="n">
        <x:v>523</x:v>
      </x:c>
      <x:c r="B524" s="10" t="str">
        <x:v>USER-0523</x:v>
      </x:c>
      <x:c r="C524" s="10" t="str">
        <x:v>个人中心</x:v>
      </x:c>
      <x:c r="D524" s="10" t="str">
        <x:v>我的（用户）</x:v>
      </x:c>
      <x:c r="E524" s="10" t="str">
        <x:v>功能需求</x:v>
      </x:c>
      <x:c r="F524" s="10" t="str">
        <x:v>P2</x:v>
      </x:c>
      <x:c r="G524" s="9" t="str">
        <x:v>验证财富等级贡献达到 99</x:v>
      </x:c>
      <x:c r="H524" s="9" t="str">
        <x:v>财富等级累计门槛</x:v>
      </x:c>
      <x:c r="I524" s="9" t="str">
        <x:v>1. 用户为本条执行者
2. 用户甲真实送礼贡献已明确为本条输入值；财富等级门槛为 1 级 0、2 级100、3级200，不涉及幸运礼物与退款未决口径
3. 用户甲累计真实普通礼物贡献为 99</x:v>
      </x:c>
      <x:c r="J524" s="9" t="str">
        <x:v>1. 打开我的
2. 查看财富等级</x:v>
      </x:c>
      <x:c r="K524" s="9" t="str">
        <x:v>财富等级为 1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来源（当前证据）：liveshow-proto/MainBasis/统一需求文档.md；位置：第 678 行；REQ-0af0c40e3094、第 2962 行；REQ-93e16c320224、第 676 行
2. 规则：BR-B5DFD8A86C1BF4
3. 未动态验证
4. 示例账号、编号、金额与日期是本条测试数据；执行前按前置条件准备，未填写的产品决策不得自行假定。</x:v>
      </x:c>
    </x:row>
    <x:row r="525" ht="145" customHeight="1">
      <x:c r="A525" s="10" t="n">
        <x:v>524</x:v>
      </x:c>
      <x:c r="B525" s="10" t="str">
        <x:v>USER-0524</x:v>
      </x:c>
      <x:c r="C525" s="10" t="str">
        <x:v>个人中心</x:v>
      </x:c>
      <x:c r="D525" s="10" t="str">
        <x:v>我的（用户）</x:v>
      </x:c>
      <x:c r="E525" s="10" t="str">
        <x:v>功能需求</x:v>
      </x:c>
      <x:c r="F525" s="10" t="str">
        <x:v>P2</x:v>
      </x:c>
      <x:c r="G525" s="9" t="str">
        <x:v>验证财富等级贡献达到 100</x:v>
      </x:c>
      <x:c r="H525" s="9" t="str">
        <x:v>财富等级累计门槛</x:v>
      </x:c>
      <x:c r="I525" s="9" t="str">
        <x:v>1. 用户为本条执行者
2. 用户甲真实送礼贡献已明确为本条输入值；财富等级门槛为 1 级 0、2 级100、3级200，不涉及幸运礼物与退款未决口径
3. 用户甲累计真实普通礼物贡献为 100</x:v>
      </x:c>
      <x:c r="J525" s="9" t="str">
        <x:v>1. 打开我的
2. 查看财富等级</x:v>
      </x:c>
      <x:c r="K525" s="9" t="str">
        <x:v>财富等级为 2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来源（当前证据）：liveshow-proto/MainBasis/统一需求文档.md；位置：第 678 行；REQ-0af0c40e3094、第 2962 行；REQ-93e16c320224、第 676 行
2. 规则：BR-A817FE83A610A5
3. 未动态验证
4. 示例账号、编号、金额与日期是本条测试数据；执行前按前置条件准备，未填写的产品决策不得自行假定。</x:v>
      </x:c>
    </x:row>
    <x:row r="526" ht="145" customHeight="1">
      <x:c r="A526" s="10" t="n">
        <x:v>525</x:v>
      </x:c>
      <x:c r="B526" s="10" t="str">
        <x:v>USER-0525</x:v>
      </x:c>
      <x:c r="C526" s="10" t="str">
        <x:v>个人中心</x:v>
      </x:c>
      <x:c r="D526" s="10" t="str">
        <x:v>我的（用户）</x:v>
      </x:c>
      <x:c r="E526" s="10" t="str">
        <x:v>功能需求</x:v>
      </x:c>
      <x:c r="F526" s="10" t="str">
        <x:v>P2</x:v>
      </x:c>
      <x:c r="G526" s="9" t="str">
        <x:v>验证财富等级贡献达到 199</x:v>
      </x:c>
      <x:c r="H526" s="9" t="str">
        <x:v>财富等级累计门槛</x:v>
      </x:c>
      <x:c r="I526" s="9" t="str">
        <x:v>1. 用户为本条执行者
2. 用户甲真实送礼贡献已明确为本条输入值；财富等级门槛为 1 级 0、2 级100、3级200，不涉及幸运礼物与退款未决口径
3. 用户甲累计真实普通礼物贡献为 199</x:v>
      </x:c>
      <x:c r="J526" s="9" t="str">
        <x:v>1. 打开我的
2. 查看财富等级</x:v>
      </x:c>
      <x:c r="K526" s="9" t="str">
        <x:v>财富等级为 2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来源（当前证据）：liveshow-proto/MainBasis/统一需求文档.md；位置：第 678 行；REQ-0af0c40e3094、第 2962 行；REQ-93e16c320224、第 676 行
2. 规则：BR-8209F35D6EA804
3. 未动态验证
4. 示例账号、编号、金额与日期是本条测试数据；执行前按前置条件准备，未填写的产品决策不得自行假定。</x:v>
      </x:c>
    </x:row>
    <x:row r="527" ht="145" customHeight="1">
      <x:c r="A527" s="10" t="n">
        <x:v>526</x:v>
      </x:c>
      <x:c r="B527" s="10" t="str">
        <x:v>USER-0526</x:v>
      </x:c>
      <x:c r="C527" s="10" t="str">
        <x:v>个人中心</x:v>
      </x:c>
      <x:c r="D527" s="10" t="str">
        <x:v>我的（用户）</x:v>
      </x:c>
      <x:c r="E527" s="10" t="str">
        <x:v>功能需求</x:v>
      </x:c>
      <x:c r="F527" s="10" t="str">
        <x:v>P2</x:v>
      </x:c>
      <x:c r="G527" s="9" t="str">
        <x:v>验证财富等级贡献达到 200</x:v>
      </x:c>
      <x:c r="H527" s="9" t="str">
        <x:v>财富等级累计门槛</x:v>
      </x:c>
      <x:c r="I527" s="9" t="str">
        <x:v>1. 用户为本条执行者
2. 用户甲真实送礼贡献已明确为本条输入值；财富等级门槛为 1 级 0、2 级100、3级200，不涉及幸运礼物与退款未决口径
3. 用户甲累计真实普通礼物贡献为 200</x:v>
      </x:c>
      <x:c r="J527" s="9" t="str">
        <x:v>1. 打开我的
2. 查看财富等级</x:v>
      </x:c>
      <x:c r="K527" s="9" t="str">
        <x:v>财富等级为 3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来源（当前证据）：liveshow-proto/MainBasis/统一需求文档.md；位置：第 678 行；REQ-0af0c40e3094、第 2962 行；REQ-93e16c320224、第 676 行
2. 规则：BR-1BDBF3F0AA902E
3. 未动态验证
4. 示例账号、编号、金额与日期是本条测试数据；执行前按前置条件准备，未填写的产品决策不得自行假定。</x:v>
      </x:c>
    </x:row>
    <x:row r="528" ht="145" customHeight="1">
      <x:c r="A528" s="10" t="n">
        <x:v>527</x:v>
      </x:c>
      <x:c r="B528" s="10" t="str">
        <x:v>USER-0527</x:v>
      </x:c>
      <x:c r="C528" s="10" t="str">
        <x:v>个人中心</x:v>
      </x:c>
      <x:c r="D528" s="10" t="str">
        <x:v>我的（用户）</x:v>
      </x:c>
      <x:c r="E528" s="10" t="str">
        <x:v>功能需求</x:v>
      </x:c>
      <x:c r="F528" s="10" t="str">
        <x:v>P2</x:v>
      </x:c>
      <x:c r="G528" s="9" t="str">
        <x:v>验证财富等级贡献达到 500</x:v>
      </x:c>
      <x:c r="H528" s="9" t="str">
        <x:v>财富等级累计门槛</x:v>
      </x:c>
      <x:c r="I528" s="9" t="str">
        <x:v>1. 用户为本条执行者
2. 用户甲真实送礼贡献已明确为本条输入值；财富等级门槛为 1 级 0、2 级100、3级200，不涉及幸运礼物与退款未决口径
3. 用户甲累计真实普通礼物贡献为 500</x:v>
      </x:c>
      <x:c r="J528" s="9" t="str">
        <x:v>1. 打开我的
2. 查看财富等级</x:v>
      </x:c>
      <x:c r="K528" s="9" t="str">
        <x:v>财富等级为 3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来源（当前证据）：liveshow-proto/MainBasis/统一需求文档.md；位置：第 678 行；REQ-0af0c40e3094、第 2962 行；REQ-93e16c320224、第 676 行
2. 规则：BR-B29C6133F0FF2E
3. 未动态验证
4. 示例账号、编号、金额与日期是本条测试数据；执行前按前置条件准备，未填写的产品决策不得自行假定。</x:v>
      </x:c>
    </x:row>
    <x:row r="529" ht="235" customHeight="1">
      <x:c r="A529" s="10" t="n">
        <x:v>528</x:v>
      </x:c>
      <x:c r="B529" s="10" t="str">
        <x:v>USER-0528</x:v>
      </x:c>
      <x:c r="C529" s="10" t="str">
        <x:v>直播</x:v>
      </x:c>
      <x:c r="D529" s="10" t="str">
        <x:v>礼物（用户）</x:v>
      </x:c>
      <x:c r="E529" s="10" t="str">
        <x:v>功能需求</x:v>
      </x:c>
      <x:c r="F529" s="10" t="str">
        <x:v>P1</x:v>
      </x:c>
      <x:c r="G529" s="9" t="str">
        <x:v>验证幸运礼物命中 0 金币档</x:v>
      </x:c>
      <x:c r="H529" s="9" t="str">
        <x:v>返奖后金币余额</x:v>
      </x:c>
      <x:c r="I529" s="9" t="str">
        <x:v>1. 用户为本条执行者
2. 用户甲原金币余额100，已进入普通房；幸运礼物单次价格10、数量1；测试开奖服务固定返回指定有效奖励档位，仅用于观察返奖，不据此断言自然随机频率
3. 本次开奖返回 0 金币奖励</x:v>
      </x:c>
      <x:c r="J529" s="9" t="str">
        <x:v>1. 打开礼物面板
2. 选择幸运礼物数量1
3. 点击赠送
4. 查看金币余额</x:v>
      </x:c>
      <x:c r="K529" s="9" t="str">
        <x:v>返奖后金币余额 = 90 金币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来源（当前证据）：liveshow-proto/MainBasis/统一需求文档.md；位置：第 1576 行；REQ-80a63c1ae2ea、第 1577 行；REQ-661e85b151ed、第 1579 行；REQ-da5fddbef267、第 1580 行；REQ-266b9b9485db、第 1581 行；REQ-8645b66c4c1b、第 1583 行；REQ-4d7983ee3408、第 1584 行；REQ-f453a49afcc1、第 1585 行；REQ-066734efc56b、第 1586 行；REQ-bed789897c95、第 1574 行
2. 规则：BR-64E8FE79FDBEF8
3. 未动态验证
4. 示例账号、编号、金额与日期是本条测试数据；执行前按前置条件准备，未填写的产品决策不得自行假定。</x:v>
      </x:c>
    </x:row>
    <x:row r="530" ht="235" customHeight="1">
      <x:c r="A530" s="10" t="n">
        <x:v>529</x:v>
      </x:c>
      <x:c r="B530" s="10" t="str">
        <x:v>USER-0529</x:v>
      </x:c>
      <x:c r="C530" s="10" t="str">
        <x:v>直播</x:v>
      </x:c>
      <x:c r="D530" s="10" t="str">
        <x:v>礼物（用户）</x:v>
      </x:c>
      <x:c r="E530" s="10" t="str">
        <x:v>功能需求</x:v>
      </x:c>
      <x:c r="F530" s="10" t="str">
        <x:v>P1</x:v>
      </x:c>
      <x:c r="G530" s="9" t="str">
        <x:v>验证幸运礼物命中 5 金币档</x:v>
      </x:c>
      <x:c r="H530" s="9" t="str">
        <x:v>返奖后金币余额</x:v>
      </x:c>
      <x:c r="I530" s="9" t="str">
        <x:v>1. 用户为本条执行者
2. 用户甲原金币余额100，已进入普通房；幸运礼物单次价格10、数量1；测试开奖服务固定返回指定有效奖励档位，仅用于观察返奖，不据此断言自然随机频率
3. 本次开奖返回 5 金币奖励</x:v>
      </x:c>
      <x:c r="J530" s="9" t="str">
        <x:v>1. 打开礼物面板
2. 选择幸运礼物数量1
3. 点击赠送
4. 查看金币余额</x:v>
      </x:c>
      <x:c r="K530" s="9" t="str">
        <x:v>返奖后金币余额 = 95 金币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来源（当前证据）：liveshow-proto/MainBasis/统一需求文档.md；位置：第 1576 行；REQ-80a63c1ae2ea、第 1577 行；REQ-661e85b151ed、第 1579 行；REQ-da5fddbef267、第 1580 行；REQ-266b9b9485db、第 1581 行；REQ-8645b66c4c1b、第 1583 行；REQ-4d7983ee3408、第 1584 行；REQ-f453a49afcc1、第 1585 行；REQ-066734efc56b、第 1586 行；REQ-bed789897c95、第 1574 行
2. 规则：BR-CD4607B526605B
3. 未动态验证
4. 示例账号、编号、金额与日期是本条测试数据；执行前按前置条件准备，未填写的产品决策不得自行假定。</x:v>
      </x:c>
    </x:row>
    <x:row r="531" ht="235" customHeight="1">
      <x:c r="A531" s="10" t="n">
        <x:v>530</x:v>
      </x:c>
      <x:c r="B531" s="10" t="str">
        <x:v>USER-0530</x:v>
      </x:c>
      <x:c r="C531" s="10" t="str">
        <x:v>直播</x:v>
      </x:c>
      <x:c r="D531" s="10" t="str">
        <x:v>礼物（用户）</x:v>
      </x:c>
      <x:c r="E531" s="10" t="str">
        <x:v>功能需求</x:v>
      </x:c>
      <x:c r="F531" s="10" t="str">
        <x:v>P1</x:v>
      </x:c>
      <x:c r="G531" s="9" t="str">
        <x:v>验证幸运礼物命中 10 金币档</x:v>
      </x:c>
      <x:c r="H531" s="9" t="str">
        <x:v>返奖后金币余额</x:v>
      </x:c>
      <x:c r="I531" s="9" t="str">
        <x:v>1. 用户为本条执行者
2. 用户甲原金币余额100，已进入普通房；幸运礼物单次价格10、数量1；测试开奖服务固定返回指定有效奖励档位，仅用于观察返奖，不据此断言自然随机频率
3. 本次开奖返回 10 金币奖励</x:v>
      </x:c>
      <x:c r="J531" s="9" t="str">
        <x:v>1. 打开礼物面板
2. 选择幸运礼物数量1
3. 点击赠送
4. 查看金币余额</x:v>
      </x:c>
      <x:c r="K531" s="9" t="str">
        <x:v>返奖后金币余额 = 100 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来源（当前证据）：liveshow-proto/MainBasis/统一需求文档.md；位置：第 1576 行；REQ-80a63c1ae2ea、第 1577 行；REQ-661e85b151ed、第 1579 行；REQ-da5fddbef267、第 1580 行；REQ-266b9b9485db、第 1581 行；REQ-8645b66c4c1b、第 1583 行；REQ-4d7983ee3408、第 1584 行；REQ-f453a49afcc1、第 1585 行；REQ-066734efc56b、第 1586 行；REQ-bed789897c95、第 1574 行
2. 规则：BR-B62C552A799B0C
3. 未动态验证
4. 示例账号、编号、金额与日期是本条测试数据；执行前按前置条件准备，未填写的产品决策不得自行假定。</x:v>
      </x:c>
    </x:row>
    <x:row r="532" ht="235" customHeight="1">
      <x:c r="A532" s="10" t="n">
        <x:v>531</x:v>
      </x:c>
      <x:c r="B532" s="10" t="str">
        <x:v>USER-0531</x:v>
      </x:c>
      <x:c r="C532" s="10" t="str">
        <x:v>直播</x:v>
      </x:c>
      <x:c r="D532" s="10" t="str">
        <x:v>礼物（用户）</x:v>
      </x:c>
      <x:c r="E532" s="10" t="str">
        <x:v>功能需求</x:v>
      </x:c>
      <x:c r="F532" s="10" t="str">
        <x:v>P1</x:v>
      </x:c>
      <x:c r="G532" s="9" t="str">
        <x:v>验证幸运礼物命中 50 金币档</x:v>
      </x:c>
      <x:c r="H532" s="9" t="str">
        <x:v>返奖后金币余额</x:v>
      </x:c>
      <x:c r="I532" s="9" t="str">
        <x:v>1. 用户为本条执行者
2. 用户甲原金币余额100，已进入普通房；幸运礼物单次价格10、数量1；测试开奖服务固定返回指定有效奖励档位，仅用于观察返奖，不据此断言自然随机频率
3. 本次开奖返回 50 金币奖励</x:v>
      </x:c>
      <x:c r="J532" s="9" t="str">
        <x:v>1. 打开礼物面板
2. 选择幸运礼物数量1
3. 点击赠送
4. 查看金币余额</x:v>
      </x:c>
      <x:c r="K532" s="9" t="str">
        <x:v>返奖后金币余额 = 140 金币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来源（当前证据）：liveshow-proto/MainBasis/统一需求文档.md；位置：第 1576 行；REQ-80a63c1ae2ea、第 1577 行；REQ-661e85b151ed、第 1579 行；REQ-da5fddbef267、第 1580 行；REQ-266b9b9485db、第 1581 行；REQ-8645b66c4c1b、第 1583 行；REQ-4d7983ee3408、第 1584 行；REQ-f453a49afcc1、第 1585 行；REQ-066734efc56b、第 1586 行；REQ-bed789897c95、第 1574 行
2. 规则：BR-4F481896CD0E0F
3. 未动态验证
4. 示例账号、编号、金额与日期是本条测试数据；执行前按前置条件准备，未填写的产品决策不得自行假定。</x:v>
      </x:c>
    </x:row>
    <x:row r="533" ht="235" customHeight="1">
      <x:c r="A533" s="10" t="n">
        <x:v>532</x:v>
      </x:c>
      <x:c r="B533" s="10" t="str">
        <x:v>USER-0532</x:v>
      </x:c>
      <x:c r="C533" s="10" t="str">
        <x:v>直播</x:v>
      </x:c>
      <x:c r="D533" s="10" t="str">
        <x:v>礼物（用户）</x:v>
      </x:c>
      <x:c r="E533" s="10" t="str">
        <x:v>功能需求</x:v>
      </x:c>
      <x:c r="F533" s="10" t="str">
        <x:v>P1</x:v>
      </x:c>
      <x:c r="G533" s="9" t="str">
        <x:v>验证幸运礼物命中 100 金币档</x:v>
      </x:c>
      <x:c r="H533" s="9" t="str">
        <x:v>返奖后金币余额</x:v>
      </x:c>
      <x:c r="I533" s="9" t="str">
        <x:v>1. 用户为本条执行者
2. 用户甲原金币余额100，已进入普通房；幸运礼物单次价格10、数量1；测试开奖服务固定返回指定有效奖励档位，仅用于观察返奖，不据此断言自然随机频率
3. 本次开奖返回 100 金币奖励</x:v>
      </x:c>
      <x:c r="J533" s="9" t="str">
        <x:v>1. 打开礼物面板
2. 选择幸运礼物数量1
3. 点击赠送
4. 查看金币余额</x:v>
      </x:c>
      <x:c r="K533" s="9" t="str">
        <x:v>返奖后金币余额 = 190 金币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来源（当前证据）：liveshow-proto/MainBasis/统一需求文档.md；位置：第 1576 行；REQ-80a63c1ae2ea、第 1577 行；REQ-661e85b151ed、第 1579 行；REQ-da5fddbef267、第 1580 行；REQ-266b9b9485db、第 1581 行；REQ-8645b66c4c1b、第 1583 行；REQ-4d7983ee3408、第 1584 行；REQ-f453a49afcc1、第 1585 行；REQ-066734efc56b、第 1586 行；REQ-bed789897c95、第 1574 行
2. 规则：BR-2FB22AEA46E6BE
3. 未动态验证
4. 示例账号、编号、金额与日期是本条测试数据；执行前按前置条件准备，未填写的产品决策不得自行假定。</x:v>
      </x:c>
    </x:row>
    <x:row r="534" ht="235" customHeight="1">
      <x:c r="A534" s="10" t="n">
        <x:v>533</x:v>
      </x:c>
      <x:c r="B534" s="10" t="str">
        <x:v>USER-0533</x:v>
      </x:c>
      <x:c r="C534" s="10" t="str">
        <x:v>直播</x:v>
      </x:c>
      <x:c r="D534" s="10" t="str">
        <x:v>礼物（用户）</x:v>
      </x:c>
      <x:c r="E534" s="10" t="str">
        <x:v>功能需求</x:v>
      </x:c>
      <x:c r="F534" s="10" t="str">
        <x:v>P1</x:v>
      </x:c>
      <x:c r="G534" s="9" t="str">
        <x:v>验证幸运礼物命中 1000 金币档</x:v>
      </x:c>
      <x:c r="H534" s="9" t="str">
        <x:v>返奖后金币余额</x:v>
      </x:c>
      <x:c r="I534" s="9" t="str">
        <x:v>1. 用户为本条执行者
2. 用户甲原金币余额100，已进入普通房；幸运礼物单次价格10、数量1；测试开奖服务固定返回指定有效奖励档位，仅用于观察返奖，不据此断言自然随机频率
3. 本次开奖返回 1000 金币奖励</x:v>
      </x:c>
      <x:c r="J534" s="9" t="str">
        <x:v>1. 打开礼物面板
2. 选择幸运礼物数量1
3. 点击赠送
4. 查看金币余额</x:v>
      </x:c>
      <x:c r="K534" s="9" t="str">
        <x:v>返奖后金币余额 = 1090 金币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来源（当前证据）：liveshow-proto/MainBasis/统一需求文档.md；位置：第 1576 行；REQ-80a63c1ae2ea、第 1577 行；REQ-661e85b151ed、第 1579 行；REQ-da5fddbef267、第 1580 行；REQ-266b9b9485db、第 1581 行；REQ-8645b66c4c1b、第 1583 行；REQ-4d7983ee3408、第 1584 行；REQ-f453a49afcc1、第 1585 行；REQ-066734efc56b、第 1586 行；REQ-bed789897c95、第 1574 行
2. 规则：BR-0F0835517866D7
3. 未动态验证
4. 示例账号、编号、金额与日期是本条测试数据；执行前按前置条件准备，未填写的产品决策不得自行假定。</x:v>
      </x:c>
    </x:row>
    <x:row r="535" ht="130" customHeight="1">
      <x:c r="A535" s="10" t="n">
        <x:v>534</x:v>
      </x:c>
      <x:c r="B535" s="10" t="str">
        <x:v>USER-0534</x:v>
      </x:c>
      <x:c r="C535" s="10" t="str">
        <x:v>主播管理</x:v>
      </x:c>
      <x:c r="D535" s="10" t="str">
        <x:v>开播设置（主播）</x:v>
      </x:c>
      <x:c r="E535" s="10" t="str">
        <x:v>功能需求</x:v>
      </x:c>
      <x:c r="F535" s="10" t="str">
        <x:v>P2</x:v>
      </x:c>
      <x:c r="G535" s="9" t="str">
        <x:v>验证后台关闭的房型不能新建</x:v>
      </x:c>
      <x:c r="H535" s="9" t="str">
        <x:v>房型开关影响新场次</x:v>
      </x:c>
      <x:c r="I535" s="9" t="str">
        <x:v>1. 主播为本条执行者
2. 主播甲可开播，后台当前关闭门票房开关</x:v>
      </x:c>
      <x:c r="J535" s="9" t="str">
        <x:v>1. 打开开播设置
2. 展开房型选择</x:v>
      </x:c>
      <x:c r="K535" s="9" t="str">
        <x:v>门票房不可选择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来源（当前证据）：liveshow-proto/MainBasis/统一需求文档.md；位置：第 1191 行；REQ-87ffa9153ad7、第 1186 行
2. 规则：BR-4D05FC17FBDDF0
3. 未动态验证
4. 示例账号、编号、金额与日期是本条测试数据；执行前按前置条件准备，未填写的产品决策不得自行假定。</x:v>
      </x:c>
    </x:row>
    <x:row r="536" ht="205" customHeight="1">
      <x:c r="A536" s="10" t="n">
        <x:v>535</x:v>
      </x:c>
      <x:c r="B536" s="10" t="str">
        <x:v>USER-0535</x:v>
      </x:c>
      <x:c r="C536" s="10" t="str">
        <x:v>直播</x:v>
      </x:c>
      <x:c r="D536" s="10" t="str">
        <x:v>直播结束页（观众）（用户）</x:v>
      </x:c>
      <x:c r="E536" s="10" t="str">
        <x:v>功能需求</x:v>
      </x:c>
      <x:c r="F536" s="10" t="str">
        <x:v>P2</x:v>
      </x:c>
      <x:c r="G536" s="9" t="str">
        <x:v>验证旧场次入口保留结束状态</x:v>
      </x:c>
      <x:c r="H536" s="9" t="str">
        <x:v>旧场次不替换为新场次</x:v>
      </x:c>
      <x:c r="I536" s="9" t="str">
        <x:v>1. 用户为本条执行者
2. 账号甲原在场次 S001，S001 已结束；同一主播另有新场次 S002 正在直播</x:v>
      </x:c>
      <x:c r="J536" s="9" t="str">
        <x:v>1. 打开 S001 原入口</x:v>
      </x:c>
      <x:c r="K536" s="9" t="str">
        <x:v>显示 S001 直播已结束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来源（当前证据）：liveshow-proto/MainBasis/统一需求文档.md；位置：第 836 行；REQ-744c9b682e12、第 837 行；REQ-087186b73746、第 838 行；REQ-d96cf6926bbb、第 839 行；REQ-093bf5df7b3b、第 840 行；REQ-c26340580604、第 842 行；REQ-294c9aea7171、第 843 行；REQ-c6340ce7c243、第 835 行
2. 规则：BR-F84513C2A0DCCD
3. 未动态验证
4. 示例账号、编号、金额与日期是本条测试数据；执行前按前置条件准备，未填写的产品决策不得自行假定。</x:v>
      </x:c>
    </x:row>
    <x:row r="537" ht="175" customHeight="1">
      <x:c r="A537" s="10" t="n">
        <x:v>536</x:v>
      </x:c>
      <x:c r="B537" s="10" t="str">
        <x:v>USER-0536</x:v>
      </x:c>
      <x:c r="C537" s="10" t="str">
        <x:v>直播</x:v>
      </x:c>
      <x:c r="D537" s="10" t="str">
        <x:v>直播结束页（主播）（主播）</x:v>
      </x:c>
      <x:c r="E537" s="10" t="str">
        <x:v>功能需求</x:v>
      </x:c>
      <x:c r="F537" s="10" t="str">
        <x:v>P2</x:v>
      </x:c>
      <x:c r="G537" s="9" t="str">
        <x:v>验证旧场次入口保留结束状态</x:v>
      </x:c>
      <x:c r="H537" s="9" t="str">
        <x:v>旧场次不替换为新场次</x:v>
      </x:c>
      <x:c r="I537" s="9" t="str">
        <x:v>1. 主播为本条执行者
2. 账号甲原在场次 S001，S001 已结束；同一主播另有新场次 S002 正在直播</x:v>
      </x:c>
      <x:c r="J537" s="9" t="str">
        <x:v>1. 打开 S001 原入口</x:v>
      </x:c>
      <x:c r="K537" s="9" t="str">
        <x:v>显示 S001 直播已结束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来源（当前证据）：liveshow-proto/MainBasis/统一需求文档.md；位置：第 847 行；REQ-f0b59fd6afb1、第 848 行；REQ-67e8fc5109d4、第 850 行；REQ-26c90db50167、第 851 行；REQ-fd0617a068c8、第 846 行
2. 规则：BR-6D3220320936FE
3. 未动态验证
4. 示例账号、编号、金额与日期是本条测试数据；执行前按前置条件准备，未填写的产品决策不得自行假定。</x:v>
      </x:c>
    </x:row>
    <x:row r="538" ht="190" customHeight="1">
      <x:c r="A538" s="10" t="n">
        <x:v>537</x:v>
      </x:c>
      <x:c r="B538" s="10" t="str">
        <x:v>USER-0537</x:v>
      </x:c>
      <x:c r="C538" s="10" t="str">
        <x:v>直播</x:v>
      </x:c>
      <x:c r="D538" s="10" t="str">
        <x:v>直播结束页（观众）（用户）</x:v>
      </x:c>
      <x:c r="E538" s="10" t="str">
        <x:v>功能需求</x:v>
      </x:c>
      <x:c r="F538" s="10" t="str">
        <x:v>P2</x:v>
      </x:c>
      <x:c r="G538" s="9" t="str">
        <x:v>验证结束场次不能发送评论</x:v>
      </x:c>
      <x:c r="H538" s="9" t="str">
        <x:v>结束态可执行入口</x:v>
      </x:c>
      <x:c r="I538" s="9" t="str">
        <x:v>1. 用户为本条执行者
2. 用户甲原观看 S001；S001 已结束</x:v>
      </x:c>
      <x:c r="J538" s="9" t="str">
        <x:v>1. 打开 S001 结束页面
2. 查看发送评论入口</x:v>
      </x:c>
      <x:c r="K538" s="9" t="str">
        <x:v>不提供 S001 的发送评论操作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来源（当前证据）：liveshow-proto/MainBasis/统一需求文档.md；位置：第 836 行；REQ-744c9b682e12、第 837 行；REQ-087186b73746、第 838 行；REQ-d96cf6926bbb、第 839 行；REQ-093bf5df7b3b、第 840 行；REQ-c26340580604、第 843 行；REQ-c6340ce7c243、第 835 行
2. 规则：BR-F8DFA2C45A80C5
3. 未动态验证
4. 示例账号、编号、金额与日期是本条测试数据；执行前按前置条件准备，未填写的产品决策不得自行假定。</x:v>
      </x:c>
    </x:row>
    <x:row r="539" ht="190" customHeight="1">
      <x:c r="A539" s="10" t="n">
        <x:v>538</x:v>
      </x:c>
      <x:c r="B539" s="10" t="str">
        <x:v>USER-0538</x:v>
      </x:c>
      <x:c r="C539" s="10" t="str">
        <x:v>直播</x:v>
      </x:c>
      <x:c r="D539" s="10" t="str">
        <x:v>直播结束页（观众）（用户）</x:v>
      </x:c>
      <x:c r="E539" s="10" t="str">
        <x:v>功能需求</x:v>
      </x:c>
      <x:c r="F539" s="10" t="str">
        <x:v>P2</x:v>
      </x:c>
      <x:c r="G539" s="9" t="str">
        <x:v>验证结束场次不能赠送礼物</x:v>
      </x:c>
      <x:c r="H539" s="9" t="str">
        <x:v>结束态可执行入口</x:v>
      </x:c>
      <x:c r="I539" s="9" t="str">
        <x:v>1. 用户为本条执行者
2. 用户甲原观看 S001；S001 已结束</x:v>
      </x:c>
      <x:c r="J539" s="9" t="str">
        <x:v>1. 打开 S001 结束页面
2. 查看赠送礼物入口</x:v>
      </x:c>
      <x:c r="K539" s="9" t="str">
        <x:v>不提供 S001 的赠送礼物操作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来源（当前证据）：liveshow-proto/MainBasis/统一需求文档.md；位置：第 836 行；REQ-744c9b682e12、第 837 行；REQ-087186b73746、第 838 行；REQ-d96cf6926bbb、第 839 行；REQ-093bf5df7b3b、第 840 行；REQ-c26340580604、第 843 行；REQ-c6340ce7c243、第 835 行
2. 规则：BR-432C63D42B28A5
3. 未动态验证
4. 示例账号、编号、金额与日期是本条测试数据；执行前按前置条件准备，未填写的产品决策不得自行假定。</x:v>
      </x:c>
    </x:row>
    <x:row r="540" ht="190" customHeight="1">
      <x:c r="A540" s="10" t="n">
        <x:v>539</x:v>
      </x:c>
      <x:c r="B540" s="10" t="str">
        <x:v>USER-0539</x:v>
      </x:c>
      <x:c r="C540" s="10" t="str">
        <x:v>直播</x:v>
      </x:c>
      <x:c r="D540" s="10" t="str">
        <x:v>直播结束页（观众）（用户）</x:v>
      </x:c>
      <x:c r="E540" s="10" t="str">
        <x:v>功能需求</x:v>
      </x:c>
      <x:c r="F540" s="10" t="str">
        <x:v>P2</x:v>
      </x:c>
      <x:c r="G540" s="9" t="str">
        <x:v>验证结束场次不能发起连麦</x:v>
      </x:c>
      <x:c r="H540" s="9" t="str">
        <x:v>结束态可执行入口</x:v>
      </x:c>
      <x:c r="I540" s="9" t="str">
        <x:v>1. 用户为本条执行者
2. 用户甲原观看 S001；S001 已结束</x:v>
      </x:c>
      <x:c r="J540" s="9" t="str">
        <x:v>1. 打开 S001 结束页面
2. 查看发起连麦入口</x:v>
      </x:c>
      <x:c r="K540" s="9" t="str">
        <x:v>不提供 S001 的发起连麦操作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来源（当前证据）：liveshow-proto/MainBasis/统一需求文档.md；位置：第 836 行；REQ-744c9b682e12、第 837 行；REQ-087186b73746、第 838 行；REQ-d96cf6926bbb、第 839 行；REQ-093bf5df7b3b、第 840 行；REQ-c26340580604、第 843 行；REQ-c6340ce7c243、第 835 行
2. 规则：BR-D385B9DFB5429D
3. 未动态验证
4. 示例账号、编号、金额与日期是本条测试数据；执行前按前置条件准备，未填写的产品决策不得自行假定。</x:v>
      </x:c>
    </x:row>
    <x:row r="541" ht="175" customHeight="1">
      <x:c r="A541" s="10" t="n">
        <x:v>540</x:v>
      </x:c>
      <x:c r="B541" s="10" t="str">
        <x:v>USER-0540</x:v>
      </x:c>
      <x:c r="C541" s="10" t="str">
        <x:v>主播管理</x:v>
      </x:c>
      <x:c r="D541" s="10" t="str">
        <x:v>主播中心（主播）</x:v>
      </x:c>
      <x:c r="E541" s="10" t="str">
        <x:v>功能需求</x:v>
      </x:c>
      <x:c r="F541" s="10" t="str">
        <x:v>P2</x:v>
      </x:c>
      <x:c r="G541" s="9" t="str">
        <x:v>验证切换统计周期不改变长期指标</x:v>
      </x:c>
      <x:c r="H541" s="9" t="str">
        <x:v>累计收益</x:v>
      </x:c>
      <x:c r="I541" s="9" t="str">
        <x:v>1. 主播为本条执行者
2. 主播甲认证通过，公会有效且账号未封禁；本人累计收益1000金币、当前有效关注者20人</x:v>
      </x:c>
      <x:c r="J541" s="9" t="str">
        <x:v>1. 打开主播中心
2. 将统计周期从今日切换为本月
3. 查看累计收益</x:v>
      </x:c>
      <x:c r="K541" s="9" t="str">
        <x:v>累计收益仍为1000金币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来源（当前证据）：liveshow-proto/MainBasis/统一需求文档.md；位置：第 1124 行；REQ-e6b16676c243、第 1127 行；REQ-4a207c86fc90、第 1131 行；REQ-2bd6e59a40ad、第 1140 行；REQ-735be47b57d3、第 1121 行
2. 规则：BR-35C329673765E8
3. 未动态验证
4. 示例账号、编号、金额与日期是本条测试数据；执行前按前置条件准备，未填写的产品决策不得自行假定。</x:v>
      </x:c>
    </x:row>
    <x:row r="542" ht="175" customHeight="1">
      <x:c r="A542" s="10" t="n">
        <x:v>541</x:v>
      </x:c>
      <x:c r="B542" s="10" t="str">
        <x:v>USER-0541</x:v>
      </x:c>
      <x:c r="C542" s="10" t="str">
        <x:v>主播管理</x:v>
      </x:c>
      <x:c r="D542" s="10" t="str">
        <x:v>主播中心（主播）</x:v>
      </x:c>
      <x:c r="E542" s="10" t="str">
        <x:v>功能需求</x:v>
      </x:c>
      <x:c r="F542" s="10" t="str">
        <x:v>P2</x:v>
      </x:c>
      <x:c r="G542" s="9" t="str">
        <x:v>验证切换统计周期不改变长期指标</x:v>
      </x:c>
      <x:c r="H542" s="9" t="str">
        <x:v>当前粉丝数</x:v>
      </x:c>
      <x:c r="I542" s="9" t="str">
        <x:v>1. 主播为本条执行者
2. 主播甲认证通过，公会有效且账号未封禁；本人累计收益1000金币、当前有效关注者20人</x:v>
      </x:c>
      <x:c r="J542" s="9" t="str">
        <x:v>1. 打开主播中心
2. 将统计周期从今日切换为本月
3. 查看当前粉丝数</x:v>
      </x:c>
      <x:c r="K542" s="9" t="str">
        <x:v>粉丝数仍为20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来源（当前证据）：liveshow-proto/MainBasis/统一需求文档.md；位置：第 1124 行；REQ-e6b16676c243、第 1127 行；REQ-4a207c86fc90、第 1131 行；REQ-2bd6e59a40ad、第 1140 行；REQ-735be47b57d3、第 1121 行
2. 规则：BR-75A9C5A6BE9505
3. 未动态验证
4. 示例账号、编号、金额与日期是本条测试数据；执行前按前置条件准备，未填写的产品决策不得自行假定。</x:v>
      </x:c>
    </x:row>
    <x:row r="543" ht="175" customHeight="1">
      <x:c r="A543" s="10" t="n">
        <x:v>542</x:v>
      </x:c>
      <x:c r="B543" s="10" t="str">
        <x:v>USER-0542</x:v>
      </x:c>
      <x:c r="C543" s="10" t="str">
        <x:v>主播管理</x:v>
      </x:c>
      <x:c r="D543" s="10" t="str">
        <x:v>主播中心（主播）</x:v>
      </x:c>
      <x:c r="E543" s="10" t="str">
        <x:v>功能需求</x:v>
      </x:c>
      <x:c r="F543" s="10" t="str">
        <x:v>P2</x:v>
      </x:c>
      <x:c r="G543" s="9" t="str">
        <x:v>验证今日有效直播0小时</x:v>
      </x:c>
      <x:c r="H543" s="9" t="str">
        <x:v>有效开播日进度</x:v>
      </x:c>
      <x:c r="I543" s="9" t="str">
        <x:v>1. 主播为本条执行者
2. 主播甲认证通过，公会有效且账号未封禁；本人累计收益1000金币、当前有效关注者20人
3. 主播甲今日有效直播时长为0小时</x:v>
      </x:c>
      <x:c r="J543" s="9" t="str">
        <x:v>1. 打开主播中心
2. 查看有效开播日进度</x:v>
      </x:c>
      <x:c r="K543" s="9" t="str">
        <x:v>有效开播日进度 = 0 %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来源（当前证据）：liveshow-proto/MainBasis/统一需求文档.md；位置：第 1133 行；REQ-f6e3d053e9d0、第 1136 行；REQ-93644daf8897、第 1137 行；REQ-19d831cad83e、第 1141 行；REQ-cdaa58824dac、第 1121 行
2. 规则：BR-D953A8F14C087B
3. 未动态验证
4. 示例账号、编号、金额与日期是本条测试数据；执行前按前置条件准备，未填写的产品决策不得自行假定。</x:v>
      </x:c>
    </x:row>
    <x:row r="544" ht="175" customHeight="1">
      <x:c r="A544" s="10" t="n">
        <x:v>543</x:v>
      </x:c>
      <x:c r="B544" s="10" t="str">
        <x:v>USER-0543</x:v>
      </x:c>
      <x:c r="C544" s="10" t="str">
        <x:v>主播管理</x:v>
      </x:c>
      <x:c r="D544" s="10" t="str">
        <x:v>主播中心（主播）</x:v>
      </x:c>
      <x:c r="E544" s="10" t="str">
        <x:v>功能需求</x:v>
      </x:c>
      <x:c r="F544" s="10" t="str">
        <x:v>P2</x:v>
      </x:c>
      <x:c r="G544" s="9" t="str">
        <x:v>验证今日有效直播1.5小时</x:v>
      </x:c>
      <x:c r="H544" s="9" t="str">
        <x:v>有效开播日进度</x:v>
      </x:c>
      <x:c r="I544" s="9" t="str">
        <x:v>1. 主播为本条执行者
2. 主播甲认证通过，公会有效且账号未封禁；本人累计收益1000金币、当前有效关注者20人
3. 主播甲今日有效直播时长为1.5小时</x:v>
      </x:c>
      <x:c r="J544" s="9" t="str">
        <x:v>1. 打开主播中心
2. 查看有效开播日进度</x:v>
      </x:c>
      <x:c r="K544" s="9" t="str">
        <x:v>有效开播日进度 = 50 %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来源（当前证据）：liveshow-proto/MainBasis/统一需求文档.md；位置：第 1133 行；REQ-f6e3d053e9d0、第 1136 行；REQ-93644daf8897、第 1137 行；REQ-19d831cad83e、第 1141 行；REQ-cdaa58824dac、第 1121 行
2. 规则：BR-157C2F7002110E
3. 未动态验证
4. 示例账号、编号、金额与日期是本条测试数据；执行前按前置条件准备，未填写的产品决策不得自行假定。</x:v>
      </x:c>
    </x:row>
    <x:row r="545" ht="175" customHeight="1">
      <x:c r="A545" s="10" t="n">
        <x:v>544</x:v>
      </x:c>
      <x:c r="B545" s="10" t="str">
        <x:v>USER-0544</x:v>
      </x:c>
      <x:c r="C545" s="10" t="str">
        <x:v>主播管理</x:v>
      </x:c>
      <x:c r="D545" s="10" t="str">
        <x:v>主播中心（主播）</x:v>
      </x:c>
      <x:c r="E545" s="10" t="str">
        <x:v>功能需求</x:v>
      </x:c>
      <x:c r="F545" s="10" t="str">
        <x:v>P2</x:v>
      </x:c>
      <x:c r="G545" s="9" t="str">
        <x:v>验证今日有效直播3小时</x:v>
      </x:c>
      <x:c r="H545" s="9" t="str">
        <x:v>有效开播日进度</x:v>
      </x:c>
      <x:c r="I545" s="9" t="str">
        <x:v>1. 主播为本条执行者
2. 主播甲认证通过，公会有效且账号未封禁；本人累计收益1000金币、当前有效关注者20人
3. 主播甲今日有效直播时长为3小时</x:v>
      </x:c>
      <x:c r="J545" s="9" t="str">
        <x:v>1. 打开主播中心
2. 查看有效开播日进度</x:v>
      </x:c>
      <x:c r="K545" s="9" t="str">
        <x:v>有效开播日进度 = 100 %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来源（当前证据）：liveshow-proto/MainBasis/统一需求文档.md；位置：第 1133 行；REQ-f6e3d053e9d0、第 1136 行；REQ-93644daf8897、第 1137 行；REQ-19d831cad83e、第 1141 行；REQ-cdaa58824dac、第 1121 行
2. 规则：BR-060C703C20129F
3. 未动态验证
4. 示例账号、编号、金额与日期是本条测试数据；执行前按前置条件准备，未填写的产品决策不得自行假定。</x:v>
      </x:c>
    </x:row>
    <x:row r="546" ht="175" customHeight="1">
      <x:c r="A546" s="10" t="n">
        <x:v>545</x:v>
      </x:c>
      <x:c r="B546" s="10" t="str">
        <x:v>USER-0545</x:v>
      </x:c>
      <x:c r="C546" s="10" t="str">
        <x:v>主播管理</x:v>
      </x:c>
      <x:c r="D546" s="10" t="str">
        <x:v>主播中心（主播）</x:v>
      </x:c>
      <x:c r="E546" s="10" t="str">
        <x:v>功能需求</x:v>
      </x:c>
      <x:c r="F546" s="10" t="str">
        <x:v>P2</x:v>
      </x:c>
      <x:c r="G546" s="9" t="str">
        <x:v>验证今日有效直播4小时</x:v>
      </x:c>
      <x:c r="H546" s="9" t="str">
        <x:v>有效开播日进度</x:v>
      </x:c>
      <x:c r="I546" s="9" t="str">
        <x:v>1. 主播为本条执行者
2. 主播甲认证通过，公会有效且账号未封禁；本人累计收益1000金币、当前有效关注者20人
3. 主播甲今日有效直播时长为4小时</x:v>
      </x:c>
      <x:c r="J546" s="9" t="str">
        <x:v>1. 打开主播中心
2. 查看有效开播日进度</x:v>
      </x:c>
      <x:c r="K546" s="9" t="str">
        <x:v>有效开播日进度 = 100 %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来源（当前证据）：liveshow-proto/MainBasis/统一需求文档.md；位置：第 1133 行；REQ-f6e3d053e9d0、第 1136 行；REQ-93644daf8897、第 1137 行；REQ-19d831cad83e、第 1141 行；REQ-cdaa58824dac、第 1121 行
2. 规则：BR-E65742F0D1039D
3. 未动态验证
4. 示例账号、编号、金额与日期是本条测试数据；执行前按前置条件准备，未填写的产品决策不得自行假定。</x:v>
      </x:c>
    </x:row>
    <x:row r="547" ht="130" customHeight="1">
      <x:c r="A547" s="10" t="n">
        <x:v>546</x:v>
      </x:c>
      <x:c r="B547" s="10" t="str">
        <x:v>USER-0546</x:v>
      </x:c>
      <x:c r="C547" s="10" t="str">
        <x:v>主播管理</x:v>
      </x:c>
      <x:c r="D547" s="10" t="str">
        <x:v>主播中心（主播）</x:v>
      </x:c>
      <x:c r="E547" s="10" t="str">
        <x:v>功能需求</x:v>
      </x:c>
      <x:c r="F547" s="10" t="str">
        <x:v>P2</x:v>
      </x:c>
      <x:c r="G547" s="9" t="str">
        <x:v>验证未读公会通知0条</x:v>
      </x:c>
      <x:c r="H547" s="9" t="str">
        <x:v>通知未读标记</x:v>
      </x:c>
      <x:c r="I547" s="9" t="str">
        <x:v>1. 主播为本条执行者
2. 主播甲认证通过，公会有效且账号未封禁；本人累计收益1000金币、当前有效关注者20人
3. 主播甲有0条未读公会通知</x:v>
      </x:c>
      <x:c r="J547" s="9" t="str">
        <x:v>1. 打开主播中心
2. 查看公会通知入口</x:v>
      </x:c>
      <x:c r="K547" s="9" t="str">
        <x:v>不显示未读标记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来源（当前证据）：liveshow-proto/MainBasis/统一需求文档.md；位置：第 1144 行；REQ-5f53cf6bcc3e、第 1121 行
2. 规则：BR-C8ACAF56CC326C
3. 未动态验证
4. 示例账号、编号、金额与日期是本条测试数据；执行前按前置条件准备，未填写的产品决策不得自行假定。</x:v>
      </x:c>
    </x:row>
    <x:row r="548" ht="130" customHeight="1">
      <x:c r="A548" s="10" t="n">
        <x:v>547</x:v>
      </x:c>
      <x:c r="B548" s="10" t="str">
        <x:v>USER-0547</x:v>
      </x:c>
      <x:c r="C548" s="10" t="str">
        <x:v>主播管理</x:v>
      </x:c>
      <x:c r="D548" s="10" t="str">
        <x:v>主播中心（主播）</x:v>
      </x:c>
      <x:c r="E548" s="10" t="str">
        <x:v>功能需求</x:v>
      </x:c>
      <x:c r="F548" s="10" t="str">
        <x:v>P2</x:v>
      </x:c>
      <x:c r="G548" s="9" t="str">
        <x:v>验证未读公会通知2条</x:v>
      </x:c>
      <x:c r="H548" s="9" t="str">
        <x:v>通知未读标记</x:v>
      </x:c>
      <x:c r="I548" s="9" t="str">
        <x:v>1. 主播为本条执行者
2. 主播甲认证通过，公会有效且账号未封禁；本人累计收益1000金币、当前有效关注者20人
3. 主播甲有2条未读公会通知</x:v>
      </x:c>
      <x:c r="J548" s="9" t="str">
        <x:v>1. 打开主播中心
2. 查看公会通知入口</x:v>
      </x:c>
      <x:c r="K548" s="9" t="str">
        <x:v>未读数量显示2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来源（当前证据）：liveshow-proto/MainBasis/统一需求文档.md；位置：第 1144 行；REQ-5f53cf6bcc3e、第 1121 行
2. 规则：BR-3C7791731DBE7B
3. 未动态验证
4. 示例账号、编号、金额与日期是本条测试数据；执行前按前置条件准备，未填写的产品决策不得自行假定。</x:v>
      </x:c>
    </x:row>
    <x:row r="549" ht="145" customHeight="1">
      <x:c r="A549" s="10" t="n">
        <x:v>548</x:v>
      </x:c>
      <x:c r="B549" s="10" t="str">
        <x:v>USER-0548</x:v>
      </x:c>
      <x:c r="C549" s="10" t="str">
        <x:v>主播管理</x:v>
      </x:c>
      <x:c r="D549" s="10" t="str">
        <x:v>主播中心（主播）</x:v>
      </x:c>
      <x:c r="E549" s="10" t="str">
        <x:v>功能需求</x:v>
      </x:c>
      <x:c r="F549" s="10" t="str">
        <x:v>P1</x:v>
      </x:c>
      <x:c r="G549" s="9" t="str">
        <x:v>验证直播权限关闭时不能开播</x:v>
      </x:c>
      <x:c r="H549" s="9" t="str">
        <x:v>权限关闭说明</x:v>
      </x:c>
      <x:c r="I549" s="9" t="str">
        <x:v>1. 主播为本条执行者
2. 主播甲认证通过，公会有效且账号未封禁；本人累计收益1000金币、当前有效关注者20人
3. 主播甲最终开播权限关闭</x:v>
      </x:c>
      <x:c r="J549" s="9" t="str">
        <x:v>1. 打开主播中心
2. 点击开始直播</x:v>
      </x:c>
      <x:c r="K549" s="9" t="str">
        <x:v>提示“直播权限已关闭，请联系公会”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来源（当前证据）：liveshow-proto/MainBasis/统一需求文档.md；位置：第 1129 行；REQ-5029bd873a25、第 1142 行；REQ-eea47ec9a161、第 1121 行
2. 规则：BR-777EF14A06DFE1
3. 未动态验证
4. 示例账号、编号、金额与日期是本条测试数据；执行前按前置条件准备，未填写的产品决策不得自行假定。</x:v>
      </x:c>
    </x:row>
    <x:row r="550" ht="130" customHeight="1">
      <x:c r="A550" s="10" t="n">
        <x:v>549</x:v>
      </x:c>
      <x:c r="B550" s="10" t="str">
        <x:v>USER-0549</x:v>
      </x:c>
      <x:c r="C550" s="10" t="str">
        <x:v>主播管理</x:v>
      </x:c>
      <x:c r="D550" s="10" t="str">
        <x:v>主播中心（主播）</x:v>
      </x:c>
      <x:c r="E550" s="10" t="str">
        <x:v>功能需求</x:v>
      </x:c>
      <x:c r="F550" s="10" t="str">
        <x:v>P1</x:v>
      </x:c>
      <x:c r="G550" s="9" t="str">
        <x:v>验证关闭权限说明停留主播中心</x:v>
      </x:c>
      <x:c r="H550" s="9" t="str">
        <x:v>权限说明关闭后的页面</x:v>
      </x:c>
      <x:c r="I550" s="9" t="str">
        <x:v>1. 主播为本条执行者
2. 主播甲认证通过，公会有效且账号未封禁；本人累计收益1000金币、当前有效关注者20人
3. 当前显示直播权限已关闭说明</x:v>
      </x:c>
      <x:c r="J550" s="9" t="str">
        <x:v>1. 点击知道了</x:v>
      </x:c>
      <x:c r="K550" s="9" t="str">
        <x:v>停留主播中心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来源（当前证据）：liveshow-proto/MainBasis/统一需求文档.md；位置：第 1142 行；REQ-eea47ec9a161、第 1121 行
2. 规则：BR-B7A508582A9324
3. 未动态验证
4. 示例账号、编号、金额与日期是本条测试数据；执行前按前置条件准备，未填写的产品决策不得自行假定。</x:v>
      </x:c>
    </x:row>
    <x:row r="551" ht="265" customHeight="1">
      <x:c r="A551" s="10" t="n">
        <x:v>550</x:v>
      </x:c>
      <x:c r="B551" s="10" t="str">
        <x:v>USER-0550</x:v>
      </x:c>
      <x:c r="C551" s="10" t="str">
        <x:v>主播管理</x:v>
      </x:c>
      <x:c r="D551" s="10" t="str">
        <x:v>申请成为主播（用户）</x:v>
      </x:c>
      <x:c r="E551" s="10" t="str">
        <x:v>功能需求</x:v>
      </x:c>
      <x:c r="F551" s="10" t="str">
        <x:v>P1</x:v>
      </x:c>
      <x:c r="G551" s="9" t="str">
        <x:v>验证主播申请待公会审核</x:v>
      </x:c>
      <x:c r="H551" s="9" t="str">
        <x:v>申请状态对应操作</x:v>
      </x:c>
      <x:c r="I551" s="9" t="str">
        <x:v>1. 用户为本条执行者
2. 申请人甲没有主播身份
3. 申请 J001 当前为待公会审核</x:v>
      </x:c>
      <x:c r="J551" s="9" t="str">
        <x:v>1. 打开主播中心</x:v>
      </x:c>
      <x:c r="K551" s="9" t="str">
        <x:v>不提供重复提交申请的操作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来源（当前证据）：liveshow-proto/MainBasis/统一需求文档.md；位置：第 1172 行；REQ-82bbb7de6d03、第 1173 行；REQ-67c887a336e5、第 1174 行；REQ-0c66d73b7fbc、第 1175 行；REQ-225e8c6289cd、第 1176 行；REQ-8e642e325f90、第 1177 行；REQ-1483b310b8a6、第 1178 行；REQ-bca8e787b966、第 1179 行；REQ-d30322236a1a、第 1180 行；REQ-5eeedca6238d、第 1181 行；REQ-d4f2f719ead2、第 1182 行；REQ-04b54cbcba08、第 1183 行；REQ-cf2723fa2f75、第 1169 行
2. 规则：BR-5A3B96C7C2E7E5
3. 未动态验证
4. 示例账号、编号、金额与日期是本条测试数据；执行前按前置条件准备，未填写的产品决策不得自行假定。</x:v>
      </x:c>
    </x:row>
    <x:row r="552" ht="265" customHeight="1">
      <x:c r="A552" s="10" t="n">
        <x:v>551</x:v>
      </x:c>
      <x:c r="B552" s="10" t="str">
        <x:v>USER-0551</x:v>
      </x:c>
      <x:c r="C552" s="10" t="str">
        <x:v>主播管理</x:v>
      </x:c>
      <x:c r="D552" s="10" t="str">
        <x:v>申请成为主播（用户）</x:v>
      </x:c>
      <x:c r="E552" s="10" t="str">
        <x:v>功能需求</x:v>
      </x:c>
      <x:c r="F552" s="10" t="str">
        <x:v>P1</x:v>
      </x:c>
      <x:c r="G552" s="9" t="str">
        <x:v>验证主播申请待平台审核</x:v>
      </x:c>
      <x:c r="H552" s="9" t="str">
        <x:v>申请状态对应操作</x:v>
      </x:c>
      <x:c r="I552" s="9" t="str">
        <x:v>1. 用户为本条执行者
2. 申请人甲没有主播身份
3. 申请 J001 当前为待平台审核</x:v>
      </x:c>
      <x:c r="J552" s="9" t="str">
        <x:v>1. 打开主播中心</x:v>
      </x:c>
      <x:c r="K552" s="9" t="str">
        <x:v>不提供重复提交申请的操作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来源（当前证据）：liveshow-proto/MainBasis/统一需求文档.md；位置：第 1172 行；REQ-82bbb7de6d03、第 1173 行；REQ-67c887a336e5、第 1174 行；REQ-0c66d73b7fbc、第 1175 行；REQ-225e8c6289cd、第 1176 行；REQ-8e642e325f90、第 1177 行；REQ-1483b310b8a6、第 1178 行；REQ-bca8e787b966、第 1179 行；REQ-d30322236a1a、第 1180 行；REQ-5eeedca6238d、第 1181 行；REQ-d4f2f719ead2、第 1182 行；REQ-04b54cbcba08、第 1183 行；REQ-cf2723fa2f75、第 1169 行
2. 规则：BR-DF22C98DD9F191
3. 未动态验证
4. 示例账号、编号、金额与日期是本条测试数据；执行前按前置条件准备，未填写的产品决策不得自行假定。</x:v>
      </x:c>
    </x:row>
    <x:row r="553" ht="265" customHeight="1">
      <x:c r="A553" s="10" t="n">
        <x:v>552</x:v>
      </x:c>
      <x:c r="B553" s="10" t="str">
        <x:v>USER-0552</x:v>
      </x:c>
      <x:c r="C553" s="10" t="str">
        <x:v>主播管理</x:v>
      </x:c>
      <x:c r="D553" s="10" t="str">
        <x:v>申请成为主播（用户）</x:v>
      </x:c>
      <x:c r="E553" s="10" t="str">
        <x:v>功能需求</x:v>
      </x:c>
      <x:c r="F553" s="10" t="str">
        <x:v>P1</x:v>
      </x:c>
      <x:c r="G553" s="9" t="str">
        <x:v>验证主播申请审核驳回</x:v>
      </x:c>
      <x:c r="H553" s="9" t="str">
        <x:v>申请状态对应操作</x:v>
      </x:c>
      <x:c r="I553" s="9" t="str">
        <x:v>1. 用户为本条执行者
2. 申请人甲没有主播身份
3. 申请 J001 当前为审核驳回</x:v>
      </x:c>
      <x:c r="J553" s="9" t="str">
        <x:v>1. 打开主播中心</x:v>
      </x:c>
      <x:c r="K553" s="9" t="str">
        <x:v>显示重新申请入口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来源（当前证据）：liveshow-proto/MainBasis/统一需求文档.md；位置：第 1172 行；REQ-82bbb7de6d03、第 1173 行；REQ-67c887a336e5、第 1174 行；REQ-0c66d73b7fbc、第 1175 行；REQ-225e8c6289cd、第 1176 行；REQ-8e642e325f90、第 1177 行；REQ-1483b310b8a6、第 1178 行；REQ-bca8e787b966、第 1179 行；REQ-d30322236a1a、第 1180 行；REQ-5eeedca6238d、第 1181 行；REQ-d4f2f719ead2、第 1182 行；REQ-04b54cbcba08、第 1183 行；REQ-cf2723fa2f75、第 1169 行
2. 规则：BR-A28641A08D6B3F
3. 未动态验证
4. 示例账号、编号、金额与日期是本条测试数据；执行前按前置条件准备，未填写的产品决策不得自行假定。</x:v>
      </x:c>
    </x:row>
    <x:row r="554" ht="175" customHeight="1">
      <x:c r="A554" s="10" t="n">
        <x:v>553</x:v>
      </x:c>
      <x:c r="B554" s="10" t="str">
        <x:v>USER-0553</x:v>
      </x:c>
      <x:c r="C554" s="10" t="str">
        <x:v>主播管理</x:v>
      </x:c>
      <x:c r="D554" s="10" t="str">
        <x:v>粉丝列表（主播）</x:v>
      </x:c>
      <x:c r="E554" s="10" t="str">
        <x:v>功能需求</x:v>
      </x:c>
      <x:c r="F554" s="10" t="str">
        <x:v>P2</x:v>
      </x:c>
      <x:c r="G554" s="9" t="str">
        <x:v>验证当前有效关注者范围</x:v>
      </x:c>
      <x:c r="H554" s="9" t="str">
        <x:v>当前有效关注者包含甲</x:v>
      </x:c>
      <x:c r="I554" s="9" t="str">
        <x:v>1. 主播为本条执行者
2. 甲当前关注本主播，乙已取消关注</x:v>
      </x:c>
      <x:c r="J554" s="9" t="str">
        <x:v>1. 打开当前有效关注者列表</x:v>
      </x:c>
      <x:c r="K554" s="9" t="str">
        <x:v>列表包含甲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来源（当前证据）：liveshow-proto/MainBasis/统一需求文档.md；位置：第 1214 行；REQ-068090c151bc、第 1217 行；REQ-accd19da544e、第 1218 行；REQ-a2c4f896be88、第 1219 行；REQ-a558a29aafc0、第 1212 行
2. 规则：BR-3CA964DB13A07E
3. 未动态验证
4. 示例账号、编号、金额与日期是本条测试数据；执行前按前置条件准备，未填写的产品决策不得自行假定。</x:v>
      </x:c>
    </x:row>
    <x:row r="555" ht="175" customHeight="1">
      <x:c r="A555" s="10" t="n">
        <x:v>554</x:v>
      </x:c>
      <x:c r="B555" s="10" t="str">
        <x:v>USER-0554</x:v>
      </x:c>
      <x:c r="C555" s="10" t="str">
        <x:v>主播管理</x:v>
      </x:c>
      <x:c r="D555" s="10" t="str">
        <x:v>粉丝列表（主播）</x:v>
      </x:c>
      <x:c r="E555" s="10" t="str">
        <x:v>功能需求</x:v>
      </x:c>
      <x:c r="F555" s="10" t="str">
        <x:v>P2</x:v>
      </x:c>
      <x:c r="G555" s="9" t="str">
        <x:v>验证当前有效关注者范围</x:v>
      </x:c>
      <x:c r="H555" s="9" t="str">
        <x:v>当前有效关注者排除乙</x:v>
      </x:c>
      <x:c r="I555" s="9" t="str">
        <x:v>1. 主播为本条执行者
2. 甲当前关注本主播，乙已取消关注</x:v>
      </x:c>
      <x:c r="J555" s="9" t="str">
        <x:v>1. 打开当前有效关注者列表</x:v>
      </x:c>
      <x:c r="K555" s="9" t="str">
        <x:v>列表不包含乙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来源（当前证据）：liveshow-proto/MainBasis/统一需求文档.md；位置：第 1214 行；REQ-068090c151bc、第 1217 行；REQ-accd19da544e、第 1218 行；REQ-a2c4f896be88、第 1219 行；REQ-a558a29aafc0、第 1212 行
2. 规则：BR-9F49D5AC87F138
3. 未动态验证
4. 示例账号、编号、金额与日期是本条测试数据；执行前按前置条件准备，未填写的产品决策不得自行假定。</x:v>
      </x:c>
    </x:row>
    <x:row r="556" ht="175" customHeight="1">
      <x:c r="A556" s="10" t="n">
        <x:v>555</x:v>
      </x:c>
      <x:c r="B556" s="10" t="str">
        <x:v>USER-0555</x:v>
      </x:c>
      <x:c r="C556" s="10" t="str">
        <x:v>直播</x:v>
      </x:c>
      <x:c r="D556" s="10" t="str">
        <x:v>在线观众·观众列表（用户）</x:v>
      </x:c>
      <x:c r="E556" s="10" t="str">
        <x:v>功能需求</x:v>
      </x:c>
      <x:c r="F556" s="10" t="str">
        <x:v>P2</x:v>
      </x:c>
      <x:c r="G556" s="9" t="str">
        <x:v>验证当前在线观众范围</x:v>
      </x:c>
      <x:c r="H556" s="9" t="str">
        <x:v>当前在线观众包含甲</x:v>
      </x:c>
      <x:c r="I556" s="9" t="str">
        <x:v>1. 用户为本条执行者
2. 甲当前在线，乙已离开本场</x:v>
      </x:c>
      <x:c r="J556" s="9" t="str">
        <x:v>1. 打开当前在线观众列表</x:v>
      </x:c>
      <x:c r="K556" s="9" t="str">
        <x:v>列表包含甲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来源（当前证据）：liveshow-proto/MainBasis/统一需求文档.md；位置：第 1669 行；REQ-3bea5c2fc073、第 1670 行；REQ-a0337be4b642、第 1671 行；REQ-4131788f5e35、第 1672 行；REQ-ce2e988e4307、第 1673 行；REQ-b7924f176c59、第 1666 行
2. 规则：BR-1FDDB07B555F10
3. 未动态验证
4. 示例账号、编号、金额与日期是本条测试数据；执行前按前置条件准备，未填写的产品决策不得自行假定。</x:v>
      </x:c>
    </x:row>
    <x:row r="557" ht="175" customHeight="1">
      <x:c r="A557" s="10" t="n">
        <x:v>556</x:v>
      </x:c>
      <x:c r="B557" s="10" t="str">
        <x:v>USER-0556</x:v>
      </x:c>
      <x:c r="C557" s="10" t="str">
        <x:v>直播</x:v>
      </x:c>
      <x:c r="D557" s="10" t="str">
        <x:v>在线观众·观众列表（用户）</x:v>
      </x:c>
      <x:c r="E557" s="10" t="str">
        <x:v>功能需求</x:v>
      </x:c>
      <x:c r="F557" s="10" t="str">
        <x:v>P2</x:v>
      </x:c>
      <x:c r="G557" s="9" t="str">
        <x:v>验证当前在线观众范围</x:v>
      </x:c>
      <x:c r="H557" s="9" t="str">
        <x:v>当前在线观众排除乙</x:v>
      </x:c>
      <x:c r="I557" s="9" t="str">
        <x:v>1. 用户为本条执行者
2. 甲当前在线，乙已离开本场</x:v>
      </x:c>
      <x:c r="J557" s="9" t="str">
        <x:v>1. 打开当前在线观众列表</x:v>
      </x:c>
      <x:c r="K557" s="9" t="str">
        <x:v>列表不包含乙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来源（当前证据）：liveshow-proto/MainBasis/统一需求文档.md；位置：第 1669 行；REQ-3bea5c2fc073、第 1670 行；REQ-a0337be4b642、第 1671 行；REQ-4131788f5e35、第 1672 行；REQ-ce2e988e4307、第 1673 行；REQ-b7924f176c59、第 1666 行
2. 规则：BR-BB624D59F5B255
3. 未动态验证
4. 示例账号、编号、金额与日期是本条测试数据；执行前按前置条件准备，未填写的产品决策不得自行假定。</x:v>
      </x:c>
    </x:row>
    <x:row r="558" ht="190" customHeight="1">
      <x:c r="A558" s="10" t="n">
        <x:v>557</x:v>
      </x:c>
      <x:c r="B558" s="10" t="str">
        <x:v>USER-0557</x:v>
      </x:c>
      <x:c r="C558" s="10" t="str">
        <x:v>直播</x:v>
      </x:c>
      <x:c r="D558" s="10" t="str">
        <x:v>在线观众·房管列表（用户）</x:v>
      </x:c>
      <x:c r="E558" s="10" t="str">
        <x:v>功能需求</x:v>
      </x:c>
      <x:c r="F558" s="10" t="str">
        <x:v>P2</x:v>
      </x:c>
      <x:c r="G558" s="9" t="str">
        <x:v>验证长期授权房管范围</x:v>
      </x:c>
      <x:c r="H558" s="9" t="str">
        <x:v>长期授权房管包含甲</x:v>
      </x:c>
      <x:c r="I558" s="9" t="str">
        <x:v>1. 用户为本条执行者
2. 甲已被授权房管但当前不在线，乙从未被授权</x:v>
      </x:c>
      <x:c r="J558" s="9" t="str">
        <x:v>1. 打开长期授权房管列表</x:v>
      </x:c>
      <x:c r="K558" s="9" t="str">
        <x:v>列表包含甲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来源（当前证据）：liveshow-proto/MainBasis/统一需求文档.md；位置：第 1677 行；REQ-87f9adb35bc9、第 1678 行；REQ-6aa2ed812b38、第 1679 行；REQ-1308957fd585、第 1680 行；REQ-39e6e8a40af8、第 1681 行；REQ-a39354cda7ef、第 1683 行；REQ-9afe74673c0a、第 1676 行
2. 规则：BR-E1509E0C70B98D
3. 未动态验证
4. 示例账号、编号、金额与日期是本条测试数据；执行前按前置条件准备，未填写的产品决策不得自行假定。</x:v>
      </x:c>
    </x:row>
    <x:row r="559" ht="190" customHeight="1">
      <x:c r="A559" s="10" t="n">
        <x:v>558</x:v>
      </x:c>
      <x:c r="B559" s="10" t="str">
        <x:v>USER-0558</x:v>
      </x:c>
      <x:c r="C559" s="10" t="str">
        <x:v>直播</x:v>
      </x:c>
      <x:c r="D559" s="10" t="str">
        <x:v>在线观众·房管列表（用户）</x:v>
      </x:c>
      <x:c r="E559" s="10" t="str">
        <x:v>功能需求</x:v>
      </x:c>
      <x:c r="F559" s="10" t="str">
        <x:v>P2</x:v>
      </x:c>
      <x:c r="G559" s="9" t="str">
        <x:v>验证长期授权房管范围</x:v>
      </x:c>
      <x:c r="H559" s="9" t="str">
        <x:v>长期授权房管排除乙</x:v>
      </x:c>
      <x:c r="I559" s="9" t="str">
        <x:v>1. 用户为本条执行者
2. 甲已被授权房管但当前不在线，乙从未被授权</x:v>
      </x:c>
      <x:c r="J559" s="9" t="str">
        <x:v>1. 打开长期授权房管列表</x:v>
      </x:c>
      <x:c r="K559" s="9" t="str">
        <x:v>列表不包含乙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来源（当前证据）：liveshow-proto/MainBasis/统一需求文档.md；位置：第 1677 行；REQ-87f9adb35bc9、第 1678 行；REQ-6aa2ed812b38、第 1679 行；REQ-1308957fd585、第 1680 行；REQ-39e6e8a40af8、第 1681 行；REQ-a39354cda7ef、第 1683 行；REQ-9afe74673c0a、第 1676 行
2. 规则：BR-1C0A6187276502
3. 未动态验证
4. 示例账号、编号、金额与日期是本条测试数据；执行前按前置条件准备，未填写的产品决策不得自行假定。</x:v>
      </x:c>
    </x:row>
    <x:row r="560" ht="160" customHeight="1">
      <x:c r="A560" s="10" t="n">
        <x:v>559</x:v>
      </x:c>
      <x:c r="B560" s="10" t="str">
        <x:v>USER-0559</x:v>
      </x:c>
      <x:c r="C560" s="10" t="str">
        <x:v>主播管理</x:v>
      </x:c>
      <x:c r="D560" s="10" t="str">
        <x:v>粉丝团（主播）</x:v>
      </x:c>
      <x:c r="E560" s="10" t="str">
        <x:v>功能需求</x:v>
      </x:c>
      <x:c r="F560" s="10" t="str">
        <x:v>P2</x:v>
      </x:c>
      <x:c r="G560" s="9" t="str">
        <x:v>验证粉丝团按累计贡献排序</x:v>
      </x:c>
      <x:c r="H560" s="9" t="str">
        <x:v>累计贡献排序</x:v>
      </x:c>
      <x:c r="I560" s="9" t="str">
        <x:v>1. 主播为本条执行者
2. 主播甲的粉丝团包含乙、丙两个有效成员
3. 乙累计贡献200、丙100</x:v>
      </x:c>
      <x:c r="J560" s="9" t="str">
        <x:v>1. 打开粉丝团
2. 选择累计贡献排序</x:v>
      </x:c>
      <x:c r="K560" s="9" t="str">
        <x:v>乙排在丙前面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来源（当前证据）：liveshow-proto/MainBasis/统一需求文档.md；位置：第 1224 行；REQ-18b4a9d80c38、第 1226 行；REQ-083704f59270、第 1230 行；REQ-694a96cbaed3、第 1222 行
2. 规则：BR-550E6F43D72460
3. 未动态验证
4. 示例账号、编号、金额与日期是本条测试数据；执行前按前置条件准备，未填写的产品决策不得自行假定。</x:v>
      </x:c>
    </x:row>
    <x:row r="561" ht="160" customHeight="1">
      <x:c r="A561" s="10" t="n">
        <x:v>560</x:v>
      </x:c>
      <x:c r="B561" s="10" t="str">
        <x:v>USER-0560</x:v>
      </x:c>
      <x:c r="C561" s="10" t="str">
        <x:v>主播管理</x:v>
      </x:c>
      <x:c r="D561" s="10" t="str">
        <x:v>粉丝团（主播）</x:v>
      </x:c>
      <x:c r="E561" s="10" t="str">
        <x:v>功能需求</x:v>
      </x:c>
      <x:c r="F561" s="10" t="str">
        <x:v>P2</x:v>
      </x:c>
      <x:c r="G561" s="9" t="str">
        <x:v>验证粉丝团按本月贡献排序</x:v>
      </x:c>
      <x:c r="H561" s="9" t="str">
        <x:v>本月贡献排序</x:v>
      </x:c>
      <x:c r="I561" s="9" t="str">
        <x:v>1. 主播为本条执行者
2. 主播甲的粉丝团包含乙、丙两个有效成员
3. 乙本月贡献100、丙200</x:v>
      </x:c>
      <x:c r="J561" s="9" t="str">
        <x:v>1. 打开粉丝团
2. 选择本月贡献排序</x:v>
      </x:c>
      <x:c r="K561" s="9" t="str">
        <x:v>丙排在乙前面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来源（当前证据）：liveshow-proto/MainBasis/统一需求文档.md；位置：第 1224 行；REQ-18b4a9d80c38、第 1226 行；REQ-083704f59270、第 1230 行；REQ-694a96cbaed3、第 1222 行
2. 规则：BR-20397AF042ACEC
3. 未动态验证
4. 示例账号、编号、金额与日期是本条测试数据；执行前按前置条件准备，未填写的产品决策不得自行假定。</x:v>
      </x:c>
    </x:row>
    <x:row r="562" ht="160" customHeight="1">
      <x:c r="A562" s="10" t="n">
        <x:v>561</x:v>
      </x:c>
      <x:c r="B562" s="10" t="str">
        <x:v>USER-0561</x:v>
      </x:c>
      <x:c r="C562" s="10" t="str">
        <x:v>主播管理</x:v>
      </x:c>
      <x:c r="D562" s="10" t="str">
        <x:v>粉丝团（主播）</x:v>
      </x:c>
      <x:c r="E562" s="10" t="str">
        <x:v>功能需求</x:v>
      </x:c>
      <x:c r="F562" s="10" t="str">
        <x:v>P2</x:v>
      </x:c>
      <x:c r="G562" s="9" t="str">
        <x:v>验证粉丝团按加入时间排序</x:v>
      </x:c>
      <x:c r="H562" s="9" t="str">
        <x:v>加入时间排序</x:v>
      </x:c>
      <x:c r="I562" s="9" t="str">
        <x:v>1. 主播为本条执行者
2. 主播甲的粉丝团包含乙、丙两个有效成员
3. 乙在09/01加入、丙在09/02加入</x:v>
      </x:c>
      <x:c r="J562" s="9" t="str">
        <x:v>1. 打开粉丝团
2. 选择加入时间排序</x:v>
      </x:c>
      <x:c r="K562" s="9" t="str">
        <x:v>丙排在乙前面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来源（当前证据）：liveshow-proto/MainBasis/统一需求文档.md；位置：第 1224 行；REQ-18b4a9d80c38、第 1226 行；REQ-083704f59270、第 1230 行；REQ-694a96cbaed3、第 1222 行
2. 规则：BR-76D67EB20A2FFF
3. 未动态验证
4. 示例账号、编号、金额与日期是本条测试数据；执行前按前置条件准备，未填写的产品决策不得自行假定。</x:v>
      </x:c>
    </x:row>
    <x:row r="563" ht="190" customHeight="1">
      <x:c r="A563" s="10" t="n">
        <x:v>562</x:v>
      </x:c>
      <x:c r="B563" s="10" t="str">
        <x:v>USER-0562</x:v>
      </x:c>
      <x:c r="C563" s="10" t="str">
        <x:v>主播管理</x:v>
      </x:c>
      <x:c r="D563" s="10" t="str">
        <x:v>粉丝团（主播）</x:v>
      </x:c>
      <x:c r="E563" s="10" t="str">
        <x:v>功能需求</x:v>
      </x:c>
      <x:c r="F563" s="10" t="str">
        <x:v>P2</x:v>
      </x:c>
      <x:c r="G563" s="9" t="str">
        <x:v>验证本月贡献包含入团前赠送</x:v>
      </x:c>
      <x:c r="H563" s="9" t="str">
        <x:v>月贡献不截断入团前数据</x:v>
      </x:c>
      <x:c r="I563" s="9" t="str">
        <x:v>1. 主播为本条执行者
2. 主播甲的粉丝团包含乙、丙两个有效成员
3. 乙09/02入团，本月09/01已赠送100金币、09/03赠送200金币</x:v>
      </x:c>
      <x:c r="J563" s="9" t="str">
        <x:v>1. 打开粉丝团
2. 选择本月贡献
3. 查看乙</x:v>
      </x:c>
      <x:c r="K563" s="9" t="str">
        <x:v>乙的本月贡献显示300金币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来源（当前证据）：liveshow-proto/MainBasis/统一需求文档.md；位置：第 1224 行；REQ-18b4a9d80c38、第 1226 行；REQ-083704f59270、第 1227 行；REQ-d17e31415fb6、第 1228 行；REQ-5d55548c15b9、第 1230 行；REQ-694a96cbaed3、第 1231 行；REQ-2450d1ce84b9、第 1222 行
2. 规则：BR-A52C648A243A5D
3. 未动态验证
4. 示例账号、编号、金额与日期是本条测试数据；执行前按前置条件准备，未填写的产品决策不得自行假定。</x:v>
      </x:c>
    </x:row>
    <x:row r="564" ht="175" customHeight="1">
      <x:c r="A564" s="10" t="n">
        <x:v>563</x:v>
      </x:c>
      <x:c r="B564" s="10" t="str">
        <x:v>USER-0563</x:v>
      </x:c>
      <x:c r="C564" s="10" t="str">
        <x:v>直播</x:v>
      </x:c>
      <x:c r="D564" s="10" t="str">
        <x:v>充值（用户）</x:v>
      </x:c>
      <x:c r="E564" s="10" t="str">
        <x:v>功能需求</x:v>
      </x:c>
      <x:c r="F564" s="10" t="str">
        <x:v>P1</x:v>
      </x:c>
      <x:c r="G564" s="9" t="str">
        <x:v>验证支付成功后保留待赠送选择</x:v>
      </x:c>
      <x:c r="H564" s="9" t="str">
        <x:v>待赠送礼物保持</x:v>
      </x:c>
      <x:c r="I564" s="9" t="str">
        <x:v>1. 用户为本条执行者
2. 用户甲余额不足，已在主播乙直播间选择礼物甲、数量3并打开快捷充值</x:v>
      </x:c>
      <x:c r="J564" s="9" t="str">
        <x:v>1. 完成测试渠道的支付成功返回
2. 查看礼物面板</x:v>
      </x:c>
      <x:c r="K564" s="9" t="str">
        <x:v>仍选中礼物甲，数量为3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来源（当前证据）：liveshow-proto/MainBasis/统一需求文档.md；位置：第 1591 行；REQ-59889fd16fd0、第 1592 行；REQ-9c3dd005dcb3、第 1594 行；REQ-e2dac29206f1、第 1595 行；REQ-8407b3301ceb、第 1589 行
2. 规则：BR-B94808B35926B9
3. 未动态验证
4. 示例账号、编号、金额与日期是本条测试数据；执行前按前置条件准备，未填写的产品决策不得自行假定。</x:v>
      </x:c>
    </x:row>
    <x:row r="565" ht="175" customHeight="1">
      <x:c r="A565" s="10" t="n">
        <x:v>564</x:v>
      </x:c>
      <x:c r="B565" s="10" t="str">
        <x:v>USER-0564</x:v>
      </x:c>
      <x:c r="C565" s="10" t="str">
        <x:v>直播</x:v>
      </x:c>
      <x:c r="D565" s="10" t="str">
        <x:v>充值（用户）</x:v>
      </x:c>
      <x:c r="E565" s="10" t="str">
        <x:v>异常用例</x:v>
      </x:c>
      <x:c r="F565" s="10" t="str">
        <x:v>P1</x:v>
      </x:c>
      <x:c r="G565" s="9" t="str">
        <x:v>验证支付失败后保留待赠送选择</x:v>
      </x:c>
      <x:c r="H565" s="9" t="str">
        <x:v>待赠送礼物保持</x:v>
      </x:c>
      <x:c r="I565" s="9" t="str">
        <x:v>1. 用户为本条执行者
2. 用户甲余额不足，已在主播乙直播间选择礼物甲、数量3并打开快捷充值</x:v>
      </x:c>
      <x:c r="J565" s="9" t="str">
        <x:v>1. 完成测试渠道的支付失败返回
2. 查看礼物面板</x:v>
      </x:c>
      <x:c r="K565" s="9" t="str">
        <x:v>仍选中礼物甲，数量为3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来源（当前证据）：liveshow-proto/MainBasis/统一需求文档.md；位置：第 1591 行；REQ-59889fd16fd0、第 1592 行；REQ-9c3dd005dcb3、第 1594 行；REQ-e2dac29206f1、第 1595 行；REQ-8407b3301ceb、第 1589 行
2. 规则：BR-3F258E27383DB5
3. 未动态验证
4. 示例账号、编号、金额与日期是本条测试数据；执行前按前置条件准备，未填写的产品决策不得自行假定。</x:v>
      </x:c>
    </x:row>
    <x:row r="566" ht="175" customHeight="1">
      <x:c r="A566" s="10" t="n">
        <x:v>565</x:v>
      </x:c>
      <x:c r="B566" s="10" t="str">
        <x:v>USER-0565</x:v>
      </x:c>
      <x:c r="C566" s="10" t="str">
        <x:v>直播</x:v>
      </x:c>
      <x:c r="D566" s="10" t="str">
        <x:v>充值（用户）</x:v>
      </x:c>
      <x:c r="E566" s="10" t="str">
        <x:v>功能需求</x:v>
      </x:c>
      <x:c r="F566" s="10" t="str">
        <x:v>P1</x:v>
      </x:c>
      <x:c r="G566" s="9" t="str">
        <x:v>验证取消支付后保留待赠送选择</x:v>
      </x:c>
      <x:c r="H566" s="9" t="str">
        <x:v>待赠送礼物保持</x:v>
      </x:c>
      <x:c r="I566" s="9" t="str">
        <x:v>1. 用户为本条执行者
2. 用户甲余额不足，已在主播乙直播间选择礼物甲、数量3并打开快捷充值</x:v>
      </x:c>
      <x:c r="J566" s="9" t="str">
        <x:v>1. 取消支付
2. 查看礼物面板</x:v>
      </x:c>
      <x:c r="K566" s="9" t="str">
        <x:v>仍选中礼物甲，数量为3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来源（当前证据）：liveshow-proto/MainBasis/统一需求文档.md；位置：第 1591 行；REQ-59889fd16fd0、第 1592 行；REQ-9c3dd005dcb3、第 1594 行；REQ-e2dac29206f1、第 1595 行；REQ-8407b3301ceb、第 1589 行
2. 规则：BR-CE752C5B474D8B
3. 未动态验证
4. 示例账号、编号、金额与日期是本条测试数据；执行前按前置条件准备，未填写的产品决策不得自行假定。</x:v>
      </x:c>
    </x:row>
    <x:row r="567" ht="130" customHeight="1">
      <x:c r="A567" s="10" t="n">
        <x:v>566</x:v>
      </x:c>
      <x:c r="B567" s="10" t="str">
        <x:v>USER-0566</x:v>
      </x:c>
      <x:c r="C567" s="10" t="str">
        <x:v>直播</x:v>
      </x:c>
      <x:c r="D567" s="10" t="str">
        <x:v>充值（用户）</x:v>
      </x:c>
      <x:c r="E567" s="10" t="str">
        <x:v>功能需求</x:v>
      </x:c>
      <x:c r="F567" s="10" t="str">
        <x:v>P1</x:v>
      </x:c>
      <x:c r="G567" s="9" t="str">
        <x:v>验证充值成功不自动赠送礼物</x:v>
      </x:c>
      <x:c r="H567" s="9" t="str">
        <x:v>充值与赠送分离</x:v>
      </x:c>
      <x:c r="I567" s="9" t="str">
        <x:v>1. 用户为本条执行者
2. 用户甲余额不足，已在主播乙直播间选择礼物甲、数量3并打开快捷充值</x:v>
      </x:c>
      <x:c r="J567" s="9" t="str">
        <x:v>1. 完成测试渠道支付成功返回
2. 查看礼物面板</x:v>
      </x:c>
      <x:c r="K567" s="9" t="str">
        <x:v>礼物甲仍处于待手动赠送状态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来源（当前证据）：liveshow-proto/MainBasis/统一需求文档.md；位置：第 1594 行；REQ-e2dac29206f1、第 1589 行
2. 规则：BR-A6CE22B3B266FE
3. 未动态验证
4. 示例账号、编号、金额与日期是本条测试数据；执行前按前置条件准备，未填写的产品决策不得自行假定。</x:v>
      </x:c>
    </x:row>
    <x:row r="568" ht="175" customHeight="1">
      <x:c r="A568" s="10" t="n">
        <x:v>567</x:v>
      </x:c>
      <x:c r="B568" s="10" t="str">
        <x:v>USER-0567</x:v>
      </x:c>
      <x:c r="C568" s="10" t="str">
        <x:v>主播管理</x:v>
      </x:c>
      <x:c r="D568" s="10" t="str">
        <x:v>单人禁言确认（主播）</x:v>
      </x:c>
      <x:c r="E568" s="10" t="str">
        <x:v>功能需求</x:v>
      </x:c>
      <x:c r="F568" s="10" t="str">
        <x:v>P2</x:v>
      </x:c>
      <x:c r="G568" s="9" t="str">
        <x:v>验证群禁言取消</x:v>
      </x:c>
      <x:c r="H568" s="9" t="str">
        <x:v>群禁言未完成</x:v>
      </x:c>
      <x:c r="I568" s="9" t="str">
        <x:v>1. 主播为本条执行者
2. 主播甲为粉丝团群主，成员乙尚未禁言</x:v>
      </x:c>
      <x:c r="J568" s="9" t="str">
        <x:v>1. 打开乙的禁言确认
2. 点击取消
3. 查看成员乙状态</x:v>
      </x:c>
      <x:c r="K568" s="9" t="str">
        <x:v>乙仍未被群禁言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来源（当前证据）：liveshow-proto/MainBasis/统一需求文档.md；位置：第 1600 行；REQ-b621cae1ce07、第 1601 行；REQ-61ccc5511526、第 1602 行；REQ-4ebe7fad319b、第 1603 行；REQ-085b31edbfa8、第 1598 行
2. 规则：BR-7BC5F52700C0AD
3. 未动态验证
4. 示例账号、编号、金额与日期是本条测试数据；执行前按前置条件准备，未填写的产品决策不得自行假定。</x:v>
      </x:c>
    </x:row>
    <x:row r="569" ht="175" customHeight="1">
      <x:c r="A569" s="10" t="n">
        <x:v>568</x:v>
      </x:c>
      <x:c r="B569" s="10" t="str">
        <x:v>USER-0568</x:v>
      </x:c>
      <x:c r="C569" s="10" t="str">
        <x:v>主播管理</x:v>
      </x:c>
      <x:c r="D569" s="10" t="str">
        <x:v>单人禁言确认（主播）</x:v>
      </x:c>
      <x:c r="E569" s="10" t="str">
        <x:v>异常用例</x:v>
      </x:c>
      <x:c r="F569" s="10" t="str">
        <x:v>P2</x:v>
      </x:c>
      <x:c r="G569" s="9" t="str">
        <x:v>验证群禁言请求失败</x:v>
      </x:c>
      <x:c r="H569" s="9" t="str">
        <x:v>群禁言未完成</x:v>
      </x:c>
      <x:c r="I569" s="9" t="str">
        <x:v>1. 主播为本条执行者
2. 主播甲为粉丝团群主，成员乙尚未禁言
3. 测试环境使本次禁言请求失败</x:v>
      </x:c>
      <x:c r="J569" s="9" t="str">
        <x:v>1. 打开乙的禁言确认
2. 点击确认
3. 查看成员乙状态</x:v>
      </x:c>
      <x:c r="K569" s="9" t="str">
        <x:v>乙仍未被群禁言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来源（当前证据）：liveshow-proto/MainBasis/统一需求文档.md；位置：第 1600 行；REQ-b621cae1ce07、第 1601 行；REQ-61ccc5511526、第 1602 行；REQ-4ebe7fad319b、第 1603 行；REQ-085b31edbfa8、第 1598 行
2. 规则：BR-7FEAD2E868DA4E
3. 未动态验证
4. 示例账号、编号、金额与日期是本条测试数据；执行前按前置条件准备，未填写的产品决策不得自行假定。</x:v>
      </x:c>
    </x:row>
    <x:row r="570" ht="130" customHeight="1">
      <x:c r="A570" s="10" t="n">
        <x:v>569</x:v>
      </x:c>
      <x:c r="B570" s="10" t="str">
        <x:v>USER-0569</x:v>
      </x:c>
      <x:c r="C570" s="10" t="str">
        <x:v>直播</x:v>
      </x:c>
      <x:c r="D570" s="10" t="str">
        <x:v>被禁言（用户）</x:v>
      </x:c>
      <x:c r="E570" s="10" t="str">
        <x:v>功能需求</x:v>
      </x:c>
      <x:c r="F570" s="10" t="str">
        <x:v>P2</x:v>
      </x:c>
      <x:c r="G570" s="9" t="str">
        <x:v>验证同场重进保留禁言</x:v>
      </x:c>
      <x:c r="H570" s="9" t="str">
        <x:v>禁言同场保持</x:v>
      </x:c>
      <x:c r="I570" s="9" t="str">
        <x:v>1. 用户为本条执行者
2. 用户乙在 S001 已被本场禁言，主播仍在直播</x:v>
      </x:c>
      <x:c r="J570" s="9" t="str">
        <x:v>1. 退出 S001
2. 再次打开 S001
3. 查看公屏输入区</x:v>
      </x:c>
      <x:c r="K570" s="9" t="str">
        <x:v>公屏发言入口仍不可用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来源（当前证据）：liveshow-proto/MainBasis/统一需求文档.md；位置：第 1632 行；REQ-d2b99245e75b、第 1629 行
2. 规则：BR-2E7D33472E2D3E
3. 未动态验证
4. 示例账号、编号、金额与日期是本条测试数据；执行前按前置条件准备，未填写的产品决策不得自行假定。</x:v>
      </x:c>
    </x:row>
    <x:row r="571" ht="145" customHeight="1">
      <x:c r="A571" s="10" t="n">
        <x:v>570</x:v>
      </x:c>
      <x:c r="B571" s="10" t="str">
        <x:v>USER-0570</x:v>
      </x:c>
      <x:c r="C571" s="10" t="str">
        <x:v>直播</x:v>
      </x:c>
      <x:c r="D571" s="10" t="str">
        <x:v>被禁言（用户）</x:v>
      </x:c>
      <x:c r="E571" s="10" t="str">
        <x:v>功能需求</x:v>
      </x:c>
      <x:c r="F571" s="10" t="str">
        <x:v>P2</x:v>
      </x:c>
      <x:c r="G571" s="9" t="str">
        <x:v>验证解除本场禁言可立即发言</x:v>
      </x:c>
      <x:c r="H571" s="9" t="str">
        <x:v>解除禁言恢复发言</x:v>
      </x:c>
      <x:c r="I571" s="9" t="str">
        <x:v>1. 用户为本条执行者
2. 用户乙在 S001 已被本场禁言，主播仍在直播
3. 主播甲在测试前已解除乙的本场禁言</x:v>
      </x:c>
      <x:c r="J571" s="9" t="str">
        <x:v>1. 发送公屏文字“解除后消息”</x:v>
      </x:c>
      <x:c r="K571" s="9" t="str">
        <x:v>公屏显示“解除后消息”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来源（当前证据）：liveshow-proto/MainBasis/统一需求文档.md；位置：第 1631 行；REQ-356e381feef2、第 1632 行；REQ-d2b99245e75b、第 1629 行
2. 规则：BR-5CC5D60BB52435
3. 未动态验证
4. 示例账号、编号、金额与日期是本条测试数据；执行前按前置条件准备，未填写的产品决策不得自行假定。</x:v>
      </x:c>
    </x:row>
    <x:row r="572" ht="130" customHeight="1">
      <x:c r="A572" s="10" t="n">
        <x:v>571</x:v>
      </x:c>
      <x:c r="B572" s="10" t="str">
        <x:v>USER-0571</x:v>
      </x:c>
      <x:c r="C572" s="10" t="str">
        <x:v>直播</x:v>
      </x:c>
      <x:c r="D572" s="10" t="str">
        <x:v>密码房·访问受限（巡房人员）</x:v>
      </x:c>
      <x:c r="E572" s="10" t="str">
        <x:v>功能需求</x:v>
      </x:c>
      <x:c r="F572" s="10" t="str">
        <x:v>P2</x:v>
      </x:c>
      <x:c r="G572" s="9" t="str">
        <x:v>验证有效巡房任务豁免密码验证</x:v>
      </x:c>
      <x:c r="H572" s="9" t="str">
        <x:v>有效巡房准入</x:v>
      </x:c>
      <x:c r="I572" s="9" t="str">
        <x:v>1. 巡房人员为本条执行者
2. 巡房测试账号甲未封禁，后台存在甲当前时段的有效巡房任务，任务目标为直播中 S001
3. S001 设置了密码验证限制</x:v>
      </x:c>
      <x:c r="J572" s="9" t="str">
        <x:v>1. 打开任务目标 S001</x:v>
      </x:c>
      <x:c r="K572" s="9" t="str">
        <x:v>进入 S001 直播间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来源（当前证据）：liveshow-proto/MainBasis/统一需求文档.md；位置：第 1638 行；REQ-40ec20ca1e69、第 1636 行
2. 规则：BR-709C8C11843A95
3. 未动态验证
4. 示例账号、编号、金额与日期是本条测试数据；执行前按前置条件准备，未填写的产品决策不得自行假定。</x:v>
      </x:c>
    </x:row>
    <x:row r="573" ht="130" customHeight="1">
      <x:c r="A573" s="10" t="n">
        <x:v>572</x:v>
      </x:c>
      <x:c r="B573" s="10" t="str">
        <x:v>USER-0572</x:v>
      </x:c>
      <x:c r="C573" s="10" t="str">
        <x:v>直播</x:v>
      </x:c>
      <x:c r="D573" s="10" t="str">
        <x:v>密码房·访问受限（巡房人员）</x:v>
      </x:c>
      <x:c r="E573" s="10" t="str">
        <x:v>异常用例</x:v>
      </x:c>
      <x:c r="F573" s="10" t="str">
        <x:v>P1</x:v>
      </x:c>
      <x:c r="G573" s="9" t="str">
        <x:v>验证账号封禁优先于巡房密码验证豁免</x:v>
      </x:c>
      <x:c r="H573" s="9" t="str">
        <x:v>封禁账号无法使用巡房豁免</x:v>
      </x:c>
      <x:c r="I573" s="9" t="str">
        <x:v>1. 巡房人员为本条执行者
2. 巡房账号甲已被封禁，仍有当前时段的任务指向 S001</x:v>
      </x:c>
      <x:c r="J573" s="9" t="str">
        <x:v>1. 打开任务目标 S001</x:v>
      </x:c>
      <x:c r="K573" s="9" t="str">
        <x:v>不能进入 S001 直播间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来源（当前证据）：liveshow-proto/MainBasis/统一需求文档.md；位置：第 1638 行；REQ-40ec20ca1e69、第 1636 行
2. 规则：BR-175930EDEECA54
3. 未动态验证
4. 示例账号、编号、金额与日期是本条测试数据；执行前按前置条件准备，未填写的产品决策不得自行假定。</x:v>
      </x:c>
    </x:row>
    <x:row r="574" ht="130" customHeight="1">
      <x:c r="A574" s="10" t="n">
        <x:v>573</x:v>
      </x:c>
      <x:c r="B574" s="10" t="str">
        <x:v>USER-0573</x:v>
      </x:c>
      <x:c r="C574" s="10" t="str">
        <x:v>直播</x:v>
      </x:c>
      <x:c r="D574" s="10" t="str">
        <x:v>门票房·访问受限（巡房人员）</x:v>
      </x:c>
      <x:c r="E574" s="10" t="str">
        <x:v>功能需求</x:v>
      </x:c>
      <x:c r="F574" s="10" t="str">
        <x:v>P1</x:v>
      </x:c>
      <x:c r="G574" s="9" t="str">
        <x:v>验证有效巡房任务豁免门票支付</x:v>
      </x:c>
      <x:c r="H574" s="9" t="str">
        <x:v>有效巡房准入</x:v>
      </x:c>
      <x:c r="I574" s="9" t="str">
        <x:v>1. 巡房人员为本条执行者
2. 巡房测试账号甲未封禁，后台存在甲当前时段的有效巡房任务，任务目标为直播中 S001
3. S001 设置了门票支付限制</x:v>
      </x:c>
      <x:c r="J574" s="9" t="str">
        <x:v>1. 打开任务目标 S001</x:v>
      </x:c>
      <x:c r="K574" s="9" t="str">
        <x:v>进入 S001 直播间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来源（当前证据）：liveshow-proto/MainBasis/统一需求文档.md；位置：第 1647 行；REQ-c9fb86f8370c、第 1642 行
2. 规则：BR-BA364CB8EF61FB
3. 未动态验证
4. 示例账号、编号、金额与日期是本条测试数据；执行前按前置条件准备，未填写的产品决策不得自行假定。</x:v>
      </x:c>
    </x:row>
    <x:row r="575" ht="130" customHeight="1">
      <x:c r="A575" s="10" t="n">
        <x:v>574</x:v>
      </x:c>
      <x:c r="B575" s="10" t="str">
        <x:v>USER-0574</x:v>
      </x:c>
      <x:c r="C575" s="10" t="str">
        <x:v>直播</x:v>
      </x:c>
      <x:c r="D575" s="10" t="str">
        <x:v>门票房·访问受限（巡房人员）</x:v>
      </x:c>
      <x:c r="E575" s="10" t="str">
        <x:v>异常用例</x:v>
      </x:c>
      <x:c r="F575" s="10" t="str">
        <x:v>P1</x:v>
      </x:c>
      <x:c r="G575" s="9" t="str">
        <x:v>验证账号封禁优先于巡房门票支付豁免</x:v>
      </x:c>
      <x:c r="H575" s="9" t="str">
        <x:v>封禁账号无法使用巡房豁免</x:v>
      </x:c>
      <x:c r="I575" s="9" t="str">
        <x:v>1. 巡房人员为本条执行者
2. 巡房账号甲已被封禁，仍有当前时段的任务指向 S001</x:v>
      </x:c>
      <x:c r="J575" s="9" t="str">
        <x:v>1. 打开任务目标 S001</x:v>
      </x:c>
      <x:c r="K575" s="9" t="str">
        <x:v>不能进入 S001 直播间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来源（当前证据）：liveshow-proto/MainBasis/统一需求文档.md；位置：第 1647 行；REQ-c9fb86f8370c、第 1642 行
2. 规则：BR-529524ED7DAE82
3. 未动态验证
4. 示例账号、编号、金额与日期是本条测试数据；执行前按前置条件准备，未填写的产品决策不得自行假定。</x:v>
      </x:c>
    </x:row>
    <x:row r="576" ht="130" customHeight="1">
      <x:c r="A576" s="10" t="n">
        <x:v>575</x:v>
      </x:c>
      <x:c r="B576" s="10" t="str">
        <x:v>USER-0575</x:v>
      </x:c>
      <x:c r="C576" s="10" t="str">
        <x:v>直播</x:v>
      </x:c>
      <x:c r="D576" s="10" t="str">
        <x:v>非粉丝团成员·访问受限（巡房人员）</x:v>
      </x:c>
      <x:c r="E576" s="10" t="str">
        <x:v>功能需求</x:v>
      </x:c>
      <x:c r="F576" s="10" t="str">
        <x:v>P2</x:v>
      </x:c>
      <x:c r="G576" s="9" t="str">
        <x:v>验证有效巡房任务豁免粉丝团成员准入</x:v>
      </x:c>
      <x:c r="H576" s="9" t="str">
        <x:v>有效巡房准入</x:v>
      </x:c>
      <x:c r="I576" s="9" t="str">
        <x:v>1. 巡房人员为本条执行者
2. 巡房测试账号甲未封禁，后台存在甲当前时段的有效巡房任务，任务目标为直播中 S001
3. S001 设置了粉丝团成员准入限制</x:v>
      </x:c>
      <x:c r="J576" s="9" t="str">
        <x:v>1. 打开任务目标 S001</x:v>
      </x:c>
      <x:c r="K576" s="9" t="str">
        <x:v>进入 S001 直播间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来源（当前证据）：liveshow-proto/MainBasis/统一需求文档.md；位置：第 1656 行；REQ-fe06e09de42d、第 1652 行
2. 规则：BR-CFAC03F8D1AAC6
3. 未动态验证
4. 示例账号、编号、金额与日期是本条测试数据；执行前按前置条件准备，未填写的产品决策不得自行假定。</x:v>
      </x:c>
    </x:row>
    <x:row r="577" ht="130" customHeight="1">
      <x:c r="A577" s="10" t="n">
        <x:v>576</x:v>
      </x:c>
      <x:c r="B577" s="10" t="str">
        <x:v>USER-0576</x:v>
      </x:c>
      <x:c r="C577" s="10" t="str">
        <x:v>直播</x:v>
      </x:c>
      <x:c r="D577" s="10" t="str">
        <x:v>非粉丝团成员·访问受限（巡房人员）</x:v>
      </x:c>
      <x:c r="E577" s="10" t="str">
        <x:v>异常用例</x:v>
      </x:c>
      <x:c r="F577" s="10" t="str">
        <x:v>P1</x:v>
      </x:c>
      <x:c r="G577" s="9" t="str">
        <x:v>验证账号封禁优先于巡房粉丝团成员准入豁免</x:v>
      </x:c>
      <x:c r="H577" s="9" t="str">
        <x:v>封禁账号无法使用巡房豁免</x:v>
      </x:c>
      <x:c r="I577" s="9" t="str">
        <x:v>1. 巡房人员为本条执行者
2. 巡房账号甲已被封禁，仍有当前时段的任务指向 S001</x:v>
      </x:c>
      <x:c r="J577" s="9" t="str">
        <x:v>1. 打开任务目标 S001</x:v>
      </x:c>
      <x:c r="K577" s="9" t="str">
        <x:v>不能进入 S001 直播间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来源（当前证据）：liveshow-proto/MainBasis/统一需求文档.md；位置：第 1656 行；REQ-fe06e09de42d、第 1652 行
2. 规则：BR-A0B870F65EA388
3. 未动态验证
4. 示例账号、编号、金额与日期是本条测试数据；执行前按前置条件准备，未填写的产品决策不得自行假定。</x:v>
      </x:c>
    </x:row>
    <x:row r="578" ht="130" customHeight="1">
      <x:c r="A578" s="10" t="n">
        <x:v>577</x:v>
      </x:c>
      <x:c r="B578" s="10" t="str">
        <x:v>USER-0577</x:v>
      </x:c>
      <x:c r="C578" s="10" t="str">
        <x:v>直播</x:v>
      </x:c>
      <x:c r="D578" s="10" t="str">
        <x:v>被拉黑或踢出·访问受限（巡房人员）</x:v>
      </x:c>
      <x:c r="E578" s="10" t="str">
        <x:v>功能需求</x:v>
      </x:c>
      <x:c r="F578" s="10" t="str">
        <x:v>P2</x:v>
      </x:c>
      <x:c r="G578" s="9" t="str">
        <x:v>验证有效巡房任务豁免拉黑或踢出准入</x:v>
      </x:c>
      <x:c r="H578" s="9" t="str">
        <x:v>有效巡房准入</x:v>
      </x:c>
      <x:c r="I578" s="9" t="str">
        <x:v>1. 巡房人员为本条执行者
2. 巡房测试账号甲未封禁，后台存在甲当前时段的有效巡房任务，任务目标为直播中 S001
3. S001 设置了拉黑或踢出准入限制</x:v>
      </x:c>
      <x:c r="J578" s="9" t="str">
        <x:v>1. 打开任务目标 S001</x:v>
      </x:c>
      <x:c r="K578" s="9" t="str">
        <x:v>进入 S001 直播间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来源（当前证据）：liveshow-proto/MainBasis/统一需求文档.md；位置：第 1662 行；REQ-cdfae3392221、第 1660 行
2. 规则：BR-04AB682F7D378C
3. 未动态验证
4. 示例账号、编号、金额与日期是本条测试数据；执行前按前置条件准备，未填写的产品决策不得自行假定。</x:v>
      </x:c>
    </x:row>
    <x:row r="579" ht="130" customHeight="1">
      <x:c r="A579" s="10" t="n">
        <x:v>578</x:v>
      </x:c>
      <x:c r="B579" s="10" t="str">
        <x:v>USER-0578</x:v>
      </x:c>
      <x:c r="C579" s="10" t="str">
        <x:v>直播</x:v>
      </x:c>
      <x:c r="D579" s="10" t="str">
        <x:v>被拉黑或踢出·访问受限（巡房人员）</x:v>
      </x:c>
      <x:c r="E579" s="10" t="str">
        <x:v>异常用例</x:v>
      </x:c>
      <x:c r="F579" s="10" t="str">
        <x:v>P1</x:v>
      </x:c>
      <x:c r="G579" s="9" t="str">
        <x:v>验证账号封禁优先于巡房拉黑或踢出准入豁免</x:v>
      </x:c>
      <x:c r="H579" s="9" t="str">
        <x:v>封禁账号无法使用巡房豁免</x:v>
      </x:c>
      <x:c r="I579" s="9" t="str">
        <x:v>1. 巡房人员为本条执行者
2. 巡房账号甲已被封禁，仍有当前时段的任务指向 S001</x:v>
      </x:c>
      <x:c r="J579" s="9" t="str">
        <x:v>1. 打开任务目标 S001</x:v>
      </x:c>
      <x:c r="K579" s="9" t="str">
        <x:v>不能进入 S001 直播间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来源（当前证据）：liveshow-proto/MainBasis/统一需求文档.md；位置：第 1662 行；REQ-cdfae3392221、第 1660 行
2. 规则：BR-524B98DCFE45B0
3. 未动态验证
4. 示例账号、编号、金额与日期是本条测试数据；执行前按前置条件准备，未填写的产品决策不得自行假定。</x:v>
      </x:c>
    </x:row>
    <x:row r="580" ht="160" customHeight="1">
      <x:c r="A580" s="10" t="n">
        <x:v>579</x:v>
      </x:c>
      <x:c r="B580" s="10" t="str">
        <x:v>USER-0579</x:v>
      </x:c>
      <x:c r="C580" s="10" t="str">
        <x:v>直播</x:v>
      </x:c>
      <x:c r="D580" s="10" t="str">
        <x:v>密码房·访问受限（用户）</x:v>
      </x:c>
      <x:c r="E580" s="10" t="str">
        <x:v>功能需求</x:v>
      </x:c>
      <x:c r="F580" s="10" t="str">
        <x:v>P2</x:v>
      </x:c>
      <x:c r="G580" s="9" t="str">
        <x:v>验证观众密码输入123</x:v>
      </x:c>
      <x:c r="H580" s="9" t="str">
        <x:v>密码校验提示</x:v>
      </x:c>
      <x:c r="I580" s="9" t="str">
        <x:v>1. 用户为本条执行者
2. 用户甲可登录且满足主播的成员准入要求；S001 密码为1234</x:v>
      </x:c>
      <x:c r="J580" s="9" t="str">
        <x:v>1. 打开 S001
2. 输入密码123
3. 点击确认</x:v>
      </x:c>
      <x:c r="K580" s="9" t="str">
        <x:v>提示“密码必须是4-12个数字”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来源（当前证据）：liveshow-proto/MainBasis/统一需求文档.md；位置：第 1637 行；REQ-cd6f289d70fd、第 1638 行；REQ-40ec20ca1e69、第 1639 行；REQ-2a32a0758d0d、第 1636 行
2. 规则：BR-BE8A2FC4B4A92B
3. 未动态验证
4. 示例账号、编号、金额与日期是本条测试数据；执行前按前置条件准备，未填写的产品决策不得自行假定。</x:v>
      </x:c>
    </x:row>
    <x:row r="581" ht="160" customHeight="1">
      <x:c r="A581" s="10" t="n">
        <x:v>580</x:v>
      </x:c>
      <x:c r="B581" s="10" t="str">
        <x:v>USER-0580</x:v>
      </x:c>
      <x:c r="C581" s="10" t="str">
        <x:v>直播</x:v>
      </x:c>
      <x:c r="D581" s="10" t="str">
        <x:v>密码房·访问受限（用户）</x:v>
      </x:c>
      <x:c r="E581" s="10" t="str">
        <x:v>功能需求</x:v>
      </x:c>
      <x:c r="F581" s="10" t="str">
        <x:v>P2</x:v>
      </x:c>
      <x:c r="G581" s="9" t="str">
        <x:v>验证观众密码输入123</x:v>
      </x:c>
      <x:c r="H581" s="9" t="str">
        <x:v>密码校验保留输入</x:v>
      </x:c>
      <x:c r="I581" s="9" t="str">
        <x:v>1. 用户为本条执行者
2. 用户甲可登录且满足主播的成员准入要求；S001 密码为1234</x:v>
      </x:c>
      <x:c r="J581" s="9" t="str">
        <x:v>1. 打开 S001
2. 输入密码123
3. 点击确认</x:v>
      </x:c>
      <x:c r="K581" s="9" t="str">
        <x:v>输入框仍显示123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来源（当前证据）：liveshow-proto/MainBasis/统一需求文档.md；位置：第 1637 行；REQ-cd6f289d70fd、第 1638 行；REQ-40ec20ca1e69、第 1639 行；REQ-2a32a0758d0d、第 1636 行
2. 规则：BR-41CE7A937CAC1C
3. 未动态验证
4. 示例账号、编号、金额与日期是本条测试数据；执行前按前置条件准备，未填写的产品决策不得自行假定。</x:v>
      </x:c>
    </x:row>
    <x:row r="582" ht="160" customHeight="1">
      <x:c r="A582" s="10" t="n">
        <x:v>581</x:v>
      </x:c>
      <x:c r="B582" s="10" t="str">
        <x:v>USER-0581</x:v>
      </x:c>
      <x:c r="C582" s="10" t="str">
        <x:v>直播</x:v>
      </x:c>
      <x:c r="D582" s="10" t="str">
        <x:v>密码房·访问受限（用户）</x:v>
      </x:c>
      <x:c r="E582" s="10" t="str">
        <x:v>功能需求</x:v>
      </x:c>
      <x:c r="F582" s="10" t="str">
        <x:v>P2</x:v>
      </x:c>
      <x:c r="G582" s="9" t="str">
        <x:v>验证观众密码输入12ab</x:v>
      </x:c>
      <x:c r="H582" s="9" t="str">
        <x:v>密码校验提示</x:v>
      </x:c>
      <x:c r="I582" s="9" t="str">
        <x:v>1. 用户为本条执行者
2. 用户甲可登录且满足主播的成员准入要求；S001 密码为1234</x:v>
      </x:c>
      <x:c r="J582" s="9" t="str">
        <x:v>1. 打开 S001
2. 输入密码12ab
3. 点击确认</x:v>
      </x:c>
      <x:c r="K582" s="9" t="str">
        <x:v>提示“密码必须是4-12个数字”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来源（当前证据）：liveshow-proto/MainBasis/统一需求文档.md；位置：第 1637 行；REQ-cd6f289d70fd、第 1638 行；REQ-40ec20ca1e69、第 1639 行；REQ-2a32a0758d0d、第 1636 行
2. 规则：BR-503020082B2AD0
3. 未动态验证
4. 示例账号、编号、金额与日期是本条测试数据；执行前按前置条件准备，未填写的产品决策不得自行假定。</x:v>
      </x:c>
    </x:row>
    <x:row r="583" ht="160" customHeight="1">
      <x:c r="A583" s="10" t="n">
        <x:v>582</x:v>
      </x:c>
      <x:c r="B583" s="10" t="str">
        <x:v>USER-0582</x:v>
      </x:c>
      <x:c r="C583" s="10" t="str">
        <x:v>直播</x:v>
      </x:c>
      <x:c r="D583" s="10" t="str">
        <x:v>密码房·访问受限（用户）</x:v>
      </x:c>
      <x:c r="E583" s="10" t="str">
        <x:v>功能需求</x:v>
      </x:c>
      <x:c r="F583" s="10" t="str">
        <x:v>P2</x:v>
      </x:c>
      <x:c r="G583" s="9" t="str">
        <x:v>验证观众密码输入12ab</x:v>
      </x:c>
      <x:c r="H583" s="9" t="str">
        <x:v>密码校验保留输入</x:v>
      </x:c>
      <x:c r="I583" s="9" t="str">
        <x:v>1. 用户为本条执行者
2. 用户甲可登录且满足主播的成员准入要求；S001 密码为1234</x:v>
      </x:c>
      <x:c r="J583" s="9" t="str">
        <x:v>1. 打开 S001
2. 输入密码12ab
3. 点击确认</x:v>
      </x:c>
      <x:c r="K583" s="9" t="str">
        <x:v>输入框仍显示12ab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来源（当前证据）：liveshow-proto/MainBasis/统一需求文档.md；位置：第 1637 行；REQ-cd6f289d70fd、第 1638 行；REQ-40ec20ca1e69、第 1639 行；REQ-2a32a0758d0d、第 1636 行
2. 规则：BR-D44413F66BC2EF
3. 未动态验证
4. 示例账号、编号、金额与日期是本条测试数据；执行前按前置条件准备，未填写的产品决策不得自行假定。</x:v>
      </x:c>
    </x:row>
    <x:row r="584" ht="160" customHeight="1">
      <x:c r="A584" s="10" t="n">
        <x:v>583</x:v>
      </x:c>
      <x:c r="B584" s="10" t="str">
        <x:v>USER-0583</x:v>
      </x:c>
      <x:c r="C584" s="10" t="str">
        <x:v>直播</x:v>
      </x:c>
      <x:c r="D584" s="10" t="str">
        <x:v>密码房·访问受限（用户）</x:v>
      </x:c>
      <x:c r="E584" s="10" t="str">
        <x:v>功能需求</x:v>
      </x:c>
      <x:c r="F584" s="10" t="str">
        <x:v>P2</x:v>
      </x:c>
      <x:c r="G584" s="9" t="str">
        <x:v>验证观众密码输入9999</x:v>
      </x:c>
      <x:c r="H584" s="9" t="str">
        <x:v>密码校验提示</x:v>
      </x:c>
      <x:c r="I584" s="9" t="str">
        <x:v>1. 用户为本条执行者
2. 用户甲可登录且满足主播的成员准入要求；S001 密码为1234</x:v>
      </x:c>
      <x:c r="J584" s="9" t="str">
        <x:v>1. 打开 S001
2. 输入密码9999
3. 点击确认</x:v>
      </x:c>
      <x:c r="K584" s="9" t="str">
        <x:v>提示“密码错误，请重新输入”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来源（当前证据）：liveshow-proto/MainBasis/统一需求文档.md；位置：第 1637 行；REQ-cd6f289d70fd、第 1638 行；REQ-40ec20ca1e69、第 1639 行；REQ-2a32a0758d0d、第 1636 行
2. 规则：BR-077C6D69E1D52B
3. 未动态验证
4. 示例账号、编号、金额与日期是本条测试数据；执行前按前置条件准备，未填写的产品决策不得自行假定。</x:v>
      </x:c>
    </x:row>
    <x:row r="585" ht="160" customHeight="1">
      <x:c r="A585" s="10" t="n">
        <x:v>584</x:v>
      </x:c>
      <x:c r="B585" s="10" t="str">
        <x:v>USER-0584</x:v>
      </x:c>
      <x:c r="C585" s="10" t="str">
        <x:v>直播</x:v>
      </x:c>
      <x:c r="D585" s="10" t="str">
        <x:v>密码房·访问受限（用户）</x:v>
      </x:c>
      <x:c r="E585" s="10" t="str">
        <x:v>功能需求</x:v>
      </x:c>
      <x:c r="F585" s="10" t="str">
        <x:v>P2</x:v>
      </x:c>
      <x:c r="G585" s="9" t="str">
        <x:v>验证观众密码输入9999</x:v>
      </x:c>
      <x:c r="H585" s="9" t="str">
        <x:v>密码校验保留输入</x:v>
      </x:c>
      <x:c r="I585" s="9" t="str">
        <x:v>1. 用户为本条执行者
2. 用户甲可登录且满足主播的成员准入要求；S001 密码为1234</x:v>
      </x:c>
      <x:c r="J585" s="9" t="str">
        <x:v>1. 打开 S001
2. 输入密码9999
3. 点击确认</x:v>
      </x:c>
      <x:c r="K585" s="9" t="str">
        <x:v>输入框仍显示9999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来源（当前证据）：liveshow-proto/MainBasis/统一需求文档.md；位置：第 1637 行；REQ-cd6f289d70fd、第 1638 行；REQ-40ec20ca1e69、第 1639 行；REQ-2a32a0758d0d、第 1636 行
2. 规则：BR-40509F9EE72CFA
3. 未动态验证
4. 示例账号、编号、金额与日期是本条测试数据；执行前按前置条件准备，未填写的产品决策不得自行假定。</x:v>
      </x:c>
    </x:row>
    <x:row r="586" ht="130" customHeight="1">
      <x:c r="A586" s="10" t="n">
        <x:v>585</x:v>
      </x:c>
      <x:c r="B586" s="10" t="str">
        <x:v>USER-0585</x:v>
      </x:c>
      <x:c r="C586" s="10" t="str">
        <x:v>直播</x:v>
      </x:c>
      <x:c r="D586" s="10" t="str">
        <x:v>门票房·访问受限（用户）</x:v>
      </x:c>
      <x:c r="E586" s="10" t="str">
        <x:v>功能需求</x:v>
      </x:c>
      <x:c r="F586" s="10" t="str">
        <x:v>P1</x:v>
      </x:c>
      <x:c r="G586" s="9" t="str">
        <x:v>验证支付前不可观看实际直播内容</x:v>
      </x:c>
      <x:c r="H586" s="9" t="str">
        <x:v>门票支付前保护直播内容</x:v>
      </x:c>
      <x:c r="I586" s="9" t="str">
        <x:v>1. 用户为本条执行者
2. 普通用户甲未购买 S001 门票</x:v>
      </x:c>
      <x:c r="J586" s="9" t="str">
        <x:v>1. 打开 S001 门票房</x:v>
      </x:c>
      <x:c r="K586" s="9" t="str">
        <x:v>看不到 S001 的实际直播画面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来源（当前证据）：liveshow-proto/MainBasis/统一需求文档.md；位置：第 1646 行；REQ-1cfb42cb266a、第 1642 行
2. 规则：BR-398FFDF4212CF7
3. 未动态验证
4. 示例账号、编号、金额与日期是本条测试数据；执行前按前置条件准备，未填写的产品决策不得自行假定。</x:v>
      </x:c>
    </x:row>
    <x:row r="587" ht="130" customHeight="1">
      <x:c r="A587" s="10" t="n">
        <x:v>586</x:v>
      </x:c>
      <x:c r="B587" s="10" t="str">
        <x:v>USER-0586</x:v>
      </x:c>
      <x:c r="C587" s="10" t="str">
        <x:v>直播</x:v>
      </x:c>
      <x:c r="D587" s="10" t="str">
        <x:v>门票房·访问受限（用户）</x:v>
      </x:c>
      <x:c r="E587" s="10" t="str">
        <x:v>功能需求</x:v>
      </x:c>
      <x:c r="F587" s="10" t="str">
        <x:v>P2</x:v>
      </x:c>
      <x:c r="G587" s="9" t="str">
        <x:v>验证取消门票返回来源页</x:v>
      </x:c>
      <x:c r="H587" s="9" t="str">
        <x:v>取消门票后的去向</x:v>
      </x:c>
      <x:c r="I587" s="9" t="str">
        <x:v>1. 用户为本条执行者
2. 普通用户甲未购买 S001 门票
3. 用户甲从直播广场打开 S001</x:v>
      </x:c>
      <x:c r="J587" s="9" t="str">
        <x:v>1. 点击取消</x:v>
      </x:c>
      <x:c r="K587" s="9" t="str">
        <x:v>返回直播广场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来源（当前证据）：liveshow-proto/MainBasis/统一需求文档.md；位置：第 1649 行；REQ-897e4e886499、第 1642 行
2. 规则：BR-ECB94A2F453556
3. 未动态验证
4. 示例账号、编号、金额与日期是本条测试数据；执行前按前置条件准备，未填写的产品决策不得自行假定。</x:v>
      </x:c>
    </x:row>
    <x:row r="588" ht="130" customHeight="1">
      <x:c r="A588" s="10" t="n">
        <x:v>587</x:v>
      </x:c>
      <x:c r="B588" s="10" t="str">
        <x:v>USER-0587</x:v>
      </x:c>
      <x:c r="C588" s="10" t="str">
        <x:v>直播</x:v>
      </x:c>
      <x:c r="D588" s="10" t="str">
        <x:v>非粉丝团成员·访问受限（用户）</x:v>
      </x:c>
      <x:c r="E588" s="10" t="str">
        <x:v>功能需求</x:v>
      </x:c>
      <x:c r="F588" s="10" t="str">
        <x:v>P2</x:v>
      </x:c>
      <x:c r="G588" s="9" t="str">
        <x:v>验证非成员受限时提供明确原因</x:v>
      </x:c>
      <x:c r="H588" s="9" t="str">
        <x:v>成员准入原因</x:v>
      </x:c>
      <x:c r="I588" s="9" t="str">
        <x:v>1. 用户为本条执行者
2. 用户甲不是主播乙粉丝团成员，乙开启仅粉丝团成员可进入</x:v>
      </x:c>
      <x:c r="J588" s="9" t="str">
        <x:v>1. 打开乙的直播卡片</x:v>
      </x:c>
      <x:c r="K588" s="9" t="str">
        <x:v>显示“访问直播间需先加入主播粉丝团”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来源（当前证据）：liveshow-proto/MainBasis/统一需求文档.md；位置：第 1657 行；REQ-10710e09600b、第 1652 行
2. 规则：BR-C4E3CEBBE87DA2
3. 未动态验证
4. 示例账号、编号、金额与日期是本条测试数据；执行前按前置条件准备，未填写的产品决策不得自行假定。</x:v>
      </x:c>
    </x:row>
    <x:row r="589" ht="160" customHeight="1">
      <x:c r="A589" s="10" t="n">
        <x:v>588</x:v>
      </x:c>
      <x:c r="B589" s="10" t="str">
        <x:v>USER-0588</x:v>
      </x:c>
      <x:c r="C589" s="10" t="str">
        <x:v>直播</x:v>
      </x:c>
      <x:c r="D589" s="10" t="str">
        <x:v>房间密码（用户）</x:v>
      </x:c>
      <x:c r="E589" s="10" t="str">
        <x:v>功能需求</x:v>
      </x:c>
      <x:c r="F589" s="10" t="str">
        <x:v>P2</x:v>
      </x:c>
      <x:c r="G589" s="9" t="str">
        <x:v>验证改密码不影响已在线观众</x:v>
      </x:c>
      <x:c r="H589" s="9" t="str">
        <x:v>改密码保留已在线观众</x:v>
      </x:c>
      <x:c r="I589" s="9" t="str">
        <x:v>1. 用户为本条执行者
2. 主播甲当前密码房 S001 密码1234，用户乙已使用1234进入</x:v>
      </x:c>
      <x:c r="J589" s="9" t="str">
        <x:v>1. 打开房间密码设置
2. 输入5678
3. 点击确认
4. 查看在线观众乙</x:v>
      </x:c>
      <x:c r="K589" s="9" t="str">
        <x:v>乙仍在 S001 在线观众列表中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来源（当前证据）：liveshow-proto/MainBasis/统一需求文档.md；位置：第 1877 行；REQ-a4b2f7b4767c、第 1878 行；REQ-09b3f94b60db、第 1879 行；REQ-20f02ee2cc80、第 1876 行
2. 规则：BR-81F74963D57DEE
3. 未动态验证
4. 示例账号、编号、金额与日期是本条测试数据；执行前按前置条件准备，未填写的产品决策不得自行假定。</x:v>
      </x:c>
    </x:row>
    <x:row r="590" ht="130" customHeight="1">
      <x:c r="A590" s="10" t="n">
        <x:v>589</x:v>
      </x:c>
      <x:c r="B590" s="10" t="str">
        <x:v>USER-0589</x:v>
      </x:c>
      <x:c r="C590" s="10" t="str">
        <x:v>直播</x:v>
      </x:c>
      <x:c r="D590" s="10" t="str">
        <x:v>房间密码（用户）</x:v>
      </x:c>
      <x:c r="E590" s="10" t="str">
        <x:v>功能需求</x:v>
      </x:c>
      <x:c r="F590" s="10" t="str">
        <x:v>P2</x:v>
      </x:c>
      <x:c r="G590" s="9" t="str">
        <x:v>验证取消密码修改保留原密码</x:v>
      </x:c>
      <x:c r="H590" s="9" t="str">
        <x:v>密码修改取消</x:v>
      </x:c>
      <x:c r="I590" s="9" t="str">
        <x:v>1. 用户为本条执行者
2. 主播甲当前密码房 S001 密码1234，用户乙已使用1234进入</x:v>
      </x:c>
      <x:c r="J590" s="9" t="str">
        <x:v>1. 打开房间密码设置
2. 输入5678
3. 点击取消
4. 重新打开房间密码设置</x:v>
      </x:c>
      <x:c r="K590" s="9" t="str">
        <x:v>房间密码仍为1234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来源（当前证据）：liveshow-proto/MainBasis/统一需求文档.md；位置：第 1879 行；REQ-20f02ee2cc80、第 1876 行
2. 规则：BR-1B171767EB8DAF
3. 未动态验证
4. 示例账号、编号、金额与日期是本条测试数据；执行前按前置条件准备，未填写的产品决策不得自行假定。</x:v>
      </x:c>
    </x:row>
    <x:row r="591" ht="130" customHeight="1">
      <x:c r="A591" s="10" t="n">
        <x:v>590</x:v>
      </x:c>
      <x:c r="B591" s="10" t="str">
        <x:v>USER-0590</x:v>
      </x:c>
      <x:c r="C591" s="10" t="str">
        <x:v>直播</x:v>
      </x:c>
      <x:c r="D591" s="10" t="str">
        <x:v>访问范围（用户）</x:v>
      </x:c>
      <x:c r="E591" s="10" t="str">
        <x:v>功能需求</x:v>
      </x:c>
      <x:c r="F591" s="10" t="str">
        <x:v>P2</x:v>
      </x:c>
      <x:c r="G591" s="9" t="str">
        <x:v>验证开启成员限制不踢出当前非成员</x:v>
      </x:c>
      <x:c r="H591" s="9" t="str">
        <x:v>成员限制变更保留当前在线观众</x:v>
      </x:c>
      <x:c r="I591" s="9" t="str">
        <x:v>1. 用户为本条执行者
2. 主播甲已有粉丝团，当前成员限制关闭，非成员乙已在 S001 在线</x:v>
      </x:c>
      <x:c r="J591" s="9" t="str">
        <x:v>1. 打开访问范围
2. 开启仅粉丝团成员可进入
3. 点击确认
4. 查看在线观众乙</x:v>
      </x:c>
      <x:c r="K591" s="9" t="str">
        <x:v>乙仍在 S001 在线观众列表中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来源（当前证据）：liveshow-proto/MainBasis/统一需求文档.md；位置：第 1886 行；REQ-9ff44d48307f、第 1882 行
2. 规则：BR-7512A5CA6F784D
3. 未动态验证
4. 示例账号、编号、金额与日期是本条测试数据；执行前按前置条件准备，未填写的产品决策不得自行假定。</x:v>
      </x:c>
    </x:row>
    <x:row r="592" ht="145" customHeight="1">
      <x:c r="A592" s="10" t="n">
        <x:v>591</x:v>
      </x:c>
      <x:c r="B592" s="10" t="str">
        <x:v>USER-0591</x:v>
      </x:c>
      <x:c r="C592" s="10" t="str">
        <x:v>直播</x:v>
      </x:c>
      <x:c r="D592" s="10" t="str">
        <x:v>更多功能（用户）（用户）</x:v>
      </x:c>
      <x:c r="E592" s="10" t="str">
        <x:v>功能需求</x:v>
      </x:c>
      <x:c r="F592" s="10" t="str">
        <x:v>P2</x:v>
      </x:c>
      <x:c r="G592" s="9" t="str">
        <x:v>验证清屏仅清除本设备公屏</x:v>
      </x:c>
      <x:c r="H592" s="9" t="str">
        <x:v>本设备清屏</x:v>
      </x:c>
      <x:c r="I592" s="9" t="str">
        <x:v>1. 用户为本条执行者
2. 执行账号甲在 S001，当前设备有评论“消息甲”，另一设备乙也看到该评论</x:v>
      </x:c>
      <x:c r="J592" s="9" t="str">
        <x:v>1. 打开更多功能
2. 点击清屏
3. 查看当前公屏</x:v>
      </x:c>
      <x:c r="K592" s="9" t="str">
        <x:v>本设备公屏不再显示“消息甲”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来源（当前证据）：liveshow-proto/MainBasis/统一需求文档.md；位置：第 1735 行；REQ-21c978d77e36、第 1736 行；REQ-5595f6c46cc3、第 1732 行
2. 规则：BR-EF622F74B49018
3. 未动态验证
4. 示例账号、编号、金额与日期是本条测试数据；执行前按前置条件准备，未填写的产品决策不得自行假定。</x:v>
      </x:c>
    </x:row>
    <x:row r="593" ht="145" customHeight="1">
      <x:c r="A593" s="10" t="n">
        <x:v>592</x:v>
      </x:c>
      <x:c r="B593" s="10" t="str">
        <x:v>USER-0592</x:v>
      </x:c>
      <x:c r="C593" s="10" t="str">
        <x:v>直播</x:v>
      </x:c>
      <x:c r="D593" s="10" t="str">
        <x:v>更多功能（用户）（用户）</x:v>
      </x:c>
      <x:c r="E593" s="10" t="str">
        <x:v>功能需求</x:v>
      </x:c>
      <x:c r="F593" s="10" t="str">
        <x:v>P2</x:v>
      </x:c>
      <x:c r="G593" s="9" t="str">
        <x:v>验证清屏不删除其他设备消息</x:v>
      </x:c>
      <x:c r="H593" s="9" t="str">
        <x:v>其他设备清屏不影响本设备</x:v>
      </x:c>
      <x:c r="I593" s="9" t="str">
        <x:v>1. 用户为本条执行者
2. 执行账号甲在 S001，当前设备有评论“消息甲”，另一设备乙也看到该评论
3. 配合账号丙已在同场自己的设备点击清屏</x:v>
      </x:c>
      <x:c r="J593" s="9" t="str">
        <x:v>1. 查看本设备公屏</x:v>
      </x:c>
      <x:c r="K593" s="9" t="str">
        <x:v>本设备仍显示“消息甲”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来源（当前证据）：liveshow-proto/MainBasis/统一需求文档.md；位置：第 1735 行；REQ-21c978d77e36、第 1736 行；REQ-5595f6c46cc3、第 1732 行
2. 规则：BR-D9E726FC12B289
3. 未动态验证
4. 示例账号、编号、金额与日期是本条测试数据；执行前按前置条件准备，未填写的产品决策不得自行假定。</x:v>
      </x:c>
    </x:row>
    <x:row r="594" ht="130" customHeight="1">
      <x:c r="A594" s="10" t="n">
        <x:v>593</x:v>
      </x:c>
      <x:c r="B594" s="10" t="str">
        <x:v>USER-0593</x:v>
      </x:c>
      <x:c r="C594" s="10" t="str">
        <x:v>直播</x:v>
      </x:c>
      <x:c r="D594" s="10" t="str">
        <x:v>更多功能（主播）</x:v>
      </x:c>
      <x:c r="E594" s="10" t="str">
        <x:v>功能需求</x:v>
      </x:c>
      <x:c r="F594" s="10" t="str">
        <x:v>P2</x:v>
      </x:c>
      <x:c r="G594" s="9" t="str">
        <x:v>验证清屏仅清除本设备公屏</x:v>
      </x:c>
      <x:c r="H594" s="9" t="str">
        <x:v>本设备清屏</x:v>
      </x:c>
      <x:c r="I594" s="9" t="str">
        <x:v>1. 主播为本条执行者
2. 执行账号甲在 S001，当前设备有评论“消息甲”，另一设备乙也看到该评论</x:v>
      </x:c>
      <x:c r="J594" s="9" t="str">
        <x:v>1. 打开更多功能
2. 点击清屏
3. 查看当前公屏</x:v>
      </x:c>
      <x:c r="K594" s="9" t="str">
        <x:v>本设备公屏不再显示“消息甲”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来源（当前证据）：liveshow-proto/MainBasis/统一需求文档.md；位置：第 1860 行；REQ-a85d012601bf、第 1856 行
2. 规则：BR-96771039DE4C8F
3. 未动态验证
4. 示例账号、编号、金额与日期是本条测试数据；执行前按前置条件准备，未填写的产品决策不得自行假定。</x:v>
      </x:c>
    </x:row>
    <x:row r="595" ht="130" customHeight="1">
      <x:c r="A595" s="10" t="n">
        <x:v>594</x:v>
      </x:c>
      <x:c r="B595" s="10" t="str">
        <x:v>USER-0594</x:v>
      </x:c>
      <x:c r="C595" s="10" t="str">
        <x:v>直播</x:v>
      </x:c>
      <x:c r="D595" s="10" t="str">
        <x:v>更多功能（主播）</x:v>
      </x:c>
      <x:c r="E595" s="10" t="str">
        <x:v>功能需求</x:v>
      </x:c>
      <x:c r="F595" s="10" t="str">
        <x:v>P2</x:v>
      </x:c>
      <x:c r="G595" s="9" t="str">
        <x:v>验证清屏不删除其他设备消息</x:v>
      </x:c>
      <x:c r="H595" s="9" t="str">
        <x:v>其他设备清屏不影响本设备</x:v>
      </x:c>
      <x:c r="I595" s="9" t="str">
        <x:v>1. 主播为本条执行者
2. 执行账号甲在 S001，当前设备有评论“消息甲”，另一设备乙也看到该评论
3. 配合账号丙已在同场自己的设备点击清屏</x:v>
      </x:c>
      <x:c r="J595" s="9" t="str">
        <x:v>1. 查看本设备公屏</x:v>
      </x:c>
      <x:c r="K595" s="9" t="str">
        <x:v>本设备仍显示“消息甲”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来源（当前证据）：liveshow-proto/MainBasis/统一需求文档.md；位置：第 1860 行；REQ-a85d012601bf、第 1856 行
2. 规则：BR-88432715C29A1D
3. 未动态验证
4. 示例账号、编号、金额与日期是本条测试数据；执行前按前置条件准备，未填写的产品决策不得自行假定。</x:v>
      </x:c>
    </x:row>
    <x:row r="596" ht="145" customHeight="1">
      <x:c r="A596" s="10" t="n">
        <x:v>595</x:v>
      </x:c>
      <x:c r="B596" s="10" t="str">
        <x:v>USER-0595</x:v>
      </x:c>
      <x:c r="C596" s="10" t="str">
        <x:v>直播</x:v>
      </x:c>
      <x:c r="D596" s="10" t="str">
        <x:v>恢复发言确认（主播）</x:v>
      </x:c>
      <x:c r="E596" s="10" t="str">
        <x:v>功能需求</x:v>
      </x:c>
      <x:c r="F596" s="10" t="str">
        <x:v>P2</x:v>
      </x:c>
      <x:c r="G596" s="9" t="str">
        <x:v>验证确认恢复乙发言</x:v>
      </x:c>
      <x:c r="H596" s="9" t="str">
        <x:v>恢复发言确认结果</x:v>
      </x:c>
      <x:c r="I596" s="9" t="str">
        <x:v>1. 主播为本条执行者
2. 主播甲正在 S001 直播，观众乙已被本场禁言</x:v>
      </x:c>
      <x:c r="J596" s="9" t="str">
        <x:v>1. 打开乙的恢复发言确认
2. 点击确认
3. 查看禁言列表</x:v>
      </x:c>
      <x:c r="K596" s="9" t="str">
        <x:v>禁言列表不再包含乙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来源（当前证据）：liveshow-proto/MainBasis/统一需求文档.md；位置：第 1792 行；REQ-0ef5361aead4、第 1793 行；REQ-26841d4c5bb2、第 1791 行
2. 规则：BR-05C69B8587508D
3. 未动态验证
4. 示例账号、编号、金额与日期是本条测试数据；执行前按前置条件准备，未填写的产品决策不得自行假定。</x:v>
      </x:c>
    </x:row>
    <x:row r="597" ht="145" customHeight="1">
      <x:c r="A597" s="10" t="n">
        <x:v>596</x:v>
      </x:c>
      <x:c r="B597" s="10" t="str">
        <x:v>USER-0596</x:v>
      </x:c>
      <x:c r="C597" s="10" t="str">
        <x:v>直播</x:v>
      </x:c>
      <x:c r="D597" s="10" t="str">
        <x:v>恢复发言确认（主播）</x:v>
      </x:c>
      <x:c r="E597" s="10" t="str">
        <x:v>功能需求</x:v>
      </x:c>
      <x:c r="F597" s="10" t="str">
        <x:v>P2</x:v>
      </x:c>
      <x:c r="G597" s="9" t="str">
        <x:v>验证取消恢复乙发言</x:v>
      </x:c>
      <x:c r="H597" s="9" t="str">
        <x:v>恢复发言确认结果</x:v>
      </x:c>
      <x:c r="I597" s="9" t="str">
        <x:v>1. 主播为本条执行者
2. 主播甲正在 S001 直播，观众乙已被本场禁言</x:v>
      </x:c>
      <x:c r="J597" s="9" t="str">
        <x:v>1. 打开乙的恢复发言确认
2. 点击取消
3. 查看禁言列表</x:v>
      </x:c>
      <x:c r="K597" s="9" t="str">
        <x:v>禁言列表仍包含乙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来源（当前证据）：liveshow-proto/MainBasis/统一需求文档.md；位置：第 1792 行；REQ-0ef5361aead4、第 1793 行；REQ-26841d4c5bb2、第 1791 行
2. 规则：BR-854373F4946323
3. 未动态验证
4. 示例账号、编号、金额与日期是本条测试数据；执行前按前置条件准备，未填写的产品决策不得自行假定。</x:v>
      </x:c>
    </x:row>
    <x:row r="598" ht="130" customHeight="1">
      <x:c r="A598" s="10" t="n">
        <x:v>597</x:v>
      </x:c>
      <x:c r="B598" s="10" t="str">
        <x:v>USER-0597</x:v>
      </x:c>
      <x:c r="C598" s="10" t="str">
        <x:v>直播</x:v>
      </x:c>
      <x:c r="D598" s="10" t="str">
        <x:v>恢复发言确认（主播）</x:v>
      </x:c>
      <x:c r="E598" s="10" t="str">
        <x:v>异常用例</x:v>
      </x:c>
      <x:c r="F598" s="10" t="str">
        <x:v>P2</x:v>
      </x:c>
      <x:c r="G598" s="9" t="str">
        <x:v>验证恢复发言请求失败保留禁言</x:v>
      </x:c>
      <x:c r="H598" s="9" t="str">
        <x:v>恢复发言失败提示</x:v>
      </x:c>
      <x:c r="I598" s="9" t="str">
        <x:v>1. 主播为本条执行者
2. 主播甲正在 S001 直播，观众乙已被本场禁言
3. 测试环境使解除禁言请求失败</x:v>
      </x:c>
      <x:c r="J598" s="9" t="str">
        <x:v>1. 打开乙的恢复发言确认
2. 点击确认</x:v>
      </x:c>
      <x:c r="K598" s="9" t="str">
        <x:v>提示“请求失败”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来源（当前证据）：liveshow-proto/MainBasis/统一需求文档.md；位置：第 1793 行；REQ-26841d4c5bb2、第 1791 行
2. 规则：BR-415BE3A1511F74
3. 未动态验证
4. 示例账号、编号、金额与日期是本条测试数据；执行前按前置条件准备，未填写的产品决策不得自行假定。</x:v>
      </x:c>
    </x:row>
    <x:row r="599" ht="160" customHeight="1">
      <x:c r="A599" s="10" t="n">
        <x:v>598</x:v>
      </x:c>
      <x:c r="B599" s="10" t="str">
        <x:v>USER-0598</x:v>
      </x:c>
      <x:c r="C599" s="10" t="str">
        <x:v>直播</x:v>
      </x:c>
      <x:c r="D599" s="10" t="str">
        <x:v>快捷答谢（主播）</x:v>
      </x:c>
      <x:c r="E599" s="10" t="str">
        <x:v>功能需求</x:v>
      </x:c>
      <x:c r="F599" s="10" t="str">
        <x:v>P2</x:v>
      </x:c>
      <x:c r="G599" s="9" t="str">
        <x:v>验证快捷感谢仅预填公屏输入内容</x:v>
      </x:c>
      <x:c r="H599" s="9" t="str">
        <x:v>感谢预填内容</x:v>
      </x:c>
      <x:c r="I599" s="9" t="str">
        <x:v>1. 主播为本条执行者
2. 主播甲正在直播，用户乙昵称为“测试乙”，刚成功送礼</x:v>
      </x:c>
      <x:c r="J599" s="9" t="str">
        <x:v>1. 打开用户乙资料卡
2. 点击快捷感谢</x:v>
      </x:c>
      <x:c r="K599" s="9" t="str">
        <x:v>公屏输入框显示“@测试乙 谢谢你送的礼物！”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来源（当前证据）：liveshow-proto/MainBasis/统一需求文档.md；位置：第 1810 行；REQ-29f1904d9d95、第 1811 行；REQ-255b690d719b、第 1812 行；REQ-c99d1c5027bc、第 1808 行
2. 规则：BR-D8C59631C5ECE9
3. 未动态验证
4. 示例账号、编号、金额与日期是本条测试数据；执行前按前置条件准备，未填写的产品决策不得自行假定。</x:v>
      </x:c>
    </x:row>
    <x:row r="600" ht="160" customHeight="1">
      <x:c r="A600" s="10" t="n">
        <x:v>599</x:v>
      </x:c>
      <x:c r="B600" s="10" t="str">
        <x:v>USER-0599</x:v>
      </x:c>
      <x:c r="C600" s="10" t="str">
        <x:v>直播</x:v>
      </x:c>
      <x:c r="D600" s="10" t="str">
        <x:v>快捷答谢（主播）</x:v>
      </x:c>
      <x:c r="E600" s="10" t="str">
        <x:v>功能需求</x:v>
      </x:c>
      <x:c r="F600" s="10" t="str">
        <x:v>P2</x:v>
      </x:c>
      <x:c r="G600" s="9" t="str">
        <x:v>验证快捷感谢仅预填公屏输入内容</x:v>
      </x:c>
      <x:c r="H600" s="9" t="str">
        <x:v>感谢不自动发送</x:v>
      </x:c>
      <x:c r="I600" s="9" t="str">
        <x:v>1. 主播为本条执行者
2. 主播甲正在直播，用户乙昵称为“测试乙”，刚成功送礼</x:v>
      </x:c>
      <x:c r="J600" s="9" t="str">
        <x:v>1. 打开用户乙资料卡
2. 点击快捷感谢</x:v>
      </x:c>
      <x:c r="K600" s="9" t="str">
        <x:v>公屏尚未出现该感谢消息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来源（当前证据）：liveshow-proto/MainBasis/统一需求文档.md；位置：第 1810 行；REQ-29f1904d9d95、第 1811 行；REQ-255b690d719b、第 1812 行；REQ-c99d1c5027bc、第 1808 行
2. 规则：BR-69AB6A6CCF295B
3. 未动态验证
4. 示例账号、编号、金额与日期是本条测试数据；执行前按前置条件准备，未填写的产品决策不得自行假定。</x:v>
      </x:c>
    </x:row>
    <x:row r="601" ht="160" customHeight="1">
      <x:c r="A601" s="10" t="n">
        <x:v>600</x:v>
      </x:c>
      <x:c r="B601" s="10" t="str">
        <x:v>USER-0600</x:v>
      </x:c>
      <x:c r="C601" s="10" t="str">
        <x:v>直播</x:v>
      </x:c>
      <x:c r="D601" s="10" t="str">
        <x:v>快捷答谢（主播）</x:v>
      </x:c>
      <x:c r="E601" s="10" t="str">
        <x:v>功能需求</x:v>
      </x:c>
      <x:c r="F601" s="10" t="str">
        <x:v>P2</x:v>
      </x:c>
      <x:c r="G601" s="9" t="str">
        <x:v>验证预填感谢可以编辑后手动发送</x:v>
      </x:c>
      <x:c r="H601" s="9" t="str">
        <x:v>感谢内容手动发送</x:v>
      </x:c>
      <x:c r="I601" s="9" t="str">
        <x:v>1. 主播为本条执行者
2. 主播甲正在直播，用户乙昵称为“测试乙”，刚成功送礼
3. 当前输入框已预填感谢文字</x:v>
      </x:c>
      <x:c r="J601" s="9" t="str">
        <x:v>1. 将输入内容修改为“@测试乙 谢谢支持”
2. 点击发送</x:v>
      </x:c>
      <x:c r="K601" s="9" t="str">
        <x:v>公屏显示“@测试乙 谢谢支持”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来源（当前证据）：liveshow-proto/MainBasis/统一需求文档.md；位置：第 1810 行；REQ-29f1904d9d95、第 1811 行；REQ-255b690d719b、第 1812 行；REQ-c99d1c5027bc、第 1808 行
2. 规则：BR-364818E6F5FBA7
3. 未动态验证
4. 示例账号、编号、金额与日期是本条测试数据；执行前按前置条件准备，未填写的产品决策不得自行假定。</x:v>
      </x:c>
    </x:row>
    <x:row r="602" ht="145" customHeight="1">
      <x:c r="A602" s="10" t="n">
        <x:v>601</x:v>
      </x:c>
      <x:c r="B602" s="10" t="str">
        <x:v>USER-0601</x:v>
      </x:c>
      <x:c r="C602" s="10" t="str">
        <x:v>直播</x:v>
      </x:c>
      <x:c r="D602" s="10" t="str">
        <x:v>连麦主播·搜索结果（主播）</x:v>
      </x:c>
      <x:c r="E602" s="10" t="str">
        <x:v>功能需求</x:v>
      </x:c>
      <x:c r="F602" s="10" t="str">
        <x:v>P2</x:v>
      </x:c>
      <x:c r="G602" s="9" t="str">
        <x:v>验证连麦搜索排除未在普通房直播的主播</x:v>
      </x:c>
      <x:c r="H602" s="9" t="str">
        <x:v>连麦目标房型</x:v>
      </x:c>
      <x:c r="I602" s="9" t="str">
        <x:v>1. 主播为本条执行者
2. 主播甲在普通房，未连麦且没有已发邀请
3. 主播乙昵称精确为“测试乙”，当前在密码房直播</x:v>
      </x:c>
      <x:c r="J602" s="9" t="str">
        <x:v>1. 打开连麦搜索
2. 输入测试乙
3. 点击查询</x:v>
      </x:c>
      <x:c r="K602" s="9" t="str">
        <x:v>显示“查询结果为空或主播未在普通房直播”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来源（当前证据）：liveshow-proto/MainBasis/统一需求文档.md；位置：第 1836 行；REQ-dce26fcff56a、第 1837 行；REQ-a49ccecb1483、第 1833 行
2. 规则：BR-A2F37A963F8EA3
3. 未动态验证
4. 示例账号、编号、金额与日期是本条测试数据；执行前按前置条件准备，未填写的产品决策不得自行假定。</x:v>
      </x:c>
    </x:row>
    <x:row r="603" ht="130" customHeight="1">
      <x:c r="A603" s="10" t="n">
        <x:v>602</x:v>
      </x:c>
      <x:c r="B603" s="10" t="str">
        <x:v>USER-0602</x:v>
      </x:c>
      <x:c r="C603" s="10" t="str">
        <x:v>直播</x:v>
      </x:c>
      <x:c r="D603" s="10" t="str">
        <x:v>连麦主播·搜索结果（主播）</x:v>
      </x:c>
      <x:c r="E603" s="10" t="str">
        <x:v>功能需求</x:v>
      </x:c>
      <x:c r="F603" s="10" t="str">
        <x:v>P2</x:v>
      </x:c>
      <x:c r="G603" s="9" t="str">
        <x:v>验证已有发出邀请不能再邀请</x:v>
      </x:c>
      <x:c r="H603" s="9" t="str">
        <x:v>已发邀请冲突提示</x:v>
      </x:c>
      <x:c r="I603" s="9" t="str">
        <x:v>1. 主播为本条执行者
2. 主播甲在普通房，未连麦且没有已发邀请
3. 甲已有发给丙的待回应邀请；乙在普通房直播且其他条件满足</x:v>
      </x:c>
      <x:c r="J603" s="9" t="str">
        <x:v>1. 输入主播乙ID
2. 点击查询
3. 点击邀请</x:v>
      </x:c>
      <x:c r="K603" s="9" t="str">
        <x:v>提示“已有发出请求，请先取消”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来源（当前证据）：liveshow-proto/MainBasis/统一需求文档.md；位置：第 1837 行；REQ-a49ccecb1483、第 1833 行
2. 规则：BR-BEFBB3D8768B9E
3. 未动态验证
4. 示例账号、编号、金额与日期是本条测试数据；执行前按前置条件准备，未填写的产品决策不得自行假定。</x:v>
      </x:c>
    </x:row>
    <x:row r="604" ht="160" customHeight="1">
      <x:c r="A604" s="10" t="n">
        <x:v>603</x:v>
      </x:c>
      <x:c r="B604" s="10" t="str">
        <x:v>USER-0603</x:v>
      </x:c>
      <x:c r="C604" s="10" t="str">
        <x:v>直播</x:v>
      </x:c>
      <x:c r="D604" s="10" t="str">
        <x:v>选择分享对象（主播）</x:v>
      </x:c>
      <x:c r="E604" s="10" t="str">
        <x:v>功能需求</x:v>
      </x:c>
      <x:c r="F604" s="10" t="str">
        <x:v>P2</x:v>
      </x:c>
      <x:c r="G604" s="9" t="str">
        <x:v>验证分享直播发送当前场次卡片</x:v>
      </x:c>
      <x:c r="H604" s="9" t="str">
        <x:v>直播分享成功</x:v>
      </x:c>
      <x:c r="I604" s="9" t="str">
        <x:v>1. 主播为本条执行者
2. 主播甲在 S001 直播，好友乙有效，粉丝群甲当前可发言</x:v>
      </x:c>
      <x:c r="J604" s="9" t="str">
        <x:v>1. 打开分享对象
2. 选择好友乙
3. 点击发送</x:v>
      </x:c>
      <x:c r="K604" s="9" t="str">
        <x:v>显示发送成功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来源（当前证据）：liveshow-proto/MainBasis/统一需求文档.md；位置：第 1851 行；REQ-88879db53cf1、第 1852 行；REQ-531c82c6382d、第 1853 行；REQ-24a770ddc379、第 1849 行
2. 规则：BR-15AEC6FD8F7570
3. 未动态验证
4. 示例账号、编号、金额与日期是本条测试数据；执行前按前置条件准备，未填写的产品决策不得自行假定。</x:v>
      </x:c>
    </x:row>
    <x:row r="605" ht="130" customHeight="1">
      <x:c r="A605" s="10" t="n">
        <x:v>604</x:v>
      </x:c>
      <x:c r="B605" s="10" t="str">
        <x:v>USER-0604</x:v>
      </x:c>
      <x:c r="C605" s="10" t="str">
        <x:v>直播</x:v>
      </x:c>
      <x:c r="D605" s="10" t="str">
        <x:v>选择分享对象（主播）</x:v>
      </x:c>
      <x:c r="E605" s="10" t="str">
        <x:v>功能需求</x:v>
      </x:c>
      <x:c r="F605" s="10" t="str">
        <x:v>P2</x:v>
      </x:c>
      <x:c r="G605" s="9" t="str">
        <x:v>验证取消分享不发送卡片</x:v>
      </x:c>
      <x:c r="H605" s="9" t="str">
        <x:v>取消分享返回直播间</x:v>
      </x:c>
      <x:c r="I605" s="9" t="str">
        <x:v>1. 主播为本条执行者
2. 主播甲在 S001 直播，好友乙有效，粉丝群甲当前可发言</x:v>
      </x:c>
      <x:c r="J605" s="9" t="str">
        <x:v>1. 打开分享对象
2. 选择好友乙
3. 点击取消</x:v>
      </x:c>
      <x:c r="K605" s="9" t="str">
        <x:v>返回当前 S001 直播间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来源（当前证据）：liveshow-proto/MainBasis/统一需求文档.md；位置：第 1853 行；REQ-24a770ddc379、第 1849 行
2. 规则：BR-E06ACFA48251DB
3. 未动态验证
4. 示例账号、编号、金额与日期是本条测试数据；执行前按前置条件准备，未填写的产品决策不得自行假定。</x:v>
      </x:c>
    </x:row>
    <x:row r="606" ht="145" customHeight="1">
      <x:c r="A606" s="10" t="n">
        <x:v>605</x:v>
      </x:c>
      <x:c r="B606" s="10" t="str">
        <x:v>USER-0605</x:v>
      </x:c>
      <x:c r="C606" s="10" t="str">
        <x:v>直播</x:v>
      </x:c>
      <x:c r="D606" s="10" t="str">
        <x:v>结束直播确认（主播）</x:v>
      </x:c>
      <x:c r="E606" s="10" t="str">
        <x:v>功能需求</x:v>
      </x:c>
      <x:c r="F606" s="10" t="str">
        <x:v>P2</x:v>
      </x:c>
      <x:c r="G606" s="9" t="str">
        <x:v>验证主播确认结束本场</x:v>
      </x:c>
      <x:c r="H606" s="9" t="str">
        <x:v>主播关播完成</x:v>
      </x:c>
      <x:c r="I606" s="9" t="str">
        <x:v>1. 主播为本条执行者
2. 主播甲正在 S001 直播</x:v>
      </x:c>
      <x:c r="J606" s="9" t="str">
        <x:v>1. 打开结束直播确认
2. 点击确认</x:v>
      </x:c>
      <x:c r="K606" s="9" t="str">
        <x:v>进入 S001 直播结束页</x:v>
      </x:c>
      <x:c r="L606" s="10" t="str">
        <x:v>FLOW-3316A78D</x:v>
      </x:c>
      <x:c r="M606" s="10" t="str">
        <x:v>未测</x:v>
      </x:c>
      <x:c r="N606" s="10" t="str"/>
      <x:c r="O606" s="9" t="str">
        <x:v>1. 来源（当前证据）：liveshow-proto/MainBasis/统一需求文档.md；位置：第 1865 行；REQ-fd0092181557、第 1866 行；REQ-8576b6c9d4ef、第 1864 行
2. 规则：BR-5D7132AC01A1F5
3. 未动态验证
4. 示例账号、编号、金额与日期是本条测试数据；执行前按前置条件准备，未填写的产品决策不得自行假定。</x:v>
      </x:c>
    </x:row>
    <x:row r="607" ht="130" customHeight="1">
      <x:c r="A607" s="10" t="n">
        <x:v>606</x:v>
      </x:c>
      <x:c r="B607" s="10" t="str">
        <x:v>USER-0606</x:v>
      </x:c>
      <x:c r="C607" s="10" t="str">
        <x:v>直播</x:v>
      </x:c>
      <x:c r="D607" s="10" t="str">
        <x:v>结束直播确认（主播）</x:v>
      </x:c>
      <x:c r="E607" s="10" t="str">
        <x:v>功能需求</x:v>
      </x:c>
      <x:c r="F607" s="10" t="str">
        <x:v>P2</x:v>
      </x:c>
      <x:c r="G607" s="9" t="str">
        <x:v>验证取消关播保留本场</x:v>
      </x:c>
      <x:c r="H607" s="9" t="str">
        <x:v>关播取消</x:v>
      </x:c>
      <x:c r="I607" s="9" t="str">
        <x:v>1. 主播为本条执行者
2. 主播甲正在 S001 直播</x:v>
      </x:c>
      <x:c r="J607" s="9" t="str">
        <x:v>1. 打开结束直播确认
2. 点击取消</x:v>
      </x:c>
      <x:c r="K607" s="9" t="str">
        <x:v>停留 S001 直播画面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来源（当前证据）：liveshow-proto/MainBasis/统一需求文档.md；位置：第 1866 行；REQ-8576b6c9d4ef、第 1864 行
2. 规则：BR-DCFB4C9F3E0DF1
3. 未动态验证
4. 示例账号、编号、金额与日期是本条测试数据；执行前按前置条件准备，未填写的产品决策不得自行假定。</x:v>
      </x:c>
    </x:row>
    <x:row r="608" ht="130" customHeight="1">
      <x:c r="A608" s="10" t="n">
        <x:v>607</x:v>
      </x:c>
      <x:c r="B608" s="10" t="str">
        <x:v>USER-0607</x:v>
      </x:c>
      <x:c r="C608" s="10" t="str">
        <x:v>直播</x:v>
      </x:c>
      <x:c r="D608" s="10" t="str">
        <x:v>更多功能（主播）</x:v>
      </x:c>
      <x:c r="E608" s="10" t="str">
        <x:v>功能需求</x:v>
      </x:c>
      <x:c r="F608" s="10" t="str">
        <x:v>P2</x:v>
      </x:c>
      <x:c r="G608" s="9" t="str">
        <x:v>验证连麦中修改房型受限</x:v>
      </x:c>
      <x:c r="H608" s="9" t="str">
        <x:v>连麦中配置限制</x:v>
      </x:c>
      <x:c r="I608" s="9" t="str">
        <x:v>1. 主播为本条执行者
2. 主播甲乙已连麦，各自直播持续进行</x:v>
      </x:c>
      <x:c r="J608" s="9" t="str">
        <x:v>1. 打开更多功能
2. 查看房间设置</x:v>
      </x:c>
      <x:c r="K608" s="9" t="str">
        <x:v>不能修改门票或密码房设置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来源（当前证据）：liveshow-proto/MainBasis/统一需求文档.md；位置：第 1893 行；REQ-7e68a3a874e3、第 1891 行
2. 规则：BR-4EDC26B3E80854
3. 未动态验证
4. 示例账号、编号、金额与日期是本条测试数据；执行前按前置条件准备，未填写的产品决策不得自行假定。</x:v>
      </x:c>
    </x:row>
    <x:row r="609" ht="130" customHeight="1">
      <x:c r="A609" s="10" t="n">
        <x:v>608</x:v>
      </x:c>
      <x:c r="B609" s="10" t="str">
        <x:v>USER-0608</x:v>
      </x:c>
      <x:c r="C609" s="10" t="str">
        <x:v>直播</x:v>
      </x:c>
      <x:c r="D609" s="10" t="str">
        <x:v>退出连麦确认（主播）</x:v>
      </x:c>
      <x:c r="E609" s="10" t="str">
        <x:v>异常用例</x:v>
      </x:c>
      <x:c r="F609" s="10" t="str">
        <x:v>P2</x:v>
      </x:c>
      <x:c r="G609" s="9" t="str">
        <x:v>验证退出连麦失败</x:v>
      </x:c>
      <x:c r="H609" s="9" t="str">
        <x:v>退出连麦失败提示</x:v>
      </x:c>
      <x:c r="I609" s="9" t="str">
        <x:v>1. 主播为本条执行者
2. 主播甲乙已经连麦，测试环境使退出连麦请求失败</x:v>
      </x:c>
      <x:c r="J609" s="9" t="str">
        <x:v>1. 打开退出连麦确认
2. 点击确认</x:v>
      </x:c>
      <x:c r="K609" s="9" t="str">
        <x:v>提示“退出失败”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来源（当前证据）：liveshow-proto/MainBasis/统一需求文档.md；位置：第 1899 行；REQ-9669e16fa307、第 1897 行
2. 规则：BR-74B81FBE1D2711
3. 未动态验证
4. 示例账号、编号、金额与日期是本条测试数据；执行前按前置条件准备，未填写的产品决策不得自行假定。</x:v>
      </x:c>
    </x:row>
    <x:row r="610" ht="130" customHeight="1">
      <x:c r="A610" s="10" t="n">
        <x:v>609</x:v>
      </x:c>
      <x:c r="B610" s="10" t="str">
        <x:v>USER-0609</x:v>
      </x:c>
      <x:c r="C610" s="10" t="str">
        <x:v>直播</x:v>
      </x:c>
      <x:c r="D610" s="10" t="str">
        <x:v>退出连麦确认（主播）</x:v>
      </x:c>
      <x:c r="E610" s="10" t="str">
        <x:v>异常用例</x:v>
      </x:c>
      <x:c r="F610" s="10" t="str">
        <x:v>P2</x:v>
      </x:c>
      <x:c r="G610" s="9" t="str">
        <x:v>验证退出连麦失败</x:v>
      </x:c>
      <x:c r="H610" s="9" t="str">
        <x:v>退出失败保持连接</x:v>
      </x:c>
      <x:c r="I610" s="9" t="str">
        <x:v>1. 主播为本条执行者
2. 主播甲乙已经连麦，测试环境使退出连麦请求失败</x:v>
      </x:c>
      <x:c r="J610" s="9" t="str">
        <x:v>1. 打开退出连麦确认
2. 点击确认</x:v>
      </x:c>
      <x:c r="K610" s="9" t="str">
        <x:v>甲乙连麦仍在进行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来源（当前证据）：liveshow-proto/MainBasis/统一需求文档.md；位置：第 1899 行；REQ-9669e16fa307、第 1897 行
2. 规则：BR-9C44D99F9CAF98
3. 未动态验证
4. 示例账号、编号、金额与日期是本条测试数据；执行前按前置条件准备，未填写的产品决策不得自行假定。</x:v>
      </x:c>
    </x:row>
    <x:row r="611" ht="130" customHeight="1">
      <x:c r="A611" s="10" t="n">
        <x:v>610</x:v>
      </x:c>
      <x:c r="B611" s="10" t="str">
        <x:v>USER-0610</x:v>
      </x:c>
      <x:c r="C611" s="10" t="str">
        <x:v>首页与发现</x:v>
      </x:c>
      <x:c r="D611" s="10" t="str">
        <x:v>邀请好友（用户）</x:v>
      </x:c>
      <x:c r="E611" s="10" t="str">
        <x:v>功能需求</x:v>
      </x:c>
      <x:c r="F611" s="10" t="str">
        <x:v>P2</x:v>
      </x:c>
      <x:c r="G611" s="9" t="str">
        <x:v>验证邀请好友显示目标记录的昵称</x:v>
      </x:c>
      <x:c r="H611" s="9" t="str">
        <x:v>昵称与当前对象绑定</x:v>
      </x:c>
      <x:c r="I611" s="9" t="str">
        <x:v>1. 用户为本条执行者
2. 用户账号已登录
3. 邀请好友中目标记录唯一可定位为记录甲；目标记录满足本页展示范围
4. 该记录的昵称来源值为“测试昵称甲”；另有记录乙的同字段值不同，二者不混用</x:v>
      </x:c>
      <x:c r="J611" s="9" t="str">
        <x:v>1. 打开邀请好友
2. 查看记录甲的昵称</x:v>
      </x:c>
      <x:c r="K611" s="9" t="str">
        <x:v>记录甲的昵称显示“测试昵称甲”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来源（当前证据）：liveshow-proto/MainBasis/统一需求文档.md；位置：第 644 行；REQ-d8079cb13024、第 640 行
2. 规则：BR-AC37C0A14780DD
3. 未动态验证
4. 示例账号、编号、金额与日期是本条测试数据；执行前按前置条件准备，未填写的产品决策不得自行假定。</x:v>
      </x:c>
    </x:row>
    <x:row r="612" ht="130" customHeight="1">
      <x:c r="A612" s="10" t="n">
        <x:v>611</x:v>
      </x:c>
      <x:c r="B612" s="10" t="str">
        <x:v>USER-0611</x:v>
      </x:c>
      <x:c r="C612" s="10" t="str">
        <x:v>个人中心</x:v>
      </x:c>
      <x:c r="D612" s="10" t="str">
        <x:v>我的（用户）</x:v>
      </x:c>
      <x:c r="E612" s="10" t="str">
        <x:v>功能需求</x:v>
      </x:c>
      <x:c r="F612" s="10" t="str">
        <x:v>P2</x:v>
      </x:c>
      <x:c r="G612" s="9" t="str">
        <x:v>验证我的显示目标记录的用户 ID</x:v>
      </x:c>
      <x:c r="H612" s="9" t="str">
        <x:v>用户 ID与当前对象绑定</x:v>
      </x:c>
      <x:c r="I612" s="9" t="str">
        <x:v>1. 用户为本条执行者
2. 用户账号已登录
3. 我的中目标记录唯一可定位为记录甲；目标记录满足本页展示范围
4. 该记录的用户 ID来源值为“1001”；另有记录乙的同字段值不同，二者不混用</x:v>
      </x:c>
      <x:c r="J612" s="9" t="str">
        <x:v>1. 打开我的
2. 查看记录甲的用户 ID</x:v>
      </x:c>
      <x:c r="K612" s="9" t="str">
        <x:v>记录甲的用户 ID显示“1001”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来源（当前证据）：liveshow-proto/MainBasis/统一需求文档.md；位置：第 678 行；REQ-0af0c40e3094、第 676 行
2. 规则：BR-9034E93B377A5C
3. 未动态验证
4. 示例账号、编号、金额与日期是本条测试数据；执行前按前置条件准备，未填写的产品决策不得自行假定。</x:v>
      </x:c>
    </x:row>
    <x:row r="613" ht="130" customHeight="1">
      <x:c r="A613" s="10" t="n">
        <x:v>612</x:v>
      </x:c>
      <x:c r="B613" s="10" t="str">
        <x:v>USER-0612</x:v>
      </x:c>
      <x:c r="C613" s="10" t="str">
        <x:v>个人中心</x:v>
      </x:c>
      <x:c r="D613" s="10" t="str">
        <x:v>我的（用户）</x:v>
      </x:c>
      <x:c r="E613" s="10" t="str">
        <x:v>功能需求</x:v>
      </x:c>
      <x:c r="F613" s="10" t="str">
        <x:v>P2</x:v>
      </x:c>
      <x:c r="G613" s="9" t="str">
        <x:v>验证我的显示目标记录的昵称</x:v>
      </x:c>
      <x:c r="H613" s="9" t="str">
        <x:v>昵称与当前对象绑定</x:v>
      </x:c>
      <x:c r="I613" s="9" t="str">
        <x:v>1. 用户为本条执行者
2. 用户账号已登录
3. 我的中目标记录唯一可定位为记录甲；目标记录满足本页展示范围
4. 该记录的昵称来源值为“测试昵称甲”；另有记录乙的同字段值不同，二者不混用</x:v>
      </x:c>
      <x:c r="J613" s="9" t="str">
        <x:v>1. 打开我的
2. 查看记录甲的昵称</x:v>
      </x:c>
      <x:c r="K613" s="9" t="str">
        <x:v>记录甲的昵称显示“测试昵称甲”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来源（当前证据）：liveshow-proto/MainBasis/统一需求文档.md；位置：第 678 行；REQ-0af0c40e3094、第 676 行
2. 规则：BR-C129C4CEAC3D21
3. 未动态验证
4. 示例账号、编号、金额与日期是本条测试数据；执行前按前置条件准备，未填写的产品决策不得自行假定。</x:v>
      </x:c>
    </x:row>
    <x:row r="614" ht="130" customHeight="1">
      <x:c r="A614" s="10" t="n">
        <x:v>613</x:v>
      </x:c>
      <x:c r="B614" s="10" t="str">
        <x:v>USER-0613</x:v>
      </x:c>
      <x:c r="C614" s="10" t="str">
        <x:v>个人中心</x:v>
      </x:c>
      <x:c r="D614" s="10" t="str">
        <x:v>我的（用户）</x:v>
      </x:c>
      <x:c r="E614" s="10" t="str">
        <x:v>功能需求</x:v>
      </x:c>
      <x:c r="F614" s="10" t="str">
        <x:v>P2</x:v>
      </x:c>
      <x:c r="G614" s="9" t="str">
        <x:v>验证我的显示目标记录的ID</x:v>
      </x:c>
      <x:c r="H614" s="9" t="str">
        <x:v>ID与当前对象绑定</x:v>
      </x:c>
      <x:c r="I614" s="9" t="str">
        <x:v>1. 用户为本条执行者
2. 用户账号已登录
3. 我的中目标记录唯一可定位为记录甲；目标记录满足本页展示范围
4. 该记录的ID来源值为“1001”；另有记录乙的同字段值不同，二者不混用</x:v>
      </x:c>
      <x:c r="J614" s="9" t="str">
        <x:v>1. 打开我的
2. 查看记录甲的ID</x:v>
      </x:c>
      <x:c r="K614" s="9" t="str">
        <x:v>记录甲的ID显示“1001”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来源（当前证据）：liveshow-proto/MainBasis/统一需求文档.md；位置：第 678 行；REQ-0af0c40e3094、第 676 行
2. 规则：BR-14DD4FC50D73D4
3. 未动态验证
4. 示例账号、编号、金额与日期是本条测试数据；执行前按前置条件准备，未填写的产品决策不得自行假定。</x:v>
      </x:c>
    </x:row>
    <x:row r="615" ht="130" customHeight="1">
      <x:c r="A615" s="10" t="n">
        <x:v>614</x:v>
      </x:c>
      <x:c r="B615" s="10" t="str">
        <x:v>USER-0614</x:v>
      </x:c>
      <x:c r="C615" s="10" t="str">
        <x:v>消息与社交</x:v>
      </x:c>
      <x:c r="D615" s="10" t="str">
        <x:v>粉丝列表（用户）</x:v>
      </x:c>
      <x:c r="E615" s="10" t="str">
        <x:v>功能需求</x:v>
      </x:c>
      <x:c r="F615" s="10" t="str">
        <x:v>P2</x:v>
      </x:c>
      <x:c r="G615" s="9" t="str">
        <x:v>验证粉丝列表显示目标记录的昵称</x:v>
      </x:c>
      <x:c r="H615" s="9" t="str">
        <x:v>昵称与当前对象绑定</x:v>
      </x:c>
      <x:c r="I615" s="9" t="str">
        <x:v>1. 用户为本条执行者
2. 用户账号已登录
3. 粉丝列表中目标记录唯一可定位为记录甲；目标记录满足本页展示范围
4. 该记录的昵称来源值为“测试昵称甲”；另有记录乙的同字段值不同，二者不混用</x:v>
      </x:c>
      <x:c r="J615" s="9" t="str">
        <x:v>1. 打开粉丝列表
2. 查看记录甲的昵称</x:v>
      </x:c>
      <x:c r="K615" s="9" t="str">
        <x:v>记录甲的昵称显示“测试昵称甲”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来源（当前证据）：liveshow-proto/MainBasis/统一需求文档.md；位置：第 710 行；REQ-06781424f98c、第 707 行
2. 规则：BR-E8CBB7A7A00814
3. 未动态验证
4. 示例账号、编号、金额与日期是本条测试数据；执行前按前置条件准备，未填写的产品决策不得自行假定。</x:v>
      </x:c>
    </x:row>
    <x:row r="616" ht="130" customHeight="1">
      <x:c r="A616" s="10" t="n">
        <x:v>615</x:v>
      </x:c>
      <x:c r="B616" s="10" t="str">
        <x:v>USER-0615</x:v>
      </x:c>
      <x:c r="C616" s="10" t="str">
        <x:v>直播</x:v>
      </x:c>
      <x:c r="D616" s="10" t="str">
        <x:v>直播结束页（观众）（用户）</x:v>
      </x:c>
      <x:c r="E616" s="10" t="str">
        <x:v>功能需求</x:v>
      </x:c>
      <x:c r="F616" s="10" t="str">
        <x:v>P2</x:v>
      </x:c>
      <x:c r="G616" s="9" t="str">
        <x:v>验证直播结束页（观众）显示目标记录的名称</x:v>
      </x:c>
      <x:c r="H616" s="9" t="str">
        <x:v>名称与当前对象绑定</x:v>
      </x:c>
      <x:c r="I616" s="9" t="str">
        <x:v>1. 用户为本条执行者
2. 用户账号已登录
3. 直播结束页（观众）中目标记录唯一可定位为记录甲；目标记录满足本页展示范围
4. 该记录的名称来源值为“测试名称甲”；另有记录乙的同字段值不同，二者不混用</x:v>
      </x:c>
      <x:c r="J616" s="9" t="str">
        <x:v>1. 打开直播结束页（观众）
2. 查看记录甲的名称</x:v>
      </x:c>
      <x:c r="K616" s="9" t="str">
        <x:v>记录甲的名称显示“测试名称甲”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来源（当前证据）：liveshow-proto/MainBasis/统一需求文档.md；位置：第 836 行；REQ-744c9b682e12、第 835 行
2. 规则：BR-2B034A40DCD14C
3. 未动态验证
4. 示例账号、编号、金额与日期是本条测试数据；执行前按前置条件准备，未填写的产品决策不得自行假定。</x:v>
      </x:c>
    </x:row>
    <x:row r="617" ht="130" customHeight="1">
      <x:c r="A617" s="10" t="n">
        <x:v>616</x:v>
      </x:c>
      <x:c r="B617" s="10" t="str">
        <x:v>USER-0616</x:v>
      </x:c>
      <x:c r="C617" s="10" t="str">
        <x:v>消息与社交</x:v>
      </x:c>
      <x:c r="D617" s="10" t="str">
        <x:v>好友列表（用户）</x:v>
      </x:c>
      <x:c r="E617" s="10" t="str">
        <x:v>功能需求</x:v>
      </x:c>
      <x:c r="F617" s="10" t="str">
        <x:v>P2</x:v>
      </x:c>
      <x:c r="G617" s="9" t="str">
        <x:v>验证好友列表显示目标记录的昵称</x:v>
      </x:c>
      <x:c r="H617" s="9" t="str">
        <x:v>昵称与当前对象绑定</x:v>
      </x:c>
      <x:c r="I617" s="9" t="str">
        <x:v>1. 用户为本条执行者
2. 用户账号已登录
3. 好友列表中目标记录唯一可定位为记录甲；目标记录满足本页展示范围
4. 该记录的昵称来源值为“测试昵称甲”；另有记录乙的同字段值不同，二者不混用</x:v>
      </x:c>
      <x:c r="J617" s="9" t="str">
        <x:v>1. 打开好友列表
2. 查看记录甲的昵称</x:v>
      </x:c>
      <x:c r="K617" s="9" t="str">
        <x:v>记录甲的昵称显示“测试昵称甲”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来源（当前证据）：liveshow-proto/MainBasis/统一需求文档.md；位置：第 857 行；REQ-e2045547464c、第 854 行
2. 规则：BR-8E2CB43F6CEE15
3. 未动态验证
4. 示例账号、编号、金额与日期是本条测试数据；执行前按前置条件准备，未填写的产品决策不得自行假定。</x:v>
      </x:c>
    </x:row>
    <x:row r="618" ht="130" customHeight="1">
      <x:c r="A618" s="10" t="n">
        <x:v>617</x:v>
      </x:c>
      <x:c r="B618" s="10" t="str">
        <x:v>USER-0617</x:v>
      </x:c>
      <x:c r="C618" s="10" t="str">
        <x:v>公会管理</x:v>
      </x:c>
      <x:c r="D618" s="10" t="str">
        <x:v>公会中心（用户）</x:v>
      </x:c>
      <x:c r="E618" s="10" t="str">
        <x:v>功能需求</x:v>
      </x:c>
      <x:c r="F618" s="10" t="str">
        <x:v>P2</x:v>
      </x:c>
      <x:c r="G618" s="9" t="str">
        <x:v>验证公会中心显示目标记录的名称</x:v>
      </x:c>
      <x:c r="H618" s="9" t="str">
        <x:v>名称与当前对象绑定</x:v>
      </x:c>
      <x:c r="I618" s="9" t="str">
        <x:v>1. 用户为本条执行者
2. 用户账号已登录
3. 公会中心中目标记录唯一可定位为记录甲；目标记录满足本页展示范围
4. 该记录的名称来源值为“测试名称甲”；另有记录乙的同字段值不同，二者不混用</x:v>
      </x:c>
      <x:c r="J618" s="9" t="str">
        <x:v>1. 打开公会中心
2. 查看记录甲的名称</x:v>
      </x:c>
      <x:c r="K618" s="9" t="str">
        <x:v>记录甲的名称显示“测试名称甲”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来源（当前证据）：liveshow-proto/MainBasis/统一需求文档.md；位置：第 962 行；REQ-c5c08a29841c、第 958 行
2. 规则：BR-1EFA1804A2A1AB
3. 未动态验证
4. 示例账号、编号、金额与日期是本条测试数据；执行前按前置条件准备，未填写的产品决策不得自行假定。</x:v>
      </x:c>
    </x:row>
    <x:row r="619" ht="130" customHeight="1">
      <x:c r="A619" s="10" t="n">
        <x:v>618</x:v>
      </x:c>
      <x:c r="B619" s="10" t="str">
        <x:v>USER-0618</x:v>
      </x:c>
      <x:c r="C619" s="10" t="str">
        <x:v>公会管理</x:v>
      </x:c>
      <x:c r="D619" s="10" t="str">
        <x:v>公会中心（用户）</x:v>
      </x:c>
      <x:c r="E619" s="10" t="str">
        <x:v>功能需求</x:v>
      </x:c>
      <x:c r="F619" s="10" t="str">
        <x:v>P2</x:v>
      </x:c>
      <x:c r="G619" s="9" t="str">
        <x:v>验证公会中心显示目标记录的ID</x:v>
      </x:c>
      <x:c r="H619" s="9" t="str">
        <x:v>ID与当前对象绑定</x:v>
      </x:c>
      <x:c r="I619" s="9" t="str">
        <x:v>1. 用户为本条执行者
2. 用户账号已登录
3. 公会中心中目标记录唯一可定位为记录甲；目标记录满足本页展示范围
4. 该记录的ID来源值为“1001”；另有记录乙的同字段值不同，二者不混用</x:v>
      </x:c>
      <x:c r="J619" s="9" t="str">
        <x:v>1. 打开公会中心
2. 查看记录甲的ID</x:v>
      </x:c>
      <x:c r="K619" s="9" t="str">
        <x:v>记录甲的ID显示“1001”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来源（当前证据）：liveshow-proto/MainBasis/统一需求文档.md；位置：第 962 行；REQ-c5c08a29841c、第 958 行
2. 规则：BR-DACDB07D97CD01
3. 未动态验证
4. 示例账号、编号、金额与日期是本条测试数据；执行前按前置条件准备，未填写的产品决策不得自行假定。</x:v>
      </x:c>
    </x:row>
    <x:row r="620" ht="130" customHeight="1">
      <x:c r="A620" s="10" t="n">
        <x:v>619</x:v>
      </x:c>
      <x:c r="B620" s="10" t="str">
        <x:v>USER-0619</x:v>
      </x:c>
      <x:c r="C620" s="10" t="str">
        <x:v>公会管理</x:v>
      </x:c>
      <x:c r="D620" s="10" t="str">
        <x:v>我的公会（用户）</x:v>
      </x:c>
      <x:c r="E620" s="10" t="str">
        <x:v>功能需求</x:v>
      </x:c>
      <x:c r="F620" s="10" t="str">
        <x:v>P2</x:v>
      </x:c>
      <x:c r="G620" s="9" t="str">
        <x:v>验证我的公会显示目标记录的公会名称</x:v>
      </x:c>
      <x:c r="H620" s="9" t="str">
        <x:v>公会名称与当前对象绑定</x:v>
      </x:c>
      <x:c r="I620" s="9" t="str">
        <x:v>1. 用户为本条执行者
2. 用户账号已登录
3. 我的公会中目标记录唯一可定位为记录甲；目标记录满足本页展示范围
4. 该记录的公会名称来源值为“测试公会甲”；另有记录乙的同字段值不同，二者不混用</x:v>
      </x:c>
      <x:c r="J620" s="9" t="str">
        <x:v>1. 打开我的公会
2. 查看记录甲的公会名称</x:v>
      </x:c>
      <x:c r="K620" s="9" t="str">
        <x:v>记录甲的公会名称显示“测试公会甲”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来源（当前证据）：liveshow-proto/MainBasis/统一需求文档.md；位置：第 995 行；REQ-a928c89adce3、第 992 行
2. 规则：BR-9C143BE6FB9BBA
3. 未动态验证
4. 示例账号、编号、金额与日期是本条测试数据；执行前按前置条件准备，未填写的产品决策不得自行假定。</x:v>
      </x:c>
    </x:row>
    <x:row r="621" ht="130" customHeight="1">
      <x:c r="A621" s="10" t="n">
        <x:v>620</x:v>
      </x:c>
      <x:c r="B621" s="10" t="str">
        <x:v>USER-0620</x:v>
      </x:c>
      <x:c r="C621" s="10" t="str">
        <x:v>公会管理</x:v>
      </x:c>
      <x:c r="D621" s="10" t="str">
        <x:v>我的公会（用户）</x:v>
      </x:c>
      <x:c r="E621" s="10" t="str">
        <x:v>功能需求</x:v>
      </x:c>
      <x:c r="F621" s="10" t="str">
        <x:v>P2</x:v>
      </x:c>
      <x:c r="G621" s="9" t="str">
        <x:v>验证我的公会显示目标记录的公会 ID</x:v>
      </x:c>
      <x:c r="H621" s="9" t="str">
        <x:v>公会 ID与当前对象绑定</x:v>
      </x:c>
      <x:c r="I621" s="9" t="str">
        <x:v>1. 用户为本条执行者
2. 用户账号已登录
3. 我的公会中目标记录唯一可定位为记录甲；目标记录满足本页展示范围
4. 该记录的公会 ID来源值为“3001”；另有记录乙的同字段值不同，二者不混用</x:v>
      </x:c>
      <x:c r="J621" s="9" t="str">
        <x:v>1. 打开我的公会
2. 查看记录甲的公会 ID</x:v>
      </x:c>
      <x:c r="K621" s="9" t="str">
        <x:v>记录甲的公会 ID显示“3001”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来源（当前证据）：liveshow-proto/MainBasis/统一需求文档.md；位置：第 996 行；REQ-d51b9931ad53、第 992 行
2. 规则：BR-72E0CA02287180
3. 未动态验证
4. 示例账号、编号、金额与日期是本条测试数据；执行前按前置条件准备，未填写的产品决策不得自行假定。</x:v>
      </x:c>
    </x:row>
    <x:row r="622" ht="130" customHeight="1">
      <x:c r="A622" s="10" t="n">
        <x:v>621</x:v>
      </x:c>
      <x:c r="B622" s="10" t="str">
        <x:v>USER-0621</x:v>
      </x:c>
      <x:c r="C622" s="10" t="str">
        <x:v>公会管理</x:v>
      </x:c>
      <x:c r="D622" s="10" t="str">
        <x:v>公会详情（用户）</x:v>
      </x:c>
      <x:c r="E622" s="10" t="str">
        <x:v>功能需求</x:v>
      </x:c>
      <x:c r="F622" s="10" t="str">
        <x:v>P2</x:v>
      </x:c>
      <x:c r="G622" s="9" t="str">
        <x:v>验证公会详情显示目标记录的名称</x:v>
      </x:c>
      <x:c r="H622" s="9" t="str">
        <x:v>名称与当前对象绑定</x:v>
      </x:c>
      <x:c r="I622" s="9" t="str">
        <x:v>1. 用户为本条执行者
2. 用户账号已登录
3. 公会详情中目标记录唯一可定位为记录甲；目标记录满足本页展示范围
4. 该记录的名称来源值为“测试名称甲”；另有记录乙的同字段值不同，二者不混用</x:v>
      </x:c>
      <x:c r="J622" s="9" t="str">
        <x:v>1. 打开公会详情
2. 查看记录甲的名称</x:v>
      </x:c>
      <x:c r="K622" s="9" t="str">
        <x:v>记录甲的名称显示“测试名称甲”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来源（当前证据）：liveshow-proto/MainBasis/统一需求文档.md；位置：第 1007 行；REQ-22354e754881、第 1005 行
2. 规则：BR-F8E5D410C56922
3. 未动态验证
4. 示例账号、编号、金额与日期是本条测试数据；执行前按前置条件准备，未填写的产品决策不得自行假定。</x:v>
      </x:c>
    </x:row>
    <x:row r="623" ht="130" customHeight="1">
      <x:c r="A623" s="10" t="n">
        <x:v>622</x:v>
      </x:c>
      <x:c r="B623" s="10" t="str">
        <x:v>USER-0622</x:v>
      </x:c>
      <x:c r="C623" s="10" t="str">
        <x:v>公会管理</x:v>
      </x:c>
      <x:c r="D623" s="10" t="str">
        <x:v>公会详情（用户）</x:v>
      </x:c>
      <x:c r="E623" s="10" t="str">
        <x:v>功能需求</x:v>
      </x:c>
      <x:c r="F623" s="10" t="str">
        <x:v>P2</x:v>
      </x:c>
      <x:c r="G623" s="9" t="str">
        <x:v>验证公会详情显示目标记录的ID</x:v>
      </x:c>
      <x:c r="H623" s="9" t="str">
        <x:v>ID与当前对象绑定</x:v>
      </x:c>
      <x:c r="I623" s="9" t="str">
        <x:v>1. 用户为本条执行者
2. 用户账号已登录
3. 公会详情中目标记录唯一可定位为记录甲；目标记录满足本页展示范围
4. 该记录的ID来源值为“1001”；另有记录乙的同字段值不同，二者不混用</x:v>
      </x:c>
      <x:c r="J623" s="9" t="str">
        <x:v>1. 打开公会详情
2. 查看记录甲的ID</x:v>
      </x:c>
      <x:c r="K623" s="9" t="str">
        <x:v>记录甲的ID显示“1001”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来源（当前证据）：liveshow-proto/MainBasis/统一需求文档.md；位置：第 1007 行；REQ-22354e754881、第 1005 行
2. 规则：BR-AF8EF3144A2ACD
3. 未动态验证
4. 示例账号、编号、金额与日期是本条测试数据；执行前按前置条件准备，未填写的产品决策不得自行假定。</x:v>
      </x:c>
    </x:row>
    <x:row r="624" ht="190" customHeight="1">
      <x:c r="A624" s="10" t="n">
        <x:v>623</x:v>
      </x:c>
      <x:c r="B624" s="10" t="str">
        <x:v>USER-0623</x:v>
      </x:c>
      <x:c r="C624" s="10" t="str">
        <x:v>公会管理</x:v>
      </x:c>
      <x:c r="D624" s="10" t="str">
        <x:v>公会详情（用户）</x:v>
      </x:c>
      <x:c r="E624" s="10" t="str">
        <x:v>功能需求</x:v>
      </x:c>
      <x:c r="F624" s="10" t="str">
        <x:v>P2</x:v>
      </x:c>
      <x:c r="G624" s="9" t="str">
        <x:v>验证公会详情显示目标记录的提交时间</x:v>
      </x:c>
      <x:c r="H624" s="9" t="str">
        <x:v>提交时间与当前对象绑定</x:v>
      </x:c>
      <x:c r="I624" s="9" t="str">
        <x:v>1. 用户为本条执行者
2. 用户账号已登录
3. 公会详情中目标记录唯一可定位为记录甲；目标记录满足本页展示范围
4. 该记录的提交时间来源值为“2026/09/14 10:02”；另有记录乙的同字段值不同，二者不混用
5. 日期时间均以当前页面使用的时区准备，不测试尚未确认的跨时区换算</x:v>
      </x:c>
      <x:c r="J624" s="9" t="str">
        <x:v>1. 打开公会详情
2. 查看记录甲的提交时间</x:v>
      </x:c>
      <x:c r="K624" s="9" t="str">
        <x:v>记录甲的提交时间表示测试时刻“2026/09/14 10:02”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来源（当前证据）：liveshow-proto/MainBasis/统一需求文档.md；位置：第 1010 行；REQ-6bdfad279b7f、第 1005 行
2. 规则：BR-C61F3CC6C9FD70
3. 未动态验证
4. 示例账号、编号、金额与日期是本条测试数据；执行前按前置条件准备，未填写的产品决策不得自行假定。</x:v>
      </x:c>
    </x:row>
    <x:row r="625" ht="130" customHeight="1">
      <x:c r="A625" s="10" t="n">
        <x:v>624</x:v>
      </x:c>
      <x:c r="B625" s="10" t="str">
        <x:v>USER-0624</x:v>
      </x:c>
      <x:c r="C625" s="10" t="str">
        <x:v>公会管理</x:v>
      </x:c>
      <x:c r="D625" s="10" t="str">
        <x:v>公会详情（用户）</x:v>
      </x:c>
      <x:c r="E625" s="10" t="str">
        <x:v>功能需求</x:v>
      </x:c>
      <x:c r="F625" s="10" t="str">
        <x:v>P2</x:v>
      </x:c>
      <x:c r="G625" s="9" t="str">
        <x:v>验证公会详情显示目标记录的姓名</x:v>
      </x:c>
      <x:c r="H625" s="9" t="str">
        <x:v>姓名与当前对象绑定</x:v>
      </x:c>
      <x:c r="I625" s="9" t="str">
        <x:v>1. 用户为本条执行者
2. 用户账号已登录
3. 公会详情中目标记录唯一可定位为记录甲；目标记录满足本页展示范围
4. 该记录的姓名来源值为“测试姓名甲”；另有记录乙的同字段值不同，二者不混用</x:v>
      </x:c>
      <x:c r="J625" s="9" t="str">
        <x:v>1. 打开公会详情
2. 查看记录甲的姓名</x:v>
      </x:c>
      <x:c r="K625" s="9" t="str">
        <x:v>记录甲的姓名显示“测试姓名甲”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来源（当前证据）：liveshow-proto/MainBasis/统一需求文档.md；位置：第 1014 行；REQ-5185e0770bd0、第 1005 行
2. 规则：BR-D3D072B0D6B81F
3. 未动态验证
4. 示例账号、编号、金额与日期是本条测试数据；执行前按前置条件准备，未填写的产品决策不得自行假定。</x:v>
      </x:c>
    </x:row>
    <x:row r="626" ht="130" customHeight="1">
      <x:c r="A626" s="10" t="n">
        <x:v>625</x:v>
      </x:c>
      <x:c r="B626" s="10" t="str">
        <x:v>USER-0625</x:v>
      </x:c>
      <x:c r="C626" s="10" t="str">
        <x:v>公会管理</x:v>
      </x:c>
      <x:c r="D626" s="10" t="str">
        <x:v>公会详情（用户）</x:v>
      </x:c>
      <x:c r="E626" s="10" t="str">
        <x:v>功能需求</x:v>
      </x:c>
      <x:c r="F626" s="10" t="str">
        <x:v>P2</x:v>
      </x:c>
      <x:c r="G626" s="9" t="str">
        <x:v>验证公会详情显示目标记录的电话</x:v>
      </x:c>
      <x:c r="H626" s="9" t="str">
        <x:v>电话与当前对象绑定</x:v>
      </x:c>
      <x:c r="I626" s="9" t="str">
        <x:v>1. 用户为本条执行者
2. 用户账号已登录
3. 公会详情中目标记录唯一可定位为记录甲；目标记录满足本页展示范围
4. 该记录的电话来源值为“+6281234567890”；另有记录乙的同字段值不同，二者不混用</x:v>
      </x:c>
      <x:c r="J626" s="9" t="str">
        <x:v>1. 打开公会详情
2. 查看记录甲的电话</x:v>
      </x:c>
      <x:c r="K626" s="9" t="str">
        <x:v>记录甲的电话显示“+6281234567890”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来源（当前证据）：liveshow-proto/MainBasis/统一需求文档.md；位置：第 1014 行；REQ-5185e0770bd0、第 1005 行
2. 规则：BR-7E5497142A42AB
3. 未动态验证
4. 示例账号、编号、金额与日期是本条测试数据；执行前按前置条件准备，未填写的产品决策不得自行假定。</x:v>
      </x:c>
    </x:row>
    <x:row r="627" ht="130" customHeight="1">
      <x:c r="A627" s="10" t="n">
        <x:v>626</x:v>
      </x:c>
      <x:c r="B627" s="10" t="str">
        <x:v>USER-0626</x:v>
      </x:c>
      <x:c r="C627" s="10" t="str">
        <x:v>消息与社交</x:v>
      </x:c>
      <x:c r="D627" s="10" t="str">
        <x:v>用户主页（用户）</x:v>
      </x:c>
      <x:c r="E627" s="10" t="str">
        <x:v>功能需求</x:v>
      </x:c>
      <x:c r="F627" s="10" t="str">
        <x:v>P2</x:v>
      </x:c>
      <x:c r="G627" s="9" t="str">
        <x:v>验证用户主页显示目标记录的用户 ID</x:v>
      </x:c>
      <x:c r="H627" s="9" t="str">
        <x:v>用户 ID与当前对象绑定</x:v>
      </x:c>
      <x:c r="I627" s="9" t="str">
        <x:v>1. 用户为本条执行者
2. 用户账号已登录
3. 用户主页中目标记录唯一可定位为记录甲；目标记录满足本页展示范围
4. 该记录的用户 ID来源值为“1001”；另有记录乙的同字段值不同，二者不混用</x:v>
      </x:c>
      <x:c r="J627" s="9" t="str">
        <x:v>1. 打开用户主页
2. 查看记录甲的用户 ID</x:v>
      </x:c>
      <x:c r="K627" s="9" t="str">
        <x:v>记录甲的用户 ID显示“1001”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来源（当前证据）：liveshow-proto/MainBasis/统一需求文档.md；位置：第 1041 行；REQ-2d3dd2a1a9fc、第 1039 行
2. 规则：BR-C8278FF30D4259
3. 未动态验证
4. 示例账号、编号、金额与日期是本条测试数据；执行前按前置条件准备，未填写的产品决策不得自行假定。</x:v>
      </x:c>
    </x:row>
    <x:row r="628" ht="130" customHeight="1">
      <x:c r="A628" s="10" t="n">
        <x:v>627</x:v>
      </x:c>
      <x:c r="B628" s="10" t="str">
        <x:v>USER-0627</x:v>
      </x:c>
      <x:c r="C628" s="10" t="str">
        <x:v>消息与社交</x:v>
      </x:c>
      <x:c r="D628" s="10" t="str">
        <x:v>用户主页（用户）</x:v>
      </x:c>
      <x:c r="E628" s="10" t="str">
        <x:v>功能需求</x:v>
      </x:c>
      <x:c r="F628" s="10" t="str">
        <x:v>P2</x:v>
      </x:c>
      <x:c r="G628" s="9" t="str">
        <x:v>验证用户主页显示目标记录的昵称</x:v>
      </x:c>
      <x:c r="H628" s="9" t="str">
        <x:v>昵称与当前对象绑定</x:v>
      </x:c>
      <x:c r="I628" s="9" t="str">
        <x:v>1. 用户为本条执行者
2. 用户账号已登录
3. 用户主页中目标记录唯一可定位为记录甲；目标记录满足本页展示范围
4. 该记录的昵称来源值为“测试昵称甲”；另有记录乙的同字段值不同，二者不混用</x:v>
      </x:c>
      <x:c r="J628" s="9" t="str">
        <x:v>1. 打开用户主页
2. 查看记录甲的昵称</x:v>
      </x:c>
      <x:c r="K628" s="9" t="str">
        <x:v>记录甲的昵称显示“测试昵称甲”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来源（当前证据）：liveshow-proto/MainBasis/统一需求文档.md；位置：第 1041 行；REQ-2d3dd2a1a9fc、第 1039 行
2. 规则：BR-7D541AE55B3B7C
3. 未动态验证
4. 示例账号、编号、金额与日期是本条测试数据；执行前按前置条件准备，未填写的产品决策不得自行假定。</x:v>
      </x:c>
    </x:row>
    <x:row r="629" ht="130" customHeight="1">
      <x:c r="A629" s="10" t="n">
        <x:v>628</x:v>
      </x:c>
      <x:c r="B629" s="10" t="str">
        <x:v>USER-0628</x:v>
      </x:c>
      <x:c r="C629" s="10" t="str">
        <x:v>消息与社交</x:v>
      </x:c>
      <x:c r="D629" s="10" t="str">
        <x:v>用户主页（用户）</x:v>
      </x:c>
      <x:c r="E629" s="10" t="str">
        <x:v>功能需求</x:v>
      </x:c>
      <x:c r="F629" s="10" t="str">
        <x:v>P2</x:v>
      </x:c>
      <x:c r="G629" s="9" t="str">
        <x:v>验证用户主页显示目标记录的ID</x:v>
      </x:c>
      <x:c r="H629" s="9" t="str">
        <x:v>ID与当前对象绑定</x:v>
      </x:c>
      <x:c r="I629" s="9" t="str">
        <x:v>1. 用户为本条执行者
2. 用户账号已登录
3. 用户主页中目标记录唯一可定位为记录甲；目标记录满足本页展示范围
4. 该记录的ID来源值为“1001”；另有记录乙的同字段值不同，二者不混用</x:v>
      </x:c>
      <x:c r="J629" s="9" t="str">
        <x:v>1. 打开用户主页
2. 查看记录甲的ID</x:v>
      </x:c>
      <x:c r="K629" s="9" t="str">
        <x:v>记录甲的ID显示“1001”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来源（当前证据）：liveshow-proto/MainBasis/统一需求文档.md；位置：第 1041 行；REQ-2d3dd2a1a9fc、第 1039 行
2. 规则：BR-F0D8A2C822D22E
3. 未动态验证
4. 示例账号、编号、金额与日期是本条测试数据；执行前按前置条件准备，未填写的产品决策不得自行假定。</x:v>
      </x:c>
    </x:row>
    <x:row r="630" ht="130" customHeight="1">
      <x:c r="A630" s="10" t="n">
        <x:v>629</x:v>
      </x:c>
      <x:c r="B630" s="10" t="str">
        <x:v>USER-0629</x:v>
      </x:c>
      <x:c r="C630" s="10" t="str">
        <x:v>消息与社交</x:v>
      </x:c>
      <x:c r="D630" s="10" t="str">
        <x:v>礼物展馆（用户）</x:v>
      </x:c>
      <x:c r="E630" s="10" t="str">
        <x:v>功能需求</x:v>
      </x:c>
      <x:c r="F630" s="10" t="str">
        <x:v>P2</x:v>
      </x:c>
      <x:c r="G630" s="9" t="str">
        <x:v>验证礼物展馆显示目标记录的名称</x:v>
      </x:c>
      <x:c r="H630" s="9" t="str">
        <x:v>名称与当前对象绑定</x:v>
      </x:c>
      <x:c r="I630" s="9" t="str">
        <x:v>1. 用户为本条执行者
2. 用户账号已登录
3. 礼物展馆中目标记录唯一可定位为记录甲；目标记录满足本页展示范围
4. 该记录的名称来源值为“测试名称甲”；另有记录乙的同字段值不同，二者不混用</x:v>
      </x:c>
      <x:c r="J630" s="9" t="str">
        <x:v>1. 打开礼物展馆
2. 查看记录甲的名称</x:v>
      </x:c>
      <x:c r="K630" s="9" t="str">
        <x:v>记录甲的名称显示“测试名称甲”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来源（当前证据）：liveshow-proto/MainBasis/统一需求文档.md；位置：第 1075 行；REQ-7ff8f9f58a0b、第 1072 行
2. 规则：BR-A2CFC590FA6CFA
3. 未动态验证
4. 示例账号、编号、金额与日期是本条测试数据；执行前按前置条件准备，未填写的产品决策不得自行假定。</x:v>
      </x:c>
    </x:row>
    <x:row r="631" ht="130" customHeight="1">
      <x:c r="A631" s="10" t="n">
        <x:v>630</x:v>
      </x:c>
      <x:c r="B631" s="10" t="str">
        <x:v>USER-0630</x:v>
      </x:c>
      <x:c r="C631" s="10" t="str">
        <x:v>主播管理</x:v>
      </x:c>
      <x:c r="D631" s="10" t="str">
        <x:v>主播中心（主播）</x:v>
      </x:c>
      <x:c r="E631" s="10" t="str">
        <x:v>功能需求</x:v>
      </x:c>
      <x:c r="F631" s="10" t="str">
        <x:v>P2</x:v>
      </x:c>
      <x:c r="G631" s="9" t="str">
        <x:v>验证主播中心显示目标记录的昵称</x:v>
      </x:c>
      <x:c r="H631" s="9" t="str">
        <x:v>昵称与当前对象绑定</x:v>
      </x:c>
      <x:c r="I631" s="9" t="str">
        <x:v>1. 主播为本条执行者
2. 主播账号已登录
3. 主播中心中目标记录唯一可定位为记录甲；目标记录满足本页展示范围
4. 该记录的昵称来源值为“测试昵称甲”；另有记录乙的同字段值不同，二者不混用</x:v>
      </x:c>
      <x:c r="J631" s="9" t="str">
        <x:v>1. 打开主播中心
2. 查看记录甲的昵称</x:v>
      </x:c>
      <x:c r="K631" s="9" t="str">
        <x:v>记录甲的昵称显示“测试昵称甲”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来源（当前证据）：liveshow-proto/MainBasis/统一需求文档.md；位置：第 1123 行；REQ-f6687952acd1、第 1121 行
2. 规则：BR-E7F55E3065F251
3. 未动态验证
4. 示例账号、编号、金额与日期是本条测试数据；执行前按前置条件准备，未填写的产品决策不得自行假定。</x:v>
      </x:c>
    </x:row>
    <x:row r="632" ht="130" customHeight="1">
      <x:c r="A632" s="10" t="n">
        <x:v>631</x:v>
      </x:c>
      <x:c r="B632" s="10" t="str">
        <x:v>USER-0631</x:v>
      </x:c>
      <x:c r="C632" s="10" t="str">
        <x:v>主播管理</x:v>
      </x:c>
      <x:c r="D632" s="10" t="str">
        <x:v>主播中心（主播）</x:v>
      </x:c>
      <x:c r="E632" s="10" t="str">
        <x:v>功能需求</x:v>
      </x:c>
      <x:c r="F632" s="10" t="str">
        <x:v>P2</x:v>
      </x:c>
      <x:c r="G632" s="9" t="str">
        <x:v>验证主播中心显示目标记录的主播 ID</x:v>
      </x:c>
      <x:c r="H632" s="9" t="str">
        <x:v>主播 ID与当前对象绑定</x:v>
      </x:c>
      <x:c r="I632" s="9" t="str">
        <x:v>1. 主播为本条执行者
2. 主播账号已登录
3. 主播中心中目标记录唯一可定位为记录甲；目标记录满足本页展示范围
4. 该记录的主播 ID来源值为“2001”；另有记录乙的同字段值不同，二者不混用</x:v>
      </x:c>
      <x:c r="J632" s="9" t="str">
        <x:v>1. 打开主播中心
2. 查看记录甲的主播 ID</x:v>
      </x:c>
      <x:c r="K632" s="9" t="str">
        <x:v>记录甲的主播 ID显示“2001”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来源（当前证据）：liveshow-proto/MainBasis/统一需求文档.md；位置：第 1125 行；REQ-c509c941bb55、第 1121 行
2. 规则：BR-3050EC2F278B18
3. 未动态验证
4. 示例账号、编号、金额与日期是本条测试数据；执行前按前置条件准备，未填写的产品决策不得自行假定。</x:v>
      </x:c>
    </x:row>
    <x:row r="633" ht="130" customHeight="1">
      <x:c r="A633" s="10" t="n">
        <x:v>632</x:v>
      </x:c>
      <x:c r="B633" s="10" t="str">
        <x:v>USER-0632</x:v>
      </x:c>
      <x:c r="C633" s="10" t="str">
        <x:v>主播管理</x:v>
      </x:c>
      <x:c r="D633" s="10" t="str">
        <x:v>主播中心（主播）</x:v>
      </x:c>
      <x:c r="E633" s="10" t="str">
        <x:v>功能需求</x:v>
      </x:c>
      <x:c r="F633" s="10" t="str">
        <x:v>P2</x:v>
      </x:c>
      <x:c r="G633" s="9" t="str">
        <x:v>验证主播中心显示目标记录的公会名称</x:v>
      </x:c>
      <x:c r="H633" s="9" t="str">
        <x:v>公会名称与当前对象绑定</x:v>
      </x:c>
      <x:c r="I633" s="9" t="str">
        <x:v>1. 主播为本条执行者
2. 主播账号已登录
3. 主播中心中目标记录唯一可定位为记录甲；目标记录满足本页展示范围
4. 该记录的公会名称来源值为“测试公会甲”；另有记录乙的同字段值不同，二者不混用</x:v>
      </x:c>
      <x:c r="J633" s="9" t="str">
        <x:v>1. 打开主播中心
2. 查看记录甲的公会名称</x:v>
      </x:c>
      <x:c r="K633" s="9" t="str">
        <x:v>记录甲的公会名称显示“测试公会甲”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来源（当前证据）：liveshow-proto/MainBasis/统一需求文档.md；位置：第 1126 行；REQ-ac4e8ce159f8、第 1121 行
2. 规则：BR-A6CF750C2B2FD6
3. 未动态验证
4. 示例账号、编号、金额与日期是本条测试数据；执行前按前置条件准备，未填写的产品决策不得自行假定。</x:v>
      </x:c>
    </x:row>
    <x:row r="634" ht="130" customHeight="1">
      <x:c r="A634" s="10" t="n">
        <x:v>633</x:v>
      </x:c>
      <x:c r="B634" s="10" t="str">
        <x:v>USER-0633</x:v>
      </x:c>
      <x:c r="C634" s="10" t="str">
        <x:v>主播管理</x:v>
      </x:c>
      <x:c r="D634" s="10" t="str">
        <x:v>申请成为主播（用户）</x:v>
      </x:c>
      <x:c r="E634" s="10" t="str">
        <x:v>功能需求</x:v>
      </x:c>
      <x:c r="F634" s="10" t="str">
        <x:v>P2</x:v>
      </x:c>
      <x:c r="G634" s="9" t="str">
        <x:v>验证申请成为主播显示目标记录的公会名称</x:v>
      </x:c>
      <x:c r="H634" s="9" t="str">
        <x:v>公会名称与当前对象绑定</x:v>
      </x:c>
      <x:c r="I634" s="9" t="str">
        <x:v>1. 用户为本条执行者
2. 用户账号已登录
3. 申请成为主播中目标记录唯一可定位为记录甲；目标记录满足本页展示范围
4. 该记录的公会名称来源值为“测试公会甲”；另有记录乙的同字段值不同，二者不混用</x:v>
      </x:c>
      <x:c r="J634" s="9" t="str">
        <x:v>1. 打开申请成为主播
2. 查看记录甲的公会名称</x:v>
      </x:c>
      <x:c r="K634" s="9" t="str">
        <x:v>记录甲的公会名称显示“测试公会甲”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来源（当前证据）：liveshow-proto/MainBasis/统一需求文档.md；位置：第 1173 行；REQ-67c887a336e5、第 1169 行
2. 规则：BR-427184679516ED
3. 未动态验证
4. 示例账号、编号、金额与日期是本条测试数据；执行前按前置条件准备，未填写的产品决策不得自行假定。</x:v>
      </x:c>
    </x:row>
    <x:row r="635" ht="130" customHeight="1">
      <x:c r="A635" s="10" t="n">
        <x:v>634</x:v>
      </x:c>
      <x:c r="B635" s="10" t="str">
        <x:v>USER-0634</x:v>
      </x:c>
      <x:c r="C635" s="10" t="str">
        <x:v>账号与登录</x:v>
      </x:c>
      <x:c r="D635" s="10" t="str">
        <x:v>资料补全（用户）</x:v>
      </x:c>
      <x:c r="E635" s="10" t="str">
        <x:v>功能需求</x:v>
      </x:c>
      <x:c r="F635" s="10" t="str">
        <x:v>P1</x:v>
      </x:c>
      <x:c r="G635" s="9" t="str">
        <x:v>验证资料补全显示目标记录的昵称</x:v>
      </x:c>
      <x:c r="H635" s="9" t="str">
        <x:v>昵称与当前对象绑定</x:v>
      </x:c>
      <x:c r="I635" s="9" t="str">
        <x:v>1. 用户为本条执行者
2. 用户账号已登录
3. 资料补全中目标记录唯一可定位为记录甲；目标记录满足本页展示范围
4. 该记录的昵称来源值为“测试昵称甲”；另有记录乙的同字段值不同，二者不混用</x:v>
      </x:c>
      <x:c r="J635" s="9" t="str">
        <x:v>1. 打开资料补全
2. 查看记录甲的昵称</x:v>
      </x:c>
      <x:c r="K635" s="9" t="str">
        <x:v>记录甲的昵称显示“测试昵称甲”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来源（当前证据）：liveshow-proto/MainBasis/统一需求文档.md；位置：第 1377 行；REQ-01f0e1f8b741、第 1374 行
2. 规则：BR-643FE475F667EF
3. 未动态验证
4. 示例账号、编号、金额与日期是本条测试数据；执行前按前置条件准备，未填写的产品决策不得自行假定。</x:v>
      </x:c>
    </x:row>
    <x:row r="636" ht="160" customHeight="1">
      <x:c r="A636" s="10" t="n">
        <x:v>635</x:v>
      </x:c>
      <x:c r="B636" s="10" t="str">
        <x:v>USER-0635</x:v>
      </x:c>
      <x:c r="C636" s="10" t="str">
        <x:v>个人中心</x:v>
      </x:c>
      <x:c r="D636" s="10" t="str">
        <x:v>我的装扮（用户）</x:v>
      </x:c>
      <x:c r="E636" s="10" t="str">
        <x:v>功能需求</x:v>
      </x:c>
      <x:c r="F636" s="10" t="str">
        <x:v>P2</x:v>
      </x:c>
      <x:c r="G636" s="9" t="str">
        <x:v>验证已获得道具下架后仍可佩戴</x:v>
      </x:c>
      <x:c r="H636" s="9" t="str">
        <x:v>下架不影响已获得权益</x:v>
      </x:c>
      <x:c r="I636" s="9" t="str">
        <x:v>1. 用户为本条执行者
2. 用户甲已获得有效头像框甲但尚未佩戴；后台随后下架该头像框</x:v>
      </x:c>
      <x:c r="J636" s="9" t="str">
        <x:v>1. 打开我的装扮
2. 选择已拥有的头像框分类
3. 点击头像框甲卡片</x:v>
      </x:c>
      <x:c r="K636" s="9" t="str">
        <x:v>头像框甲显示已佩戴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来源（当前证据）：liveshow-proto/MainBasis/统一需求文档.md；位置：第 734 行；REQ-9c8849c7f7ca、第 735 行；REQ-121c9aebf014、第 2804 行；REQ-d6bd53bfa7de、第 728 行
2. 规则：BR-A49CA1CDA11233
3. 未动态验证
4. 示例账号、编号、金额与日期是本条测试数据；执行前按前置条件准备，未填写的产品决策不得自行假定。</x:v>
      </x:c>
    </x:row>
    <x:row r="637" ht="160" customHeight="1">
      <x:c r="A637" s="10" t="n">
        <x:v>636</x:v>
      </x:c>
      <x:c r="B637" s="10" t="str">
        <x:v>USER-0636</x:v>
      </x:c>
      <x:c r="C637" s="10" t="str">
        <x:v>直播</x:v>
      </x:c>
      <x:c r="D637" s="10" t="str">
        <x:v>礼物（用户）</x:v>
      </x:c>
      <x:c r="E637" s="10" t="str">
        <x:v>功能需求</x:v>
      </x:c>
      <x:c r="F637" s="10" t="str">
        <x:v>P2</x:v>
      </x:c>
      <x:c r="G637" s="9" t="str">
        <x:v>验证数量规则停用后新赠送只支持一件</x:v>
      </x:c>
      <x:c r="H637" s="9" t="str">
        <x:v>数量规则停用默认值</x:v>
      </x:c>
      <x:c r="I637" s="9" t="str">
        <x:v>1. 用户为本条执行者
2. 用户甲已进房，礼物甲上架，原关联的赠送数量规则刚停用</x:v>
      </x:c>
      <x:c r="J637" s="9" t="str">
        <x:v>1. 打开礼物面板
2. 选择礼物甲
3. 查看数量选项</x:v>
      </x:c>
      <x:c r="K637" s="9" t="str">
        <x:v>仅提供数量1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来源（当前证据）：liveshow-proto/MainBasis/统一需求文档.md；位置：第 1576 行；REQ-80a63c1ae2ea、第 1584 行；REQ-f453a49afcc1、第 2831 行；REQ-4b7248133e7e、第 1574 行
2. 规则：BR-79CEA11276AC84
3. 未动态验证
4. 示例账号、编号、金额与日期是本条测试数据；执行前按前置条件准备，未填写的产品决策不得自行假定。</x:v>
      </x:c>
    </x:row>
    <x:row r="638" ht="130" customHeight="1">
      <x:c r="A638" s="10" t="n">
        <x:v>637</x:v>
      </x:c>
      <x:c r="B638" s="10" t="str">
        <x:v>USER-0637</x:v>
      </x:c>
      <x:c r="C638" s="10" t="str">
        <x:v>首页与发现</x:v>
      </x:c>
      <x:c r="D638" s="10" t="str">
        <x:v>主播榜（游客）</x:v>
      </x:c>
      <x:c r="E638" s="10" t="str">
        <x:v>功能需求</x:v>
      </x:c>
      <x:c r="F638" s="10" t="str">
        <x:v>P1</x:v>
      </x:c>
      <x:c r="G638" s="9" t="str">
        <x:v>验证游客点击榜单账号要求登录</x:v>
      </x:c>
      <x:c r="H638" s="9" t="str">
        <x:v>榜单账号游客准入</x:v>
      </x:c>
      <x:c r="I638" s="9" t="str">
        <x:v>1. 游客为本条执行者
2. 榜单有可点击的账号乙
3. 当前为未登录游客</x:v>
      </x:c>
      <x:c r="J638" s="9" t="str">
        <x:v>1. 打开榜单
2. 点击账号乙</x:v>
      </x:c>
      <x:c r="K638" s="9" t="str">
        <x:v>进入登录页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来源（当前证据）：liveshow-proto/MainBasis/统一需求文档.md；位置：第 550 行；REQ-021f33d6dcb2、第 538 行
2. 规则：BR-009635708A0545
3. 未动态验证
4. 示例账号、编号、金额与日期是本条测试数据；执行前按前置条件准备，未填写的产品决策不得自行假定。</x:v>
      </x:c>
    </x:row>
    <x:row r="639" ht="130" customHeight="1">
      <x:c r="A639" s="10" t="n">
        <x:v>638</x:v>
      </x:c>
      <x:c r="B639" s="10" t="str">
        <x:v>USER-0638</x:v>
      </x:c>
      <x:c r="C639" s="10" t="str">
        <x:v>首页与发现</x:v>
      </x:c>
      <x:c r="D639" s="10" t="str">
        <x:v>贡献榜（游客）</x:v>
      </x:c>
      <x:c r="E639" s="10" t="str">
        <x:v>功能需求</x:v>
      </x:c>
      <x:c r="F639" s="10" t="str">
        <x:v>P1</x:v>
      </x:c>
      <x:c r="G639" s="9" t="str">
        <x:v>验证游客点击榜单账号要求登录</x:v>
      </x:c>
      <x:c r="H639" s="9" t="str">
        <x:v>榜单账号游客准入</x:v>
      </x:c>
      <x:c r="I639" s="9" t="str">
        <x:v>1. 游客为本条执行者
2. 榜单有可点击的账号乙
3. 当前为未登录游客</x:v>
      </x:c>
      <x:c r="J639" s="9" t="str">
        <x:v>1. 打开榜单
2. 点击账号乙</x:v>
      </x:c>
      <x:c r="K639" s="9" t="str">
        <x:v>进入登录页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来源（当前证据）：liveshow-proto/MainBasis/统一需求文档.md；位置：第 566 行；REQ-2a0dc67e1447、第 553 行
2. 规则：BR-2F098FD4A37635
3. 未动态验证
4. 示例账号、编号、金额与日期是本条测试数据；执行前按前置条件准备，未填写的产品决策不得自行假定。</x:v>
      </x:c>
    </x:row>
    <x:row r="640" ht="130" customHeight="1">
      <x:c r="A640" s="10" t="n">
        <x:v>639</x:v>
      </x:c>
      <x:c r="B640" s="10" t="str">
        <x:v>USER-0639</x:v>
      </x:c>
      <x:c r="C640" s="10" t="str">
        <x:v>首页与发现</x:v>
      </x:c>
      <x:c r="D640" s="10" t="str">
        <x:v>搜索（用户）</x:v>
      </x:c>
      <x:c r="E640" s="10" t="str">
        <x:v>功能需求</x:v>
      </x:c>
      <x:c r="F640" s="10" t="str">
        <x:v>P2</x:v>
      </x:c>
      <x:c r="G640" s="9" t="str">
        <x:v>验证空关键词不提交搜索</x:v>
      </x:c>
      <x:c r="H640" s="9" t="str">
        <x:v>空关键词停留搜索页</x:v>
      </x:c>
      <x:c r="I640" s="9" t="str">
        <x:v>1. 用户为本条执行者
2. 普通用户甲已登录</x:v>
      </x:c>
      <x:c r="J640" s="9" t="str">
        <x:v>1. 打开搜索
2. 清空关键词
3. 点击搜索</x:v>
      </x:c>
      <x:c r="K640" s="9" t="str">
        <x:v>未进入搜索结果页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来源（当前证据）：liveshow-proto/MainBasis/统一需求文档.md；位置：第 577 行；REQ-a0a19c423e65、第 569 行
2. 规则：BR-94593107B40FF2
3. 未动态验证
4. 示例账号、编号、金额与日期是本条测试数据；执行前按前置条件准备，未填写的产品决策不得自行假定。</x:v>
      </x:c>
    </x:row>
    <x:row r="641" ht="130" customHeight="1">
      <x:c r="A641" s="10" t="n">
        <x:v>640</x:v>
      </x:c>
      <x:c r="B641" s="10" t="str">
        <x:v>USER-0640</x:v>
      </x:c>
      <x:c r="C641" s="10" t="str">
        <x:v>首页与发现</x:v>
      </x:c>
      <x:c r="D641" s="10" t="str">
        <x:v>搜索结果（用户）</x:v>
      </x:c>
      <x:c r="E641" s="10" t="str">
        <x:v>功能需求</x:v>
      </x:c>
      <x:c r="F641" s="10" t="str">
        <x:v>P2</x:v>
      </x:c>
      <x:c r="G641" s="9" t="str">
        <x:v>验证没有匹配账号保留重搜入口</x:v>
      </x:c>
      <x:c r="H641" s="9" t="str">
        <x:v>搜索无结果</x:v>
      </x:c>
      <x:c r="I641" s="9" t="str">
        <x:v>1. 用户为本条执行者
2. 用户甲已登录
3. 关键词“无匹配测试账号90001”不存在且无同名或包含匹配</x:v>
      </x:c>
      <x:c r="J641" s="9" t="str">
        <x:v>1. 打开搜索
2. 输入无匹配测试账号90001
3. 点击搜索</x:v>
      </x:c>
      <x:c r="K641" s="9" t="str">
        <x:v>结果列表为空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来源（当前证据）：liveshow-proto/MainBasis/统一需求文档.md；位置：第 587 行；REQ-071020a0b13a、第 582 行
2. 规则：BR-F9E03201317728
3. 未动态验证
4. 示例账号、编号、金额与日期是本条测试数据；执行前按前置条件准备，未填写的产品决策不得自行假定。</x:v>
      </x:c>
    </x:row>
    <x:row r="642" ht="130" customHeight="1">
      <x:c r="A642" s="10" t="n">
        <x:v>641</x:v>
      </x:c>
      <x:c r="B642" s="10" t="str">
        <x:v>USER-0641</x:v>
      </x:c>
      <x:c r="C642" s="10" t="str">
        <x:v>首页与发现</x:v>
      </x:c>
      <x:c r="D642" s="10" t="str">
        <x:v>搜索结果（用户）</x:v>
      </x:c>
      <x:c r="E642" s="10" t="str">
        <x:v>功能需求</x:v>
      </x:c>
      <x:c r="F642" s="10" t="str">
        <x:v>P2</x:v>
      </x:c>
      <x:c r="G642" s="9" t="str">
        <x:v>验证没有匹配账号保留重搜入口</x:v>
      </x:c>
      <x:c r="H642" s="9" t="str">
        <x:v>无结果仍可重搜</x:v>
      </x:c>
      <x:c r="I642" s="9" t="str">
        <x:v>1. 用户为本条执行者
2. 用户甲已登录
3. 关键词“无匹配测试账号90001”不存在且无同名或包含匹配</x:v>
      </x:c>
      <x:c r="J642" s="9" t="str">
        <x:v>1. 打开搜索
2. 输入无匹配测试账号90001
3. 点击搜索</x:v>
      </x:c>
      <x:c r="K642" s="9" t="str">
        <x:v>仍显示可编辑的搜索框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来源（当前证据）：liveshow-proto/MainBasis/统一需求文档.md；位置：第 587 行；REQ-071020a0b13a、第 582 行
2. 规则：BR-C22C781EF71223
3. 未动态验证
4. 示例账号、编号、金额与日期是本条测试数据；执行前按前置条件准备，未填写的产品决策不得自行假定。</x:v>
      </x:c>
    </x:row>
    <x:row r="643" ht="130" customHeight="1">
      <x:c r="A643" s="10" t="n">
        <x:v>642</x:v>
      </x:c>
      <x:c r="B643" s="10" t="str">
        <x:v>USER-0642</x:v>
      </x:c>
      <x:c r="C643" s="10" t="str">
        <x:v>消息与社交</x:v>
      </x:c>
      <x:c r="D643" s="10" t="str">
        <x:v>粉丝列表（用户）</x:v>
      </x:c>
      <x:c r="E643" s="10" t="str">
        <x:v>功能需求</x:v>
      </x:c>
      <x:c r="F643" s="10" t="str">
        <x:v>P2</x:v>
      </x:c>
      <x:c r="G643" s="9" t="str">
        <x:v>验证粉丝列表实时按名称模糊筛选</x:v>
      </x:c>
      <x:c r="H643" s="9" t="str">
        <x:v>名称实时筛选</x:v>
      </x:c>
      <x:c r="I643" s="9" t="str">
        <x:v>1. 用户为本条执行者
2. 当前账号甲的粉丝列表中有“测试乙”和“测试丙”；账号“范围外丁”不属于该列表的有效关系</x:v>
      </x:c>
      <x:c r="J643" s="9" t="str">
        <x:v>1. 打开粉丝列表
2. 输入用户名测试乙</x:v>
      </x:c>
      <x:c r="K643" s="9" t="str">
        <x:v>当前列表仅显示测试乙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来源（当前证据）：liveshow-proto/MainBasis/统一需求文档.md；位置：第 715 行；REQ-a59769f33803、第 707 行
2. 规则：BR-CD732A490339BE
3. 未动态验证
4. 示例账号、编号、金额与日期是本条测试数据；执行前按前置条件准备，未填写的产品决策不得自行假定。</x:v>
      </x:c>
    </x:row>
    <x:row r="644" ht="130" customHeight="1">
      <x:c r="A644" s="10" t="n">
        <x:v>643</x:v>
      </x:c>
      <x:c r="B644" s="10" t="str">
        <x:v>USER-0643</x:v>
      </x:c>
      <x:c r="C644" s="10" t="str">
        <x:v>消息与社交</x:v>
      </x:c>
      <x:c r="D644" s="10" t="str">
        <x:v>粉丝列表（用户）</x:v>
      </x:c>
      <x:c r="E644" s="10" t="str">
        <x:v>功能需求</x:v>
      </x:c>
      <x:c r="F644" s="10" t="str">
        <x:v>P2</x:v>
      </x:c>
      <x:c r="G644" s="9" t="str">
        <x:v>验证粉丝列表不搜索关系范围外账号</x:v>
      </x:c>
      <x:c r="H644" s="9" t="str">
        <x:v>社交搜索范围</x:v>
      </x:c>
      <x:c r="I644" s="9" t="str">
        <x:v>1. 用户为本条执行者
2. 当前账号甲的粉丝列表中有“测试乙”和“测试丙”；账号“范围外丁”不属于该列表的有效关系</x:v>
      </x:c>
      <x:c r="J644" s="9" t="str">
        <x:v>1. 打开粉丝列表
2. 输入范围外丁</x:v>
      </x:c>
      <x:c r="K644" s="9" t="str">
        <x:v>显示空状态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来源（当前证据）：liveshow-proto/MainBasis/统一需求文档.md；位置：第 715 行；REQ-a59769f33803、第 707 行
2. 规则：BR-5662C4E3803D83
3. 未动态验证
4. 示例账号、编号、金额与日期是本条测试数据；执行前按前置条件准备，未填写的产品决策不得自行假定。</x:v>
      </x:c>
    </x:row>
    <x:row r="645" ht="130" customHeight="1">
      <x:c r="A645" s="10" t="n">
        <x:v>644</x:v>
      </x:c>
      <x:c r="B645" s="10" t="str">
        <x:v>USER-0644</x:v>
      </x:c>
      <x:c r="C645" s="10" t="str">
        <x:v>消息与社交</x:v>
      </x:c>
      <x:c r="D645" s="10" t="str">
        <x:v>粉丝列表（用户）</x:v>
      </x:c>
      <x:c r="E645" s="10" t="str">
        <x:v>功能需求</x:v>
      </x:c>
      <x:c r="F645" s="10" t="str">
        <x:v>P2</x:v>
      </x:c>
      <x:c r="G645" s="9" t="str">
        <x:v>验证粉丝列表筛选保留相对顺序</x:v>
      </x:c>
      <x:c r="H645" s="9" t="str">
        <x:v>筛选不改变相对顺序</x:v>
      </x:c>
      <x:c r="I645" s="9" t="str">
        <x:v>1. 用户为本条执行者
2. 当前账号甲的粉丝列表中有“测试乙”和“测试丙”；账号“范围外丁”不属于该列表的有效关系
3. 列表初始顺序为测试丙、测试乙，二者名称均包含“测试”</x:v>
      </x:c>
      <x:c r="J645" s="9" t="str">
        <x:v>1. 打开粉丝列表
2. 输入测试</x:v>
      </x:c>
      <x:c r="K645" s="9" t="str">
        <x:v>测试丙仍排在测试乙前面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来源（当前证据）：liveshow-proto/MainBasis/统一需求文档.md；位置：第 714 行；REQ-bd3781ae9b8f、第 707 行
2. 规则：BR-B08476247F20CC
3. 未动态验证
4. 示例账号、编号、金额与日期是本条测试数据；执行前按前置条件准备，未填写的产品决策不得自行假定。</x:v>
      </x:c>
    </x:row>
    <x:row r="646" ht="130" customHeight="1">
      <x:c r="A646" s="10" t="n">
        <x:v>645</x:v>
      </x:c>
      <x:c r="B646" s="10" t="str">
        <x:v>USER-0645</x:v>
      </x:c>
      <x:c r="C646" s="10" t="str">
        <x:v>个人中心</x:v>
      </x:c>
      <x:c r="D646" s="10" t="str">
        <x:v>我的关注（用户）</x:v>
      </x:c>
      <x:c r="E646" s="10" t="str">
        <x:v>功能需求</x:v>
      </x:c>
      <x:c r="F646" s="10" t="str">
        <x:v>P2</x:v>
      </x:c>
      <x:c r="G646" s="9" t="str">
        <x:v>验证我的关注实时按名称模糊筛选</x:v>
      </x:c>
      <x:c r="H646" s="9" t="str">
        <x:v>名称实时筛选</x:v>
      </x:c>
      <x:c r="I646" s="9" t="str">
        <x:v>1. 用户为本条执行者
2. 当前账号甲的我的关注中有“测试乙”和“测试丙”；账号“范围外丁”不属于该列表的有效关系</x:v>
      </x:c>
      <x:c r="J646" s="9" t="str">
        <x:v>1. 打开我的关注
2. 输入用户名测试乙</x:v>
      </x:c>
      <x:c r="K646" s="9" t="str">
        <x:v>当前列表仅显示测试乙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来源（当前证据）：liveshow-proto/MainBasis/统一需求文档.md；位置：第 725 行；REQ-72beab840243、第 718 行
2. 规则：BR-CDE6934BC8DE55
3. 未动态验证
4. 示例账号、编号、金额与日期是本条测试数据；执行前按前置条件准备，未填写的产品决策不得自行假定。</x:v>
      </x:c>
    </x:row>
    <x:row r="647" ht="160" customHeight="1">
      <x:c r="A647" s="10" t="n">
        <x:v>646</x:v>
      </x:c>
      <x:c r="B647" s="10" t="str">
        <x:v>USER-0646</x:v>
      </x:c>
      <x:c r="C647" s="10" t="str">
        <x:v>个人中心</x:v>
      </x:c>
      <x:c r="D647" s="10" t="str">
        <x:v>我的关注（用户）</x:v>
      </x:c>
      <x:c r="E647" s="10" t="str">
        <x:v>功能需求</x:v>
      </x:c>
      <x:c r="F647" s="10" t="str">
        <x:v>P2</x:v>
      </x:c>
      <x:c r="G647" s="9" t="str">
        <x:v>验证我的关注不搜索关系范围外账号</x:v>
      </x:c>
      <x:c r="H647" s="9" t="str">
        <x:v>社交搜索范围</x:v>
      </x:c>
      <x:c r="I647" s="9" t="str">
        <x:v>1. 用户为本条执行者
2. 当前账号甲的我的关注中有“测试乙”和“测试丙”；账号“范围外丁”不属于该列表的有效关系</x:v>
      </x:c>
      <x:c r="J647" s="9" t="str">
        <x:v>1. 打开我的关注
2. 输入范围外丁</x:v>
      </x:c>
      <x:c r="K647" s="9" t="str">
        <x:v>显示空状态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来源（当前证据）：liveshow-proto/MainBasis/统一需求文档.md；位置：第 722 行；REQ-6c3299222bc1、第 723 行；REQ-623dea81d02d、第 725 行；REQ-72beab840243、第 718 行
2. 规则：BR-1032EB2953306F
3. 未动态验证
4. 示例账号、编号、金额与日期是本条测试数据；执行前按前置条件准备，未填写的产品决策不得自行假定。</x:v>
      </x:c>
    </x:row>
    <x:row r="648" ht="130" customHeight="1">
      <x:c r="A648" s="10" t="n">
        <x:v>647</x:v>
      </x:c>
      <x:c r="B648" s="10" t="str">
        <x:v>USER-0647</x:v>
      </x:c>
      <x:c r="C648" s="10" t="str">
        <x:v>个人中心</x:v>
      </x:c>
      <x:c r="D648" s="10" t="str">
        <x:v>我的关注（用户）</x:v>
      </x:c>
      <x:c r="E648" s="10" t="str">
        <x:v>功能需求</x:v>
      </x:c>
      <x:c r="F648" s="10" t="str">
        <x:v>P2</x:v>
      </x:c>
      <x:c r="G648" s="9" t="str">
        <x:v>验证我的关注筛选保留相对顺序</x:v>
      </x:c>
      <x:c r="H648" s="9" t="str">
        <x:v>筛选不改变相对顺序</x:v>
      </x:c>
      <x:c r="I648" s="9" t="str">
        <x:v>1. 用户为本条执行者
2. 当前账号甲的我的关注中有“测试乙”和“测试丙”；账号“范围外丁”不属于该列表的有效关系
3. 列表初始顺序为测试丙、测试乙，二者名称均包含“测试”</x:v>
      </x:c>
      <x:c r="J648" s="9" t="str">
        <x:v>1. 打开我的关注
2. 输入测试</x:v>
      </x:c>
      <x:c r="K648" s="9" t="str">
        <x:v>测试丙仍排在测试乙前面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来源（当前证据）：liveshow-proto/MainBasis/统一需求文档.md；位置：第 724 行；REQ-b18d9ab21ef7、第 718 行
2. 规则：BR-CB67ACABA3BB75
3. 未动态验证
4. 示例账号、编号、金额与日期是本条测试数据；执行前按前置条件准备，未填写的产品决策不得自行假定。</x:v>
      </x:c>
    </x:row>
    <x:row r="649" ht="130" customHeight="1">
      <x:c r="A649" s="10" t="n">
        <x:v>648</x:v>
      </x:c>
      <x:c r="B649" s="10" t="str">
        <x:v>USER-0648</x:v>
      </x:c>
      <x:c r="C649" s="10" t="str">
        <x:v>消息与社交</x:v>
      </x:c>
      <x:c r="D649" s="10" t="str">
        <x:v>好友列表（用户）</x:v>
      </x:c>
      <x:c r="E649" s="10" t="str">
        <x:v>功能需求</x:v>
      </x:c>
      <x:c r="F649" s="10" t="str">
        <x:v>P2</x:v>
      </x:c>
      <x:c r="G649" s="9" t="str">
        <x:v>验证好友列表实时按名称模糊筛选</x:v>
      </x:c>
      <x:c r="H649" s="9" t="str">
        <x:v>名称实时筛选</x:v>
      </x:c>
      <x:c r="I649" s="9" t="str">
        <x:v>1. 用户为本条执行者
2. 当前账号甲的好友列表中有“测试乙”和“测试丙”；账号“范围外丁”不属于该列表的有效关系</x:v>
      </x:c>
      <x:c r="J649" s="9" t="str">
        <x:v>1. 打开好友列表
2. 输入用户名测试乙</x:v>
      </x:c>
      <x:c r="K649" s="9" t="str">
        <x:v>当前列表仅显示测试乙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来源（当前证据）：liveshow-proto/MainBasis/统一需求文档.md；位置：第 865 行；REQ-7adf09e79860、第 854 行
2. 规则：BR-776F9679D0D660
3. 未动态验证
4. 示例账号、编号、金额与日期是本条测试数据；执行前按前置条件准备，未填写的产品决策不得自行假定。</x:v>
      </x:c>
    </x:row>
    <x:row r="650" ht="160" customHeight="1">
      <x:c r="A650" s="10" t="n">
        <x:v>649</x:v>
      </x:c>
      <x:c r="B650" s="10" t="str">
        <x:v>USER-0649</x:v>
      </x:c>
      <x:c r="C650" s="10" t="str">
        <x:v>消息与社交</x:v>
      </x:c>
      <x:c r="D650" s="10" t="str">
        <x:v>好友列表（用户）</x:v>
      </x:c>
      <x:c r="E650" s="10" t="str">
        <x:v>功能需求</x:v>
      </x:c>
      <x:c r="F650" s="10" t="str">
        <x:v>P2</x:v>
      </x:c>
      <x:c r="G650" s="9" t="str">
        <x:v>验证好友列表不搜索关系范围外账号</x:v>
      </x:c>
      <x:c r="H650" s="9" t="str">
        <x:v>社交搜索范围</x:v>
      </x:c>
      <x:c r="I650" s="9" t="str">
        <x:v>1. 用户为本条执行者
2. 当前账号甲的好友列表中有“测试乙”和“测试丙”；账号“范围外丁”不属于该列表的有效关系</x:v>
      </x:c>
      <x:c r="J650" s="9" t="str">
        <x:v>1. 打开好友列表
2. 输入范围外丁</x:v>
      </x:c>
      <x:c r="K650" s="9" t="str">
        <x:v>显示空状态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来源（当前证据）：liveshow-proto/MainBasis/统一需求文档.md；位置：第 857 行；REQ-e2045547464c、第 863 行；REQ-9149cae5b26b、第 865 行；REQ-7adf09e79860、第 854 行
2. 规则：BR-A0F07B5C28BDD7
3. 未动态验证
4. 示例账号、编号、金额与日期是本条测试数据；执行前按前置条件准备，未填写的产品决策不得自行假定。</x:v>
      </x:c>
    </x:row>
    <x:row r="651" ht="130" customHeight="1">
      <x:c r="A651" s="10" t="n">
        <x:v>650</x:v>
      </x:c>
      <x:c r="B651" s="10" t="str">
        <x:v>USER-0650</x:v>
      </x:c>
      <x:c r="C651" s="10" t="str">
        <x:v>消息与社交</x:v>
      </x:c>
      <x:c r="D651" s="10" t="str">
        <x:v>好友列表（用户）</x:v>
      </x:c>
      <x:c r="E651" s="10" t="str">
        <x:v>功能需求</x:v>
      </x:c>
      <x:c r="F651" s="10" t="str">
        <x:v>P2</x:v>
      </x:c>
      <x:c r="G651" s="9" t="str">
        <x:v>验证好友列表筛选保留相对顺序</x:v>
      </x:c>
      <x:c r="H651" s="9" t="str">
        <x:v>筛选不改变相对顺序</x:v>
      </x:c>
      <x:c r="I651" s="9" t="str">
        <x:v>1. 用户为本条执行者
2. 当前账号甲的好友列表中有“测试乙”和“测试丙”；账号“范围外丁”不属于该列表的有效关系
3. 列表初始顺序为测试丙、测试乙，二者名称均包含“测试”</x:v>
      </x:c>
      <x:c r="J651" s="9" t="str">
        <x:v>1. 打开好友列表
2. 输入测试</x:v>
      </x:c>
      <x:c r="K651" s="9" t="str">
        <x:v>测试丙仍排在测试乙前面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来源（当前证据）：liveshow-proto/MainBasis/统一需求文档.md；位置：第 864 行；REQ-a41619271db7、第 854 行
2. 规则：BR-350412564403C8
3. 未动态验证
4. 示例账号、编号、金额与日期是本条测试数据；执行前按前置条件准备，未填写的产品决策不得自行假定。</x:v>
      </x:c>
    </x:row>
    <x:row r="652" ht="130" customHeight="1">
      <x:c r="A652" s="10" t="n">
        <x:v>651</x:v>
      </x:c>
      <x:c r="B652" s="10" t="str">
        <x:v>USER-0651</x:v>
      </x:c>
      <x:c r="C652" s="10" t="str">
        <x:v>个人中心</x:v>
      </x:c>
      <x:c r="D652" s="10" t="str">
        <x:v>我的关注（用户）</x:v>
      </x:c>
      <x:c r="E652" s="10" t="str">
        <x:v>功能需求</x:v>
      </x:c>
      <x:c r="F652" s="10" t="str">
        <x:v>P2</x:v>
      </x:c>
      <x:c r="G652" s="9" t="str">
        <x:v>验证取消关注立即移出关注列表</x:v>
      </x:c>
      <x:c r="H652" s="9" t="str">
        <x:v>关注列表当前关系</x:v>
      </x:c>
      <x:c r="I652" s="9" t="str">
        <x:v>1. 用户为本条执行者
2. 甲当前关注主播乙，乙在线直播</x:v>
      </x:c>
      <x:c r="J652" s="9" t="str">
        <x:v>1. 打开乙的主页
2. 点击取消关注
3. 打开我的关注</x:v>
      </x:c>
      <x:c r="K652" s="9" t="str">
        <x:v>列表不再包含乙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来源（当前证据）：liveshow-proto/MainBasis/统一需求文档.md；位置：第 723 行；REQ-623dea81d02d、第 718 行
2. 规则：BR-2550BEA0A60E1B
3. 未动态验证
4. 示例账号、编号、金额与日期是本条测试数据；执行前按前置条件准备，未填写的产品决策不得自行假定。</x:v>
      </x:c>
    </x:row>
    <x:row r="653" ht="130" customHeight="1">
      <x:c r="A653" s="10" t="n">
        <x:v>652</x:v>
      </x:c>
      <x:c r="B653" s="10" t="str">
        <x:v>USER-0652</x:v>
      </x:c>
      <x:c r="C653" s="10" t="str">
        <x:v>消息与社交</x:v>
      </x:c>
      <x:c r="D653" s="10" t="str">
        <x:v>好友列表（用户）</x:v>
      </x:c>
      <x:c r="E653" s="10" t="str">
        <x:v>功能需求</x:v>
      </x:c>
      <x:c r="F653" s="10" t="str">
        <x:v>P2</x:v>
      </x:c>
      <x:c r="G653" s="9" t="str">
        <x:v>验证删除好友从本方好友列表移除</x:v>
      </x:c>
      <x:c r="H653" s="9" t="str">
        <x:v>删除后的好友列表</x:v>
      </x:c>
      <x:c r="I653" s="9" t="str">
        <x:v>1. 用户为本条执行者
2. 用户甲与用户乙是有效好友，甲仍关注乙</x:v>
      </x:c>
      <x:c r="J653" s="9" t="str">
        <x:v>1. 打开用户乙主页
2. 点击删除好友
3. 点击确认
4. 打开好友列表</x:v>
      </x:c>
      <x:c r="K653" s="9" t="str">
        <x:v>好友列表不包含乙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来源（当前证据）：liveshow-proto/MainBasis/统一需求文档.md；位置：第 861 行；REQ-a500e6f13be3、第 854 行
2. 规则：BR-7A41989CE85F4A
3. 未动态验证
4. 示例账号、编号、金额与日期是本条测试数据；执行前按前置条件准备，未填写的产品决策不得自行假定。</x:v>
      </x:c>
    </x:row>
    <x:row r="654" ht="130" customHeight="1">
      <x:c r="A654" s="10" t="n">
        <x:v>653</x:v>
      </x:c>
      <x:c r="B654" s="10" t="str">
        <x:v>USER-0653</x:v>
      </x:c>
      <x:c r="C654" s="10" t="str">
        <x:v>消息与社交</x:v>
      </x:c>
      <x:c r="D654" s="10" t="str">
        <x:v>好友列表（用户）</x:v>
      </x:c>
      <x:c r="E654" s="10" t="str">
        <x:v>功能需求</x:v>
      </x:c>
      <x:c r="F654" s="10" t="str">
        <x:v>P2</x:v>
      </x:c>
      <x:c r="G654" s="9" t="str">
        <x:v>验证好友删除不取消关注</x:v>
      </x:c>
      <x:c r="H654" s="9" t="str">
        <x:v>关注与好友独立</x:v>
      </x:c>
      <x:c r="I654" s="9" t="str">
        <x:v>1. 用户为本条执行者
2. 用户甲与用户乙是有效好友，甲仍关注乙</x:v>
      </x:c>
      <x:c r="J654" s="9" t="str">
        <x:v>1. 打开用户乙主页
2. 点击删除好友
3. 点击确认
4. 查看关注关系</x:v>
      </x:c>
      <x:c r="K654" s="9" t="str">
        <x:v>用户乙仍显示已关注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来源（当前证据）：liveshow-proto/MainBasis/统一需求文档.md；位置：第 862 行；REQ-8676bba0cff0、第 854 行
2. 规则：BR-A33B77DD07A47F
3. 未动态验证
4. 示例账号、编号、金额与日期是本条测试数据；执行前按前置条件准备，未填写的产品决策不得自行假定。</x:v>
      </x:c>
    </x:row>
    <x:row r="655" ht="130" customHeight="1">
      <x:c r="A655" s="10" t="n">
        <x:v>654</x:v>
      </x:c>
      <x:c r="B655" s="10" t="str">
        <x:v>USER-0654</x:v>
      </x:c>
      <x:c r="C655" s="10" t="str">
        <x:v>消息与社交</x:v>
      </x:c>
      <x:c r="D655" s="10" t="str">
        <x:v>好友列表（用户）</x:v>
      </x:c>
      <x:c r="E655" s="10" t="str">
        <x:v>功能需求</x:v>
      </x:c>
      <x:c r="F655" s="10" t="str">
        <x:v>P2</x:v>
      </x:c>
      <x:c r="G655" s="9" t="str">
        <x:v>验证点击好友头像进入主页</x:v>
      </x:c>
      <x:c r="H655" s="9" t="str">
        <x:v>好友整行入口</x:v>
      </x:c>
      <x:c r="I655" s="9" t="str">
        <x:v>1. 用户为本条执行者
2. 用户甲与用户乙是有效好友，甲仍关注乙</x:v>
      </x:c>
      <x:c r="J655" s="9" t="str">
        <x:v>1. 打开好友列表
2. 点击用户乙这一行的头像</x:v>
      </x:c>
      <x:c r="K655" s="9" t="str">
        <x:v>进入用户乙主页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来源（当前证据）：liveshow-proto/MainBasis/统一需求文档.md；位置：第 866 行；REQ-0e0a9d37b9cd、第 854 行
2. 规则：BR-C431597FC5620A
3. 未动态验证
4. 示例账号、编号、金额与日期是本条测试数据；执行前按前置条件准备，未填写的产品决策不得自行假定。</x:v>
      </x:c>
    </x:row>
    <x:row r="656" ht="130" customHeight="1">
      <x:c r="A656" s="10" t="n">
        <x:v>655</x:v>
      </x:c>
      <x:c r="B656" s="10" t="str">
        <x:v>USER-0655</x:v>
      </x:c>
      <x:c r="C656" s="10" t="str">
        <x:v>消息与社交</x:v>
      </x:c>
      <x:c r="D656" s="10" t="str">
        <x:v>好友列表（用户）</x:v>
      </x:c>
      <x:c r="E656" s="10" t="str">
        <x:v>功能需求</x:v>
      </x:c>
      <x:c r="F656" s="10" t="str">
        <x:v>P2</x:v>
      </x:c>
      <x:c r="G656" s="9" t="str">
        <x:v>验证点击好友昵称进入主页</x:v>
      </x:c>
      <x:c r="H656" s="9" t="str">
        <x:v>好友整行入口</x:v>
      </x:c>
      <x:c r="I656" s="9" t="str">
        <x:v>1. 用户为本条执行者
2. 用户甲与用户乙是有效好友，甲仍关注乙</x:v>
      </x:c>
      <x:c r="J656" s="9" t="str">
        <x:v>1. 打开好友列表
2. 点击用户乙这一行的昵称</x:v>
      </x:c>
      <x:c r="K656" s="9" t="str">
        <x:v>进入用户乙主页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来源（当前证据）：liveshow-proto/MainBasis/统一需求文档.md；位置：第 866 行；REQ-0e0a9d37b9cd、第 854 行
2. 规则：BR-CCD24AB96A290E
3. 未动态验证
4. 示例账号、编号、金额与日期是本条测试数据；执行前按前置条件准备，未填写的产品决策不得自行假定。</x:v>
      </x:c>
    </x:row>
    <x:row r="657" ht="130" customHeight="1">
      <x:c r="A657" s="10" t="n">
        <x:v>656</x:v>
      </x:c>
      <x:c r="B657" s="10" t="str">
        <x:v>USER-0656</x:v>
      </x:c>
      <x:c r="C657" s="10" t="str">
        <x:v>消息与社交</x:v>
      </x:c>
      <x:c r="D657" s="10" t="str">
        <x:v>好友列表（用户）</x:v>
      </x:c>
      <x:c r="E657" s="10" t="str">
        <x:v>功能需求</x:v>
      </x:c>
      <x:c r="F657" s="10" t="str">
        <x:v>P2</x:v>
      </x:c>
      <x:c r="G657" s="9" t="str">
        <x:v>验证点击好友等级进入主页</x:v>
      </x:c>
      <x:c r="H657" s="9" t="str">
        <x:v>好友整行入口</x:v>
      </x:c>
      <x:c r="I657" s="9" t="str">
        <x:v>1. 用户为本条执行者
2. 用户甲与用户乙是有效好友，甲仍关注乙</x:v>
      </x:c>
      <x:c r="J657" s="9" t="str">
        <x:v>1. 打开好友列表
2. 点击用户乙这一行的等级</x:v>
      </x:c>
      <x:c r="K657" s="9" t="str">
        <x:v>进入用户乙主页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来源（当前证据）：liveshow-proto/MainBasis/统一需求文档.md；位置：第 866 行；REQ-0e0a9d37b9cd、第 854 行
2. 规则：BR-FA473B6F7CEEA4
3. 未动态验证
4. 示例账号、编号、金额与日期是本条测试数据；执行前按前置条件准备，未填写的产品决策不得自行假定。</x:v>
      </x:c>
    </x:row>
    <x:row r="658" ht="130" customHeight="1">
      <x:c r="A658" s="10" t="n">
        <x:v>657</x:v>
      </x:c>
      <x:c r="B658" s="10" t="str">
        <x:v>USER-0657</x:v>
      </x:c>
      <x:c r="C658" s="10" t="str">
        <x:v>消息与社交</x:v>
      </x:c>
      <x:c r="D658" s="10" t="str">
        <x:v>好友列表（用户）</x:v>
      </x:c>
      <x:c r="E658" s="10" t="str">
        <x:v>功能需求</x:v>
      </x:c>
      <x:c r="F658" s="10" t="str">
        <x:v>P2</x:v>
      </x:c>
      <x:c r="G658" s="9" t="str">
        <x:v>验证点击好友行内空白进入主页</x:v>
      </x:c>
      <x:c r="H658" s="9" t="str">
        <x:v>好友整行入口</x:v>
      </x:c>
      <x:c r="I658" s="9" t="str">
        <x:v>1. 用户为本条执行者
2. 用户甲与用户乙是有效好友，甲仍关注乙</x:v>
      </x:c>
      <x:c r="J658" s="9" t="str">
        <x:v>1. 打开好友列表
2. 点击用户乙这一行的行内空白</x:v>
      </x:c>
      <x:c r="K658" s="9" t="str">
        <x:v>进入用户乙主页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来源（当前证据）：liveshow-proto/MainBasis/统一需求文档.md；位置：第 866 行；REQ-0e0a9d37b9cd、第 854 行
2. 规则：BR-E5C45C84EF0843
3. 未动态验证
4. 示例账号、编号、金额与日期是本条测试数据；执行前按前置条件准备，未填写的产品决策不得自行假定。</x:v>
      </x:c>
    </x:row>
    <x:row r="659" ht="130" customHeight="1">
      <x:c r="A659" s="10" t="n">
        <x:v>658</x:v>
      </x:c>
      <x:c r="B659" s="10" t="str">
        <x:v>USER-0658</x:v>
      </x:c>
      <x:c r="C659" s="10" t="str">
        <x:v>个人中心</x:v>
      </x:c>
      <x:c r="D659" s="10" t="str">
        <x:v>黑名单管理（用户）</x:v>
      </x:c>
      <x:c r="E659" s="10" t="str">
        <x:v>功能需求</x:v>
      </x:c>
      <x:c r="F659" s="10" t="str">
        <x:v>P2</x:v>
      </x:c>
      <x:c r="G659" s="9" t="str">
        <x:v>验证黑名单仅列本人主动拉黑记录</x:v>
      </x:c>
      <x:c r="H659" s="9" t="str">
        <x:v>主动拉黑名单包含</x:v>
      </x:c>
      <x:c r="I659" s="9" t="str">
        <x:v>1. 用户为本条执行者
2. 甲主动拉黑乙；丙主动拉黑甲，但甲没有拉黑丙</x:v>
      </x:c>
      <x:c r="J659" s="9" t="str">
        <x:v>1. 打开黑名单管理</x:v>
      </x:c>
      <x:c r="K659" s="9" t="str">
        <x:v>黑名单包含乙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来源（当前证据）：liveshow-proto/MainBasis/统一需求文档.md；位置：第 952 行；REQ-d8cf5577aee7、第 941 行
2. 规则：BR-EA4384CC7430BB
3. 未动态验证
4. 示例账号、编号、金额与日期是本条测试数据；执行前按前置条件准备，未填写的产品决策不得自行假定。</x:v>
      </x:c>
    </x:row>
    <x:row r="660" ht="130" customHeight="1">
      <x:c r="A660" s="10" t="n">
        <x:v>659</x:v>
      </x:c>
      <x:c r="B660" s="10" t="str">
        <x:v>USER-0659</x:v>
      </x:c>
      <x:c r="C660" s="10" t="str">
        <x:v>个人中心</x:v>
      </x:c>
      <x:c r="D660" s="10" t="str">
        <x:v>黑名单管理（用户）</x:v>
      </x:c>
      <x:c r="E660" s="10" t="str">
        <x:v>功能需求</x:v>
      </x:c>
      <x:c r="F660" s="10" t="str">
        <x:v>P2</x:v>
      </x:c>
      <x:c r="G660" s="9" t="str">
        <x:v>验证黑名单仅列本人主动拉黑记录</x:v>
      </x:c>
      <x:c r="H660" s="9" t="str">
        <x:v>被别人拉黑不列入本人黑名单</x:v>
      </x:c>
      <x:c r="I660" s="9" t="str">
        <x:v>1. 用户为本条执行者
2. 甲主动拉黑乙；丙主动拉黑甲，但甲没有拉黑丙</x:v>
      </x:c>
      <x:c r="J660" s="9" t="str">
        <x:v>1. 打开黑名单管理</x:v>
      </x:c>
      <x:c r="K660" s="9" t="str">
        <x:v>黑名单不包含丙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来源（当前证据）：liveshow-proto/MainBasis/统一需求文档.md；位置：第 952 行；REQ-d8cf5577aee7、第 941 行
2. 规则：BR-9D6BA0394C7F11
3. 未动态验证
4. 示例账号、编号、金额与日期是本条测试数据；执行前按前置条件准备，未填写的产品决策不得自行假定。</x:v>
      </x:c>
    </x:row>
    <x:row r="661" ht="160" customHeight="1">
      <x:c r="A661" s="10" t="n">
        <x:v>660</x:v>
      </x:c>
      <x:c r="B661" s="10" t="str">
        <x:v>USER-0660</x:v>
      </x:c>
      <x:c r="C661" s="10" t="str">
        <x:v>消息与社交</x:v>
      </x:c>
      <x:c r="D661" s="10" t="str">
        <x:v>拉黑确认（用户）</x:v>
      </x:c>
      <x:c r="E661" s="10" t="str">
        <x:v>功能需求</x:v>
      </x:c>
      <x:c r="F661" s="10" t="str">
        <x:v>P2</x:v>
      </x:c>
      <x:c r="G661" s="9" t="str">
        <x:v>验证拉黑确认取消不改变关系</x:v>
      </x:c>
      <x:c r="H661" s="9" t="str">
        <x:v>拉黑取消保留好友</x:v>
      </x:c>
      <x:c r="I661" s="9" t="str">
        <x:v>1. 用户为本条执行者
2. 当前账号甲与目标乙是好友且相互关注，尚无拉黑关系</x:v>
      </x:c>
      <x:c r="J661" s="9" t="str">
        <x:v>1. 打开拉黑乙的确认
2. 点击取消
3. 查看乙的关系状态</x:v>
      </x:c>
      <x:c r="K661" s="9" t="str">
        <x:v>甲乙仍是好友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来源（当前证据）：liveshow-proto/MainBasis/统一需求文档.md；位置：第 1956 行；REQ-38cca962f38b、第 1964 行；REQ-255f93b3ae45、第 1972 行；REQ-4b0b89a9c815、第 1951 行
2. 规则：BR-409AD05C870D6C
3. 未动态验证
4. 示例账号、编号、金额与日期是本条测试数据；执行前按前置条件准备，未填写的产品决策不得自行假定。</x:v>
      </x:c>
    </x:row>
    <x:row r="662" ht="160" customHeight="1">
      <x:c r="A662" s="10" t="n">
        <x:v>661</x:v>
      </x:c>
      <x:c r="B662" s="10" t="str">
        <x:v>USER-0661</x:v>
      </x:c>
      <x:c r="C662" s="10" t="str">
        <x:v>消息与社交</x:v>
      </x:c>
      <x:c r="D662" s="10" t="str">
        <x:v>拉黑确认（用户）</x:v>
      </x:c>
      <x:c r="E662" s="10" t="str">
        <x:v>功能需求</x:v>
      </x:c>
      <x:c r="F662" s="10" t="str">
        <x:v>P2</x:v>
      </x:c>
      <x:c r="G662" s="9" t="str">
        <x:v>验证拉黑确认取消不改变关系</x:v>
      </x:c>
      <x:c r="H662" s="9" t="str">
        <x:v>拉黑取消保留关注</x:v>
      </x:c>
      <x:c r="I662" s="9" t="str">
        <x:v>1. 用户为本条执行者
2. 当前账号甲与目标乙是好友且相互关注，尚无拉黑关系</x:v>
      </x:c>
      <x:c r="J662" s="9" t="str">
        <x:v>1. 打开拉黑乙的确认
2. 点击取消
3. 查看乙的关系状态</x:v>
      </x:c>
      <x:c r="K662" s="9" t="str">
        <x:v>乙仍显示已关注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来源（当前证据）：liveshow-proto/MainBasis/统一需求文档.md；位置：第 1956 行；REQ-38cca962f38b、第 1964 行；REQ-255f93b3ae45、第 1972 行；REQ-4b0b89a9c815、第 1951 行
2. 规则：BR-BAE4EBE618FA34
3. 未动态验证
4. 示例账号、编号、金额与日期是本条测试数据；执行前按前置条件准备，未填写的产品决策不得自行假定。</x:v>
      </x:c>
    </x:row>
    <x:row r="663" ht="160" customHeight="1">
      <x:c r="A663" s="10" t="n">
        <x:v>662</x:v>
      </x:c>
      <x:c r="B663" s="10" t="str">
        <x:v>USER-0662</x:v>
      </x:c>
      <x:c r="C663" s="10" t="str">
        <x:v>消息与社交</x:v>
      </x:c>
      <x:c r="D663" s="10" t="str">
        <x:v>拉黑确认（用户）</x:v>
      </x:c>
      <x:c r="E663" s="10" t="str">
        <x:v>功能需求</x:v>
      </x:c>
      <x:c r="F663" s="10" t="str">
        <x:v>P2</x:v>
      </x:c>
      <x:c r="G663" s="9" t="str">
        <x:v>验证拉黑确认关闭不改变关系</x:v>
      </x:c>
      <x:c r="H663" s="9" t="str">
        <x:v>拉黑取消保留好友</x:v>
      </x:c>
      <x:c r="I663" s="9" t="str">
        <x:v>1. 用户为本条执行者
2. 当前账号甲与目标乙是好友且相互关注，尚无拉黑关系</x:v>
      </x:c>
      <x:c r="J663" s="9" t="str">
        <x:v>1. 打开拉黑乙的确认
2. 点击关闭
3. 查看乙的关系状态</x:v>
      </x:c>
      <x:c r="K663" s="9" t="str">
        <x:v>甲乙仍是好友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来源（当前证据）：liveshow-proto/MainBasis/统一需求文档.md；位置：第 1956 行；REQ-38cca962f38b、第 1964 行；REQ-255f93b3ae45、第 1972 行；REQ-4b0b89a9c815、第 1951 行
2. 规则：BR-232648464E2E6F
3. 未动态验证
4. 示例账号、编号、金额与日期是本条测试数据；执行前按前置条件准备，未填写的产品决策不得自行假定。</x:v>
      </x:c>
    </x:row>
    <x:row r="664" ht="160" customHeight="1">
      <x:c r="A664" s="10" t="n">
        <x:v>663</x:v>
      </x:c>
      <x:c r="B664" s="10" t="str">
        <x:v>USER-0663</x:v>
      </x:c>
      <x:c r="C664" s="10" t="str">
        <x:v>消息与社交</x:v>
      </x:c>
      <x:c r="D664" s="10" t="str">
        <x:v>拉黑确认（用户）</x:v>
      </x:c>
      <x:c r="E664" s="10" t="str">
        <x:v>功能需求</x:v>
      </x:c>
      <x:c r="F664" s="10" t="str">
        <x:v>P2</x:v>
      </x:c>
      <x:c r="G664" s="9" t="str">
        <x:v>验证拉黑确认关闭不改变关系</x:v>
      </x:c>
      <x:c r="H664" s="9" t="str">
        <x:v>拉黑取消保留关注</x:v>
      </x:c>
      <x:c r="I664" s="9" t="str">
        <x:v>1. 用户为本条执行者
2. 当前账号甲与目标乙是好友且相互关注，尚无拉黑关系</x:v>
      </x:c>
      <x:c r="J664" s="9" t="str">
        <x:v>1. 打开拉黑乙的确认
2. 点击关闭
3. 查看乙的关系状态</x:v>
      </x:c>
      <x:c r="K664" s="9" t="str">
        <x:v>乙仍显示已关注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来源（当前证据）：liveshow-proto/MainBasis/统一需求文档.md；位置：第 1956 行；REQ-38cca962f38b、第 1964 行；REQ-255f93b3ae45、第 1972 行；REQ-4b0b89a9c815、第 1951 行
2. 规则：BR-93B18A49973869
3. 未动态验证
4. 示例账号、编号、金额与日期是本条测试数据；执行前按前置条件准备，未填写的产品决策不得自行假定。</x:v>
      </x:c>
    </x:row>
    <x:row r="665" ht="190" customHeight="1">
      <x:c r="A665" s="10" t="n">
        <x:v>664</x:v>
      </x:c>
      <x:c r="B665" s="10" t="str">
        <x:v>USER-0664</x:v>
      </x:c>
      <x:c r="C665" s="10" t="str">
        <x:v>消息与社交</x:v>
      </x:c>
      <x:c r="D665" s="10" t="str">
        <x:v>拉黑确认（用户）</x:v>
      </x:c>
      <x:c r="E665" s="10" t="str">
        <x:v>功能需求</x:v>
      </x:c>
      <x:c r="F665" s="10" t="str">
        <x:v>P2</x:v>
      </x:c>
      <x:c r="G665" s="9" t="str">
        <x:v>验证确认拉黑后清除本人私信会话</x:v>
      </x:c>
      <x:c r="H665" s="9" t="str">
        <x:v>拉黑清除私信会话</x:v>
      </x:c>
      <x:c r="I665" s="9" t="str">
        <x:v>1. 用户为本条执行者
2. 当前账号甲与目标乙是好友且相互关注，尚无拉黑关系
3. 甲乙存在私信历史</x:v>
      </x:c>
      <x:c r="J665" s="9" t="str">
        <x:v>1. 打开拉黑乙的确认
2. 点击确认
3. 打开消息私信列表</x:v>
      </x:c>
      <x:c r="K665" s="9" t="str">
        <x:v>私信列表不再包含与乙的会话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来源（当前证据）：liveshow-proto/MainBasis/统一需求文档.md；位置：第 1954 行；REQ-3f6a2f729865、第 1955 行；REQ-8ed00684c40e、第 1962 行；REQ-24696928cf80、第 1963 行；REQ-6690e4018de2、第 1970 行；REQ-d2a042417034、第 1971 行；REQ-bf0e1564d12b、第 1951 行
2. 规则：BR-B3A112A6BC0841
3. 未动态验证
4. 示例账号、编号、金额与日期是本条测试数据；执行前按前置条件准备，未填写的产品决策不得自行假定。</x:v>
      </x:c>
    </x:row>
    <x:row r="666" ht="160" customHeight="1">
      <x:c r="A666" s="10" t="n">
        <x:v>665</x:v>
      </x:c>
      <x:c r="B666" s="10" t="str">
        <x:v>USER-0665</x:v>
      </x:c>
      <x:c r="C666" s="10" t="str">
        <x:v>消息与社交</x:v>
      </x:c>
      <x:c r="D666" s="10" t="str">
        <x:v>拉黑（用户）</x:v>
      </x:c>
      <x:c r="E666" s="10" t="str">
        <x:v>功能需求</x:v>
      </x:c>
      <x:c r="F666" s="10" t="str">
        <x:v>P2</x:v>
      </x:c>
      <x:c r="G666" s="9" t="str">
        <x:v>验证拉黑状态隐藏关注</x:v>
      </x:c>
      <x:c r="H666" s="9" t="str">
        <x:v>拉黑状态关注限制</x:v>
      </x:c>
      <x:c r="I666" s="9" t="str">
        <x:v>1. 用户为本条执行者
2. 甲主动拉黑乙</x:v>
      </x:c>
      <x:c r="J666" s="9" t="str">
        <x:v>1. 查看乙的拉黑状态主页</x:v>
      </x:c>
      <x:c r="K666" s="9" t="str">
        <x:v>不提供关注操作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来源（当前证据）：liveshow-proto/MainBasis/统一需求文档.md；位置：第 1944 行；REQ-4911c9f85e5d、第 1945 行；REQ-02339b59cf43、第 1948 行；REQ-586155102c1f、第 1941 行
2. 规则：BR-1F5E5550D7F985
3. 未动态验证
4. 示例账号、编号、金额与日期是本条测试数据；执行前按前置条件准备，未填写的产品决策不得自行假定。</x:v>
      </x:c>
    </x:row>
    <x:row r="667" ht="160" customHeight="1">
      <x:c r="A667" s="10" t="n">
        <x:v>666</x:v>
      </x:c>
      <x:c r="B667" s="10" t="str">
        <x:v>USER-0666</x:v>
      </x:c>
      <x:c r="C667" s="10" t="str">
        <x:v>消息与社交</x:v>
      </x:c>
      <x:c r="D667" s="10" t="str">
        <x:v>拉黑（用户）</x:v>
      </x:c>
      <x:c r="E667" s="10" t="str">
        <x:v>功能需求</x:v>
      </x:c>
      <x:c r="F667" s="10" t="str">
        <x:v>P2</x:v>
      </x:c>
      <x:c r="G667" s="9" t="str">
        <x:v>验证拉黑状态隐藏申请好友</x:v>
      </x:c>
      <x:c r="H667" s="9" t="str">
        <x:v>拉黑状态申请好友限制</x:v>
      </x:c>
      <x:c r="I667" s="9" t="str">
        <x:v>1. 用户为本条执行者
2. 甲主动拉黑乙</x:v>
      </x:c>
      <x:c r="J667" s="9" t="str">
        <x:v>1. 查看乙的拉黑状态主页</x:v>
      </x:c>
      <x:c r="K667" s="9" t="str">
        <x:v>不提供申请好友操作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来源（当前证据）：liveshow-proto/MainBasis/统一需求文档.md；位置：第 1944 行；REQ-4911c9f85e5d、第 1945 行；REQ-02339b59cf43、第 1948 行；REQ-586155102c1f、第 1941 行
2. 规则：BR-F8E5B24F09400D
3. 未动态验证
4. 示例账号、编号、金额与日期是本条测试数据；执行前按前置条件准备，未填写的产品决策不得自行假定。</x:v>
      </x:c>
    </x:row>
    <x:row r="668" ht="160" customHeight="1">
      <x:c r="A668" s="10" t="n">
        <x:v>667</x:v>
      </x:c>
      <x:c r="B668" s="10" t="str">
        <x:v>USER-0667</x:v>
      </x:c>
      <x:c r="C668" s="10" t="str">
        <x:v>消息与社交</x:v>
      </x:c>
      <x:c r="D668" s="10" t="str">
        <x:v>拉黑（用户）</x:v>
      </x:c>
      <x:c r="E668" s="10" t="str">
        <x:v>功能需求</x:v>
      </x:c>
      <x:c r="F668" s="10" t="str">
        <x:v>P2</x:v>
      </x:c>
      <x:c r="G668" s="9" t="str">
        <x:v>验证拉黑状态隐藏私信</x:v>
      </x:c>
      <x:c r="H668" s="9" t="str">
        <x:v>拉黑状态私信限制</x:v>
      </x:c>
      <x:c r="I668" s="9" t="str">
        <x:v>1. 用户为本条执行者
2. 甲主动拉黑乙</x:v>
      </x:c>
      <x:c r="J668" s="9" t="str">
        <x:v>1. 查看乙的拉黑状态主页</x:v>
      </x:c>
      <x:c r="K668" s="9" t="str">
        <x:v>不提供私信操作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来源（当前证据）：liveshow-proto/MainBasis/统一需求文档.md；位置：第 1944 行；REQ-4911c9f85e5d、第 1945 行；REQ-02339b59cf43、第 1948 行；REQ-586155102c1f、第 1941 行
2. 规则：BR-6D878B15B0E625
3. 未动态验证
4. 示例账号、编号、金额与日期是本条测试数据；执行前按前置条件准备，未填写的产品决策不得自行假定。</x:v>
      </x:c>
    </x:row>
    <x:row r="669" ht="145" customHeight="1">
      <x:c r="A669" s="10" t="n">
        <x:v>668</x:v>
      </x:c>
      <x:c r="B669" s="10" t="str">
        <x:v>USER-0668</x:v>
      </x:c>
      <x:c r="C669" s="10" t="str">
        <x:v>消息与社交</x:v>
      </x:c>
      <x:c r="D669" s="10" t="str">
        <x:v>拉黑（用户）</x:v>
      </x:c>
      <x:c r="E669" s="10" t="str">
        <x:v>功能需求</x:v>
      </x:c>
      <x:c r="F669" s="10" t="str">
        <x:v>P2</x:v>
      </x:c>
      <x:c r="G669" s="9" t="str">
        <x:v>验证解除拉黑不恢复历史好友</x:v>
      </x:c>
      <x:c r="H669" s="9" t="str">
        <x:v>解除拉黑的关系保持</x:v>
      </x:c>
      <x:c r="I669" s="9" t="str">
        <x:v>1. 用户为本条执行者
2. 甲主动拉黑乙
3. 拉黑前甲乙是好友且有聊天历史</x:v>
      </x:c>
      <x:c r="J669" s="9" t="str">
        <x:v>1. 点击取消拉黑
2. 点击确认
3. 查看乙的关系状态</x:v>
      </x:c>
      <x:c r="K669" s="9" t="str">
        <x:v>甲乙仍不是好友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来源（当前证据）：liveshow-proto/MainBasis/统一需求文档.md；位置：第 1947 行；REQ-abc9a04b4c60、第 1948 行；REQ-586155102c1f、第 1941 行
2. 规则：BR-899626F0548240
3. 未动态验证
4. 示例账号、编号、金额与日期是本条测试数据；执行前按前置条件准备，未填写的产品决策不得自行假定。</x:v>
      </x:c>
    </x:row>
    <x:row r="670" ht="145" customHeight="1">
      <x:c r="A670" s="10" t="n">
        <x:v>669</x:v>
      </x:c>
      <x:c r="B670" s="10" t="str">
        <x:v>USER-0669</x:v>
      </x:c>
      <x:c r="C670" s="10" t="str">
        <x:v>消息与社交</x:v>
      </x:c>
      <x:c r="D670" s="10" t="str">
        <x:v>消息（用户）</x:v>
      </x:c>
      <x:c r="E670" s="10" t="str">
        <x:v>功能需求</x:v>
      </x:c>
      <x:c r="F670" s="10" t="str">
        <x:v>P2</x:v>
      </x:c>
      <x:c r="G670" s="9" t="str">
        <x:v>验证通知入口不参与私信时间排序</x:v>
      </x:c>
      <x:c r="H670" s="9" t="str">
        <x:v>通知入口固定</x:v>
      </x:c>
      <x:c r="I670" s="9" t="str">
        <x:v>1. 用户为本条执行者
2. 用户甲已登录，私信会话 A、B 当前有效
3. A 收到最新私信，系统通知和互动通知均无新消息</x:v>
      </x:c>
      <x:c r="J670" s="9" t="str">
        <x:v>1. 打开消息中心</x:v>
      </x:c>
      <x:c r="K670" s="9" t="str">
        <x:v>系统通知、互动通知仍位于私信会话上方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来源（当前证据）：liveshow-proto/MainBasis/统一需求文档.md；位置：第 656 行；REQ-9b2c6b9ae474、第 658 行；REQ-e39bf53173c0、第 653 行
2. 规则：BR-E59B05C007E810
3. 未动态验证
4. 示例账号、编号、金额与日期是本条测试数据；执行前按前置条件准备，未填写的产品决策不得自行假定。</x:v>
      </x:c>
    </x:row>
    <x:row r="671" ht="130" customHeight="1">
      <x:c r="A671" s="10" t="n">
        <x:v>670</x:v>
      </x:c>
      <x:c r="B671" s="10" t="str">
        <x:v>USER-0670</x:v>
      </x:c>
      <x:c r="C671" s="10" t="str">
        <x:v>消息与社交</x:v>
      </x:c>
      <x:c r="D671" s="10" t="str">
        <x:v>消息（用户）</x:v>
      </x:c>
      <x:c r="E671" s="10" t="str">
        <x:v>功能需求</x:v>
      </x:c>
      <x:c r="F671" s="10" t="str">
        <x:v>P2</x:v>
      </x:c>
      <x:c r="G671" s="9" t="str">
        <x:v>验证私信时间相同按会话ID倒序</x:v>
      </x:c>
      <x:c r="H671" s="9" t="str">
        <x:v>会话同时间排序</x:v>
      </x:c>
      <x:c r="I671" s="9" t="str">
        <x:v>1. 用户为本条执行者
2. 用户甲已登录，私信会话 A、B 当前有效
3. A 会话ID1001、B1002，最后消息时间完全相同</x:v>
      </x:c>
      <x:c r="J671" s="9" t="str">
        <x:v>1. 打开消息中心</x:v>
      </x:c>
      <x:c r="K671" s="9" t="str">
        <x:v>B 排在 A 前面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来源（当前证据）：liveshow-proto/MainBasis/统一需求文档.md；位置：第 662 行；REQ-0030121a7cb5、第 653 行
2. 规则：BR-C15AED3BB6F672
3. 未动态验证
4. 示例账号、编号、金额与日期是本条测试数据；执行前按前置条件准备，未填写的产品决策不得自行假定。</x:v>
      </x:c>
    </x:row>
    <x:row r="672" ht="130" customHeight="1">
      <x:c r="A672" s="10" t="n">
        <x:v>671</x:v>
      </x:c>
      <x:c r="B672" s="10" t="str">
        <x:v>USER-0671</x:v>
      </x:c>
      <x:c r="C672" s="10" t="str">
        <x:v>消息与社交</x:v>
      </x:c>
      <x:c r="D672" s="10" t="str">
        <x:v>消息（用户）</x:v>
      </x:c>
      <x:c r="E672" s="10" t="str">
        <x:v>功能需求</x:v>
      </x:c>
      <x:c r="F672" s="10" t="str">
        <x:v>P2</x:v>
      </x:c>
      <x:c r="G672" s="9" t="str">
        <x:v>验证进入会话清除该会话未读</x:v>
      </x:c>
      <x:c r="H672" s="9" t="str">
        <x:v>已查看会话清除未读</x:v>
      </x:c>
      <x:c r="I672" s="9" t="str">
        <x:v>1. 用户为本条执行者
2. 用户甲已登录，私信会话 A、B 当前有效
3. A 有2条未读，B有3条未读</x:v>
      </x:c>
      <x:c r="J672" s="9" t="str">
        <x:v>1. 打开消息中心
2. 打开 A 会话
3. 返回消息中心</x:v>
      </x:c>
      <x:c r="K672" s="9" t="str">
        <x:v>A 不再显示未读数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来源（当前证据）：liveshow-proto/MainBasis/统一需求文档.md；位置：第 663 行；REQ-4f52093f9a0d、第 653 行
2. 规则：BR-F10F3890EB64E5
3. 未动态验证
4. 示例账号、编号、金额与日期是本条测试数据；执行前按前置条件准备，未填写的产品决策不得自行假定。</x:v>
      </x:c>
    </x:row>
    <x:row r="673" ht="130" customHeight="1">
      <x:c r="A673" s="10" t="n">
        <x:v>672</x:v>
      </x:c>
      <x:c r="B673" s="10" t="str">
        <x:v>USER-0672</x:v>
      </x:c>
      <x:c r="C673" s="10" t="str">
        <x:v>消息与社交</x:v>
      </x:c>
      <x:c r="D673" s="10" t="str">
        <x:v>消息（用户）</x:v>
      </x:c>
      <x:c r="E673" s="10" t="str">
        <x:v>功能需求</x:v>
      </x:c>
      <x:c r="F673" s="10" t="str">
        <x:v>P2</x:v>
      </x:c>
      <x:c r="G673" s="9" t="str">
        <x:v>验证进入会话清除该会话未读</x:v>
      </x:c>
      <x:c r="H673" s="9" t="str">
        <x:v>其他会话未读不变</x:v>
      </x:c>
      <x:c r="I673" s="9" t="str">
        <x:v>1. 用户为本条执行者
2. 用户甲已登录，私信会话 A、B 当前有效
3. A 有2条未读，B有3条未读</x:v>
      </x:c>
      <x:c r="J673" s="9" t="str">
        <x:v>1. 打开消息中心
2. 打开 A 会话
3. 返回消息中心</x:v>
      </x:c>
      <x:c r="K673" s="9" t="str">
        <x:v>B 仍显示3条未读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来源（当前证据）：liveshow-proto/MainBasis/统一需求文档.md；位置：第 663 行；REQ-4f52093f9a0d、第 653 行
2. 规则：BR-1A223B6BF17977
3. 未动态验证
4. 示例账号、编号、金额与日期是本条测试数据；执行前按前置条件准备，未填写的产品决策不得自行假定。</x:v>
      </x:c>
    </x:row>
    <x:row r="674" ht="130" customHeight="1">
      <x:c r="A674" s="10" t="n">
        <x:v>673</x:v>
      </x:c>
      <x:c r="B674" s="10" t="str">
        <x:v>USER-0673</x:v>
      </x:c>
      <x:c r="C674" s="10" t="str">
        <x:v>消息与社交</x:v>
      </x:c>
      <x:c r="D674" s="10" t="str">
        <x:v>消息（用户）</x:v>
      </x:c>
      <x:c r="E674" s="10" t="str">
        <x:v>功能需求</x:v>
      </x:c>
      <x:c r="F674" s="10" t="str">
        <x:v>P2</x:v>
      </x:c>
      <x:c r="G674" s="9" t="str">
        <x:v>验证收到新私信更新未读</x:v>
      </x:c>
      <x:c r="H674" s="9" t="str">
        <x:v>收到私信未读数</x:v>
      </x:c>
      <x:c r="I674" s="9" t="str">
        <x:v>1. 用户为本条执行者
2. 用户甲已登录，私信会话 A、B 当前有效
3. A原无未读，用户甲当前停留消息列表；配合账号乙向A发送“测试新消息”</x:v>
      </x:c>
      <x:c r="J674" s="9" t="str">
        <x:v>1. 查看 A 会话</x:v>
      </x:c>
      <x:c r="K674" s="9" t="str">
        <x:v>A 显示1条未读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来源（当前证据）：liveshow-proto/MainBasis/统一需求文档.md；位置：第 663 行；REQ-4f52093f9a0d、第 653 行
2. 规则：BR-9B2590D3468C29
3. 未动态验证
4. 示例账号、编号、金额与日期是本条测试数据；执行前按前置条件准备，未填写的产品决策不得自行假定。</x:v>
      </x:c>
    </x:row>
    <x:row r="675" ht="130" customHeight="1">
      <x:c r="A675" s="10" t="n">
        <x:v>674</x:v>
      </x:c>
      <x:c r="B675" s="10" t="str">
        <x:v>USER-0674</x:v>
      </x:c>
      <x:c r="C675" s="10" t="str">
        <x:v>消息与社交</x:v>
      </x:c>
      <x:c r="D675" s="10" t="str">
        <x:v>消息（用户）</x:v>
      </x:c>
      <x:c r="E675" s="10" t="str">
        <x:v>功能需求</x:v>
      </x:c>
      <x:c r="F675" s="10" t="str">
        <x:v>P2</x:v>
      </x:c>
      <x:c r="G675" s="9" t="str">
        <x:v>验证收到新私信更新未读</x:v>
      </x:c>
      <x:c r="H675" s="9" t="str">
        <x:v>收到私信摘要</x:v>
      </x:c>
      <x:c r="I675" s="9" t="str">
        <x:v>1. 用户为本条执行者
2. 用户甲已登录，私信会话 A、B 当前有效
3. A原无未读，用户甲当前停留消息列表；配合账号乙向A发送“测试新消息”</x:v>
      </x:c>
      <x:c r="J675" s="9" t="str">
        <x:v>1. 查看 A 会话</x:v>
      </x:c>
      <x:c r="K675" s="9" t="str">
        <x:v>A 最后消息显示“测试新消息”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来源（当前证据）：liveshow-proto/MainBasis/统一需求文档.md；位置：第 663 行；REQ-4f52093f9a0d、第 653 行
2. 规则：BR-1DCE0AFE549B97
3. 未动态验证
4. 示例账号、编号、金额与日期是本条测试数据；执行前按前置条件准备，未填写的产品决策不得自行假定。</x:v>
      </x:c>
    </x:row>
    <x:row r="676" ht="130" customHeight="1">
      <x:c r="A676" s="10" t="n">
        <x:v>675</x:v>
      </x:c>
      <x:c r="B676" s="10" t="str">
        <x:v>USER-0675</x:v>
      </x:c>
      <x:c r="C676" s="10" t="str">
        <x:v>消息与社交</x:v>
      </x:c>
      <x:c r="D676" s="10" t="str">
        <x:v>系统通知（用户）</x:v>
      </x:c>
      <x:c r="E676" s="10" t="str">
        <x:v>功能需求</x:v>
      </x:c>
      <x:c r="F676" s="10" t="str">
        <x:v>P2</x:v>
      </x:c>
      <x:c r="G676" s="9" t="str">
        <x:v>验证系统通知按接收账号隔离</x:v>
      </x:c>
      <x:c r="H676" s="9" t="str">
        <x:v>本人通知可见</x:v>
      </x:c>
      <x:c r="I676" s="9" t="str">
        <x:v>1. 用户为本条执行者
2. 系统通知 N001 仅发给账号甲，N002 仅发给账号乙；执行者为甲</x:v>
      </x:c>
      <x:c r="J676" s="9" t="str">
        <x:v>1. 打开系统通知</x:v>
      </x:c>
      <x:c r="K676" s="9" t="str">
        <x:v>列表包含N001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来源（当前证据）：liveshow-proto/MainBasis/统一需求文档.md；位置：第 672 行；REQ-de9855455478、第 666 行
2. 规则：BR-23208F4337F7DE
3. 未动态验证
4. 示例账号、编号、金额与日期是本条测试数据；执行前按前置条件准备，未填写的产品决策不得自行假定。</x:v>
      </x:c>
    </x:row>
    <x:row r="677" ht="130" customHeight="1">
      <x:c r="A677" s="10" t="n">
        <x:v>676</x:v>
      </x:c>
      <x:c r="B677" s="10" t="str">
        <x:v>USER-0676</x:v>
      </x:c>
      <x:c r="C677" s="10" t="str">
        <x:v>消息与社交</x:v>
      </x:c>
      <x:c r="D677" s="10" t="str">
        <x:v>系统通知（用户）</x:v>
      </x:c>
      <x:c r="E677" s="10" t="str">
        <x:v>功能需求</x:v>
      </x:c>
      <x:c r="F677" s="10" t="str">
        <x:v>P2</x:v>
      </x:c>
      <x:c r="G677" s="9" t="str">
        <x:v>验证系统通知按接收账号隔离</x:v>
      </x:c>
      <x:c r="H677" s="9" t="str">
        <x:v>其他账号通知不可见</x:v>
      </x:c>
      <x:c r="I677" s="9" t="str">
        <x:v>1. 用户为本条执行者
2. 系统通知 N001 仅发给账号甲，N002 仅发给账号乙；执行者为甲</x:v>
      </x:c>
      <x:c r="J677" s="9" t="str">
        <x:v>1. 打开系统通知</x:v>
      </x:c>
      <x:c r="K677" s="9" t="str">
        <x:v>列表不包含N002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来源（当前证据）：liveshow-proto/MainBasis/统一需求文档.md；位置：第 672 行；REQ-de9855455478、第 666 行
2. 规则：BR-986166CCCB5F02
3. 未动态验证
4. 示例账号、编号、金额与日期是本条测试数据；执行前按前置条件准备，未填写的产品决策不得自行假定。</x:v>
      </x:c>
    </x:row>
    <x:row r="678" ht="130" customHeight="1">
      <x:c r="A678" s="10" t="n">
        <x:v>677</x:v>
      </x:c>
      <x:c r="B678" s="10" t="str">
        <x:v>USER-0677</x:v>
      </x:c>
      <x:c r="C678" s="10" t="str">
        <x:v>消息与社交</x:v>
      </x:c>
      <x:c r="D678" s="10" t="str">
        <x:v>系统通知（用户）</x:v>
      </x:c>
      <x:c r="E678" s="10" t="str">
        <x:v>功能需求</x:v>
      </x:c>
      <x:c r="F678" s="10" t="str">
        <x:v>P2</x:v>
      </x:c>
      <x:c r="G678" s="9" t="str">
        <x:v>验证系统通知仅传达结果</x:v>
      </x:c>
      <x:c r="H678" s="9" t="str">
        <x:v>通知没有业务操作</x:v>
      </x:c>
      <x:c r="I678" s="9" t="str">
        <x:v>1. 用户为本条执行者
2. 系统通知 N001 仅发给账号甲，N002 仅发给账号乙；执行者为甲</x:v>
      </x:c>
      <x:c r="J678" s="9" t="str">
        <x:v>1. 打开系统通知
2. 查看 N001</x:v>
      </x:c>
      <x:c r="K678" s="9" t="str">
        <x:v>N001 不提供业务跳转或操作入口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来源（当前证据）：liveshow-proto/MainBasis/统一需求文档.md；位置：第 671 行；REQ-17348b568b27、第 666 行
2. 规则：BR-AFD73593BF98A6
3. 未动态验证
4. 示例账号、编号、金额与日期是本条测试数据；执行前按前置条件准备，未填写的产品决策不得自行假定。</x:v>
      </x:c>
    </x:row>
    <x:row r="679" ht="130" customHeight="1">
      <x:c r="A679" s="10" t="n">
        <x:v>678</x:v>
      </x:c>
      <x:c r="B679" s="10" t="str">
        <x:v>USER-0678</x:v>
      </x:c>
      <x:c r="C679" s="10" t="str">
        <x:v>消息与社交</x:v>
      </x:c>
      <x:c r="D679" s="10" t="str">
        <x:v>系统通知（用户）</x:v>
      </x:c>
      <x:c r="E679" s="10" t="str">
        <x:v>功能需求</x:v>
      </x:c>
      <x:c r="F679" s="10" t="str">
        <x:v>P2</x:v>
      </x:c>
      <x:c r="G679" s="9" t="str">
        <x:v>验证通知时间相同按ID倒序</x:v>
      </x:c>
      <x:c r="H679" s="9" t="str">
        <x:v>同时间通知排序</x:v>
      </x:c>
      <x:c r="I679" s="9" t="str">
        <x:v>1. 用户为本条执行者
2. 通知N1001和N1002发生时间相同，均属于当前账号</x:v>
      </x:c>
      <x:c r="J679" s="9" t="str">
        <x:v>1. 打开通知列表</x:v>
      </x:c>
      <x:c r="K679" s="9" t="str">
        <x:v>N1002 排在 N1001 前面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来源（当前证据）：liveshow-proto/MainBasis/统一需求文档.md；位置：第 673 行；REQ-593bd42602eb、第 666 行
2. 规则：BR-9C6C7DC9054516
3. 未动态验证
4. 示例账号、编号、金额与日期是本条测试数据；执行前按前置条件准备，未填写的产品决策不得自行假定。</x:v>
      </x:c>
    </x:row>
    <x:row r="680" ht="130" customHeight="1">
      <x:c r="A680" s="10" t="n">
        <x:v>679</x:v>
      </x:c>
      <x:c r="B680" s="10" t="str">
        <x:v>USER-0679</x:v>
      </x:c>
      <x:c r="C680" s="10" t="str">
        <x:v>消息与社交</x:v>
      </x:c>
      <x:c r="D680" s="10" t="str">
        <x:v>互动通知（用户）</x:v>
      </x:c>
      <x:c r="E680" s="10" t="str">
        <x:v>功能需求</x:v>
      </x:c>
      <x:c r="F680" s="10" t="str">
        <x:v>P2</x:v>
      </x:c>
      <x:c r="G680" s="9" t="str">
        <x:v>验证通知时间相同按ID倒序</x:v>
      </x:c>
      <x:c r="H680" s="9" t="str">
        <x:v>同时间通知排序</x:v>
      </x:c>
      <x:c r="I680" s="9" t="str">
        <x:v>1. 用户为本条执行者
2. 通知N1001和N1002发生时间相同，均属于当前账号</x:v>
      </x:c>
      <x:c r="J680" s="9" t="str">
        <x:v>1. 打开通知列表</x:v>
      </x:c>
      <x:c r="K680" s="9" t="str">
        <x:v>N1002 排在 N1001 前面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来源（当前证据）：liveshow-proto/MainBasis/统一需求文档.md；位置：第 878 行；REQ-d209e483b9a4、第 870 行
2. 规则：BR-C8AFCC5FC57F77
3. 未动态验证
4. 示例账号、编号、金额与日期是本条测试数据；执行前按前置条件准备，未填写的产品决策不得自行假定。</x:v>
      </x:c>
    </x:row>
    <x:row r="681" ht="130" customHeight="1">
      <x:c r="A681" s="10" t="n">
        <x:v>680</x:v>
      </x:c>
      <x:c r="B681" s="10" t="str">
        <x:v>USER-0680</x:v>
      </x:c>
      <x:c r="C681" s="10" t="str">
        <x:v>消息与社交</x:v>
      </x:c>
      <x:c r="D681" s="10" t="str">
        <x:v>粉丝团群聊（用户）</x:v>
      </x:c>
      <x:c r="E681" s="10" t="str">
        <x:v>功能需求</x:v>
      </x:c>
      <x:c r="F681" s="10" t="str">
        <x:v>P2</x:v>
      </x:c>
      <x:c r="G681" s="9" t="str">
        <x:v>验证退出粉丝团移除对应会话</x:v>
      </x:c>
      <x:c r="H681" s="9" t="str">
        <x:v>失效团籍会话移除</x:v>
      </x:c>
      <x:c r="I681" s="9" t="str">
        <x:v>1. 用户为本条执行者
2. 用户甲加入了乙、丙两个粉丝团，均有当前会话
3. 用户甲在测试前已退出乙粉丝团，仍属于丙粉丝团</x:v>
      </x:c>
      <x:c r="J681" s="9" t="str">
        <x:v>1. 打开消息中心
2. 切换粉丝群</x:v>
      </x:c>
      <x:c r="K681" s="9" t="str">
        <x:v>不再显示乙粉丝群入口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来源（当前证据）：liveshow-proto/MainBasis/统一需求文档.md；位置：第 1928 行；REQ-b50d6a9e70fe、第 1922 行
2. 规则：BR-20CAD9F3E0D7B8
3. 未动态验证
4. 示例账号、编号、金额与日期是本条测试数据；执行前按前置条件准备，未填写的产品决策不得自行假定。</x:v>
      </x:c>
    </x:row>
    <x:row r="682" ht="130" customHeight="1">
      <x:c r="A682" s="10" t="n">
        <x:v>681</x:v>
      </x:c>
      <x:c r="B682" s="10" t="str">
        <x:v>USER-0681</x:v>
      </x:c>
      <x:c r="C682" s="10" t="str">
        <x:v>消息与社交</x:v>
      </x:c>
      <x:c r="D682" s="10" t="str">
        <x:v>粉丝团群聊（用户）</x:v>
      </x:c>
      <x:c r="E682" s="10" t="str">
        <x:v>功能需求</x:v>
      </x:c>
      <x:c r="F682" s="10" t="str">
        <x:v>P2</x:v>
      </x:c>
      <x:c r="G682" s="9" t="str">
        <x:v>验证退出粉丝团移除对应会话</x:v>
      </x:c>
      <x:c r="H682" s="9" t="str">
        <x:v>其他团籍会话保留</x:v>
      </x:c>
      <x:c r="I682" s="9" t="str">
        <x:v>1. 用户为本条执行者
2. 用户甲加入了乙、丙两个粉丝团，均有当前会话
3. 用户甲在测试前已退出乙粉丝团，仍属于丙粉丝团</x:v>
      </x:c>
      <x:c r="J682" s="9" t="str">
        <x:v>1. 打开消息中心
2. 切换粉丝群</x:v>
      </x:c>
      <x:c r="K682" s="9" t="str">
        <x:v>仍显示丙粉丝群入口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来源（当前证据）：liveshow-proto/MainBasis/统一需求文档.md；位置：第 1928 行；REQ-b50d6a9e70fe、第 1922 行
2. 规则：BR-CC080BD8157B62
3. 未动态验证
4. 示例账号、编号、金额与日期是本条测试数据；执行前按前置条件准备，未填写的产品决策不得自行假定。</x:v>
      </x:c>
    </x:row>
    <x:row r="683" ht="130" customHeight="1">
      <x:c r="A683" s="10" t="n">
        <x:v>682</x:v>
      </x:c>
      <x:c r="B683" s="10" t="str">
        <x:v>USER-0682</x:v>
      </x:c>
      <x:c r="C683" s="10" t="str">
        <x:v>消息与社交</x:v>
      </x:c>
      <x:c r="D683" s="10" t="str">
        <x:v>粉丝团群聊（用户）</x:v>
      </x:c>
      <x:c r="E683" s="10" t="str">
        <x:v>功能需求</x:v>
      </x:c>
      <x:c r="F683" s="10" t="str">
        <x:v>P2</x:v>
      </x:c>
      <x:c r="G683" s="9" t="str">
        <x:v>验证分享旧场次不跳转新场次</x:v>
      </x:c>
      <x:c r="H683" s="9" t="str">
        <x:v>群内直播分享绑定场次</x:v>
      </x:c>
      <x:c r="I683" s="9" t="str">
        <x:v>1. 用户为本条执行者
2. 用户甲当前加入主播乙粉丝团
3. 群内分享卡片关联已结束 S001；主播乙当前在新场 S002 直播</x:v>
      </x:c>
      <x:c r="J683" s="9" t="str">
        <x:v>1. 打开粉丝群
2. 点击 S001 分享卡片</x:v>
      </x:c>
      <x:c r="K683" s="9" t="str">
        <x:v>显示 S001 已结束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来源（当前证据）：liveshow-proto/MainBasis/统一需求文档.md；位置：第 903 行；REQ-87cc31b3e391、第 896 行
2. 规则：BR-B0D19CD5F12C30
3. 未动态验证
4. 示例账号、编号、金额与日期是本条测试数据；执行前按前置条件准备，未填写的产品决策不得自行假定。</x:v>
      </x:c>
    </x:row>
    <x:row r="684" ht="130" customHeight="1">
      <x:c r="A684" s="10" t="n">
        <x:v>683</x:v>
      </x:c>
      <x:c r="B684" s="10" t="str">
        <x:v>USER-0683</x:v>
      </x:c>
      <x:c r="C684" s="10" t="str">
        <x:v>消息与社交</x:v>
      </x:c>
      <x:c r="D684" s="10" t="str">
        <x:v>粉丝团群聊（用户）</x:v>
      </x:c>
      <x:c r="E684" s="10" t="str">
        <x:v>功能需求</x:v>
      </x:c>
      <x:c r="F684" s="10" t="str">
        <x:v>P2</x:v>
      </x:c>
      <x:c r="G684" s="9" t="str">
        <x:v>验证群消息按时间正序</x:v>
      </x:c>
      <x:c r="H684" s="9" t="str">
        <x:v>群消息时间顺序</x:v>
      </x:c>
      <x:c r="I684" s="9" t="str">
        <x:v>1. 用户为本条执行者
2. 用户甲当前加入主播乙粉丝团
3. 群消息M1发送于10:00，M2发送于10:01</x:v>
      </x:c>
      <x:c r="J684" s="9" t="str">
        <x:v>1. 打开粉丝群聊天</x:v>
      </x:c>
      <x:c r="K684" s="9" t="str">
        <x:v>M1 显示在 M2 前面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来源（当前证据）：liveshow-proto/MainBasis/统一需求文档.md；位置：第 905 行；REQ-844c798f0cd0、第 896 行
2. 规则：BR-FFA340C843F37B
3. 未动态验证
4. 示例账号、编号、金额与日期是本条测试数据；执行前按前置条件准备，未填写的产品决策不得自行假定。</x:v>
      </x:c>
    </x:row>
    <x:row r="685" ht="130" customHeight="1">
      <x:c r="A685" s="10" t="n">
        <x:v>684</x:v>
      </x:c>
      <x:c r="B685" s="10" t="str">
        <x:v>USER-0684</x:v>
      </x:c>
      <x:c r="C685" s="10" t="str">
        <x:v>消息与社交</x:v>
      </x:c>
      <x:c r="D685" s="10" t="str">
        <x:v>礼物展馆（用户）</x:v>
      </x:c>
      <x:c r="E685" s="10" t="str">
        <x:v>异常用例</x:v>
      </x:c>
      <x:c r="F685" s="10" t="str">
        <x:v>P2</x:v>
      </x:c>
      <x:c r="G685" s="9" t="str">
        <x:v>验证失败赠送不增加图鉴收到数量</x:v>
      </x:c>
      <x:c r="H685" s="9" t="str">
        <x:v>图鉴有效收礼数量</x:v>
      </x:c>
      <x:c r="I685" s="9" t="str">
        <x:v>1. 用户为本条执行者
2. 当前查看主播乙；礼物甲单价10，上架，平台目录同时包含未送过的礼物丙
3. 乙收到礼物甲2件成功赠送，另有3件赠送失败</x:v>
      </x:c>
      <x:c r="J685" s="9" t="str">
        <x:v>1. 打开乙的礼物图鉴
2. 查看礼物甲</x:v>
      </x:c>
      <x:c r="K685" s="9" t="str">
        <x:v>礼物甲收到数量为2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来源（当前证据）：liveshow-proto/MainBasis/统一需求文档.md；位置：第 1077 行；REQ-c758325242de、第 1072 行
2. 规则：BR-4FF22AA2948118
3. 未动态验证
4. 示例账号、编号、金额与日期是本条测试数据；执行前按前置条件准备，未填写的产品决策不得自行假定。</x:v>
      </x:c>
    </x:row>
    <x:row r="686" ht="130" customHeight="1">
      <x:c r="A686" s="10" t="n">
        <x:v>685</x:v>
      </x:c>
      <x:c r="B686" s="10" t="str">
        <x:v>USER-0685</x:v>
      </x:c>
      <x:c r="C686" s="10" t="str">
        <x:v>消息与社交</x:v>
      </x:c>
      <x:c r="D686" s="10" t="str">
        <x:v>礼物展馆（用户）</x:v>
      </x:c>
      <x:c r="E686" s="10" t="str">
        <x:v>功能需求</x:v>
      </x:c>
      <x:c r="F686" s="10" t="str">
        <x:v>P2</x:v>
      </x:c>
      <x:c r="G686" s="9" t="str">
        <x:v>验证未收到礼物仍在图鉴展示</x:v>
      </x:c>
      <x:c r="H686" s="9" t="str">
        <x:v>图鉴包括未收到的目录礼物</x:v>
      </x:c>
      <x:c r="I686" s="9" t="str">
        <x:v>1. 用户为本条执行者
2. 当前查看主播乙；礼物甲单价10，上架，平台目录同时包含未送过的礼物丙</x:v>
      </x:c>
      <x:c r="J686" s="9" t="str">
        <x:v>1. 打开乙的礼物图鉴
2. 查看礼物丙</x:v>
      </x:c>
      <x:c r="K686" s="9" t="str">
        <x:v>图鉴包含礼物丙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来源（当前证据）：liveshow-proto/MainBasis/统一需求文档.md；位置：第 1080 行；REQ-7df8b071258b、第 1072 行
2. 规则：BR-1699731D49FA06
3. 未动态验证
4. 示例账号、编号、金额与日期是本条测试数据；执行前按前置条件准备，未填写的产品决策不得自行假定。</x:v>
      </x:c>
    </x:row>
    <x:row r="687" ht="130" customHeight="1">
      <x:c r="A687" s="10" t="n">
        <x:v>686</x:v>
      </x:c>
      <x:c r="B687" s="10" t="str">
        <x:v>USER-0686</x:v>
      </x:c>
      <x:c r="C687" s="10" t="str">
        <x:v>消息与社交</x:v>
      </x:c>
      <x:c r="D687" s="10" t="str">
        <x:v>礼物展馆（用户）</x:v>
      </x:c>
      <x:c r="E687" s="10" t="str">
        <x:v>功能需求</x:v>
      </x:c>
      <x:c r="F687" s="10" t="str">
        <x:v>P2</x:v>
      </x:c>
      <x:c r="G687" s="9" t="str">
        <x:v>验证下架礼物保留历史收到数量</x:v>
      </x:c>
      <x:c r="H687" s="9" t="str">
        <x:v>下架图鉴历史保留</x:v>
      </x:c>
      <x:c r="I687" s="9" t="str">
        <x:v>1. 用户为本条执行者
2. 当前查看主播乙；礼物甲单价10，上架，平台目录同时包含未送过的礼物丙
3. 乙已收到礼物甲2件，后台随后下架礼物甲</x:v>
      </x:c>
      <x:c r="J687" s="9" t="str">
        <x:v>1. 打开乙的礼物图鉴
2. 查看礼物甲</x:v>
      </x:c>
      <x:c r="K687" s="9" t="str">
        <x:v>礼物甲历史收到数量仍为2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来源（当前证据）：liveshow-proto/MainBasis/统一需求文档.md；位置：第 1078 行；REQ-f5b8a3424b62、第 1072 行
2. 规则：BR-0AE27104E5D979
3. 未动态验证
4. 示例账号、编号、金额与日期是本条测试数据；执行前按前置条件准备，未填写的产品决策不得自行假定。</x:v>
      </x:c>
    </x:row>
    <x:row r="688" ht="130" customHeight="1">
      <x:c r="A688" s="10" t="n">
        <x:v>687</x:v>
      </x:c>
      <x:c r="B688" s="10" t="str">
        <x:v>USER-0687</x:v>
      </x:c>
      <x:c r="C688" s="10" t="str">
        <x:v>首页与发现</x:v>
      </x:c>
      <x:c r="D688" s="10" t="str">
        <x:v>充值福利（用户）</x:v>
      </x:c>
      <x:c r="E688" s="10" t="str">
        <x:v>功能需求</x:v>
      </x:c>
      <x:c r="F688" s="10" t="str">
        <x:v>P2</x:v>
      </x:c>
      <x:c r="G688" s="9" t="str">
        <x:v>验证邀请奖励卡使用当前配置</x:v>
      </x:c>
      <x:c r="H688" s="9" t="str">
        <x:v>邀请卡奖励配置</x:v>
      </x:c>
      <x:c r="I688" s="9" t="str">
        <x:v>1. 用户为本条执行者
2. 普通用户甲已登录
3. 后台当前每位有效邀请奖励为20金币</x:v>
      </x:c>
      <x:c r="J688" s="9" t="str">
        <x:v>1. 打开充值福利
2. 查看邀请好友卡片</x:v>
      </x:c>
      <x:c r="K688" s="9" t="str">
        <x:v>邀请奖励显示20金币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来源（当前证据）：liveshow-proto/MainBasis/统一需求文档.md；位置：第 604 行；REQ-28f7a6e9b28a、第 594 行
2. 规则：BR-06A2640F942654
3. 未动态验证
4. 示例账号、编号、金额与日期是本条测试数据；执行前按前置条件准备，未填写的产品决策不得自行假定。</x:v>
      </x:c>
    </x:row>
    <x:row r="689" ht="130" customHeight="1">
      <x:c r="A689" s="10" t="n">
        <x:v>688</x:v>
      </x:c>
      <x:c r="B689" s="10" t="str">
        <x:v>USER-0688</x:v>
      </x:c>
      <x:c r="C689" s="10" t="str">
        <x:v>首页与发现</x:v>
      </x:c>
      <x:c r="D689" s="10" t="str">
        <x:v>充值福利（用户）</x:v>
      </x:c>
      <x:c r="E689" s="10" t="str">
        <x:v>功能需求</x:v>
      </x:c>
      <x:c r="F689" s="10" t="str">
        <x:v>P1</x:v>
      </x:c>
      <x:c r="G689" s="9" t="str">
        <x:v>验证充值赠送卡取套餐最大赠送</x:v>
      </x:c>
      <x:c r="H689" s="9" t="str">
        <x:v>充值赠送卡最大值</x:v>
      </x:c>
      <x:c r="I689" s="9" t="str">
        <x:v>1. 用户为本条执行者
2. 普通用户甲已登录
3. 可见套餐赠送分别为10、20、5金币</x:v>
      </x:c>
      <x:c r="J689" s="9" t="str">
        <x:v>1. 打开充值福利
2. 查看充值卡片</x:v>
      </x:c>
      <x:c r="K689" s="9" t="str">
        <x:v>卡片赠送奖励显示20金币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来源（当前证据）：liveshow-proto/MainBasis/统一需求文档.md；位置：第 606 行；REQ-18d996ff9b5b、第 594 行
2. 规则：BR-8B9FA6A7C9FB09
3. 未动态验证
4. 示例账号、编号、金额与日期是本条测试数据；执行前按前置条件准备，未填写的产品决策不得自行假定。</x:v>
      </x:c>
    </x:row>
    <x:row r="690" ht="160" customHeight="1">
      <x:c r="A690" s="10" t="n">
        <x:v>689</x:v>
      </x:c>
      <x:c r="B690" s="10" t="str">
        <x:v>USER-0689</x:v>
      </x:c>
      <x:c r="C690" s="10" t="str">
        <x:v>首页与发现</x:v>
      </x:c>
      <x:c r="D690" s="10" t="str">
        <x:v>充值福利（用户）</x:v>
      </x:c>
      <x:c r="E690" s="10" t="str">
        <x:v>功能需求</x:v>
      </x:c>
      <x:c r="F690" s="10" t="str">
        <x:v>P1</x:v>
      </x:c>
      <x:c r="G690" s="9" t="str">
        <x:v>验证领取金币奖励成功</x:v>
      </x:c>
      <x:c r="H690" s="9" t="str">
        <x:v>领取奖励结果</x:v>
      </x:c>
      <x:c r="I690" s="9" t="str">
        <x:v>1. 用户为本条执行者
2. 普通用户甲已登录
3. T001 已达成且未领取，奖励10金币；领取前余额100；测试环境使本次领取成功</x:v>
      </x:c>
      <x:c r="J690" s="9" t="str">
        <x:v>1. 打开充值福利
2. 点击 T001 领取
3. 打开余额充值
4. 查看金币余额</x:v>
      </x:c>
      <x:c r="K690" s="9" t="str">
        <x:v>金币余额显示110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来源（当前证据）：liveshow-proto/MainBasis/统一需求文档.md；位置：第 600 行；REQ-bcf3754632ce、第 602 行；REQ-68d029516a5c、第 620 行；REQ-4a4228d2744b、第 594 行
2. 规则：BR-1AC8AD7C91AEA9
3. 未动态验证
4. 示例账号、编号、金额与日期是本条测试数据；执行前按前置条件准备，未填写的产品决策不得自行假定。</x:v>
      </x:c>
    </x:row>
    <x:row r="691" ht="160" customHeight="1">
      <x:c r="A691" s="10" t="n">
        <x:v>690</x:v>
      </x:c>
      <x:c r="B691" s="10" t="str">
        <x:v>USER-0690</x:v>
      </x:c>
      <x:c r="C691" s="10" t="str">
        <x:v>首页与发现</x:v>
      </x:c>
      <x:c r="D691" s="10" t="str">
        <x:v>充值福利（用户）</x:v>
      </x:c>
      <x:c r="E691" s="10" t="str">
        <x:v>异常用例</x:v>
      </x:c>
      <x:c r="F691" s="10" t="str">
        <x:v>P1</x:v>
      </x:c>
      <x:c r="G691" s="9" t="str">
        <x:v>验证领取金币奖励失败</x:v>
      </x:c>
      <x:c r="H691" s="9" t="str">
        <x:v>领取奖励结果</x:v>
      </x:c>
      <x:c r="I691" s="9" t="str">
        <x:v>1. 用户为本条执行者
2. 普通用户甲已登录
3. T001 已达成且未领取，奖励10金币；领取前余额100；测试环境使本次领取失败</x:v>
      </x:c>
      <x:c r="J691" s="9" t="str">
        <x:v>1. 打开充值福利
2. 点击 T001 领取</x:v>
      </x:c>
      <x:c r="K691" s="9" t="str">
        <x:v>T001 仍未标记已领取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来源（当前证据）：liveshow-proto/MainBasis/统一需求文档.md；位置：第 600 行；REQ-bcf3754632ce、第 602 行；REQ-68d029516a5c、第 620 行；REQ-4a4228d2744b、第 594 行
2. 规则：BR-000BEC25555BCB
3. 未动态验证
4. 示例账号、编号、金额与日期是本条测试数据；执行前按前置条件准备，未填写的产品决策不得自行假定。</x:v>
      </x:c>
    </x:row>
    <x:row r="692" ht="130" customHeight="1">
      <x:c r="A692" s="10" t="n">
        <x:v>691</x:v>
      </x:c>
      <x:c r="B692" s="10" t="str">
        <x:v>USER-0691</x:v>
      </x:c>
      <x:c r="C692" s="10" t="str">
        <x:v>首页与发现</x:v>
      </x:c>
      <x:c r="D692" s="10" t="str">
        <x:v>充值福利（用户）</x:v>
      </x:c>
      <x:c r="E692" s="10" t="str">
        <x:v>异常用例</x:v>
      </x:c>
      <x:c r="F692" s="10" t="str">
        <x:v>P2</x:v>
      </x:c>
      <x:c r="G692" s="9" t="str">
        <x:v>验证领奖失败后允许重试</x:v>
      </x:c>
      <x:c r="H692" s="9" t="str">
        <x:v>领奖失败恢复</x:v>
      </x:c>
      <x:c r="I692" s="9" t="str">
        <x:v>1. 用户为本条执行者
2. 普通用户甲已登录
3. T001 已达成且未领取，首次领奖请求失败，当前网络恢复</x:v>
      </x:c>
      <x:c r="J692" s="9" t="str">
        <x:v>1. 打开充值福利
2. 点击 T001 领取</x:v>
      </x:c>
      <x:c r="K692" s="9" t="str">
        <x:v>T001 显示已领取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来源（当前证据）：liveshow-proto/MainBasis/统一需求文档.md；位置：第 620 行；REQ-4a4228d2744b、第 594 行
2. 规则：BR-BA69411FBFC887
3. 未动态验证
4. 示例账号、编号、金额与日期是本条测试数据；执行前按前置条件准备，未填写的产品决策不得自行假定。</x:v>
      </x:c>
    </x:row>
    <x:row r="693" ht="130" customHeight="1">
      <x:c r="A693" s="10" t="n">
        <x:v>692</x:v>
      </x:c>
      <x:c r="B693" s="10" t="str">
        <x:v>USER-0692</x:v>
      </x:c>
      <x:c r="C693" s="10" t="str">
        <x:v>首页与发现</x:v>
      </x:c>
      <x:c r="D693" s="10" t="str">
        <x:v>充值福利·已领取（用户）</x:v>
      </x:c>
      <x:c r="E693" s="10" t="str">
        <x:v>功能需求</x:v>
      </x:c>
      <x:c r="F693" s="10" t="str">
        <x:v>P2</x:v>
      </x:c>
      <x:c r="G693" s="9" t="str">
        <x:v>验证修改任务配置不重复补发</x:v>
      </x:c>
      <x:c r="H693" s="9" t="str">
        <x:v>已领取实例状态保持</x:v>
      </x:c>
      <x:c r="I693" s="9" t="str">
        <x:v>1. 用户为本条执行者
2. T001 本周期已领取10金币，后台随后将该条件奖励改为20金币</x:v>
      </x:c>
      <x:c r="J693" s="9" t="str">
        <x:v>1. 打开充值福利
2. 查看 T001</x:v>
      </x:c>
      <x:c r="K693" s="9" t="str">
        <x:v>T001 保持已领取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来源（当前证据）：liveshow-proto/MainBasis/统一需求文档.md；位置：第 1908 行；REQ-766a354bc835、第 1902 行
2. 规则：BR-11D885489B8B93
3. 未动态验证
4. 示例账号、编号、金额与日期是本条测试数据；执行前按前置条件准备，未填写的产品决策不得自行假定。</x:v>
      </x:c>
    </x:row>
    <x:row r="694" ht="130" customHeight="1">
      <x:c r="A694" s="10" t="n">
        <x:v>693</x:v>
      </x:c>
      <x:c r="B694" s="10" t="str">
        <x:v>USER-0693</x:v>
      </x:c>
      <x:c r="C694" s="10" t="str">
        <x:v>首页与发现</x:v>
      </x:c>
      <x:c r="D694" s="10" t="str">
        <x:v>充值福利·已领取（用户）</x:v>
      </x:c>
      <x:c r="E694" s="10" t="str">
        <x:v>功能需求</x:v>
      </x:c>
      <x:c r="F694" s="10" t="str">
        <x:v>P2</x:v>
      </x:c>
      <x:c r="G694" s="9" t="str">
        <x:v>验证修改任务配置不重复补发</x:v>
      </x:c>
      <x:c r="H694" s="9" t="str">
        <x:v>已领取实例不可重领</x:v>
      </x:c>
      <x:c r="I694" s="9" t="str">
        <x:v>1. 用户为本条执行者
2. T001 本周期已领取10金币，后台随后将该条件奖励改为20金币</x:v>
      </x:c>
      <x:c r="J694" s="9" t="str">
        <x:v>1. 打开充值福利
2. 查看 T001</x:v>
      </x:c>
      <x:c r="K694" s="9" t="str">
        <x:v>T001 不可再次领取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来源（当前证据）：liveshow-proto/MainBasis/统一需求文档.md；位置：第 1908 行；REQ-766a354bc835、第 1902 行
2. 规则：BR-1B8AE65A183729
3. 未动态验证
4. 示例账号、编号、金额与日期是本条测试数据；执行前按前置条件准备，未填写的产品决策不得自行假定。</x:v>
      </x:c>
    </x:row>
    <x:row r="695" ht="160" customHeight="1">
      <x:c r="A695" s="10" t="n">
        <x:v>694</x:v>
      </x:c>
      <x:c r="B695" s="10" t="str">
        <x:v>USER-0694</x:v>
      </x:c>
      <x:c r="C695" s="10" t="str">
        <x:v>主播管理</x:v>
      </x:c>
      <x:c r="D695" s="10" t="str">
        <x:v>选类型（主播）</x:v>
      </x:c>
      <x:c r="E695" s="10" t="str">
        <x:v>功能需求</x:v>
      </x:c>
      <x:c r="F695" s="10" t="str">
        <x:v>P2</x:v>
      </x:c>
      <x:c r="G695" s="9" t="str">
        <x:v>验证开播分类只显示启用分类</x:v>
      </x:c>
      <x:c r="H695" s="9" t="str">
        <x:v>停用分类不可新选</x:v>
      </x:c>
      <x:c r="I695" s="9" t="str">
        <x:v>1. 主播为本条执行者
2. 主播甲可开播，分类甲乙启用、丙停用，后台顺序为乙后甲</x:v>
      </x:c>
      <x:c r="J695" s="9" t="str">
        <x:v>1. 打开直播分类</x:v>
      </x:c>
      <x:c r="K695" s="9" t="str">
        <x:v>可选分类不包含丙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来源（当前证据）：liveshow-proto/MainBasis/统一需求文档.md；位置：第 1977 行；REQ-70169de03bcb、第 1978 行；REQ-1764da61e3f5、第 1979 行；REQ-138a520f76a0、第 1975 行
2. 规则：BR-5B255CDBF78F2B
3. 未动态验证
4. 示例账号、编号、金额与日期是本条测试数据；执行前按前置条件准备，未填写的产品决策不得自行假定。</x:v>
      </x:c>
    </x:row>
    <x:row r="696" ht="145" customHeight="1">
      <x:c r="A696" s="10" t="n">
        <x:v>695</x:v>
      </x:c>
      <x:c r="B696" s="10" t="str">
        <x:v>USER-0695</x:v>
      </x:c>
      <x:c r="C696" s="10" t="str">
        <x:v>主播管理</x:v>
      </x:c>
      <x:c r="D696" s="10" t="str">
        <x:v>选类型（主播）</x:v>
      </x:c>
      <x:c r="E696" s="10" t="str">
        <x:v>功能需求</x:v>
      </x:c>
      <x:c r="F696" s="10" t="str">
        <x:v>P2</x:v>
      </x:c>
      <x:c r="G696" s="9" t="str">
        <x:v>验证取消分类选择保留原分类</x:v>
      </x:c>
      <x:c r="H696" s="9" t="str">
        <x:v>分类关闭未保存</x:v>
      </x:c>
      <x:c r="I696" s="9" t="str">
        <x:v>1. 主播为本条执行者
2. 主播甲可开播，分类甲乙启用、丙停用，后台顺序为乙后甲
3. 本次原选分类甲</x:v>
      </x:c>
      <x:c r="J696" s="9" t="str">
        <x:v>1. 打开直播分类
2. 关闭分类选择</x:v>
      </x:c>
      <x:c r="K696" s="9" t="str">
        <x:v>开播设置仍显示分类甲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来源（当前证据）：liveshow-proto/MainBasis/统一需求文档.md；位置：第 1978 行；REQ-1764da61e3f5、第 1980 行；REQ-2c08ab173cfb、第 1975 行
2. 规则：BR-4EA1EF9A84E9B4
3. 未动态验证
4. 示例账号、编号、金额与日期是本条测试数据；执行前按前置条件准备，未填写的产品决策不得自行假定。</x:v>
      </x:c>
    </x:row>
    <x:row r="697" ht="130" customHeight="1">
      <x:c r="A697" s="10" t="n">
        <x:v>696</x:v>
      </x:c>
      <x:c r="B697" s="10" t="str">
        <x:v>USER-0696</x:v>
      </x:c>
      <x:c r="C697" s="10" t="str">
        <x:v>主播管理</x:v>
      </x:c>
      <x:c r="D697" s="10" t="str">
        <x:v>房型（普通）（主播）</x:v>
      </x:c>
      <x:c r="E697" s="10" t="str">
        <x:v>功能需求</x:v>
      </x:c>
      <x:c r="F697" s="10" t="str">
        <x:v>P2</x:v>
      </x:c>
      <x:c r="G697" s="9" t="str">
        <x:v>验证切换普通房移除门票密码必填</x:v>
      </x:c>
      <x:c r="H697" s="9" t="str">
        <x:v>普通房不要求密码</x:v>
      </x:c>
      <x:c r="I697" s="9" t="str">
        <x:v>1. 主播为本条执行者
2. 主播甲当前在房型设置，原选密码房且未填密码，其他开播条件满足</x:v>
      </x:c>
      <x:c r="J697" s="9" t="str">
        <x:v>1. 选择普通房
2. 点击确认</x:v>
      </x:c>
      <x:c r="K697" s="9" t="str">
        <x:v>成功回填普通房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来源（当前证据）：liveshow-proto/MainBasis/统一需求文档.md；位置：第 1989 行；REQ-63b73dc008c4、第 1983 行
2. 规则：BR-73F0ADCC5CB735
3. 未动态验证
4. 示例账号、编号、金额与日期是本条测试数据；执行前按前置条件准备，未填写的产品决策不得自行假定。</x:v>
      </x:c>
    </x:row>
    <x:row r="698" ht="130" customHeight="1">
      <x:c r="A698" s="10" t="n">
        <x:v>697</x:v>
      </x:c>
      <x:c r="B698" s="10" t="str">
        <x:v>USER-0697</x:v>
      </x:c>
      <x:c r="C698" s="10" t="str">
        <x:v>直播</x:v>
      </x:c>
      <x:c r="D698" s="10" t="str">
        <x:v>直播间·主播·密码房（主播）</x:v>
      </x:c>
      <x:c r="E698" s="10" t="str">
        <x:v>功能需求</x:v>
      </x:c>
      <x:c r="F698" s="10" t="str">
        <x:v>P2</x:v>
      </x:c>
      <x:c r="G698" s="9" t="str">
        <x:v>验证密码或门票房不支持连麦</x:v>
      </x:c>
      <x:c r="H698" s="9" t="str">
        <x:v>非普通房连麦限制</x:v>
      </x:c>
      <x:c r="I698" s="9" t="str">
        <x:v>1. 主播为本条执行者
2. 主播甲当前房型为本页对应房型，直播条件有效</x:v>
      </x:c>
      <x:c r="J698" s="9" t="str">
        <x:v>1. 查看连麦操作入口</x:v>
      </x:c>
      <x:c r="K698" s="9" t="str">
        <x:v>不提供连麦操作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来源（当前证据）：liveshow-proto/MainBasis/统一需求文档.md；位置：第 817 行；REQ-12c9166afbcd、第 812 行
2. 规则：BR-28559EAA2A6D42
3. 未动态验证
4. 示例账号、编号、金额与日期是本条测试数据；执行前按前置条件准备，未填写的产品决策不得自行假定。</x:v>
      </x:c>
    </x:row>
    <x:row r="699" ht="130" customHeight="1">
      <x:c r="A699" s="10" t="n">
        <x:v>698</x:v>
      </x:c>
      <x:c r="B699" s="10" t="str">
        <x:v>USER-0698</x:v>
      </x:c>
      <x:c r="C699" s="10" t="str">
        <x:v>主播管理</x:v>
      </x:c>
      <x:c r="D699" s="10" t="str">
        <x:v>房型（门票房）（主播）</x:v>
      </x:c>
      <x:c r="E699" s="10" t="str">
        <x:v>功能需求</x:v>
      </x:c>
      <x:c r="F699" s="10" t="str">
        <x:v>P2</x:v>
      </x:c>
      <x:c r="G699" s="9" t="str">
        <x:v>验证密码或门票房不支持连麦</x:v>
      </x:c>
      <x:c r="H699" s="9" t="str">
        <x:v>非普通房连麦限制</x:v>
      </x:c>
      <x:c r="I699" s="9" t="str">
        <x:v>1. 主播为本条执行者
2. 主播甲当前房型为本页对应房型，直播条件有效</x:v>
      </x:c>
      <x:c r="J699" s="9" t="str">
        <x:v>1. 查看连麦操作入口</x:v>
      </x:c>
      <x:c r="K699" s="9" t="str">
        <x:v>不提供连麦操作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来源（当前证据）：liveshow-proto/MainBasis/统一需求文档.md；位置：第 1997 行；REQ-e20d55c5351e、第 1992 行
2. 规则：BR-BF858E3F9C35DE
3. 未动态验证
4. 示例账号、编号、金额与日期是本条测试数据；执行前按前置条件准备，未填写的产品决策不得自行假定。</x:v>
      </x:c>
    </x:row>
    <x:row r="700" ht="145" customHeight="1">
      <x:c r="A700" s="10" t="n">
        <x:v>699</x:v>
      </x:c>
      <x:c r="B700" s="10" t="str">
        <x:v>USER-0699</x:v>
      </x:c>
      <x:c r="C700" s="10" t="str">
        <x:v>主播管理</x:v>
      </x:c>
      <x:c r="D700" s="10" t="str">
        <x:v>月数据（主播）</x:v>
      </x:c>
      <x:c r="E700" s="10" t="str">
        <x:v>功能需求</x:v>
      </x:c>
      <x:c r="F700" s="10" t="str">
        <x:v>P2</x:v>
      </x:c>
      <x:c r="G700" s="9" t="str">
        <x:v>验证无数据月份不沿用上月指标</x:v>
      </x:c>
      <x:c r="H700" s="9" t="str">
        <x:v>收益空月归零</x:v>
      </x:c>
      <x:c r="I700" s="9" t="str">
        <x:v>1. 主播为本条执行者
2. 主播甲可查看本人直播数据
3. 8月有有效数据；9月完全无直播记录</x:v>
      </x:c>
      <x:c r="J700" s="9" t="str">
        <x:v>1. 打开直播数据
2. 选择8月
3. 选择9月</x:v>
      </x:c>
      <x:c r="K700" s="9" t="str">
        <x:v>收益显示0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来源（当前证据）：liveshow-proto/MainBasis/统一需求文档.md；位置：第 2026 行；REQ-1694230f1d67、第 2034 行；REQ-bcaeb38298cb、第 2024 行
2. 规则：BR-78B0EB4BF8AC12
3. 未动态验证
4. 示例账号、编号、金额与日期是本条测试数据；执行前按前置条件准备，未填写的产品决策不得自行假定。</x:v>
      </x:c>
    </x:row>
    <x:row r="701" ht="145" customHeight="1">
      <x:c r="A701" s="10" t="n">
        <x:v>700</x:v>
      </x:c>
      <x:c r="B701" s="10" t="str">
        <x:v>USER-0700</x:v>
      </x:c>
      <x:c r="C701" s="10" t="str">
        <x:v>主播管理</x:v>
      </x:c>
      <x:c r="D701" s="10" t="str">
        <x:v>月数据（主播）</x:v>
      </x:c>
      <x:c r="E701" s="10" t="str">
        <x:v>功能需求</x:v>
      </x:c>
      <x:c r="F701" s="10" t="str">
        <x:v>P2</x:v>
      </x:c>
      <x:c r="G701" s="9" t="str">
        <x:v>验证无数据月份不沿用上月指标</x:v>
      </x:c>
      <x:c r="H701" s="9" t="str">
        <x:v>有效天空月归零</x:v>
      </x:c>
      <x:c r="I701" s="9" t="str">
        <x:v>1. 主播为本条执行者
2. 主播甲可查看本人直播数据
3. 8月有有效数据；9月完全无直播记录</x:v>
      </x:c>
      <x:c r="J701" s="9" t="str">
        <x:v>1. 打开直播数据
2. 选择8月
3. 选择9月</x:v>
      </x:c>
      <x:c r="K701" s="9" t="str">
        <x:v>有效天显示0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来源（当前证据）：liveshow-proto/MainBasis/统一需求文档.md；位置：第 2026 行；REQ-1694230f1d67、第 2034 行；REQ-bcaeb38298cb、第 2024 行
2. 规则：BR-2D1A76165D142E
3. 未动态验证
4. 示例账号、编号、金额与日期是本条测试数据；执行前按前置条件准备，未填写的产品决策不得自行假定。</x:v>
      </x:c>
    </x:row>
    <x:row r="702" ht="145" customHeight="1">
      <x:c r="A702" s="10" t="n">
        <x:v>701</x:v>
      </x:c>
      <x:c r="B702" s="10" t="str">
        <x:v>USER-0701</x:v>
      </x:c>
      <x:c r="C702" s="10" t="str">
        <x:v>主播管理</x:v>
      </x:c>
      <x:c r="D702" s="10" t="str">
        <x:v>月数据（主播）</x:v>
      </x:c>
      <x:c r="E702" s="10" t="str">
        <x:v>功能需求</x:v>
      </x:c>
      <x:c r="F702" s="10" t="str">
        <x:v>P2</x:v>
      </x:c>
      <x:c r="G702" s="9" t="str">
        <x:v>验证无数据月份不沿用上月指标</x:v>
      </x:c>
      <x:c r="H702" s="9" t="str">
        <x:v>开播时长空月归零</x:v>
      </x:c>
      <x:c r="I702" s="9" t="str">
        <x:v>1. 主播为本条执行者
2. 主播甲可查看本人直播数据
3. 8月有有效数据；9月完全无直播记录</x:v>
      </x:c>
      <x:c r="J702" s="9" t="str">
        <x:v>1. 打开直播数据
2. 选择8月
3. 选择9月</x:v>
      </x:c>
      <x:c r="K702" s="9" t="str">
        <x:v>开播时长显示0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来源（当前证据）：liveshow-proto/MainBasis/统一需求文档.md；位置：第 2026 行；REQ-1694230f1d67、第 2034 行；REQ-bcaeb38298cb、第 2024 行
2. 规则：BR-922F91978F8F88
3. 未动态验证
4. 示例账号、编号、金额与日期是本条测试数据；执行前按前置条件准备，未填写的产品决策不得自行假定。</x:v>
      </x:c>
    </x:row>
    <x:row r="703" ht="145" customHeight="1">
      <x:c r="A703" s="10" t="n">
        <x:v>702</x:v>
      </x:c>
      <x:c r="B703" s="10" t="str">
        <x:v>USER-0702</x:v>
      </x:c>
      <x:c r="C703" s="10" t="str">
        <x:v>主播管理</x:v>
      </x:c>
      <x:c r="D703" s="10" t="str">
        <x:v>月数据（主播）</x:v>
      </x:c>
      <x:c r="E703" s="10" t="str">
        <x:v>功能需求</x:v>
      </x:c>
      <x:c r="F703" s="10" t="str">
        <x:v>P2</x:v>
      </x:c>
      <x:c r="G703" s="9" t="str">
        <x:v>验证无数据月份不沿用上月指标</x:v>
      </x:c>
      <x:c r="H703" s="9" t="str">
        <x:v>观众人次空月归零</x:v>
      </x:c>
      <x:c r="I703" s="9" t="str">
        <x:v>1. 主播为本条执行者
2. 主播甲可查看本人直播数据
3. 8月有有效数据；9月完全无直播记录</x:v>
      </x:c>
      <x:c r="J703" s="9" t="str">
        <x:v>1. 打开直播数据
2. 选择8月
3. 选择9月</x:v>
      </x:c>
      <x:c r="K703" s="9" t="str">
        <x:v>观众人次显示0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来源（当前证据）：liveshow-proto/MainBasis/统一需求文档.md；位置：第 2026 行；REQ-1694230f1d67、第 2034 行；REQ-bcaeb38298cb、第 2024 行
2. 规则：BR-F3F32E9C5D9ED4
3. 未动态验证
4. 示例账号、编号、金额与日期是本条测试数据；执行前按前置条件准备，未填写的产品决策不得自行假定。</x:v>
      </x:c>
    </x:row>
    <x:row r="704" ht="145" customHeight="1">
      <x:c r="A704" s="10" t="n">
        <x:v>703</x:v>
      </x:c>
      <x:c r="B704" s="10" t="str">
        <x:v>USER-0703</x:v>
      </x:c>
      <x:c r="C704" s="10" t="str">
        <x:v>主播管理</x:v>
      </x:c>
      <x:c r="D704" s="10" t="str">
        <x:v>月数据（主播）</x:v>
      </x:c>
      <x:c r="E704" s="10" t="str">
        <x:v>功能需求</x:v>
      </x:c>
      <x:c r="F704" s="10" t="str">
        <x:v>P2</x:v>
      </x:c>
      <x:c r="G704" s="9" t="str">
        <x:v>验证无数据月份不沿用上月指标</x:v>
      </x:c>
      <x:c r="H704" s="9" t="str">
        <x:v>新增粉丝空月归零</x:v>
      </x:c>
      <x:c r="I704" s="9" t="str">
        <x:v>1. 主播为本条执行者
2. 主播甲可查看本人直播数据
3. 8月有有效数据；9月完全无直播记录</x:v>
      </x:c>
      <x:c r="J704" s="9" t="str">
        <x:v>1. 打开直播数据
2. 选择8月
3. 选择9月</x:v>
      </x:c>
      <x:c r="K704" s="9" t="str">
        <x:v>新增粉丝显示0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来源（当前证据）：liveshow-proto/MainBasis/统一需求文档.md；位置：第 2026 行；REQ-1694230f1d67、第 2034 行；REQ-bcaeb38298cb、第 2024 行
2. 规则：BR-19559806FA7CC9
3. 未动态验证
4. 示例账号、编号、金额与日期是本条测试数据；执行前按前置条件准备，未填写的产品决策不得自行假定。</x:v>
      </x:c>
    </x:row>
    <x:row r="705" ht="145" customHeight="1">
      <x:c r="A705" s="10" t="n">
        <x:v>704</x:v>
      </x:c>
      <x:c r="B705" s="10" t="str">
        <x:v>USER-0704</x:v>
      </x:c>
      <x:c r="C705" s="10" t="str">
        <x:v>主播管理</x:v>
      </x:c>
      <x:c r="D705" s="10" t="str">
        <x:v>月数据（主播）</x:v>
      </x:c>
      <x:c r="E705" s="10" t="str">
        <x:v>功能需求</x:v>
      </x:c>
      <x:c r="F705" s="10" t="str">
        <x:v>P2</x:v>
      </x:c>
      <x:c r="G705" s="9" t="str">
        <x:v>验证无数据月份不沿用上月指标</x:v>
      </x:c>
      <x:c r="H705" s="9" t="str">
        <x:v>送礼人数空月归零</x:v>
      </x:c>
      <x:c r="I705" s="9" t="str">
        <x:v>1. 主播为本条执行者
2. 主播甲可查看本人直播数据
3. 8月有有效数据；9月完全无直播记录</x:v>
      </x:c>
      <x:c r="J705" s="9" t="str">
        <x:v>1. 打开直播数据
2. 选择8月
3. 选择9月</x:v>
      </x:c>
      <x:c r="K705" s="9" t="str">
        <x:v>送礼人数显示0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来源（当前证据）：liveshow-proto/MainBasis/统一需求文档.md；位置：第 2026 行；REQ-1694230f1d67、第 2034 行；REQ-bcaeb38298cb、第 2024 行
2. 规则：BR-1451849157A5EF
3. 未动态验证
4. 示例账号、编号、金额与日期是本条测试数据；执行前按前置条件准备，未填写的产品决策不得自行假定。</x:v>
      </x:c>
    </x:row>
    <x:row r="706" ht="130" customHeight="1">
      <x:c r="A706" s="10" t="n">
        <x:v>705</x:v>
      </x:c>
      <x:c r="B706" s="10" t="str">
        <x:v>USER-0705</x:v>
      </x:c>
      <x:c r="C706" s="10" t="str">
        <x:v>主播管理</x:v>
      </x:c>
      <x:c r="D706" s="10" t="str">
        <x:v>月数据（主播）</x:v>
      </x:c>
      <x:c r="E706" s="10" t="str">
        <x:v>功能需求</x:v>
      </x:c>
      <x:c r="F706" s="10" t="str">
        <x:v>P2</x:v>
      </x:c>
      <x:c r="G706" s="9" t="str">
        <x:v>验证同一天多场达到有效时长只计一天</x:v>
      </x:c>
      <x:c r="H706" s="9" t="str">
        <x:v>自然日有效天去重</x:v>
      </x:c>
      <x:c r="I706" s="9" t="str">
        <x:v>1. 主播为本条执行者
2. 主播甲可查看本人直播数据
3. 9月1日S001有效2小时、S002有效2小时；9月2日S003有效1小时，9月无其他直播</x:v>
      </x:c>
      <x:c r="J706" s="9" t="str">
        <x:v>1. 打开直播数据
2. 选择9月</x:v>
      </x:c>
      <x:c r="K706" s="9" t="str">
        <x:v>有效天显示1天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来源（当前证据）：liveshow-proto/MainBasis/统一需求文档.md；位置：第 2028 行；REQ-017c27f81759、第 2024 行
2. 规则：BR-9D16712AB3F0E8
3. 未动态验证
4. 示例账号、编号、金额与日期是本条测试数据；执行前按前置条件准备，未填写的产品决策不得自行假定。</x:v>
      </x:c>
    </x:row>
    <x:row r="707" ht="190" customHeight="1">
      <x:c r="A707" s="10" t="n">
        <x:v>706</x:v>
      </x:c>
      <x:c r="B707" s="10" t="str">
        <x:v>USER-0706</x:v>
      </x:c>
      <x:c r="C707" s="10" t="str">
        <x:v>直播</x:v>
      </x:c>
      <x:c r="D707" s="10" t="str">
        <x:v>本场贡献·贡献榜（用户）</x:v>
      </x:c>
      <x:c r="E707" s="10" t="str">
        <x:v>功能需求</x:v>
      </x:c>
      <x:c r="F707" s="10" t="str">
        <x:v>P2</x:v>
      </x:c>
      <x:c r="G707" s="9" t="str">
        <x:v>验证本场贡献榜按贡献打破排序差异</x:v>
      </x:c>
      <x:c r="H707" s="9" t="str">
        <x:v>贡献榜贡献排序</x:v>
      </x:c>
      <x:c r="I707" s="9" t="str">
        <x:v>1. 用户为本条执行者
2. S001 正在直播，以下账号均为真实普通账号，有本场成功赠礼；不涉及运营虚拟榜单未决范围
3. 甲贡献200、乙100；其他排序条件相同</x:v>
      </x:c>
      <x:c r="J707" s="9" t="str">
        <x:v>1. 打开本场贡献榜</x:v>
      </x:c>
      <x:c r="K707" s="9" t="str">
        <x:v>甲排在乙前面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来源（当前证据）：liveshow-proto/MainBasis/统一需求文档.md；位置：第 1713 行；REQ-f824d220c8d2、第 1714 行；REQ-2e0be6049dd2、第 1716 行；REQ-6b2e57f33816、第 1717 行；REQ-68eb3122d10e、第 1718 行；REQ-5d9d7f962139、第 1720 行；REQ-10a3463ba691、第 1712 行
2. 规则：BR-F1170393FA6695
3. 未动态验证
4. 示例账号、编号、金额与日期是本条测试数据；执行前按前置条件准备，未填写的产品决策不得自行假定。</x:v>
      </x:c>
    </x:row>
    <x:row r="708" ht="190" customHeight="1">
      <x:c r="A708" s="10" t="n">
        <x:v>707</x:v>
      </x:c>
      <x:c r="B708" s="10" t="str">
        <x:v>USER-0707</x:v>
      </x:c>
      <x:c r="C708" s="10" t="str">
        <x:v>直播</x:v>
      </x:c>
      <x:c r="D708" s="10" t="str">
        <x:v>本场贡献·贡献榜（用户）</x:v>
      </x:c>
      <x:c r="E708" s="10" t="str">
        <x:v>功能需求</x:v>
      </x:c>
      <x:c r="F708" s="10" t="str">
        <x:v>P2</x:v>
      </x:c>
      <x:c r="G708" s="9" t="str">
        <x:v>验证本场贡献榜按粉丝等级打破排序差异</x:v>
      </x:c>
      <x:c r="H708" s="9" t="str">
        <x:v>贡献榜粉丝等级排序</x:v>
      </x:c>
      <x:c r="I708" s="9" t="str">
        <x:v>1. 用户为本条执行者
2. S001 正在直播，以下账号均为真实普通账号，有本场成功赠礼；不涉及运营虚拟榜单未决范围
3. 甲乙贡献100；甲本主播粉丝等级3、乙2；财富等级相同</x:v>
      </x:c>
      <x:c r="J708" s="9" t="str">
        <x:v>1. 打开本场贡献榜</x:v>
      </x:c>
      <x:c r="K708" s="9" t="str">
        <x:v>甲排在乙前面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来源（当前证据）：liveshow-proto/MainBasis/统一需求文档.md；位置：第 1713 行；REQ-f824d220c8d2、第 1714 行；REQ-2e0be6049dd2、第 1716 行；REQ-6b2e57f33816、第 1717 行；REQ-68eb3122d10e、第 1718 行；REQ-5d9d7f962139、第 1720 行；REQ-10a3463ba691、第 1712 行
2. 规则：BR-88DFD07D2B5721
3. 未动态验证
4. 示例账号、编号、金额与日期是本条测试数据；执行前按前置条件准备，未填写的产品决策不得自行假定。</x:v>
      </x:c>
    </x:row>
    <x:row r="709" ht="190" customHeight="1">
      <x:c r="A709" s="10" t="n">
        <x:v>708</x:v>
      </x:c>
      <x:c r="B709" s="10" t="str">
        <x:v>USER-0708</x:v>
      </x:c>
      <x:c r="C709" s="10" t="str">
        <x:v>直播</x:v>
      </x:c>
      <x:c r="D709" s="10" t="str">
        <x:v>本场贡献·贡献榜（用户）</x:v>
      </x:c>
      <x:c r="E709" s="10" t="str">
        <x:v>功能需求</x:v>
      </x:c>
      <x:c r="F709" s="10" t="str">
        <x:v>P2</x:v>
      </x:c>
      <x:c r="G709" s="9" t="str">
        <x:v>验证本场贡献榜按财富等级打破排序差异</x:v>
      </x:c>
      <x:c r="H709" s="9" t="str">
        <x:v>贡献榜财富等级排序</x:v>
      </x:c>
      <x:c r="I709" s="9" t="str">
        <x:v>1. 用户为本条执行者
2. S001 正在直播，以下账号均为真实普通账号，有本场成功赠礼；不涉及运营虚拟榜单未决范围
3. 甲乙贡献100、粉丝等级2；甲财富等级3、乙2</x:v>
      </x:c>
      <x:c r="J709" s="9" t="str">
        <x:v>1. 打开本场贡献榜</x:v>
      </x:c>
      <x:c r="K709" s="9" t="str">
        <x:v>甲排在乙前面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来源（当前证据）：liveshow-proto/MainBasis/统一需求文档.md；位置：第 1713 行；REQ-f824d220c8d2、第 1714 行；REQ-2e0be6049dd2、第 1716 行；REQ-6b2e57f33816、第 1717 行；REQ-68eb3122d10e、第 1718 行；REQ-5d9d7f962139、第 1720 行；REQ-10a3463ba691、第 1712 行
2. 规则：BR-D92F5A37B7B1E9
3. 未动态验证
4. 示例账号、编号、金额与日期是本条测试数据；执行前按前置条件准备，未填写的产品决策不得自行假定。</x:v>
      </x:c>
    </x:row>
    <x:row r="710" ht="190" customHeight="1">
      <x:c r="A710" s="10" t="n">
        <x:v>709</x:v>
      </x:c>
      <x:c r="B710" s="10" t="str">
        <x:v>USER-0709</x:v>
      </x:c>
      <x:c r="C710" s="10" t="str">
        <x:v>直播</x:v>
      </x:c>
      <x:c r="D710" s="10" t="str">
        <x:v>本场贡献·贡献榜（用户）</x:v>
      </x:c>
      <x:c r="E710" s="10" t="str">
        <x:v>功能需求</x:v>
      </x:c>
      <x:c r="F710" s="10" t="str">
        <x:v>P2</x:v>
      </x:c>
      <x:c r="G710" s="9" t="str">
        <x:v>验证本场贡献榜按用户ID打破排序差异</x:v>
      </x:c>
      <x:c r="H710" s="9" t="str">
        <x:v>贡献榜用户ID排序</x:v>
      </x:c>
      <x:c r="I710" s="9" t="str">
        <x:v>1. 用户为本条执行者
2. S001 正在直播，以下账号均为真实普通账号，有本场成功赠礼；不涉及运营虚拟榜单未决范围
3. 甲ID1001、乙ID1002；贡献、粉丝等级和财富等级相同</x:v>
      </x:c>
      <x:c r="J710" s="9" t="str">
        <x:v>1. 打开本场贡献榜</x:v>
      </x:c>
      <x:c r="K710" s="9" t="str">
        <x:v>甲排在乙前面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来源（当前证据）：liveshow-proto/MainBasis/统一需求文档.md；位置：第 1713 行；REQ-f824d220c8d2、第 1714 行；REQ-2e0be6049dd2、第 1716 行；REQ-6b2e57f33816、第 1717 行；REQ-68eb3122d10e、第 1718 行；REQ-5d9d7f962139、第 1720 行；REQ-10a3463ba691、第 1712 行
2. 规则：BR-D2CD33DF2C46A3
3. 未动态验证
4. 示例账号、编号、金额与日期是本条测试数据；执行前按前置条件准备，未填写的产品决策不得自行假定。</x:v>
      </x:c>
    </x:row>
    <x:row r="711" ht="130" customHeight="1">
      <x:c r="A711" s="10" t="n">
        <x:v>710</x:v>
      </x:c>
      <x:c r="B711" s="10" t="str">
        <x:v>USER-0710</x:v>
      </x:c>
      <x:c r="C711" s="10" t="str">
        <x:v>直播</x:v>
      </x:c>
      <x:c r="D711" s="10" t="str">
        <x:v>本场贡献·贡献榜（用户）</x:v>
      </x:c>
      <x:c r="E711" s="10" t="str">
        <x:v>功能需求</x:v>
      </x:c>
      <x:c r="F711" s="10" t="str">
        <x:v>P2</x:v>
      </x:c>
      <x:c r="G711" s="9" t="str">
        <x:v>验证贡献榜完成排序后截取前99</x:v>
      </x:c>
      <x:c r="H711" s="9" t="str">
        <x:v>第99名保留</x:v>
      </x:c>
      <x:c r="I711" s="9" t="str">
        <x:v>1. 用户为本条执行者
2. S001 正在直播，以下账号均为真实普通账号，有本场成功赠礼；不涉及运营虚拟榜单未决范围
3. 有100名有效贡献者，贡献各不相同；U099排名99、U100排名100</x:v>
      </x:c>
      <x:c r="J711" s="9" t="str">
        <x:v>1. 打开本场贡献榜</x:v>
      </x:c>
      <x:c r="K711" s="9" t="str">
        <x:v>榜单包含U099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来源（当前证据）：liveshow-proto/MainBasis/统一需求文档.md；位置：第 1713 行；REQ-f824d220c8d2、第 1712 行
2. 规则：BR-DB2C5C2CA71BB2
3. 未动态验证
4. 示例账号、编号、金额与日期是本条测试数据；执行前按前置条件准备，未填写的产品决策不得自行假定。</x:v>
      </x:c>
    </x:row>
    <x:row r="712" ht="130" customHeight="1">
      <x:c r="A712" s="10" t="n">
        <x:v>711</x:v>
      </x:c>
      <x:c r="B712" s="10" t="str">
        <x:v>USER-0711</x:v>
      </x:c>
      <x:c r="C712" s="10" t="str">
        <x:v>直播</x:v>
      </x:c>
      <x:c r="D712" s="10" t="str">
        <x:v>本场贡献·贡献榜（用户）</x:v>
      </x:c>
      <x:c r="E712" s="10" t="str">
        <x:v>功能需求</x:v>
      </x:c>
      <x:c r="F712" s="10" t="str">
        <x:v>P2</x:v>
      </x:c>
      <x:c r="G712" s="9" t="str">
        <x:v>验证贡献榜完成排序后截取前99</x:v>
      </x:c>
      <x:c r="H712" s="9" t="str">
        <x:v>第100名截断</x:v>
      </x:c>
      <x:c r="I712" s="9" t="str">
        <x:v>1. 用户为本条执行者
2. S001 正在直播，以下账号均为真实普通账号，有本场成功赠礼；不涉及运营虚拟榜单未决范围
3. 有100名有效贡献者，贡献各不相同；U099排名99、U100排名100</x:v>
      </x:c>
      <x:c r="J712" s="9" t="str">
        <x:v>1. 打开本场贡献榜</x:v>
      </x:c>
      <x:c r="K712" s="9" t="str">
        <x:v>榜单不包含U100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来源（当前证据）：liveshow-proto/MainBasis/统一需求文档.md；位置：第 1713 行；REQ-f824d220c8d2、第 1712 行
2. 规则：BR-69DF41FD2F73C5
3. 未动态验证
4. 示例账号、编号、金额与日期是本条测试数据；执行前按前置条件准备，未填写的产品决策不得自行假定。</x:v>
      </x:c>
    </x:row>
    <x:row r="713" ht="130" customHeight="1">
      <x:c r="A713" s="10" t="n">
        <x:v>712</x:v>
      </x:c>
      <x:c r="B713" s="10" t="str">
        <x:v>USER-0712</x:v>
      </x:c>
      <x:c r="C713" s="10" t="str">
        <x:v>直播</x:v>
      </x:c>
      <x:c r="D713" s="10" t="str">
        <x:v>本场贡献·贡献榜（用户）</x:v>
      </x:c>
      <x:c r="E713" s="10" t="str">
        <x:v>功能需求</x:v>
      </x:c>
      <x:c r="F713" s="10" t="str">
        <x:v>P2</x:v>
      </x:c>
      <x:c r="G713" s="9" t="str">
        <x:v>验证幸运礼物返奖不冲减贡献</x:v>
      </x:c>
      <x:c r="H713" s="9" t="str">
        <x:v>本场贡献</x:v>
      </x:c>
      <x:c r="I713" s="9" t="str">
        <x:v>1. 用户为本条执行者
2. S001 正在直播，以下账号均为真实普通账号，有本场成功赠礼；不涉及运营虚拟榜单未决范围
3. 甲仅成功赠送幸运礼物单价10、数量10，本次返奖100金币</x:v>
      </x:c>
      <x:c r="J713" s="9" t="str">
        <x:v>1. 打开本场贡献榜
2. 查看甲</x:v>
      </x:c>
      <x:c r="K713" s="9" t="str">
        <x:v>本场贡献 = 100 金币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来源（当前证据）：liveshow-proto/MainBasis/统一需求文档.md；位置：第 1715 行；REQ-7937da5f4be3、第 1712 行
2. 规则：BR-7DAA9C4D7F00C2
3. 未动态验证
4. 示例账号、编号、金额与日期是本条测试数据；执行前按前置条件准备，未填写的产品决策不得自行假定。</x:v>
      </x:c>
    </x:row>
    <x:row r="714" ht="130" customHeight="1">
      <x:c r="A714" s="10" t="n">
        <x:v>713</x:v>
      </x:c>
      <x:c r="B714" s="10" t="str">
        <x:v>USER-0713</x:v>
      </x:c>
      <x:c r="C714" s="10" t="str">
        <x:v>直播</x:v>
      </x:c>
      <x:c r="D714" s="10" t="str">
        <x:v>本场贡献·贡献榜（用户）</x:v>
      </x:c>
      <x:c r="E714" s="10" t="str">
        <x:v>功能需求</x:v>
      </x:c>
      <x:c r="F714" s="10" t="str">
        <x:v>P2</x:v>
      </x:c>
      <x:c r="G714" s="9" t="str">
        <x:v>验证注销账号保留历史贡献名称</x:v>
      </x:c>
      <x:c r="H714" s="9" t="str">
        <x:v>注销账号历史身份</x:v>
      </x:c>
      <x:c r="I714" s="9" t="str">
        <x:v>1. 用户为本条执行者
2. S001 正在直播，以下账号均为真实普通账号，有本场成功赠礼；不涉及运营虚拟榜单未决范围
3. 甲本场已成功贡献100金币后注销账号；当前查看该场历史榜</x:v>
      </x:c>
      <x:c r="J714" s="9" t="str">
        <x:v>1. 打开本场贡献榜
2. 查看甲的历史位置</x:v>
      </x:c>
      <x:c r="K714" s="9" t="str">
        <x:v>名称显示“账号已注销”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来源（当前证据）：liveshow-proto/MainBasis/统一需求文档.md；位置：第 1719 行；REQ-9186ff81b630、第 1712 行
2. 规则：BR-49EE6141BD0DAB
3. 未动态验证
4. 示例账号、编号、金额与日期是本条测试数据；执行前按前置条件准备，未填写的产品决策不得自行假定。</x:v>
      </x:c>
    </x:row>
    <x:row r="715" ht="130" customHeight="1">
      <x:c r="A715" s="10" t="n">
        <x:v>714</x:v>
      </x:c>
      <x:c r="B715" s="10" t="str">
        <x:v>USER-0714</x:v>
      </x:c>
      <x:c r="C715" s="10" t="str">
        <x:v>直播</x:v>
      </x:c>
      <x:c r="D715" s="10" t="str">
        <x:v>本场贡献·贡献榜（用户）</x:v>
      </x:c>
      <x:c r="E715" s="10" t="str">
        <x:v>功能需求</x:v>
      </x:c>
      <x:c r="F715" s="10" t="str">
        <x:v>P2</x:v>
      </x:c>
      <x:c r="G715" s="9" t="str">
        <x:v>验证注销账号不能打开主页</x:v>
      </x:c>
      <x:c r="H715" s="9" t="str">
        <x:v>注销账号主页限制</x:v>
      </x:c>
      <x:c r="I715" s="9" t="str">
        <x:v>1. 用户为本条执行者
2. S001 正在直播，以下账号均为真实普通账号，有本场成功赠礼；不涉及运营虚拟榜单未决范围
3. 甲已注销但仍有历史贡献位置</x:v>
      </x:c>
      <x:c r="J715" s="9" t="str">
        <x:v>1. 打开本场贡献榜
2. 点击甲的历史位置</x:v>
      </x:c>
      <x:c r="K715" s="9" t="str">
        <x:v>不进入甲的主页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来源（当前证据）：liveshow-proto/MainBasis/统一需求文档.md；位置：第 1719 行；REQ-9186ff81b630、第 1712 行
2. 规则：BR-9572F2E1C9815A
3. 未动态验证
4. 示例账号、编号、金额与日期是本条测试数据；执行前按前置条件准备，未填写的产品决策不得自行假定。</x:v>
      </x:c>
    </x:row>
    <x:row r="716" ht="175" customHeight="1">
      <x:c r="A716" s="10" t="n">
        <x:v>715</x:v>
      </x:c>
      <x:c r="B716" s="10" t="str">
        <x:v>USER-0715</x:v>
      </x:c>
      <x:c r="C716" s="10" t="str">
        <x:v>直播</x:v>
      </x:c>
      <x:c r="D716" s="10" t="str">
        <x:v>本场贡献·贡献榜（主播）</x:v>
      </x:c>
      <x:c r="E716" s="10" t="str">
        <x:v>功能需求</x:v>
      </x:c>
      <x:c r="F716" s="10" t="str">
        <x:v>P2</x:v>
      </x:c>
      <x:c r="G716" s="9" t="str">
        <x:v>验证本场贡献榜按贡献打破排序差异</x:v>
      </x:c>
      <x:c r="H716" s="9" t="str">
        <x:v>贡献榜贡献排序</x:v>
      </x:c>
      <x:c r="I716" s="9" t="str">
        <x:v>1. 主播为本条执行者
2. S001 正在直播，以下账号均为真实普通账号，有本场成功赠礼；不涉及运营虚拟榜单未决范围
3. 甲贡献200、乙100；其他排序条件相同</x:v>
      </x:c>
      <x:c r="J716" s="9" t="str">
        <x:v>1. 打开本场贡献榜</x:v>
      </x:c>
      <x:c r="K716" s="9" t="str">
        <x:v>甲排在乙前面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来源（当前证据）：liveshow-proto/MainBasis/统一需求文档.md；位置：第 1749 行；REQ-ca2bec752921、第 1750 行；REQ-d641aedb45b9、第 1753 行；REQ-97187d7ee032、第 1754 行；REQ-c5411596f1d1、第 1756 行；REQ-6d8fdcaf95b2、第 1747 行
2. 规则：BR-9B4FE27EC54AC4
3. 未动态验证
4. 示例账号、编号、金额与日期是本条测试数据；执行前按前置条件准备，未填写的产品决策不得自行假定。</x:v>
      </x:c>
    </x:row>
    <x:row r="717" ht="175" customHeight="1">
      <x:c r="A717" s="10" t="n">
        <x:v>716</x:v>
      </x:c>
      <x:c r="B717" s="10" t="str">
        <x:v>USER-0716</x:v>
      </x:c>
      <x:c r="C717" s="10" t="str">
        <x:v>直播</x:v>
      </x:c>
      <x:c r="D717" s="10" t="str">
        <x:v>本场贡献·贡献榜（主播）</x:v>
      </x:c>
      <x:c r="E717" s="10" t="str">
        <x:v>功能需求</x:v>
      </x:c>
      <x:c r="F717" s="10" t="str">
        <x:v>P2</x:v>
      </x:c>
      <x:c r="G717" s="9" t="str">
        <x:v>验证本场贡献榜按粉丝等级打破排序差异</x:v>
      </x:c>
      <x:c r="H717" s="9" t="str">
        <x:v>贡献榜粉丝等级排序</x:v>
      </x:c>
      <x:c r="I717" s="9" t="str">
        <x:v>1. 主播为本条执行者
2. S001 正在直播，以下账号均为真实普通账号，有本场成功赠礼；不涉及运营虚拟榜单未决范围
3. 甲乙贡献100；甲本主播粉丝等级3、乙2；财富等级相同</x:v>
      </x:c>
      <x:c r="J717" s="9" t="str">
        <x:v>1. 打开本场贡献榜</x:v>
      </x:c>
      <x:c r="K717" s="9" t="str">
        <x:v>甲排在乙前面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来源（当前证据）：liveshow-proto/MainBasis/统一需求文档.md；位置：第 1749 行；REQ-ca2bec752921、第 1750 行；REQ-d641aedb45b9、第 1753 行；REQ-97187d7ee032、第 1754 行；REQ-c5411596f1d1、第 1756 行；REQ-6d8fdcaf95b2、第 1747 行
2. 规则：BR-E27704912AB869
3. 未动态验证
4. 示例账号、编号、金额与日期是本条测试数据；执行前按前置条件准备，未填写的产品决策不得自行假定。</x:v>
      </x:c>
    </x:row>
    <x:row r="718" ht="175" customHeight="1">
      <x:c r="A718" s="10" t="n">
        <x:v>717</x:v>
      </x:c>
      <x:c r="B718" s="10" t="str">
        <x:v>USER-0717</x:v>
      </x:c>
      <x:c r="C718" s="10" t="str">
        <x:v>直播</x:v>
      </x:c>
      <x:c r="D718" s="10" t="str">
        <x:v>本场贡献·贡献榜（主播）</x:v>
      </x:c>
      <x:c r="E718" s="10" t="str">
        <x:v>功能需求</x:v>
      </x:c>
      <x:c r="F718" s="10" t="str">
        <x:v>P2</x:v>
      </x:c>
      <x:c r="G718" s="9" t="str">
        <x:v>验证本场贡献榜按财富等级打破排序差异</x:v>
      </x:c>
      <x:c r="H718" s="9" t="str">
        <x:v>贡献榜财富等级排序</x:v>
      </x:c>
      <x:c r="I718" s="9" t="str">
        <x:v>1. 主播为本条执行者
2. S001 正在直播，以下账号均为真实普通账号，有本场成功赠礼；不涉及运营虚拟榜单未决范围
3. 甲乙贡献100、粉丝等级2；甲财富等级3、乙2</x:v>
      </x:c>
      <x:c r="J718" s="9" t="str">
        <x:v>1. 打开本场贡献榜</x:v>
      </x:c>
      <x:c r="K718" s="9" t="str">
        <x:v>甲排在乙前面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来源（当前证据）：liveshow-proto/MainBasis/统一需求文档.md；位置：第 1749 行；REQ-ca2bec752921、第 1750 行；REQ-d641aedb45b9、第 1753 行；REQ-97187d7ee032、第 1754 行；REQ-c5411596f1d1、第 1756 行；REQ-6d8fdcaf95b2、第 1747 行
2. 规则：BR-23B9875375EF2E
3. 未动态验证
4. 示例账号、编号、金额与日期是本条测试数据；执行前按前置条件准备，未填写的产品决策不得自行假定。</x:v>
      </x:c>
    </x:row>
    <x:row r="719" ht="175" customHeight="1">
      <x:c r="A719" s="10" t="n">
        <x:v>718</x:v>
      </x:c>
      <x:c r="B719" s="10" t="str">
        <x:v>USER-0718</x:v>
      </x:c>
      <x:c r="C719" s="10" t="str">
        <x:v>直播</x:v>
      </x:c>
      <x:c r="D719" s="10" t="str">
        <x:v>本场贡献·贡献榜（主播）</x:v>
      </x:c>
      <x:c r="E719" s="10" t="str">
        <x:v>功能需求</x:v>
      </x:c>
      <x:c r="F719" s="10" t="str">
        <x:v>P2</x:v>
      </x:c>
      <x:c r="G719" s="9" t="str">
        <x:v>验证本场贡献榜按用户ID打破排序差异</x:v>
      </x:c>
      <x:c r="H719" s="9" t="str">
        <x:v>贡献榜用户ID排序</x:v>
      </x:c>
      <x:c r="I719" s="9" t="str">
        <x:v>1. 主播为本条执行者
2. S001 正在直播，以下账号均为真实普通账号，有本场成功赠礼；不涉及运营虚拟榜单未决范围
3. 甲ID1001、乙ID1002；贡献、粉丝等级和财富等级相同</x:v>
      </x:c>
      <x:c r="J719" s="9" t="str">
        <x:v>1. 打开本场贡献榜</x:v>
      </x:c>
      <x:c r="K719" s="9" t="str">
        <x:v>甲排在乙前面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来源（当前证据）：liveshow-proto/MainBasis/统一需求文档.md；位置：第 1749 行；REQ-ca2bec752921、第 1750 行；REQ-d641aedb45b9、第 1753 行；REQ-97187d7ee032、第 1754 行；REQ-c5411596f1d1、第 1756 行；REQ-6d8fdcaf95b2、第 1747 行
2. 规则：BR-27A91CF10F7CB8
3. 未动态验证
4. 示例账号、编号、金额与日期是本条测试数据；执行前按前置条件准备，未填写的产品决策不得自行假定。</x:v>
      </x:c>
    </x:row>
    <x:row r="720" ht="130" customHeight="1">
      <x:c r="A720" s="10" t="n">
        <x:v>719</x:v>
      </x:c>
      <x:c r="B720" s="10" t="str">
        <x:v>USER-0719</x:v>
      </x:c>
      <x:c r="C720" s="10" t="str">
        <x:v>直播</x:v>
      </x:c>
      <x:c r="D720" s="10" t="str">
        <x:v>本场贡献·贡献榜（主播）</x:v>
      </x:c>
      <x:c r="E720" s="10" t="str">
        <x:v>功能需求</x:v>
      </x:c>
      <x:c r="F720" s="10" t="str">
        <x:v>P2</x:v>
      </x:c>
      <x:c r="G720" s="9" t="str">
        <x:v>验证贡献榜完成排序后截取前99</x:v>
      </x:c>
      <x:c r="H720" s="9" t="str">
        <x:v>第99名保留</x:v>
      </x:c>
      <x:c r="I720" s="9" t="str">
        <x:v>1. 主播为本条执行者
2. S001 正在直播，以下账号均为真实普通账号，有本场成功赠礼；不涉及运营虚拟榜单未决范围
3. 有100名有效贡献者，贡献各不相同；U099排名99、U100排名100</x:v>
      </x:c>
      <x:c r="J720" s="9" t="str">
        <x:v>1. 打开本场贡献榜</x:v>
      </x:c>
      <x:c r="K720" s="9" t="str">
        <x:v>榜单包含U099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来源（当前证据）：liveshow-proto/MainBasis/统一需求文档.md；位置：第 1749 行；REQ-ca2bec752921、第 1747 行
2. 规则：BR-E6DFA43CA69DA0
3. 未动态验证
4. 示例账号、编号、金额与日期是本条测试数据；执行前按前置条件准备，未填写的产品决策不得自行假定。</x:v>
      </x:c>
    </x:row>
    <x:row r="721" ht="130" customHeight="1">
      <x:c r="A721" s="10" t="n">
        <x:v>720</x:v>
      </x:c>
      <x:c r="B721" s="10" t="str">
        <x:v>USER-0720</x:v>
      </x:c>
      <x:c r="C721" s="10" t="str">
        <x:v>直播</x:v>
      </x:c>
      <x:c r="D721" s="10" t="str">
        <x:v>本场贡献·贡献榜（主播）</x:v>
      </x:c>
      <x:c r="E721" s="10" t="str">
        <x:v>功能需求</x:v>
      </x:c>
      <x:c r="F721" s="10" t="str">
        <x:v>P2</x:v>
      </x:c>
      <x:c r="G721" s="9" t="str">
        <x:v>验证贡献榜完成排序后截取前99</x:v>
      </x:c>
      <x:c r="H721" s="9" t="str">
        <x:v>第100名截断</x:v>
      </x:c>
      <x:c r="I721" s="9" t="str">
        <x:v>1. 主播为本条执行者
2. S001 正在直播，以下账号均为真实普通账号，有本场成功赠礼；不涉及运营虚拟榜单未决范围
3. 有100名有效贡献者，贡献各不相同；U099排名99、U100排名100</x:v>
      </x:c>
      <x:c r="J721" s="9" t="str">
        <x:v>1. 打开本场贡献榜</x:v>
      </x:c>
      <x:c r="K721" s="9" t="str">
        <x:v>榜单不包含U100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来源（当前证据）：liveshow-proto/MainBasis/统一需求文档.md；位置：第 1749 行；REQ-ca2bec752921、第 1747 行
2. 规则：BR-A5E3918E674D58
3. 未动态验证
4. 示例账号、编号、金额与日期是本条测试数据；执行前按前置条件准备，未填写的产品决策不得自行假定。</x:v>
      </x:c>
    </x:row>
    <x:row r="722" ht="145" customHeight="1">
      <x:c r="A722" s="10" t="n">
        <x:v>721</x:v>
      </x:c>
      <x:c r="B722" s="10" t="str">
        <x:v>USER-0721</x:v>
      </x:c>
      <x:c r="C722" s="10" t="str">
        <x:v>直播</x:v>
      </x:c>
      <x:c r="D722" s="10" t="str">
        <x:v>本场贡献·贡献榜（主播）</x:v>
      </x:c>
      <x:c r="E722" s="10" t="str">
        <x:v>功能需求</x:v>
      </x:c>
      <x:c r="F722" s="10" t="str">
        <x:v>P2</x:v>
      </x:c>
      <x:c r="G722" s="9" t="str">
        <x:v>验证离线用户仍保留本场贡献</x:v>
      </x:c>
      <x:c r="H722" s="9" t="str">
        <x:v>贡献不随离线清空</x:v>
      </x:c>
      <x:c r="I722" s="9" t="str">
        <x:v>1. 主播为本条执行者
2. S001 正在直播，以下账号均为真实普通账号，有本场成功赠礼；不涉及运营虚拟榜单未决范围
3. 甲本场已成功贡献100金币后离开直播间</x:v>
      </x:c>
      <x:c r="J722" s="9" t="str">
        <x:v>1. 打开本场贡献榜
2. 查看甲</x:v>
      </x:c>
      <x:c r="K722" s="9" t="str">
        <x:v>甲的本场贡献仍为100金币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来源（当前证据）：liveshow-proto/MainBasis/统一需求文档.md；位置：第 1748 行；REQ-0dc836b4c15d、第 1753 行；REQ-97187d7ee032、第 1747 行
2. 规则：BR-0E4C2A07363078
3. 未动态验证
4. 示例账号、编号、金额与日期是本条测试数据；执行前按前置条件准备，未填写的产品决策不得自行假定。</x:v>
      </x:c>
    </x:row>
    <x:row r="723" ht="130" customHeight="1">
      <x:c r="A723" s="10" t="n">
        <x:v>722</x:v>
      </x:c>
      <x:c r="B723" s="10" t="str">
        <x:v>USER-0722</x:v>
      </x:c>
      <x:c r="C723" s="10" t="str">
        <x:v>直播</x:v>
      </x:c>
      <x:c r="D723" s="10" t="str">
        <x:v>本场贡献·贡献榜（主播）</x:v>
      </x:c>
      <x:c r="E723" s="10" t="str">
        <x:v>功能需求</x:v>
      </x:c>
      <x:c r="F723" s="10" t="str">
        <x:v>P2</x:v>
      </x:c>
      <x:c r="G723" s="9" t="str">
        <x:v>验证幸运礼物返奖不冲减贡献</x:v>
      </x:c>
      <x:c r="H723" s="9" t="str">
        <x:v>本场贡献</x:v>
      </x:c>
      <x:c r="I723" s="9" t="str">
        <x:v>1. 主播为本条执行者
2. S001 正在直播，以下账号均为真实普通账号，有本场成功赠礼；不涉及运营虚拟榜单未决范围
3. 甲仅成功赠送幸运礼物单价10、数量10，本次返奖100金币</x:v>
      </x:c>
      <x:c r="J723" s="9" t="str">
        <x:v>1. 打开本场贡献榜
2. 查看甲</x:v>
      </x:c>
      <x:c r="K723" s="9" t="str">
        <x:v>本场贡献 = 100 金币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来源（当前证据）：liveshow-proto/MainBasis/统一需求文档.md；位置：第 1755 行；REQ-9de8ffee4407、第 1747 行
2. 规则：BR-2753BD27A1D399
3. 未动态验证
4. 示例账号、编号、金额与日期是本条测试数据；执行前按前置条件准备，未填写的产品决策不得自行假定。</x:v>
      </x:c>
    </x:row>
    <x:row r="724" ht="130" customHeight="1">
      <x:c r="A724" s="10" t="n">
        <x:v>723</x:v>
      </x:c>
      <x:c r="B724" s="10" t="str">
        <x:v>USER-0723</x:v>
      </x:c>
      <x:c r="C724" s="10" t="str">
        <x:v>直播</x:v>
      </x:c>
      <x:c r="D724" s="10" t="str">
        <x:v>本场贡献·贡献榜（主播）</x:v>
      </x:c>
      <x:c r="E724" s="10" t="str">
        <x:v>功能需求</x:v>
      </x:c>
      <x:c r="F724" s="10" t="str">
        <x:v>P2</x:v>
      </x:c>
      <x:c r="G724" s="9" t="str">
        <x:v>验证注销账号保留历史贡献名称</x:v>
      </x:c>
      <x:c r="H724" s="9" t="str">
        <x:v>注销账号历史身份</x:v>
      </x:c>
      <x:c r="I724" s="9" t="str">
        <x:v>1. 主播为本条执行者
2. S001 正在直播，以下账号均为真实普通账号，有本场成功赠礼；不涉及运营虚拟榜单未决范围
3. 甲本场已成功贡献100金币后注销账号；当前查看该场历史榜</x:v>
      </x:c>
      <x:c r="J724" s="9" t="str">
        <x:v>1. 打开本场贡献榜
2. 查看甲的历史位置</x:v>
      </x:c>
      <x:c r="K724" s="9" t="str">
        <x:v>名称显示“账号已注销”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来源（当前证据）：liveshow-proto/MainBasis/统一需求文档.md；位置：第 1757 行；REQ-ac295ec06da1、第 1747 行
2. 规则：BR-4E145076348455
3. 未动态验证
4. 示例账号、编号、金额与日期是本条测试数据；执行前按前置条件准备，未填写的产品决策不得自行假定。</x:v>
      </x:c>
    </x:row>
    <x:row r="725" ht="130" customHeight="1">
      <x:c r="A725" s="10" t="n">
        <x:v>724</x:v>
      </x:c>
      <x:c r="B725" s="10" t="str">
        <x:v>USER-0724</x:v>
      </x:c>
      <x:c r="C725" s="10" t="str">
        <x:v>直播</x:v>
      </x:c>
      <x:c r="D725" s="10" t="str">
        <x:v>本场贡献·贡献榜（主播）</x:v>
      </x:c>
      <x:c r="E725" s="10" t="str">
        <x:v>功能需求</x:v>
      </x:c>
      <x:c r="F725" s="10" t="str">
        <x:v>P2</x:v>
      </x:c>
      <x:c r="G725" s="9" t="str">
        <x:v>验证注销账号不能打开主页</x:v>
      </x:c>
      <x:c r="H725" s="9" t="str">
        <x:v>注销账号主页限制</x:v>
      </x:c>
      <x:c r="I725" s="9" t="str">
        <x:v>1. 主播为本条执行者
2. S001 正在直播，以下账号均为真实普通账号，有本场成功赠礼；不涉及运营虚拟榜单未决范围
3. 甲已注销但仍有历史贡献位置</x:v>
      </x:c>
      <x:c r="J725" s="9" t="str">
        <x:v>1. 打开本场贡献榜
2. 点击甲的历史位置</x:v>
      </x:c>
      <x:c r="K725" s="9" t="str">
        <x:v>不进入甲的主页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来源（当前证据）：liveshow-proto/MainBasis/统一需求文档.md；位置：第 1757 行；REQ-ac295ec06da1、第 1747 行
2. 规则：BR-E1565F1C0541BB
3. 未动态验证
4. 示例账号、编号、金额与日期是本条测试数据；执行前按前置条件准备，未填写的产品决策不得自行假定。</x:v>
      </x:c>
    </x:row>
    <x:row r="726" ht="145" customHeight="1">
      <x:c r="A726" s="10" t="n">
        <x:v>725</x:v>
      </x:c>
      <x:c r="B726" s="10" t="str">
        <x:v>USER-0725</x:v>
      </x:c>
      <x:c r="C726" s="10" t="str">
        <x:v>直播</x:v>
      </x:c>
      <x:c r="D726" s="10" t="str">
        <x:v>在线观众·观众列表（主播）</x:v>
      </x:c>
      <x:c r="E726" s="10" t="str">
        <x:v>功能需求</x:v>
      </x:c>
      <x:c r="F726" s="10" t="str">
        <x:v>P2</x:v>
      </x:c>
      <x:c r="G726" s="9" t="str">
        <x:v>验证在线观众按贡献时比较本场贡献</x:v>
      </x:c>
      <x:c r="H726" s="9" t="str">
        <x:v>在线排序贡献-本场贡献</x:v>
      </x:c>
      <x:c r="I726" s="9" t="str">
        <x:v>1. 主播为本条执行者
2. 主播甲正在 S001 直播，普通观众乙、丙当前在线
3. 本场贡献乙为3、丙为2；本排序中排在该字段之前的条件相同；两个账号其他条件有效</x:v>
      </x:c>
      <x:c r="J726" s="9" t="str">
        <x:v>1. 打开在线观众
2. 选择按贡献</x:v>
      </x:c>
      <x:c r="K726" s="9" t="str">
        <x:v>乙排在丙前面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来源（当前证据）：liveshow-proto/MainBasis/统一需求文档.md；位置：第 1771 行；REQ-c54be6966791、第 1772 行；REQ-bd7034620e3a、第 1761 行
2. 规则：BR-AF3A54988DAA8E
3. 未动态验证
4. 示例账号、编号、金额与日期是本条测试数据；执行前按前置条件准备，未填写的产品决策不得自行假定。</x:v>
      </x:c>
    </x:row>
    <x:row r="727" ht="145" customHeight="1">
      <x:c r="A727" s="10" t="n">
        <x:v>726</x:v>
      </x:c>
      <x:c r="B727" s="10" t="str">
        <x:v>USER-0726</x:v>
      </x:c>
      <x:c r="C727" s="10" t="str">
        <x:v>直播</x:v>
      </x:c>
      <x:c r="D727" s="10" t="str">
        <x:v>在线观众·观众列表（主播）</x:v>
      </x:c>
      <x:c r="E727" s="10" t="str">
        <x:v>功能需求</x:v>
      </x:c>
      <x:c r="F727" s="10" t="str">
        <x:v>P2</x:v>
      </x:c>
      <x:c r="G727" s="9" t="str">
        <x:v>验证在线观众按贡献时比较粉丝等级</x:v>
      </x:c>
      <x:c r="H727" s="9" t="str">
        <x:v>在线排序贡献-粉丝等级</x:v>
      </x:c>
      <x:c r="I727" s="9" t="str">
        <x:v>1. 主播为本条执行者
2. 主播甲正在 S001 直播，普通观众乙、丙当前在线
3. 粉丝等级乙为3、丙为2；本排序中排在该字段之前的条件相同；两个账号其他条件有效</x:v>
      </x:c>
      <x:c r="J727" s="9" t="str">
        <x:v>1. 打开在线观众
2. 选择按贡献</x:v>
      </x:c>
      <x:c r="K727" s="9" t="str">
        <x:v>乙排在丙前面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来源（当前证据）：liveshow-proto/MainBasis/统一需求文档.md；位置：第 1771 行；REQ-c54be6966791、第 1772 行；REQ-bd7034620e3a、第 1761 行
2. 规则：BR-86E237A5F879B1
3. 未动态验证
4. 示例账号、编号、金额与日期是本条测试数据；执行前按前置条件准备，未填写的产品决策不得自行假定。</x:v>
      </x:c>
    </x:row>
    <x:row r="728" ht="145" customHeight="1">
      <x:c r="A728" s="10" t="n">
        <x:v>727</x:v>
      </x:c>
      <x:c r="B728" s="10" t="str">
        <x:v>USER-0727</x:v>
      </x:c>
      <x:c r="C728" s="10" t="str">
        <x:v>直播</x:v>
      </x:c>
      <x:c r="D728" s="10" t="str">
        <x:v>在线观众·观众列表（主播）</x:v>
      </x:c>
      <x:c r="E728" s="10" t="str">
        <x:v>功能需求</x:v>
      </x:c>
      <x:c r="F728" s="10" t="str">
        <x:v>P2</x:v>
      </x:c>
      <x:c r="G728" s="9" t="str">
        <x:v>验证在线观众按贡献时比较财富等级</x:v>
      </x:c>
      <x:c r="H728" s="9" t="str">
        <x:v>在线排序贡献-财富等级</x:v>
      </x:c>
      <x:c r="I728" s="9" t="str">
        <x:v>1. 主播为本条执行者
2. 主播甲正在 S001 直播，普通观众乙、丙当前在线
3. 财富等级乙为3、丙为2；本排序中排在该字段之前的条件相同；两个账号其他条件有效</x:v>
      </x:c>
      <x:c r="J728" s="9" t="str">
        <x:v>1. 打开在线观众
2. 选择按贡献</x:v>
      </x:c>
      <x:c r="K728" s="9" t="str">
        <x:v>乙排在丙前面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来源（当前证据）：liveshow-proto/MainBasis/统一需求文档.md；位置：第 1771 行；REQ-c54be6966791、第 1772 行；REQ-bd7034620e3a、第 1761 行
2. 规则：BR-CF19659D8D9B51
3. 未动态验证
4. 示例账号、编号、金额与日期是本条测试数据；执行前按前置条件准备，未填写的产品决策不得自行假定。</x:v>
      </x:c>
    </x:row>
    <x:row r="729" ht="145" customHeight="1">
      <x:c r="A729" s="10" t="n">
        <x:v>728</x:v>
      </x:c>
      <x:c r="B729" s="10" t="str">
        <x:v>USER-0728</x:v>
      </x:c>
      <x:c r="C729" s="10" t="str">
        <x:v>直播</x:v>
      </x:c>
      <x:c r="D729" s="10" t="str">
        <x:v>在线观众·观众列表（主播）</x:v>
      </x:c>
      <x:c r="E729" s="10" t="str">
        <x:v>功能需求</x:v>
      </x:c>
      <x:c r="F729" s="10" t="str">
        <x:v>P2</x:v>
      </x:c>
      <x:c r="G729" s="9" t="str">
        <x:v>验证在线观众按贡献时比较用户ID</x:v>
      </x:c>
      <x:c r="H729" s="9" t="str">
        <x:v>在线排序贡献-用户ID</x:v>
      </x:c>
      <x:c r="I729" s="9" t="str">
        <x:v>1. 主播为本条执行者
2. 主播甲正在 S001 直播，普通观众乙、丙当前在线
3. 乙ID1001、丙1002；本排序中排在该字段之前的条件相同；两个账号其他条件有效</x:v>
      </x:c>
      <x:c r="J729" s="9" t="str">
        <x:v>1. 打开在线观众
2. 选择按贡献</x:v>
      </x:c>
      <x:c r="K729" s="9" t="str">
        <x:v>乙排在丙前面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来源（当前证据）：liveshow-proto/MainBasis/统一需求文档.md；位置：第 1771 行；REQ-c54be6966791、第 1772 行；REQ-bd7034620e3a、第 1761 行
2. 规则：BR-8C83B54B2F9D40
3. 未动态验证
4. 示例账号、编号、金额与日期是本条测试数据；执行前按前置条件准备，未填写的产品决策不得自行假定。</x:v>
      </x:c>
    </x:row>
    <x:row r="730" ht="145" customHeight="1">
      <x:c r="A730" s="10" t="n">
        <x:v>729</x:v>
      </x:c>
      <x:c r="B730" s="10" t="str">
        <x:v>USER-0729</x:v>
      </x:c>
      <x:c r="C730" s="10" t="str">
        <x:v>直播</x:v>
      </x:c>
      <x:c r="D730" s="10" t="str">
        <x:v>在线观众·观众列表（主播）</x:v>
      </x:c>
      <x:c r="E730" s="10" t="str">
        <x:v>功能需求</x:v>
      </x:c>
      <x:c r="F730" s="10" t="str">
        <x:v>P2</x:v>
      </x:c>
      <x:c r="G730" s="9" t="str">
        <x:v>验证在线观众按停留时长时比较累计在线时长</x:v>
      </x:c>
      <x:c r="H730" s="9" t="str">
        <x:v>在线排序停留时长-累计在线时长</x:v>
      </x:c>
      <x:c r="I730" s="9" t="str">
        <x:v>1. 主播为本条执行者
2. 主播甲正在 S001 直播，普通观众乙、丙当前在线
3. 累计在线时长乙为3、丙为2；本排序中排在该字段之前的条件相同；两个账号其他条件有效</x:v>
      </x:c>
      <x:c r="J730" s="9" t="str">
        <x:v>1. 打开在线观众
2. 选择按停留时长</x:v>
      </x:c>
      <x:c r="K730" s="9" t="str">
        <x:v>乙排在丙前面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来源（当前证据）：liveshow-proto/MainBasis/统一需求文档.md；位置：第 1771 行；REQ-c54be6966791、第 1772 行；REQ-bd7034620e3a、第 1761 行
2. 规则：BR-65B4799926AB9F
3. 未动态验证
4. 示例账号、编号、金额与日期是本条测试数据；执行前按前置条件准备，未填写的产品决策不得自行假定。</x:v>
      </x:c>
    </x:row>
    <x:row r="731" ht="145" customHeight="1">
      <x:c r="A731" s="10" t="n">
        <x:v>730</x:v>
      </x:c>
      <x:c r="B731" s="10" t="str">
        <x:v>USER-0730</x:v>
      </x:c>
      <x:c r="C731" s="10" t="str">
        <x:v>直播</x:v>
      </x:c>
      <x:c r="D731" s="10" t="str">
        <x:v>在线观众·观众列表（主播）</x:v>
      </x:c>
      <x:c r="E731" s="10" t="str">
        <x:v>功能需求</x:v>
      </x:c>
      <x:c r="F731" s="10" t="str">
        <x:v>P2</x:v>
      </x:c>
      <x:c r="G731" s="9" t="str">
        <x:v>验证在线观众按停留时长时比较本场贡献</x:v>
      </x:c>
      <x:c r="H731" s="9" t="str">
        <x:v>在线排序停留时长-本场贡献</x:v>
      </x:c>
      <x:c r="I731" s="9" t="str">
        <x:v>1. 主播为本条执行者
2. 主播甲正在 S001 直播，普通观众乙、丙当前在线
3. 本场贡献乙为3、丙为2；本排序中排在该字段之前的条件相同；两个账号其他条件有效</x:v>
      </x:c>
      <x:c r="J731" s="9" t="str">
        <x:v>1. 打开在线观众
2. 选择按停留时长</x:v>
      </x:c>
      <x:c r="K731" s="9" t="str">
        <x:v>乙排在丙前面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来源（当前证据）：liveshow-proto/MainBasis/统一需求文档.md；位置：第 1771 行；REQ-c54be6966791、第 1772 行；REQ-bd7034620e3a、第 1761 行
2. 规则：BR-1CB6F7B6A5C544
3. 未动态验证
4. 示例账号、编号、金额与日期是本条测试数据；执行前按前置条件准备，未填写的产品决策不得自行假定。</x:v>
      </x:c>
    </x:row>
    <x:row r="732" ht="145" customHeight="1">
      <x:c r="A732" s="10" t="n">
        <x:v>731</x:v>
      </x:c>
      <x:c r="B732" s="10" t="str">
        <x:v>USER-0731</x:v>
      </x:c>
      <x:c r="C732" s="10" t="str">
        <x:v>直播</x:v>
      </x:c>
      <x:c r="D732" s="10" t="str">
        <x:v>在线观众·观众列表（主播）</x:v>
      </x:c>
      <x:c r="E732" s="10" t="str">
        <x:v>功能需求</x:v>
      </x:c>
      <x:c r="F732" s="10" t="str">
        <x:v>P2</x:v>
      </x:c>
      <x:c r="G732" s="9" t="str">
        <x:v>验证在线观众按停留时长时比较粉丝等级</x:v>
      </x:c>
      <x:c r="H732" s="9" t="str">
        <x:v>在线排序停留时长-粉丝等级</x:v>
      </x:c>
      <x:c r="I732" s="9" t="str">
        <x:v>1. 主播为本条执行者
2. 主播甲正在 S001 直播，普通观众乙、丙当前在线
3. 粉丝等级乙为3、丙为2；本排序中排在该字段之前的条件相同；两个账号其他条件有效</x:v>
      </x:c>
      <x:c r="J732" s="9" t="str">
        <x:v>1. 打开在线观众
2. 选择按停留时长</x:v>
      </x:c>
      <x:c r="K732" s="9" t="str">
        <x:v>乙排在丙前面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来源（当前证据）：liveshow-proto/MainBasis/统一需求文档.md；位置：第 1771 行；REQ-c54be6966791、第 1772 行；REQ-bd7034620e3a、第 1761 行
2. 规则：BR-E424B8008237F9
3. 未动态验证
4. 示例账号、编号、金额与日期是本条测试数据；执行前按前置条件准备，未填写的产品决策不得自行假定。</x:v>
      </x:c>
    </x:row>
    <x:row r="733" ht="145" customHeight="1">
      <x:c r="A733" s="10" t="n">
        <x:v>732</x:v>
      </x:c>
      <x:c r="B733" s="10" t="str">
        <x:v>USER-0732</x:v>
      </x:c>
      <x:c r="C733" s="10" t="str">
        <x:v>直播</x:v>
      </x:c>
      <x:c r="D733" s="10" t="str">
        <x:v>在线观众·观众列表（主播）</x:v>
      </x:c>
      <x:c r="E733" s="10" t="str">
        <x:v>功能需求</x:v>
      </x:c>
      <x:c r="F733" s="10" t="str">
        <x:v>P2</x:v>
      </x:c>
      <x:c r="G733" s="9" t="str">
        <x:v>验证在线观众按停留时长时比较财富等级</x:v>
      </x:c>
      <x:c r="H733" s="9" t="str">
        <x:v>在线排序停留时长-财富等级</x:v>
      </x:c>
      <x:c r="I733" s="9" t="str">
        <x:v>1. 主播为本条执行者
2. 主播甲正在 S001 直播，普通观众乙、丙当前在线
3. 财富等级乙为3、丙为2；本排序中排在该字段之前的条件相同；两个账号其他条件有效</x:v>
      </x:c>
      <x:c r="J733" s="9" t="str">
        <x:v>1. 打开在线观众
2. 选择按停留时长</x:v>
      </x:c>
      <x:c r="K733" s="9" t="str">
        <x:v>乙排在丙前面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来源（当前证据）：liveshow-proto/MainBasis/统一需求文档.md；位置：第 1771 行；REQ-c54be6966791、第 1772 行；REQ-bd7034620e3a、第 1761 行
2. 规则：BR-AB1BC5F1D874C3
3. 未动态验证
4. 示例账号、编号、金额与日期是本条测试数据；执行前按前置条件准备，未填写的产品决策不得自行假定。</x:v>
      </x:c>
    </x:row>
    <x:row r="734" ht="145" customHeight="1">
      <x:c r="A734" s="10" t="n">
        <x:v>733</x:v>
      </x:c>
      <x:c r="B734" s="10" t="str">
        <x:v>USER-0733</x:v>
      </x:c>
      <x:c r="C734" s="10" t="str">
        <x:v>直播</x:v>
      </x:c>
      <x:c r="D734" s="10" t="str">
        <x:v>在线观众·观众列表（主播）</x:v>
      </x:c>
      <x:c r="E734" s="10" t="str">
        <x:v>功能需求</x:v>
      </x:c>
      <x:c r="F734" s="10" t="str">
        <x:v>P2</x:v>
      </x:c>
      <x:c r="G734" s="9" t="str">
        <x:v>验证在线观众按停留时长时比较用户ID</x:v>
      </x:c>
      <x:c r="H734" s="9" t="str">
        <x:v>在线排序停留时长-用户ID</x:v>
      </x:c>
      <x:c r="I734" s="9" t="str">
        <x:v>1. 主播为本条执行者
2. 主播甲正在 S001 直播，普通观众乙、丙当前在线
3. 乙ID1001、丙1002；本排序中排在该字段之前的条件相同；两个账号其他条件有效</x:v>
      </x:c>
      <x:c r="J734" s="9" t="str">
        <x:v>1. 打开在线观众
2. 选择按停留时长</x:v>
      </x:c>
      <x:c r="K734" s="9" t="str">
        <x:v>乙排在丙前面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来源（当前证据）：liveshow-proto/MainBasis/统一需求文档.md；位置：第 1771 行；REQ-c54be6966791、第 1772 行；REQ-bd7034620e3a、第 1761 行
2. 规则：BR-0046E2391F317D
3. 未动态验证
4. 示例账号、编号、金额与日期是本条测试数据；执行前按前置条件准备，未填写的产品决策不得自行假定。</x:v>
      </x:c>
    </x:row>
    <x:row r="735" ht="130" customHeight="1">
      <x:c r="A735" s="10" t="n">
        <x:v>734</x:v>
      </x:c>
      <x:c r="B735" s="10" t="str">
        <x:v>USER-0734</x:v>
      </x:c>
      <x:c r="C735" s="10" t="str">
        <x:v>直播</x:v>
      </x:c>
      <x:c r="D735" s="10" t="str">
        <x:v>在线观众·观众列表（主播）</x:v>
      </x:c>
      <x:c r="E735" s="10" t="str">
        <x:v>功能需求</x:v>
      </x:c>
      <x:c r="F735" s="10" t="str">
        <x:v>P2</x:v>
      </x:c>
      <x:c r="G735" s="9" t="str">
        <x:v>验证取消房管保留在线普通观众</x:v>
      </x:c>
      <x:c r="H735" s="9" t="str">
        <x:v>取消房管仍可在线</x:v>
      </x:c>
      <x:c r="I735" s="9" t="str">
        <x:v>1. 主播为本条执行者
2. 主播甲正在 S001 直播，普通观众乙、丙当前在线
3. 乙原有房管身份，主播在测试前已取消该授权</x:v>
      </x:c>
      <x:c r="J735" s="9" t="str">
        <x:v>1. 打开在线观众
2. 查看乙</x:v>
      </x:c>
      <x:c r="K735" s="9" t="str">
        <x:v>在线列表仍包含乙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来源（当前证据）：liveshow-proto/MainBasis/统一需求文档.md；位置：第 1774 行；REQ-5054f5f63ecd、第 1761 行
2. 规则：BR-4316713C2F9928
3. 未动态验证
4. 示例账号、编号、金额与日期是本条测试数据；执行前按前置条件准备，未填写的产品决策不得自行假定。</x:v>
      </x:c>
    </x:row>
    <x:row r="736" ht="130" customHeight="1">
      <x:c r="A736" s="10" t="n">
        <x:v>735</x:v>
      </x:c>
      <x:c r="B736" s="10" t="str">
        <x:v>USER-0735</x:v>
      </x:c>
      <x:c r="C736" s="10" t="str">
        <x:v>直播</x:v>
      </x:c>
      <x:c r="D736" s="10" t="str">
        <x:v>在线观众·观众列表（主播）</x:v>
      </x:c>
      <x:c r="E736" s="10" t="str">
        <x:v>功能需求</x:v>
      </x:c>
      <x:c r="F736" s="10" t="str">
        <x:v>P2</x:v>
      </x:c>
      <x:c r="G736" s="9" t="str">
        <x:v>验证无团籍不显示粉丝身份</x:v>
      </x:c>
      <x:c r="H736" s="9" t="str">
        <x:v>非团员无本团身份</x:v>
      </x:c>
      <x:c r="I736" s="9" t="str">
        <x:v>1. 主播为本条执行者
2. 主播甲正在 S001 直播，普通观众乙、丙当前在线
3. 丙不是当前主播的有效粉丝团成员</x:v>
      </x:c>
      <x:c r="J736" s="9" t="str">
        <x:v>1. 打开在线观众
2. 查看丙</x:v>
      </x:c>
      <x:c r="K736" s="9" t="str">
        <x:v>丙不显示当前主播粉丝团的灯牌或粉丝等级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来源（当前证据）：liveshow-proto/MainBasis/统一需求文档.md；位置：第 1765 行；REQ-dfcfbb57f874、第 1761 行
2. 规则：BR-B959957215417B
3. 未动态验证
4. 示例账号、编号、金额与日期是本条测试数据；执行前按前置条件准备，未填写的产品决策不得自行假定。</x:v>
      </x:c>
    </x:row>
    <x:row r="737" ht="145" customHeight="1">
      <x:c r="A737" s="10" t="n">
        <x:v>736</x:v>
      </x:c>
      <x:c r="B737" s="10" t="str">
        <x:v>USER-0736</x:v>
      </x:c>
      <x:c r="C737" s="10" t="str">
        <x:v>直播</x:v>
      </x:c>
      <x:c r="D737" s="10" t="str">
        <x:v>禁用用户（主播）</x:v>
      </x:c>
      <x:c r="E737" s="10" t="str">
        <x:v>功能需求</x:v>
      </x:c>
      <x:c r="F737" s="10" t="str">
        <x:v>P2</x:v>
      </x:c>
      <x:c r="G737" s="9" t="str">
        <x:v>验证禁言名单不以在线状态过滤</x:v>
      </x:c>
      <x:c r="H737" s="9" t="str">
        <x:v>离线禁言记录保留</x:v>
      </x:c>
      <x:c r="I737" s="9" t="str">
        <x:v>1. 主播为本条执行者
2. 主播甲在 S001 直播；乙仍被本场禁言但已经离线，丙已恢复发言</x:v>
      </x:c>
      <x:c r="J737" s="9" t="str">
        <x:v>1. 打开禁用用户</x:v>
      </x:c>
      <x:c r="K737" s="9" t="str">
        <x:v>名单包含乙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来源（当前证据）：liveshow-proto/MainBasis/统一需求文档.md；位置：第 1785 行；REQ-a5c4d32cf5b0、第 1787 行；REQ-f03b4e917469、第 1781 行
2. 规则：BR-1145909D747592
3. 未动态验证
4. 示例账号、编号、金额与日期是本条测试数据；执行前按前置条件准备，未填写的产品决策不得自行假定。</x:v>
      </x:c>
    </x:row>
    <x:row r="738" ht="145" customHeight="1">
      <x:c r="A738" s="10" t="n">
        <x:v>737</x:v>
      </x:c>
      <x:c r="B738" s="10" t="str">
        <x:v>USER-0737</x:v>
      </x:c>
      <x:c r="C738" s="10" t="str">
        <x:v>直播</x:v>
      </x:c>
      <x:c r="D738" s="10" t="str">
        <x:v>禁用用户（主播）</x:v>
      </x:c>
      <x:c r="E738" s="10" t="str">
        <x:v>功能需求</x:v>
      </x:c>
      <x:c r="F738" s="10" t="str">
        <x:v>P2</x:v>
      </x:c>
      <x:c r="G738" s="9" t="str">
        <x:v>验证禁言名单不以在线状态过滤</x:v>
      </x:c>
      <x:c r="H738" s="9" t="str">
        <x:v>已解除禁言移除</x:v>
      </x:c>
      <x:c r="I738" s="9" t="str">
        <x:v>1. 主播为本条执行者
2. 主播甲在 S001 直播；乙仍被本场禁言但已经离线，丙已恢复发言</x:v>
      </x:c>
      <x:c r="J738" s="9" t="str">
        <x:v>1. 打开禁用用户</x:v>
      </x:c>
      <x:c r="K738" s="9" t="str">
        <x:v>名单不包含丙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来源（当前证据）：liveshow-proto/MainBasis/统一需求文档.md；位置：第 1785 行；REQ-a5c4d32cf5b0、第 1787 行；REQ-f03b4e917469、第 1781 行
2. 规则：BR-4FBD30240582CE
3. 未动态验证
4. 示例账号、编号、金额与日期是本条测试数据；执行前按前置条件准备，未填写的产品决策不得自行假定。</x:v>
      </x:c>
    </x:row>
    <x:row r="739" ht="130" customHeight="1">
      <x:c r="A739" s="10" t="n">
        <x:v>738</x:v>
      </x:c>
      <x:c r="B739" s="10" t="str">
        <x:v>USER-0738</x:v>
      </x:c>
      <x:c r="C739" s="10" t="str">
        <x:v>直播</x:v>
      </x:c>
      <x:c r="D739" s="10" t="str">
        <x:v>观众资料卡·主播（主播）</x:v>
      </x:c>
      <x:c r="E739" s="10" t="str">
        <x:v>功能需求</x:v>
      </x:c>
      <x:c r="F739" s="10" t="str">
        <x:v>P2</x:v>
      </x:c>
      <x:c r="G739" s="9" t="str">
        <x:v>验证有效巡房人员不显示踢出操作</x:v>
      </x:c>
      <x:c r="H739" s="9" t="str">
        <x:v>巡房会话不可踢出</x:v>
      </x:c>
      <x:c r="I739" s="9" t="str">
        <x:v>1. 主播为本条执行者
2. 主播甲正在直播
3. 目标乙处于有效巡房会话</x:v>
      </x:c>
      <x:c r="J739" s="9" t="str">
        <x:v>1. 打开乙的资料卡</x:v>
      </x:c>
      <x:c r="K739" s="9" t="str">
        <x:v>资料卡不显示踢出操作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来源（当前证据）：liveshow-proto/MainBasis/统一需求文档.md；位置：第 1804 行；REQ-0448a822e711、第 1796 行
2. 规则：BR-78D85A8981B6BD
3. 未动态验证
4. 示例账号、编号、金额与日期是本条测试数据；执行前按前置条件准备，未填写的产品决策不得自行假定。</x:v>
      </x:c>
    </x:row>
    <x:row r="740" ht="130" customHeight="1">
      <x:c r="A740" s="10" t="n">
        <x:v>739</x:v>
      </x:c>
      <x:c r="B740" s="10" t="str">
        <x:v>USER-0739</x:v>
      </x:c>
      <x:c r="C740" s="10" t="str">
        <x:v>直播</x:v>
      </x:c>
      <x:c r="D740" s="10" t="str">
        <x:v>观众资料卡·主播（主播）</x:v>
      </x:c>
      <x:c r="E740" s="10" t="str">
        <x:v>功能需求</x:v>
      </x:c>
      <x:c r="F740" s="10" t="str">
        <x:v>P2</x:v>
      </x:c>
      <x:c r="G740" s="9" t="str">
        <x:v>验证房管达到三人提示上限</x:v>
      </x:c>
      <x:c r="H740" s="9" t="str">
        <x:v>房管上限提示</x:v>
      </x:c>
      <x:c r="I740" s="9" t="str">
        <x:v>1. 主播为本条执行者
2. 主播甲正在直播
3. 甲已有3名长期房管，目标乙不是房管且可授权</x:v>
      </x:c>
      <x:c r="J740" s="9" t="str">
        <x:v>1. 打开乙的资料卡
2. 点击设置房管</x:v>
      </x:c>
      <x:c r="K740" s="9" t="str">
        <x:v>提示“已达3人上限”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来源（当前证据）：liveshow-proto/MainBasis/统一需求文档.md；位置：第 1805 行；REQ-4c226126ff33、第 1796 行
2. 规则：BR-43E359981DC379
3. 未动态验证
4. 示例账号、编号、金额与日期是本条测试数据；执行前按前置条件准备，未填写的产品决策不得自行假定。</x:v>
      </x:c>
    </x:row>
    <x:row r="741" ht="130" customHeight="1">
      <x:c r="A741" s="10" t="n">
        <x:v>740</x:v>
      </x:c>
      <x:c r="B741" s="10" t="str">
        <x:v>USER-0740</x:v>
      </x:c>
      <x:c r="C741" s="10" t="str">
        <x:v>直播</x:v>
      </x:c>
      <x:c r="D741" s="10" t="str">
        <x:v>重点观众（主播）</x:v>
      </x:c>
      <x:c r="E741" s="10" t="str">
        <x:v>功能需求</x:v>
      </x:c>
      <x:c r="F741" s="10" t="str">
        <x:v>P2</x:v>
      </x:c>
      <x:c r="G741" s="9" t="str">
        <x:v>验证重点观众命中新粉丝</x:v>
      </x:c>
      <x:c r="H741" s="9" t="str">
        <x:v>重点观众新粉丝标签</x:v>
      </x:c>
      <x:c r="I741" s="9" t="str">
        <x:v>1. 主播为本条执行者
2. 主播甲在 S001 直播，乙刚关注主播、当前本场贡献最高且未加入该主播粉丝团</x:v>
      </x:c>
      <x:c r="J741" s="9" t="str">
        <x:v>1. 打开重点观众
2. 查看乙</x:v>
      </x:c>
      <x:c r="K741" s="9" t="str">
        <x:v>乙显示新粉丝标签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来源（当前证据）：liveshow-proto/MainBasis/统一需求文档.md；位置：第 1816 行；REQ-ff153d502611、第 1815 行
2. 规则：BR-352A10CA8C55C0
3. 未动态验证
4. 示例账号、编号、金额与日期是本条测试数据；执行前按前置条件准备，未填写的产品决策不得自行假定。</x:v>
      </x:c>
    </x:row>
    <x:row r="742" ht="130" customHeight="1">
      <x:c r="A742" s="10" t="n">
        <x:v>741</x:v>
      </x:c>
      <x:c r="B742" s="10" t="str">
        <x:v>USER-0741</x:v>
      </x:c>
      <x:c r="C742" s="10" t="str">
        <x:v>直播</x:v>
      </x:c>
      <x:c r="D742" s="10" t="str">
        <x:v>重点观众（主播）</x:v>
      </x:c>
      <x:c r="E742" s="10" t="str">
        <x:v>功能需求</x:v>
      </x:c>
      <x:c r="F742" s="10" t="str">
        <x:v>P2</x:v>
      </x:c>
      <x:c r="G742" s="9" t="str">
        <x:v>验证重点观众命中本场贡献最高</x:v>
      </x:c>
      <x:c r="H742" s="9" t="str">
        <x:v>重点观众本场贡献最高标签</x:v>
      </x:c>
      <x:c r="I742" s="9" t="str">
        <x:v>1. 主播为本条执行者
2. 主播甲在 S001 直播，乙刚关注主播、当前本场贡献最高且未加入该主播粉丝团</x:v>
      </x:c>
      <x:c r="J742" s="9" t="str">
        <x:v>1. 打开重点观众
2. 查看乙</x:v>
      </x:c>
      <x:c r="K742" s="9" t="str">
        <x:v>乙显示本场贡献最高标签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来源（当前证据）：liveshow-proto/MainBasis/统一需求文档.md；位置：第 1816 行；REQ-ff153d502611、第 1815 行
2. 规则：BR-BA1F60D0A98B8B
3. 未动态验证
4. 示例账号、编号、金额与日期是本条测试数据；执行前按前置条件准备，未填写的产品决策不得自行假定。</x:v>
      </x:c>
    </x:row>
    <x:row r="743" ht="130" customHeight="1">
      <x:c r="A743" s="10" t="n">
        <x:v>742</x:v>
      </x:c>
      <x:c r="B743" s="10" t="str">
        <x:v>USER-0742</x:v>
      </x:c>
      <x:c r="C743" s="10" t="str">
        <x:v>直播</x:v>
      </x:c>
      <x:c r="D743" s="10" t="str">
        <x:v>重点观众（主播）</x:v>
      </x:c>
      <x:c r="E743" s="10" t="str">
        <x:v>功能需求</x:v>
      </x:c>
      <x:c r="F743" s="10" t="str">
        <x:v>P2</x:v>
      </x:c>
      <x:c r="G743" s="9" t="str">
        <x:v>验证重点观众命中未加入粉丝团</x:v>
      </x:c>
      <x:c r="H743" s="9" t="str">
        <x:v>重点观众未加入粉丝团标签</x:v>
      </x:c>
      <x:c r="I743" s="9" t="str">
        <x:v>1. 主播为本条执行者
2. 主播甲在 S001 直播，乙刚关注主播、当前本场贡献最高且未加入该主播粉丝团</x:v>
      </x:c>
      <x:c r="J743" s="9" t="str">
        <x:v>1. 打开重点观众
2. 查看乙</x:v>
      </x:c>
      <x:c r="K743" s="9" t="str">
        <x:v>乙显示未加入粉丝团标签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来源（当前证据）：liveshow-proto/MainBasis/统一需求文档.md；位置：第 1816 行；REQ-ff153d502611、第 1815 行
2. 规则：BR-ECEB32F3A26B55
3. 未动态验证
4. 示例账号、编号、金额与日期是本条测试数据；执行前按前置条件准备，未填写的产品决策不得自行假定。</x:v>
      </x:c>
    </x:row>
    <x:row r="744" ht="130" customHeight="1">
      <x:c r="A744" s="10" t="n">
        <x:v>743</x:v>
      </x:c>
      <x:c r="B744" s="10" t="str">
        <x:v>USER-0743</x:v>
      </x:c>
      <x:c r="C744" s="10" t="str">
        <x:v>直播</x:v>
      </x:c>
      <x:c r="D744" s="10" t="str">
        <x:v>重点观众（主播）</x:v>
      </x:c>
      <x:c r="E744" s="10" t="str">
        <x:v>功能需求</x:v>
      </x:c>
      <x:c r="F744" s="10" t="str">
        <x:v>P2</x:v>
      </x:c>
      <x:c r="G744" s="9" t="str">
        <x:v>验证重点观众离线移出</x:v>
      </x:c>
      <x:c r="H744" s="9" t="str">
        <x:v>重点观众仅当前在线</x:v>
      </x:c>
      <x:c r="I744" s="9" t="str">
        <x:v>1. 主播为本条执行者
2. 主播甲在 S001 直播，乙刚关注主播、当前本场贡献最高且未加入该主播粉丝团
3. 乙在测试前已经离线</x:v>
      </x:c>
      <x:c r="J744" s="9" t="str">
        <x:v>1. 打开重点观众</x:v>
      </x:c>
      <x:c r="K744" s="9" t="str">
        <x:v>列表不包含乙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来源（当前证据）：liveshow-proto/MainBasis/统一需求文档.md；位置：第 1819 行；REQ-d43c0b4437c9、第 1815 行
2. 规则：BR-71A3C78042591C
3. 未动态验证
4. 示例账号、编号、金额与日期是本条测试数据；执行前按前置条件准备，未填写的产品决策不得自行假定。</x:v>
      </x:c>
    </x:row>
    <x:row r="745" ht="130" customHeight="1">
      <x:c r="A745" s="10" t="n">
        <x:v>744</x:v>
      </x:c>
      <x:c r="B745" s="10" t="str">
        <x:v>USER-0744</x:v>
      </x:c>
      <x:c r="C745" s="10" t="str">
        <x:v>直播</x:v>
      </x:c>
      <x:c r="D745" s="10" t="str">
        <x:v>禁言确认（房管）</x:v>
      </x:c>
      <x:c r="E745" s="10" t="str">
        <x:v>功能需求</x:v>
      </x:c>
      <x:c r="F745" s="10" t="str">
        <x:v>P2</x:v>
      </x:c>
      <x:c r="G745" s="9" t="str">
        <x:v>验证房管取消禁言</x:v>
      </x:c>
      <x:c r="H745" s="9" t="str">
        <x:v>取消禁言的原状态</x:v>
      </x:c>
      <x:c r="I745" s="9" t="str">
        <x:v>1. 房管为本条执行者
2. 房管甲在当前主播直播间具备管理授权，目标乙是普通观众</x:v>
      </x:c>
      <x:c r="J745" s="9" t="str">
        <x:v>1. 打开乙的禁言确认
2. 点击取消</x:v>
      </x:c>
      <x:c r="K745" s="9" t="str">
        <x:v>乙仍未被本场禁言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来源（当前证据）：liveshow-proto/MainBasis/统一需求文档.md；位置：第 1704 行；REQ-c1cf1dffdbca、第 1702 行
2. 规则：BR-88159FEA8C7AF6
3. 未动态验证
4. 示例账号、编号、金额与日期是本条测试数据；执行前按前置条件准备，未填写的产品决策不得自行假定。</x:v>
      </x:c>
    </x:row>
    <x:row r="746" ht="130" customHeight="1">
      <x:c r="A746" s="10" t="n">
        <x:v>745</x:v>
      </x:c>
      <x:c r="B746" s="10" t="str">
        <x:v>USER-0745</x:v>
      </x:c>
      <x:c r="C746" s="10" t="str">
        <x:v>直播</x:v>
      </x:c>
      <x:c r="D746" s="10" t="str">
        <x:v>踢出确认（房管）</x:v>
      </x:c>
      <x:c r="E746" s="10" t="str">
        <x:v>功能需求</x:v>
      </x:c>
      <x:c r="F746" s="10" t="str">
        <x:v>P2</x:v>
      </x:c>
      <x:c r="G746" s="9" t="str">
        <x:v>验证房管取消踢出</x:v>
      </x:c>
      <x:c r="H746" s="9" t="str">
        <x:v>取消踢出的原状态</x:v>
      </x:c>
      <x:c r="I746" s="9" t="str">
        <x:v>1. 房管为本条执行者
2. 房管甲在当前主播直播间具备管理授权，目标乙是普通观众</x:v>
      </x:c>
      <x:c r="J746" s="9" t="str">
        <x:v>1. 打开乙的踢出确认
2. 点击取消</x:v>
      </x:c>
      <x:c r="K746" s="9" t="str">
        <x:v>乙仍在本场直播间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来源（当前证据）：liveshow-proto/MainBasis/统一需求文档.md；位置：第 1709 行；REQ-fcc05c0f3df1、第 1707 行
2. 规则：BR-F589A232CA2AC1
3. 未动态验证
4. 示例账号、编号、金额与日期是本条测试数据；执行前按前置条件准备，未填写的产品决策不得自行假定。</x:v>
      </x:c>
    </x:row>
    <x:row r="747" ht="130" customHeight="1">
      <x:c r="A747" s="10" t="n">
        <x:v>746</x:v>
      </x:c>
      <x:c r="B747" s="10" t="str">
        <x:v>USER-0746</x:v>
      </x:c>
      <x:c r="C747" s="10" t="str">
        <x:v>直播</x:v>
      </x:c>
      <x:c r="D747" s="10" t="str">
        <x:v>用户资料卡·普通观众（用户）</x:v>
      </x:c>
      <x:c r="E747" s="10" t="str">
        <x:v>功能需求</x:v>
      </x:c>
      <x:c r="F747" s="10" t="str">
        <x:v>P2</x:v>
      </x:c>
      <x:c r="G747" s="9" t="str">
        <x:v>验证普通观众私信仍受非好友上限限制</x:v>
      </x:c>
      <x:c r="H747" s="9" t="str">
        <x:v>资料卡私信不绕过额度</x:v>
      </x:c>
      <x:c r="I747" s="9" t="str">
        <x:v>1. 用户为本条执行者
2. 普通观众甲乙不是好友，甲已主动发送3条私信且乙未回复</x:v>
      </x:c>
      <x:c r="J747" s="9" t="str">
        <x:v>1. 打开乙的资料卡
2. 点击私信
3. 输入第四条测试文字
4. 点击发送</x:v>
      </x:c>
      <x:c r="K747" s="9" t="str">
        <x:v>第四条私信未发送成功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来源（当前证据）：liveshow-proto/MainBasis/统一需求文档.md；位置：第 1689 行；REQ-b495d13b037f、第 1686 行
2. 规则：BR-DAC28FB40C04FD
3. 未动态验证
4. 示例账号、编号、金额与日期是本条测试数据；执行前按前置条件准备，未填写的产品决策不得自行假定。</x:v>
      </x:c>
    </x:row>
    <x:row r="748" ht="160" customHeight="1">
      <x:c r="A748" s="10" t="n">
        <x:v>747</x:v>
      </x:c>
      <x:c r="B748" s="10" t="str">
        <x:v>USER-0747</x:v>
      </x:c>
      <x:c r="C748" s="10" t="str">
        <x:v>直播</x:v>
      </x:c>
      <x:c r="D748" s="10" t="str">
        <x:v>主播资料卡（用户）</x:v>
      </x:c>
      <x:c r="E748" s="10" t="str">
        <x:v>功能需求</x:v>
      </x:c>
      <x:c r="F748" s="10" t="str">
        <x:v>P2</x:v>
      </x:c>
      <x:c r="G748" s="9" t="str">
        <x:v>验证主播资料卡跟随当前主播关注关系</x:v>
      </x:c>
      <x:c r="H748" s="9" t="str">
        <x:v>主播资料卡关注状态</x:v>
      </x:c>
      <x:c r="I748" s="9" t="str">
        <x:v>1. 用户为本条执行者
2. 用户甲已关注主播乙，当前观看乙的 S001</x:v>
      </x:c>
      <x:c r="J748" s="9" t="str">
        <x:v>1. 打开主播乙资料卡</x:v>
      </x:c>
      <x:c r="K748" s="9" t="str">
        <x:v>显示已关注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来源（当前证据）：liveshow-proto/MainBasis/统一需求文档.md；位置：第 1742 行；REQ-4b36047617a5、第 1743 行；REQ-a17f58e5344e、第 1744 行；REQ-f6baa5b5497f、第 1739 行
2. 规则：BR-3C331177156A7C
3. 未动态验证
4. 示例账号、编号、金额与日期是本条测试数据；执行前按前置条件准备，未填写的产品决策不得自行假定。</x:v>
      </x:c>
    </x:row>
    <x:row r="749" ht="175" customHeight="1">
      <x:c r="A749" s="10" t="n">
        <x:v>748</x:v>
      </x:c>
      <x:c r="B749" s="10" t="str">
        <x:v>USER-0748</x:v>
      </x:c>
      <x:c r="C749" s="10" t="str">
        <x:v>直播</x:v>
      </x:c>
      <x:c r="D749" s="10" t="str">
        <x:v>本场贡献·收到礼物（用户）</x:v>
      </x:c>
      <x:c r="E749" s="10" t="str">
        <x:v>功能需求</x:v>
      </x:c>
      <x:c r="F749" s="10" t="str">
        <x:v>P2</x:v>
      </x:c>
      <x:c r="G749" s="9" t="str">
        <x:v>验证收到礼物按成功件数汇总</x:v>
      </x:c>
      <x:c r="H749" s="9" t="str">
        <x:v>礼物甲收到数量</x:v>
      </x:c>
      <x:c r="I749" s="9" t="str">
        <x:v>1. 用户为本条执行者
2. 本场礼物甲两笔成功赠送分别2件和3件，另1件赠送失败</x:v>
      </x:c>
      <x:c r="J749" s="9" t="str">
        <x:v>1. 打开本场贡献
2. 切换收到礼物
3. 查看礼物甲</x:v>
      </x:c>
      <x:c r="K749" s="9" t="str">
        <x:v>礼物甲收到数量 = 5 件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来源（当前证据）：liveshow-proto/MainBasis/统一需求文档.md；位置：第 1725 行；REQ-3bf510084052、第 1726 行；REQ-f3aa67f19ddf、第 1727 行；REQ-e4023aa2b5d8、第 1728 行；REQ-c03f091d9922、第 1724 行
2. 规则：BR-D9FACFC8362FFC
3. 未动态验证
4. 示例账号、编号、金额与日期是本条测试数据；执行前按前置条件准备，未填写的产品决策不得自行假定。</x:v>
      </x:c>
    </x:row>
    <x:row r="750" ht="145" customHeight="1">
      <x:c r="A750" s="10" t="n">
        <x:v>749</x:v>
      </x:c>
      <x:c r="B750" s="10" t="str">
        <x:v>USER-0749</x:v>
      </x:c>
      <x:c r="C750" s="10" t="str">
        <x:v>直播</x:v>
      </x:c>
      <x:c r="D750" s="10" t="str">
        <x:v>粉丝团·已加入（用户）</x:v>
      </x:c>
      <x:c r="E750" s="10" t="str">
        <x:v>功能需求</x:v>
      </x:c>
      <x:c r="F750" s="10" t="str">
        <x:v>P2</x:v>
      </x:c>
      <x:c r="G750" s="9" t="str">
        <x:v>验证退团后失去当前粉丝团身份</x:v>
      </x:c>
      <x:c r="H750" s="9" t="str">
        <x:v>退团后团籍解除</x:v>
      </x:c>
      <x:c r="I750" s="9" t="str">
        <x:v>1. 用户为本条执行者
2. 用户甲为主播乙团员，当前粉丝等级3、亲密度100</x:v>
      </x:c>
      <x:c r="J750" s="9" t="str">
        <x:v>1. 打开已加入粉丝团视图
2. 点击退出粉丝团
3. 点击确认</x:v>
      </x:c>
      <x:c r="K750" s="9" t="str">
        <x:v>显示未加入主播乙粉丝团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来源（当前证据）：liveshow-proto/MainBasis/统一需求文档.md；位置：第 1624 行；REQ-c1c02f0ed440、第 1626 行；REQ-13a3700c77c0、第 1619 行
2. 规则：BR-DCA338DEEC7193
3. 未动态验证
4. 示例账号、编号、金额与日期是本条测试数据；执行前按前置条件准备，未填写的产品决策不得自行假定。</x:v>
      </x:c>
    </x:row>
    <x:row r="751" ht="130" customHeight="1">
      <x:c r="A751" s="10" t="n">
        <x:v>750</x:v>
      </x:c>
      <x:c r="B751" s="10" t="str">
        <x:v>USER-0750</x:v>
      </x:c>
      <x:c r="C751" s="10" t="str">
        <x:v>直播</x:v>
      </x:c>
      <x:c r="D751" s="10" t="str">
        <x:v>更多功能（用户）</x:v>
      </x:c>
      <x:c r="E751" s="10" t="str">
        <x:v>功能需求</x:v>
      </x:c>
      <x:c r="F751" s="10" t="str">
        <x:v>P2</x:v>
      </x:c>
      <x:c r="G751" s="9" t="str">
        <x:v>验证密码房更多功能没有连麦</x:v>
      </x:c>
      <x:c r="H751" s="9" t="str">
        <x:v>密码房更多功能边界</x:v>
      </x:c>
      <x:c r="I751" s="9" t="str">
        <x:v>1. 用户为本条执行者
2. 主播甲正在密码房 S001 直播</x:v>
      </x:c>
      <x:c r="J751" s="9" t="str">
        <x:v>1. 打开更多功能</x:v>
      </x:c>
      <x:c r="K751" s="9" t="str">
        <x:v>不显示连麦入口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来源（当前证据）：liveshow-proto/MainBasis/统一需求文档.md；位置：第 1870 行；REQ-5075653b7fff、第 1869 行
2. 规则：BR-ED63E4915A7FC5
3. 未动态验证
4. 示例账号、编号、金额与日期是本条测试数据；执行前按前置条件准备，未填写的产品决策不得自行假定。</x:v>
      </x:c>
    </x:row>
    <x:row r="752" ht="130" customHeight="1">
      <x:c r="A752" s="10" t="n">
        <x:v>751</x:v>
      </x:c>
      <x:c r="B752" s="10" t="str">
        <x:v>USER-0751</x:v>
      </x:c>
      <x:c r="C752" s="10" t="str">
        <x:v>消息与社交</x:v>
      </x:c>
      <x:c r="D752" s="10" t="str">
        <x:v>好友（用户）</x:v>
      </x:c>
      <x:c r="E752" s="10" t="str">
        <x:v>功能需求</x:v>
      </x:c>
      <x:c r="F752" s="10" t="str">
        <x:v>P2</x:v>
      </x:c>
      <x:c r="G752" s="9" t="str">
        <x:v>验证删除好友后保留关注</x:v>
      </x:c>
      <x:c r="H752" s="9" t="str">
        <x:v>好友删除后的关注关系</x:v>
      </x:c>
      <x:c r="I752" s="9" t="str">
        <x:v>1. 用户为本条执行者
2. 甲乙已为好友，甲仍关注乙</x:v>
      </x:c>
      <x:c r="J752" s="9" t="str">
        <x:v>1. 打开乙的好友主页
2. 点击删除好友
3. 点击确认</x:v>
      </x:c>
      <x:c r="K752" s="9" t="str">
        <x:v>乙仍显示已关注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来源（当前证据）：liveshow-proto/MainBasis/统一需求文档.md；位置：第 1936 行；REQ-eebc6e392955、第 1931 行
2. 规则：BR-6F78FAD0A4CC87
3. 未动态验证
4. 示例账号、编号、金额与日期是本条测试数据；执行前按前置条件准备，未填写的产品决策不得自行假定。</x:v>
      </x:c>
    </x:row>
    <x:row r="753" ht="130" customHeight="1">
      <x:c r="A753" s="10" t="n">
        <x:v>752</x:v>
      </x:c>
      <x:c r="B753" s="10" t="str">
        <x:v>USER-0752</x:v>
      </x:c>
      <x:c r="C753" s="10" t="str">
        <x:v>消息与社交</x:v>
      </x:c>
      <x:c r="D753" s="10" t="str">
        <x:v>主播主页（用户）</x:v>
      </x:c>
      <x:c r="E753" s="10" t="str">
        <x:v>功能需求</x:v>
      </x:c>
      <x:c r="F753" s="10" t="str">
        <x:v>P2</x:v>
      </x:c>
      <x:c r="G753" s="9" t="str">
        <x:v>验证未开播主播无当前场次入口</x:v>
      </x:c>
      <x:c r="H753" s="9" t="str">
        <x:v>主播主页直播入口状态</x:v>
      </x:c>
      <x:c r="I753" s="9" t="str">
        <x:v>1. 用户为本条执行者
2. 主播乙当前未开播，用户甲未拉黑乙</x:v>
      </x:c>
      <x:c r="J753" s="9" t="str">
        <x:v>1. 打开主播乙主页</x:v>
      </x:c>
      <x:c r="K753" s="9" t="str">
        <x:v>不提供当前直播场次入口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来源（当前证据）：liveshow-proto/MainBasis/统一需求文档.md；位置：第 1062 行；REQ-9636ec52b474、第 1054 行
2. 规则：BR-ACCDC5DA4BC10B
3. 未动态验证
4. 示例账号、编号、金额与日期是本条测试数据；执行前按前置条件准备，未填写的产品决策不得自行假定。</x:v>
      </x:c>
    </x:row>
    <x:row r="754" ht="145" customHeight="1">
      <x:c r="A754" s="10" t="n">
        <x:v>753</x:v>
      </x:c>
      <x:c r="B754" s="10" t="str">
        <x:v>USER-0753</x:v>
      </x:c>
      <x:c r="C754" s="10" t="str">
        <x:v>消息与社交</x:v>
      </x:c>
      <x:c r="D754" s="10" t="str">
        <x:v>主播主页（运营账号）</x:v>
      </x:c>
      <x:c r="E754" s="10" t="str">
        <x:v>功能需求</x:v>
      </x:c>
      <x:c r="F754" s="10" t="str">
        <x:v>P2</x:v>
      </x:c>
      <x:c r="G754" s="9" t="str">
        <x:v>验证运营账号无加入粉丝团入口</x:v>
      </x:c>
      <x:c r="H754" s="9" t="str">
        <x:v>运营账号团籍入口</x:v>
      </x:c>
      <x:c r="I754" s="9" t="str">
        <x:v>1. 运营账号为本条执行者
2. 运营账号甲进入主播乙主页，乙已创建有效粉丝团</x:v>
      </x:c>
      <x:c r="J754" s="9" t="str">
        <x:v>1. 打开主播乙主页</x:v>
      </x:c>
      <x:c r="K754" s="9" t="str">
        <x:v>不展示加入粉丝团入口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来源（当前证据）：liveshow-proto/MainBasis/统一需求文档.md；位置：第 1065 行；REQ-8262ce34db52、第 1067 行；REQ-94ebe8120ba8、第 1054 行
2. 规则：BR-BADBD28937426C
3. 未动态验证
4. 示例账号、编号、金额与日期是本条测试数据；执行前按前置条件准备，未填写的产品决策不得自行假定。</x:v>
      </x:c>
    </x:row>
    <x:row r="755" ht="130" customHeight="1">
      <x:c r="A755" s="10" t="n">
        <x:v>754</x:v>
      </x:c>
      <x:c r="B755" s="10" t="str">
        <x:v>USER-0754</x:v>
      </x:c>
      <x:c r="C755" s="10" t="str">
        <x:v>个人中心</x:v>
      </x:c>
      <x:c r="D755" s="10" t="str">
        <x:v>金币不足（用户）</x:v>
      </x:c>
      <x:c r="E755" s="10" t="str">
        <x:v>异常用例</x:v>
      </x:c>
      <x:c r="F755" s="10" t="str">
        <x:v>P1</x:v>
      </x:c>
      <x:c r="G755" s="9" t="str">
        <x:v>验证装扮金币不足进入充值</x:v>
      </x:c>
      <x:c r="H755" s="9" t="str">
        <x:v>装扮不足的充值入口</x:v>
      </x:c>
      <x:c r="I755" s="9" t="str">
        <x:v>1. 用户为本条执行者
2. 普通用户甲购买价格100金币道具时余额99，当前显示金币不足提示</x:v>
      </x:c>
      <x:c r="J755" s="9" t="str">
        <x:v>1. 点击去充值</x:v>
      </x:c>
      <x:c r="K755" s="9" t="str">
        <x:v>进入充值页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来源（当前证据）：liveshow-proto/MainBasis/统一需求文档.md；位置：第 755 行；REQ-61c8fdb4de84、第 754 行
2. 规则：BR-7F9E12424F15DA
3. 未动态验证
4. 示例账号、编号、金额与日期是本条测试数据；执行前按前置条件准备，未填写的产品决策不得自行假定。</x:v>
      </x:c>
    </x:row>
    <x:row r="756" ht="145" customHeight="1">
      <x:c r="A756" s="10" t="n">
        <x:v>755</x:v>
      </x:c>
      <x:c r="B756" s="10" t="str">
        <x:v>USER-0755</x:v>
      </x:c>
      <x:c r="C756" s="10" t="str">
        <x:v>个人中心</x:v>
      </x:c>
      <x:c r="D756" s="10" t="str">
        <x:v>系统通知·从未申请（用户）</x:v>
      </x:c>
      <x:c r="E756" s="10" t="str">
        <x:v>功能需求</x:v>
      </x:c>
      <x:c r="F756" s="10" t="str">
        <x:v>P1</x:v>
      </x:c>
      <x:c r="G756" s="9" t="str">
        <x:v>验证从未申请通知权限时请求系统授权</x:v>
      </x:c>
      <x:c r="H756" s="9" t="str">
        <x:v>首次通知授权入口</x:v>
      </x:c>
      <x:c r="I756" s="9" t="str">
        <x:v>1. 用户为本条执行者
2. 设备从未向当前App授予或拒绝通知权限</x:v>
      </x:c>
      <x:c r="J756" s="9" t="str">
        <x:v>1. 打开设置
2. 点击通知开关</x:v>
      </x:c>
      <x:c r="K756" s="9" t="str">
        <x:v>显示系统通知授权弹窗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来源（当前证据）：liveshow-proto/MainBasis/统一需求文档.md；位置：第 1553 行；REQ-37faac19e032、第 1555 行；REQ-ab88d1d0a940、第 1551 行
2. 规则：BR-077D17B178991F
3. 未动态验证
4. 示例账号、编号、金额与日期是本条测试数据；执行前按前置条件准备，未填写的产品决策不得自行假定。</x:v>
      </x:c>
    </x:row>
    <x:row r="757" ht="160" customHeight="1">
      <x:c r="A757" s="10" t="n">
        <x:v>756</x:v>
      </x:c>
      <x:c r="B757" s="10" t="str">
        <x:v>USER-0756</x:v>
      </x:c>
      <x:c r="C757" s="10" t="str">
        <x:v>钱包与充值</x:v>
      </x:c>
      <x:c r="D757" s="10" t="str">
        <x:v>支出订单详情（用户）</x:v>
      </x:c>
      <x:c r="E757" s="10" t="str">
        <x:v>功能需求</x:v>
      </x:c>
      <x:c r="F757" s="10" t="str">
        <x:v>P1</x:v>
      </x:c>
      <x:c r="G757" s="9" t="str">
        <x:v>验证支出详情绑定本次商品快照</x:v>
      </x:c>
      <x:c r="H757" s="9" t="str">
        <x:v>支出历史扣款</x:v>
      </x:c>
      <x:c r="I757" s="9" t="str">
        <x:v>1. 用户为本条执行者
2. 用户甲已在 E001 成功赠送礼物甲，单价100金币、数量3、扣除300金币；礼物现价200金币</x:v>
      </x:c>
      <x:c r="J757" s="9" t="str">
        <x:v>1. 打开余额明细
2. 选择 E001 支出订单</x:v>
      </x:c>
      <x:c r="K757" s="9" t="str">
        <x:v>消费金币显示300金币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来源（当前证据）：liveshow-proto/MainBasis/统一需求文档.md；位置：第 1336 行；REQ-91d4b92fa29f、第 1343 行；REQ-694754332629、第 1344 行；REQ-c8634d02c96a、第 1333 行
2. 规则：BR-5D3DB1424915C9
3. 未动态验证
4. 示例账号、编号、金额与日期是本条测试数据；执行前按前置条件准备，未填写的产品决策不得自行假定。</x:v>
      </x:c>
    </x:row>
    <x:row r="758" ht="160" customHeight="1">
      <x:c r="A758" s="10" t="n">
        <x:v>757</x:v>
      </x:c>
      <x:c r="B758" s="10" t="str">
        <x:v>USER-0757</x:v>
      </x:c>
      <x:c r="C758" s="10" t="str">
        <x:v>钱包与充值</x:v>
      </x:c>
      <x:c r="D758" s="10" t="str">
        <x:v>支出订单详情（用户）</x:v>
      </x:c>
      <x:c r="E758" s="10" t="str">
        <x:v>功能需求</x:v>
      </x:c>
      <x:c r="F758" s="10" t="str">
        <x:v>P1</x:v>
      </x:c>
      <x:c r="G758" s="9" t="str">
        <x:v>验证支出详情绑定本次商品快照</x:v>
      </x:c>
      <x:c r="H758" s="9" t="str">
        <x:v>支出数量</x:v>
      </x:c>
      <x:c r="I758" s="9" t="str">
        <x:v>1. 用户为本条执行者
2. 用户甲已在 E001 成功赠送礼物甲，单价100金币、数量3、扣除300金币；礼物现价200金币</x:v>
      </x:c>
      <x:c r="J758" s="9" t="str">
        <x:v>1. 打开余额明细
2. 选择 E001 支出订单</x:v>
      </x:c>
      <x:c r="K758" s="9" t="str">
        <x:v>商品数量显示3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来源（当前证据）：liveshow-proto/MainBasis/统一需求文档.md；位置：第 1336 行；REQ-91d4b92fa29f、第 1343 行；REQ-694754332629、第 1344 行；REQ-c8634d02c96a、第 1333 行
2. 规则：BR-371CAC954A1351
3. 未动态验证
4. 示例账号、编号、金额与日期是本条测试数据；执行前按前置条件准备，未填写的产品决策不得自行假定。</x:v>
      </x:c>
    </x:row>
    <x:row r="759" ht="160" customHeight="1">
      <x:c r="A759" s="10" t="n">
        <x:v>758</x:v>
      </x:c>
      <x:c r="B759" s="10" t="str">
        <x:v>USER-0758</x:v>
      </x:c>
      <x:c r="C759" s="10" t="str">
        <x:v>主播管理</x:v>
      </x:c>
      <x:c r="D759" s="10" t="str">
        <x:v>直播数据（主播）</x:v>
      </x:c>
      <x:c r="E759" s="10" t="str">
        <x:v>功能需求</x:v>
      </x:c>
      <x:c r="F759" s="10" t="str">
        <x:v>P2</x:v>
      </x:c>
      <x:c r="G759" s="9" t="str">
        <x:v>验证日直播数据仅统计当前主播</x:v>
      </x:c>
      <x:c r="H759" s="9" t="str">
        <x:v>主播数据账号隔离</x:v>
      </x:c>
      <x:c r="I759" s="9" t="str">
        <x:v>1. 主播为本条执行者
2. 所选日主播甲有效场次共2小时，主播乙共3小时；执行账号为甲</x:v>
      </x:c>
      <x:c r="J759" s="9" t="str">
        <x:v>1. 打开直播数据
2. 选择目标日期</x:v>
      </x:c>
      <x:c r="K759" s="9" t="str">
        <x:v>开播时长显示2小时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来源（当前证据）：liveshow-proto/MainBasis/统一需求文档.md；位置：第 1250 行；REQ-20191ad956f6、第 1251 行；REQ-030a3364b270、第 1255 行；REQ-01897e8920d5、第 1247 行
2. 规则：BR-D8772D4964D2CB
3. 未动态验证
4. 示例账号、编号、金额与日期是本条测试数据；执行前按前置条件准备，未填写的产品决策不得自行假定。</x:v>
      </x:c>
    </x:row>
    <x:row r="760" ht="130" customHeight="1">
      <x:c r="A760" s="10" t="n">
        <x:v>759</x:v>
      </x:c>
      <x:c r="B760" s="10" t="str">
        <x:v>USER-0759</x:v>
      </x:c>
      <x:c r="C760" s="10" t="str">
        <x:v>消息与社交</x:v>
      </x:c>
      <x:c r="D760" s="10" t="str">
        <x:v>消息（用户）</x:v>
      </x:c>
      <x:c r="E760" s="10" t="str">
        <x:v>功能需求</x:v>
      </x:c>
      <x:c r="F760" s="10" t="str">
        <x:v>P2</x:v>
      </x:c>
      <x:c r="G760" s="9" t="str">
        <x:v>验证消息按最后消息时间倒序</x:v>
      </x:c>
      <x:c r="H760" s="9" t="str">
        <x:v>最后消息时间降序</x:v>
      </x:c>
      <x:c r="I760" s="9" t="str">
        <x:v>1. 用户为本条执行者
2. 用户账号已登录
3. 两条当前有效记录甲、乙都满足本页范围；甲最后消息时间为09/14 10:00，乙为09/14 11:00；无置顶或更高优先级差异</x:v>
      </x:c>
      <x:c r="J760" s="9" t="str">
        <x:v>1. 打开消息
2. 查看记录甲乙的顺序</x:v>
      </x:c>
      <x:c r="K760" s="9" t="str">
        <x:v>乙排在甲前面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来源（当前证据）：liveshow-proto/MainBasis/统一需求文档.md；位置：第 656 行；REQ-9b2c6b9ae474、第 653 行
2. 规则：BR-3F3191BDA0CF9E
3. 未动态验证
4. 示例账号、编号、金额与日期是本条测试数据；执行前按前置条件准备，未填写的产品决策不得自行假定。</x:v>
      </x:c>
    </x:row>
    <x:row r="761" ht="130" customHeight="1">
      <x:c r="A761" s="10" t="n">
        <x:v>760</x:v>
      </x:c>
      <x:c r="B761" s="10" t="str">
        <x:v>USER-0760</x:v>
      </x:c>
      <x:c r="C761" s="10" t="str">
        <x:v>消息与社交</x:v>
      </x:c>
      <x:c r="D761" s="10" t="str">
        <x:v>系统通知（用户）</x:v>
      </x:c>
      <x:c r="E761" s="10" t="str">
        <x:v>功能需求</x:v>
      </x:c>
      <x:c r="F761" s="10" t="str">
        <x:v>P2</x:v>
      </x:c>
      <x:c r="G761" s="9" t="str">
        <x:v>验证系统通知按通知生成时间倒序</x:v>
      </x:c>
      <x:c r="H761" s="9" t="str">
        <x:v>通知生成时间降序</x:v>
      </x:c>
      <x:c r="I761" s="9" t="str">
        <x:v>1. 用户为本条执行者
2. 用户账号已登录
3. 两条当前有效记录甲、乙都满足本页范围；甲通知生成时间为09/14 10:00，乙为09/14 11:00；无置顶或更高优先级差异</x:v>
      </x:c>
      <x:c r="J761" s="9" t="str">
        <x:v>1. 打开系统通知
2. 查看记录甲乙的顺序</x:v>
      </x:c>
      <x:c r="K761" s="9" t="str">
        <x:v>乙排在甲前面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来源（当前证据）：liveshow-proto/MainBasis/统一需求文档.md；位置：第 673 行；REQ-593bd42602eb、第 666 行
2. 规则：BR-21A56257A50A43
3. 未动态验证
4. 示例账号、编号、金额与日期是本条测试数据；执行前按前置条件准备，未填写的产品决策不得自行假定。</x:v>
      </x:c>
    </x:row>
    <x:row r="762" ht="130" customHeight="1">
      <x:c r="A762" s="10" t="n">
        <x:v>761</x:v>
      </x:c>
      <x:c r="B762" s="10" t="str">
        <x:v>USER-0761</x:v>
      </x:c>
      <x:c r="C762" s="10" t="str">
        <x:v>个人中心</x:v>
      </x:c>
      <x:c r="D762" s="10" t="str">
        <x:v>我的关注（用户）</x:v>
      </x:c>
      <x:c r="E762" s="10" t="str">
        <x:v>功能需求</x:v>
      </x:c>
      <x:c r="F762" s="10" t="str">
        <x:v>P2</x:v>
      </x:c>
      <x:c r="G762" s="9" t="str">
        <x:v>验证我的关注按关注时间倒序</x:v>
      </x:c>
      <x:c r="H762" s="9" t="str">
        <x:v>关注时间降序</x:v>
      </x:c>
      <x:c r="I762" s="9" t="str">
        <x:v>1. 用户为本条执行者
2. 用户账号已登录
3. 两条当前有效记录甲、乙都满足本页范围；甲关注时间为09/14 10:00，乙为09/14 11:00；无置顶或更高优先级差异</x:v>
      </x:c>
      <x:c r="J762" s="9" t="str">
        <x:v>1. 打开我的关注
2. 查看记录甲乙的顺序</x:v>
      </x:c>
      <x:c r="K762" s="9" t="str">
        <x:v>乙排在甲前面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来源（当前证据）：liveshow-proto/MainBasis/统一需求文档.md；位置：第 724 行；REQ-b18d9ab21ef7、第 718 行
2. 规则：BR-B175FE782001D2
3. 未动态验证
4. 示例账号、编号、金额与日期是本条测试数据；执行前按前置条件准备，未填写的产品决策不得自行假定。</x:v>
      </x:c>
    </x:row>
    <x:row r="763" ht="130" customHeight="1">
      <x:c r="A763" s="10" t="n">
        <x:v>762</x:v>
      </x:c>
      <x:c r="B763" s="10" t="str">
        <x:v>USER-0762</x:v>
      </x:c>
      <x:c r="C763" s="10" t="str">
        <x:v>个人中心</x:v>
      </x:c>
      <x:c r="D763" s="10" t="str">
        <x:v>我的装扮（用户）</x:v>
      </x:c>
      <x:c r="E763" s="10" t="str">
        <x:v>功能需求</x:v>
      </x:c>
      <x:c r="F763" s="10" t="str">
        <x:v>P2</x:v>
      </x:c>
      <x:c r="G763" s="9" t="str">
        <x:v>验证我的装扮按获得时间倒序</x:v>
      </x:c>
      <x:c r="H763" s="9" t="str">
        <x:v>获得时间降序</x:v>
      </x:c>
      <x:c r="I763" s="9" t="str">
        <x:v>1. 用户为本条执行者
2. 用户账号已登录
3. 两条当前有效记录甲、乙都满足本页范围；甲获得时间为09/14 10:00，乙为09/14 11:00；无置顶或更高优先级差异</x:v>
      </x:c>
      <x:c r="J763" s="9" t="str">
        <x:v>1. 打开我的装扮
2. 查看记录甲乙的顺序</x:v>
      </x:c>
      <x:c r="K763" s="9" t="str">
        <x:v>乙排在甲前面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来源（当前证据）：liveshow-proto/MainBasis/统一需求文档.md；位置：第 741 行；REQ-135008fb4450、第 728 行
2. 规则：BR-E663ED900DAA66
3. 未动态验证
4. 示例账号、编号、金额与日期是本条测试数据；执行前按前置条件准备，未填写的产品决策不得自行假定。</x:v>
      </x:c>
    </x:row>
    <x:row r="764" ht="130" customHeight="1">
      <x:c r="A764" s="10" t="n">
        <x:v>763</x:v>
      </x:c>
      <x:c r="B764" s="10" t="str">
        <x:v>USER-0763</x:v>
      </x:c>
      <x:c r="C764" s="10" t="str">
        <x:v>消息与社交</x:v>
      </x:c>
      <x:c r="D764" s="10" t="str">
        <x:v>互动通知（用户）</x:v>
      </x:c>
      <x:c r="E764" s="10" t="str">
        <x:v>功能需求</x:v>
      </x:c>
      <x:c r="F764" s="10" t="str">
        <x:v>P2</x:v>
      </x:c>
      <x:c r="G764" s="9" t="str">
        <x:v>验证互动通知按发生时间倒序</x:v>
      </x:c>
      <x:c r="H764" s="9" t="str">
        <x:v>发生时间降序</x:v>
      </x:c>
      <x:c r="I764" s="9" t="str">
        <x:v>1. 用户为本条执行者
2. 用户账号已登录
3. 两条当前有效记录甲、乙都满足本页范围；甲发生时间为09/14 10:00，乙为09/14 11:00；无置顶或更高优先级差异</x:v>
      </x:c>
      <x:c r="J764" s="9" t="str">
        <x:v>1. 打开互动通知
2. 查看记录甲乙的顺序</x:v>
      </x:c>
      <x:c r="K764" s="9" t="str">
        <x:v>乙排在甲前面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来源（当前证据）：liveshow-proto/MainBasis/统一需求文档.md；位置：第 878 行；REQ-d209e483b9a4、第 870 行
2. 规则：BR-A4B57B24012FDD
3. 未动态验证
4. 示例账号、编号、金额与日期是本条测试数据；执行前按前置条件准备，未填写的产品决策不得自行假定。</x:v>
      </x:c>
    </x:row>
    <x:row r="765" ht="130" customHeight="1">
      <x:c r="A765" s="10" t="n">
        <x:v>764</x:v>
      </x:c>
      <x:c r="B765" s="10" t="str">
        <x:v>USER-0764</x:v>
      </x:c>
      <x:c r="C765" s="10" t="str">
        <x:v>个人中心</x:v>
      </x:c>
      <x:c r="D765" s="10" t="str">
        <x:v>黑名单管理（用户）</x:v>
      </x:c>
      <x:c r="E765" s="10" t="str">
        <x:v>功能需求</x:v>
      </x:c>
      <x:c r="F765" s="10" t="str">
        <x:v>P2</x:v>
      </x:c>
      <x:c r="G765" s="9" t="str">
        <x:v>验证黑名单管理按拉黑时间倒序</x:v>
      </x:c>
      <x:c r="H765" s="9" t="str">
        <x:v>拉黑时间降序</x:v>
      </x:c>
      <x:c r="I765" s="9" t="str">
        <x:v>1. 用户为本条执行者
2. 用户账号已登录
3. 两条当前有效记录甲、乙都满足本页范围；甲拉黑时间为09/14 10:00，乙为09/14 11:00；无置顶或更高优先级差异</x:v>
      </x:c>
      <x:c r="J765" s="9" t="str">
        <x:v>1. 打开黑名单管理
2. 查看记录甲乙的顺序</x:v>
      </x:c>
      <x:c r="K765" s="9" t="str">
        <x:v>乙排在甲前面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来源（当前证据）：liveshow-proto/MainBasis/统一需求文档.md；位置：第 953 行；REQ-f47128bb78d9、第 941 行
2. 规则：BR-48722329DC72DC
3. 未动态验证
4. 示例账号、编号、金额与日期是本条测试数据；执行前按前置条件准备，未填写的产品决策不得自行假定。</x:v>
      </x:c>
    </x:row>
    <x:row r="766" ht="130" customHeight="1">
      <x:c r="A766" s="10" t="n">
        <x:v>765</x:v>
      </x:c>
      <x:c r="B766" s="10" t="str">
        <x:v>USER-0765</x:v>
      </x:c>
      <x:c r="C766" s="10" t="str">
        <x:v>公会管理</x:v>
      </x:c>
      <x:c r="D766" s="10" t="str">
        <x:v>公会详情（用户）</x:v>
      </x:c>
      <x:c r="E766" s="10" t="str">
        <x:v>功能需求</x:v>
      </x:c>
      <x:c r="F766" s="10" t="str">
        <x:v>P2</x:v>
      </x:c>
      <x:c r="G766" s="9" t="str">
        <x:v>验证公会详情按提交时间倒序</x:v>
      </x:c>
      <x:c r="H766" s="9" t="str">
        <x:v>提交时间降序</x:v>
      </x:c>
      <x:c r="I766" s="9" t="str">
        <x:v>1. 用户为本条执行者
2. 用户账号已登录
3. 两条当前有效记录甲、乙都满足本页范围；甲提交时间为09/14 10:00，乙为09/14 11:00；无置顶或更高优先级差异</x:v>
      </x:c>
      <x:c r="J766" s="9" t="str">
        <x:v>1. 打开公会详情
2. 查看记录甲乙的顺序</x:v>
      </x:c>
      <x:c r="K766" s="9" t="str">
        <x:v>乙排在甲前面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来源（当前证据）：liveshow-proto/MainBasis/统一需求文档.md；位置：第 1018 行；REQ-e30d8cd28d76、第 1005 行
2. 规则：BR-06BCE632259F9C
3. 未动态验证
4. 示例账号、编号、金额与日期是本条测试数据；执行前按前置条件准备，未填写的产品决策不得自行假定。</x:v>
      </x:c>
    </x:row>
    <x:row r="767" ht="130" customHeight="1">
      <x:c r="A767" s="10" t="n">
        <x:v>766</x:v>
      </x:c>
      <x:c r="B767" s="10" t="str">
        <x:v>USER-0766</x:v>
      </x:c>
      <x:c r="C767" s="10" t="str">
        <x:v>主播管理</x:v>
      </x:c>
      <x:c r="D767" s="10" t="str">
        <x:v>直播记录（主播）</x:v>
      </x:c>
      <x:c r="E767" s="10" t="str">
        <x:v>功能需求</x:v>
      </x:c>
      <x:c r="F767" s="10" t="str">
        <x:v>P2</x:v>
      </x:c>
      <x:c r="G767" s="9" t="str">
        <x:v>验证直播记录按开播时间倒序</x:v>
      </x:c>
      <x:c r="H767" s="9" t="str">
        <x:v>开播时间降序</x:v>
      </x:c>
      <x:c r="I767" s="9" t="str">
        <x:v>1. 主播为本条执行者
2. 主播账号已登录
3. 两条当前有效记录甲、乙都满足本页范围；甲开播时间为09/14 10:00，乙为09/14 11:00；无置顶或更高优先级差异</x:v>
      </x:c>
      <x:c r="J767" s="9" t="str">
        <x:v>1. 打开直播记录
2. 查看记录甲乙的顺序</x:v>
      </x:c>
      <x:c r="K767" s="9" t="str">
        <x:v>乙排在甲前面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来源（当前证据）：liveshow-proto/MainBasis/统一需求文档.md；位置：第 1271 行；REQ-659cc558be54、第 1259 行
2. 规则：BR-601626B8DBB490
3. 未动态验证
4. 示例账号、编号、金额与日期是本条测试数据；执行前按前置条件准备，未填写的产品决策不得自行假定。</x:v>
      </x:c>
    </x:row>
    <x:row r="768" ht="130" customHeight="1">
      <x:c r="A768" s="10" t="n">
        <x:v>767</x:v>
      </x:c>
      <x:c r="B768" s="10" t="str">
        <x:v>USER-0767</x:v>
      </x:c>
      <x:c r="C768" s="10" t="str">
        <x:v>钱包与充值</x:v>
      </x:c>
      <x:c r="D768" s="10" t="str">
        <x:v>余额明细（用户）</x:v>
      </x:c>
      <x:c r="E768" s="10" t="str">
        <x:v>功能需求</x:v>
      </x:c>
      <x:c r="F768" s="10" t="str">
        <x:v>P1</x:v>
      </x:c>
      <x:c r="G768" s="9" t="str">
        <x:v>验证余额明细按发生时间倒序</x:v>
      </x:c>
      <x:c r="H768" s="9" t="str">
        <x:v>发生时间降序</x:v>
      </x:c>
      <x:c r="I768" s="9" t="str">
        <x:v>1. 用户为本条执行者
2. 用户账号已登录
3. 两条当前有效记录甲、乙都满足本页范围；甲发生时间为09/14 10:00，乙为09/14 11:00；无置顶或更高优先级差异</x:v>
      </x:c>
      <x:c r="J768" s="9" t="str">
        <x:v>1. 打开余额明细
2. 查看记录甲乙的顺序</x:v>
      </x:c>
      <x:c r="K768" s="9" t="str">
        <x:v>乙排在甲前面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来源（当前证据）：liveshow-proto/MainBasis/统一需求文档.md；位置：第 1316 行；REQ-7ab0289dec79、第 1310 行
2. 规则：BR-DDFB47DC2AFC1E
3. 未动态验证
4. 示例账号、编号、金额与日期是本条测试数据；执行前按前置条件准备，未填写的产品决策不得自行假定。</x:v>
      </x:c>
    </x:row>
    <x:row r="769" ht="130" customHeight="1">
      <x:c r="A769" s="10" t="n">
        <x:v>768</x:v>
      </x:c>
      <x:c r="B769" s="10" t="str">
        <x:v>USER-0768</x:v>
      </x:c>
      <x:c r="C769" s="10" t="str">
        <x:v>消息与社交</x:v>
      </x:c>
      <x:c r="D769" s="10" t="str">
        <x:v>粉丝团群聊（用户）</x:v>
      </x:c>
      <x:c r="E769" s="10" t="str">
        <x:v>功能需求</x:v>
      </x:c>
      <x:c r="F769" s="10" t="str">
        <x:v>P2</x:v>
      </x:c>
      <x:c r="G769" s="9" t="str">
        <x:v>验证粉丝团群聊按最后消息时间倒序</x:v>
      </x:c>
      <x:c r="H769" s="9" t="str">
        <x:v>最后消息时间降序</x:v>
      </x:c>
      <x:c r="I769" s="9" t="str">
        <x:v>1. 用户为本条执行者
2. 用户账号已登录
3. 两条当前有效记录甲、乙都满足本页范围；甲最后消息时间为09/14 10:00，乙为09/14 11:00；无置顶或更高优先级差异</x:v>
      </x:c>
      <x:c r="J769" s="9" t="str">
        <x:v>1. 打开粉丝团群聊
2. 查看记录甲乙的顺序</x:v>
      </x:c>
      <x:c r="K769" s="9" t="str">
        <x:v>乙排在甲前面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来源（当前证据）：liveshow-proto/MainBasis/统一需求文档.md；位置：第 1927 行；REQ-12b73498ee66、第 1922 行
2. 规则：BR-FAC8A72292BCB7
3. 未动态验证
4. 示例账号、编号、金额与日期是本条测试数据；执行前按前置条件准备，未填写的产品决策不得自行假定。</x:v>
      </x:c>
    </x:row>
    <x:row r="770" ht="175" customHeight="1">
      <x:c r="A770" s="10" t="n">
        <x:v>769</x:v>
      </x:c>
      <x:c r="B770" s="10" t="str">
        <x:v>USER-0769</x:v>
      </x:c>
      <x:c r="C770" s="10" t="str">
        <x:v>直播</x:v>
      </x:c>
      <x:c r="D770" s="10" t="str">
        <x:v>直播结束页（主播）（主播）</x:v>
      </x:c>
      <x:c r="E770" s="10" t="str">
        <x:v>逻辑校验</x:v>
      </x:c>
      <x:c r="F770" s="10" t="str">
        <x:v>P2</x:v>
      </x:c>
      <x:c r="G770" s="9" t="str">
        <x:v>验证直播结束页（主播）核算本场收益</x:v>
      </x:c>
      <x:c r="H770" s="9" t="str">
        <x:v>本场收益</x:v>
      </x:c>
      <x:c r="I770" s="9" t="str">
        <x:v>1. 主播为本条执行者
2. 主播账号已登录
3. 以下数据仅属于直播结束页（主播）当前查看对象及已选日期范围；无其他会影响该指标的有效记录
4. 普通礼物实际消费100、定制礼物200、幸运礼物送出价值1000金币；该次幸运收益比例1%；无门票消费；虚拟送礼500、失败送礼200均不计</x:v>
      </x:c>
      <x:c r="J770" s="9" t="str">
        <x:v>1. 打开直播结束页（主播）
2. 查看本场收益</x:v>
      </x:c>
      <x:c r="K770" s="9" t="str">
        <x:v>本场收益 = 310 金币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来源（当前证据）：liveshow-proto/MainBasis/统一需求文档.md；位置：第 849 行；REQ-cbc60c5d616f、第 846 行
2. 规则：BR-9E00ADA2BC411E
3. 未动态验证
4. 示例账号、编号、金额与日期是本条测试数据；执行前按前置条件准备，未填写的产品决策不得自行假定。</x:v>
      </x:c>
    </x:row>
    <x:row r="771" ht="160" customHeight="1">
      <x:c r="A771" s="10" t="n">
        <x:v>770</x:v>
      </x:c>
      <x:c r="B771" s="10" t="str">
        <x:v>USER-0770</x:v>
      </x:c>
      <x:c r="C771" s="10" t="str">
        <x:v>主播管理</x:v>
      </x:c>
      <x:c r="D771" s="10" t="str">
        <x:v>主播中心（主播）</x:v>
      </x:c>
      <x:c r="E771" s="10" t="str">
        <x:v>逻辑校验</x:v>
      </x:c>
      <x:c r="F771" s="10" t="str">
        <x:v>P2</x:v>
      </x:c>
      <x:c r="G771" s="9" t="str">
        <x:v>验证主播中心核算收益（今日） / 累计收益（本月）</x:v>
      </x:c>
      <x:c r="H771" s="9" t="str">
        <x:v>收益（今日） / 累计收益（本月）</x:v>
      </x:c>
      <x:c r="I771" s="9" t="str">
        <x:v>1. 主播为本条执行者
2. 主播账号已登录
3. 以下数据仅属于主播中心当前查看对象及已选日期范围；无其他会影响该指标的有效记录
4. 普通礼物实际消费100、定制礼物200、幸运礼物送出价值1000金币；该次幸运收益比例1%；无门票消费；虚拟送礼500、失败送礼200均不计</x:v>
      </x:c>
      <x:c r="J771" s="9" t="str">
        <x:v>1. 打开主播中心
2. 查看收益（今日） / 累计收益（本月）</x:v>
      </x:c>
      <x:c r="K771" s="9" t="str">
        <x:v>收益（今日） / 累计收益（本月） = 310 金币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来源（当前证据）：liveshow-proto/MainBasis/统一需求文档.md；位置：第 1131 行；REQ-2bd6e59a40ad、第 1121 行
2. 规则：BR-A6F744458D3958
3. 未动态验证
4. 示例账号、编号、金额与日期是本条测试数据；执行前按前置条件准备，未填写的产品决策不得自行假定。</x:v>
      </x:c>
    </x:row>
    <x:row r="772" ht="130" customHeight="1">
      <x:c r="A772" s="10" t="n">
        <x:v>771</x:v>
      </x:c>
      <x:c r="B772" s="10" t="str">
        <x:v>USER-0771</x:v>
      </x:c>
      <x:c r="C772" s="10" t="str">
        <x:v>主播管理</x:v>
      </x:c>
      <x:c r="D772" s="10" t="str">
        <x:v>主播中心（主播）</x:v>
      </x:c>
      <x:c r="E772" s="10" t="str">
        <x:v>逻辑校验</x:v>
      </x:c>
      <x:c r="F772" s="10" t="str">
        <x:v>P2</x:v>
      </x:c>
      <x:c r="G772" s="9" t="str">
        <x:v>验证主播中心核算观众人数</x:v>
      </x:c>
      <x:c r="H772" s="9" t="str">
        <x:v>观众人数</x:v>
      </x:c>
      <x:c r="I772" s="9" t="str">
        <x:v>1. 主播为本条执行者
2. 主播账号已登录
3. 以下数据仅属于主播中心当前查看对象及已选日期范围；无其他会影响该指标的有效记录
4. 当前场次中真实用户甲成功进入2次、乙1次；丙准入失败，三人以外没有观众</x:v>
      </x:c>
      <x:c r="J772" s="9" t="str">
        <x:v>1. 打开主播中心
2. 查看观众人数</x:v>
      </x:c>
      <x:c r="K772" s="9" t="str">
        <x:v>观众人数 = 2 人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来源（当前证据）：liveshow-proto/MainBasis/统一需求文档.md；位置：第 1134 行；REQ-ef98e4f35877、第 1121 行
2. 规则：BR-6DC9BAA638A3D0
3. 未动态验证
4. 示例账号、编号、金额与日期是本条测试数据；执行前按前置条件准备，未填写的产品决策不得自行假定。</x:v>
      </x:c>
    </x:row>
    <x:row r="773" ht="160" customHeight="1">
      <x:c r="A773" s="10" t="n">
        <x:v>772</x:v>
      </x:c>
      <x:c r="B773" s="10" t="str">
        <x:v>USER-0772</x:v>
      </x:c>
      <x:c r="C773" s="10" t="str">
        <x:v>主播管理</x:v>
      </x:c>
      <x:c r="D773" s="10" t="str">
        <x:v>直播数据（主播）</x:v>
      </x:c>
      <x:c r="E773" s="10" t="str">
        <x:v>逻辑校验</x:v>
      </x:c>
      <x:c r="F773" s="10" t="str">
        <x:v>P2</x:v>
      </x:c>
      <x:c r="G773" s="9" t="str">
        <x:v>验证直播数据核算收益</x:v>
      </x:c>
      <x:c r="H773" s="9" t="str">
        <x:v>收益</x:v>
      </x:c>
      <x:c r="I773" s="9" t="str">
        <x:v>1. 主播为本条执行者
2. 主播账号已登录
3. 以下数据仅属于直播数据当前查看对象及已选日期范围；无其他会影响该指标的有效记录
4. 普通礼物实际消费100、定制礼物200、幸运礼物送出价值1000金币；该次幸运收益比例1%；无门票消费；虚拟送礼500、失败送礼200均不计</x:v>
      </x:c>
      <x:c r="J773" s="9" t="str">
        <x:v>1. 打开直播数据
2. 查看收益</x:v>
      </x:c>
      <x:c r="K773" s="9" t="str">
        <x:v>收益 = 310 金币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来源（当前证据）：liveshow-proto/MainBasis/统一需求文档.md；位置：第 1249 行；REQ-baff079294bb、第 1247 行
2. 规则：BR-AFD5BFC6F4C238
3. 未动态验证
4. 示例账号、编号、金额与日期是本条测试数据；执行前按前置条件准备，未填写的产品决策不得自行假定。</x:v>
      </x:c>
    </x:row>
    <x:row r="774" ht="130" customHeight="1">
      <x:c r="A774" s="10" t="n">
        <x:v>773</x:v>
      </x:c>
      <x:c r="B774" s="10" t="str">
        <x:v>USER-0773</x:v>
      </x:c>
      <x:c r="C774" s="10" t="str">
        <x:v>主播管理</x:v>
      </x:c>
      <x:c r="D774" s="10" t="str">
        <x:v>直播数据（主播）</x:v>
      </x:c>
      <x:c r="E774" s="10" t="str">
        <x:v>逻辑校验</x:v>
      </x:c>
      <x:c r="F774" s="10" t="str">
        <x:v>P2</x:v>
      </x:c>
      <x:c r="G774" s="9" t="str">
        <x:v>验证直播数据核算新增粉丝/送礼人数</x:v>
      </x:c>
      <x:c r="H774" s="9" t="str">
        <x:v>新增粉丝/送礼人数</x:v>
      </x:c>
      <x:c r="I774" s="9" t="str">
        <x:v>1. 主播为本条执行者
2. 主播账号已登录
3. 以下数据仅属于直播数据当前查看对象及已选日期范围；无其他会影响该指标的有效记录
4. 用户甲成功送礼2笔、乙成功1笔，丙只有失败送礼</x:v>
      </x:c>
      <x:c r="J774" s="9" t="str">
        <x:v>1. 打开直播数据
2. 查看新增粉丝/送礼人数</x:v>
      </x:c>
      <x:c r="K774" s="9" t="str">
        <x:v>新增粉丝/送礼人数 = 2 人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来源（当前证据）：liveshow-proto/MainBasis/统一需求文档.md；位置：第 1253 行；REQ-4f538f26fc75、第 1247 行
2. 规则：BR-7C2EF53BC9C249
3. 未动态验证
4. 示例账号、编号、金额与日期是本条测试数据；执行前按前置条件准备，未填写的产品决策不得自行假定。</x:v>
      </x:c>
    </x:row>
    <x:row r="775" ht="145" customHeight="1">
      <x:c r="A775" s="10" t="n">
        <x:v>774</x:v>
      </x:c>
      <x:c r="B775" s="10" t="str">
        <x:v>USER-0774</x:v>
      </x:c>
      <x:c r="C775" s="10" t="str">
        <x:v>主播管理</x:v>
      </x:c>
      <x:c r="D775" s="10" t="str">
        <x:v>直播记录（主播）</x:v>
      </x:c>
      <x:c r="E775" s="10" t="str">
        <x:v>逻辑校验</x:v>
      </x:c>
      <x:c r="F775" s="10" t="str">
        <x:v>P2</x:v>
      </x:c>
      <x:c r="G775" s="9" t="str">
        <x:v>验证直播记录核算收益</x:v>
      </x:c>
      <x:c r="H775" s="9" t="str">
        <x:v>直播记录收益计算</x:v>
      </x:c>
      <x:c r="I775" s="9" t="str">
        <x:v>1. 主播为本条执行者
2. 主播账号已登录
3. 以下数据仅属于直播记录当前查看对象及已选日期范围；无其他会影响该指标的有效记录
4. 范围内两笔已确认可计入主播收益的真实普通礼物记录，收益分别100和200金币；范围外另有500金币收益</x:v>
      </x:c>
      <x:c r="J775" s="9" t="str">
        <x:v>1. 打开直播记录
2. 查看观众人数/收益</x:v>
      </x:c>
      <x:c r="K775" s="9" t="str">
        <x:v>收益 = 300 金币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来源（当前证据）：liveshow-proto/MainBasis/统一需求文档.md；位置：第 1264 行；REQ-b552d3d74668、第 1259 行
2. 规则：BR-829CC542ABC706
3. 未动态验证
4. 示例账号、编号、金额与日期是本条测试数据；执行前按前置条件准备，未填写的产品决策不得自行假定。</x:v>
      </x:c>
    </x:row>
    <x:row r="776" ht="190" customHeight="1">
      <x:c r="A776" s="10" t="n">
        <x:v>775</x:v>
      </x:c>
      <x:c r="B776" s="10" t="str">
        <x:v>USER-0775</x:v>
      </x:c>
      <x:c r="C776" s="10" t="str">
        <x:v>消息与社交</x:v>
      </x:c>
      <x:c r="D776" s="10" t="str">
        <x:v>互动通知（用户）</x:v>
      </x:c>
      <x:c r="E776" s="10" t="str">
        <x:v>功能需求</x:v>
      </x:c>
      <x:c r="F776" s="10" t="str">
        <x:v>P2</x:v>
      </x:c>
      <x:c r="G776" s="9" t="str">
        <x:v>验证收到新好友申请进入待处理通知</x:v>
      </x:c>
      <x:c r="H776" s="9" t="str">
        <x:v>好友申请接收待处理</x:v>
      </x:c>
      <x:c r="I776" s="9" t="str">
        <x:v>1. 用户为本条执行者
2. 甲乙非好友且无拉黑关系；配合账号乙刚向执行账号甲提交好友申请F001，尚未处理</x:v>
      </x:c>
      <x:c r="J776" s="9" t="str">
        <x:v>1. 打开互动通知
2. 查看来自乙的好友申请F001</x:v>
      </x:c>
      <x:c r="K776" s="9" t="str">
        <x:v>F001显示待处理</x:v>
      </x:c>
      <x:c r="L776" s="10" t="str">
        <x:v>FLOW-74D9AD48</x:v>
      </x:c>
      <x:c r="M776" s="10" t="str">
        <x:v>未测</x:v>
      </x:c>
      <x:c r="N776" s="10" t="str"/>
      <x:c r="O776" s="9" t="str">
        <x:v>1. 来源（当前证据）：liveshow-proto/MainBasis/统一需求文档.md；位置：第 872 行；REQ-fa316e8ebde9、第 873 行；REQ-6638d0f48f9f、第 875 行；REQ-039d749c962c、第 876 行；REQ-d3143269edb7、第 877 行；REQ-c2c029b3b74b、第 880 行；REQ-3dd405057a47、第 870 行
2. 规则：BR-21E7FCE3DE4B9F
3. 未动态验证
4. 示例账号、编号、金额与日期是本条测试数据；执行前按前置条件准备，未填写的产品决策不得自行假定。</x:v>
      </x:c>
    </x:row>
    <x:row r="777" ht="130" customHeight="1">
      <x:c r="A777" s="10" t="n">
        <x:v>776</x:v>
      </x:c>
      <x:c r="B777" s="10" t="str">
        <x:v>USER-0776</x:v>
      </x:c>
      <x:c r="C777" s="10" t="str">
        <x:v>个人中心</x:v>
      </x:c>
      <x:c r="D777" s="10" t="str">
        <x:v>设置密码（用户）</x:v>
      </x:c>
      <x:c r="E777" s="10" t="str">
        <x:v>功能需求</x:v>
      </x:c>
      <x:c r="F777" s="10" t="str">
        <x:v>P2</x:v>
      </x:c>
      <x:c r="G777" s="9" t="str">
        <x:v>验证设置密码成功返回设置</x:v>
      </x:c>
      <x:c r="H777" s="9" t="str">
        <x:v>密码保存成功返回</x:v>
      </x:c>
      <x:c r="I777" s="9" t="str">
        <x:v>1. 用户为本条执行者
2. 账号甲已绑定手机号+62 81234567890及邮箱qa.test@example.com；当前验证方式为手机号，验证码123456有效且未使用</x:v>
      </x:c>
      <x:c r="J777" s="9" t="str">
        <x:v>1. 打开设置密码
2. 输入验证码123456
3. 输入密码NewPass#2026
4. 输入确认密码NewPass#2026
5. 点击完成</x:v>
      </x:c>
      <x:c r="K777" s="9" t="str">
        <x:v>返回设置页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来源（当前证据）：liveshow-proto/MainBasis/统一需求文档.md；位置：第 1493 行；REQ-d0cbebd513bc、第 1482 行
2. 规则：BR-EE94BF0612769A
3. 未动态验证
4. 示例账号、编号、金额与日期是本条测试数据；执行前按前置条件准备，未填写的产品决策不得自行假定。</x:v>
      </x:c>
    </x:row>
    <x:row r="778" ht="220" customHeight="1">
      <x:c r="A778" s="10" t="n">
        <x:v>777</x:v>
      </x:c>
      <x:c r="B778" s="10" t="str">
        <x:v>USER-0777</x:v>
      </x:c>
      <x:c r="C778" s="10" t="str">
        <x:v>个人中心</x:v>
      </x:c>
      <x:c r="D778" s="10" t="str">
        <x:v>设置密码（用户）</x:v>
      </x:c>
      <x:c r="E778" s="10" t="str">
        <x:v>功能需求</x:v>
      </x:c>
      <x:c r="F778" s="10" t="str">
        <x:v>P1</x:v>
      </x:c>
      <x:c r="G778" s="9" t="str">
        <x:v>验证设置后的密码用于手机号登录</x:v>
      </x:c>
      <x:c r="H778" s="9" t="str">
        <x:v>手机号共用新密码</x:v>
      </x:c>
      <x:c r="I778" s="9" t="str">
        <x:v>1. 用户为本条执行者
2. 账号甲已绑定手机号+62 81234567890及邮箱qa.test@example.com；当前验证方式为手机号，验证码123456有效且未使用</x:v>
      </x:c>
      <x:c r="J778" s="9" t="str">
        <x:v>1. 打开设置密码
2. 输入验证码123456
3. 输入密码NewPass#2026
4. 输入确认密码NewPass#2026
5. 点击完成
6. 打开设置
7. 点击退出登录
8. 确认退出
9. 打开手机号登录
10. 输入手机号+62 81234567890
11. 选择密码登录
12. 输入密码NewPass#2026
13. 点击登录</x:v>
      </x:c>
      <x:c r="K778" s="9" t="str">
        <x:v>登录账号甲并进入首页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来源（当前证据）：liveshow-proto/MainBasis/统一需求文档.md；位置：第 1484 行；REQ-3c60189f3c4a、第 1485 行；REQ-c07e0565f660、第 1488 行；REQ-4e7e16723ecf、第 1490 行；REQ-db0051cdeede、第 1491 行；REQ-60b0a17f6e8a、第 1454 行；REQ-620f415b6634、第 1471 行；REQ-7d818f9c9cf0、第 2349 行；REQ-e855670b3ded、第 1482 行
2. 规则：BR-71374B596CED76
3. 未动态验证
4. 示例账号、编号、金额与日期是本条测试数据；执行前按前置条件准备，未填写的产品决策不得自行假定。</x:v>
      </x:c>
    </x:row>
    <x:row r="779" ht="220" customHeight="1">
      <x:c r="A779" s="10" t="n">
        <x:v>778</x:v>
      </x:c>
      <x:c r="B779" s="10" t="str">
        <x:v>USER-0778</x:v>
      </x:c>
      <x:c r="C779" s="10" t="str">
        <x:v>个人中心</x:v>
      </x:c>
      <x:c r="D779" s="10" t="str">
        <x:v>设置密码（用户）</x:v>
      </x:c>
      <x:c r="E779" s="10" t="str">
        <x:v>功能需求</x:v>
      </x:c>
      <x:c r="F779" s="10" t="str">
        <x:v>P1</x:v>
      </x:c>
      <x:c r="G779" s="9" t="str">
        <x:v>验证设置后的密码用于邮箱登录</x:v>
      </x:c>
      <x:c r="H779" s="9" t="str">
        <x:v>邮箱共用新密码</x:v>
      </x:c>
      <x:c r="I779" s="9" t="str">
        <x:v>1. 用户为本条执行者
2. 账号甲已绑定手机号+62 81234567890及邮箱qa.test@example.com；当前验证方式为手机号，验证码123456有效且未使用</x:v>
      </x:c>
      <x:c r="J779" s="9" t="str">
        <x:v>1. 打开设置密码
2. 输入验证码123456
3. 输入密码NewPass#2026
4. 输入确认密码NewPass#2026
5. 点击完成
6. 打开设置
7. 点击退出登录
8. 确认退出
9. 打开邮箱登录
10. 输入邮箱qa.test@example.com
11. 选择密码登录
12. 输入密码NewPass#2026
13. 点击登录</x:v>
      </x:c>
      <x:c r="K779" s="9" t="str">
        <x:v>登录账号甲并进入首页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来源（当前证据）：liveshow-proto/MainBasis/统一需求文档.md；位置：第 1484 行；REQ-3c60189f3c4a、第 1485 行；REQ-c07e0565f660、第 1488 行；REQ-4e7e16723ecf、第 1490 行；REQ-db0051cdeede、第 1491 行；REQ-60b0a17f6e8a、第 1454 行；REQ-620f415b6634、第 1471 行；REQ-7d818f9c9cf0、第 2349 行；REQ-e855670b3ded、第 1482 行
2. 规则：BR-D6D6D36AAB017A
3. 未动态验证
4. 示例账号、编号、金额与日期是本条测试数据；执行前按前置条件准备，未填写的产品决策不得自行假定。</x:v>
      </x:c>
    </x:row>
    <x:row r="780" ht="130" customHeight="1">
      <x:c r="A780" s="10" t="n">
        <x:v>779</x:v>
      </x:c>
      <x:c r="B780" s="10" t="str">
        <x:v>USER-0779</x:v>
      </x:c>
      <x:c r="C780" s="10" t="str">
        <x:v>个人中心</x:v>
      </x:c>
      <x:c r="D780" s="10" t="str">
        <x:v>忘记密码（用户）</x:v>
      </x:c>
      <x:c r="E780" s="10" t="str">
        <x:v>功能需求</x:v>
      </x:c>
      <x:c r="F780" s="10" t="str">
        <x:v>P2</x:v>
      </x:c>
      <x:c r="G780" s="9" t="str">
        <x:v>验证重置密码成功返回设置</x:v>
      </x:c>
      <x:c r="H780" s="9" t="str">
        <x:v>密码保存成功返回</x:v>
      </x:c>
      <x:c r="I780" s="9" t="str">
        <x:v>1. 用户为本条执行者
2. 账号甲已绑定手机号+62 81234567890及邮箱qa.test@example.com；当前验证方式为手机号，验证码123456有效且未使用</x:v>
      </x:c>
      <x:c r="J780" s="9" t="str">
        <x:v>1. 打开忘记密码
2. 输入验证码123456
3. 输入密码NewPass#2026
4. 输入确认密码NewPass#2026
5. 点击重置密码</x:v>
      </x:c>
      <x:c r="K780" s="9" t="str">
        <x:v>返回设置页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来源（当前证据）：liveshow-proto/MainBasis/统一需求文档.md；位置：第 1520 行；REQ-ab6de0e5ca05、第 1509 行
2. 规则：BR-89E5C9CEC5CCB2
3. 未动态验证
4. 示例账号、编号、金额与日期是本条测试数据；执行前按前置条件准备，未填写的产品决策不得自行假定。</x:v>
      </x:c>
    </x:row>
    <x:row r="781" ht="235" customHeight="1">
      <x:c r="A781" s="10" t="n">
        <x:v>780</x:v>
      </x:c>
      <x:c r="B781" s="10" t="str">
        <x:v>USER-0780</x:v>
      </x:c>
      <x:c r="C781" s="10" t="str">
        <x:v>个人中心</x:v>
      </x:c>
      <x:c r="D781" s="10" t="str">
        <x:v>忘记密码（用户）</x:v>
      </x:c>
      <x:c r="E781" s="10" t="str">
        <x:v>功能需求</x:v>
      </x:c>
      <x:c r="F781" s="10" t="str">
        <x:v>P1</x:v>
      </x:c>
      <x:c r="G781" s="9" t="str">
        <x:v>验证重置后的密码用于手机号登录</x:v>
      </x:c>
      <x:c r="H781" s="9" t="str">
        <x:v>手机号共用新密码</x:v>
      </x:c>
      <x:c r="I781" s="9" t="str">
        <x:v>1. 用户为本条执行者
2. 账号甲已绑定手机号+62 81234567890及邮箱qa.test@example.com；当前验证方式为手机号，验证码123456有效且未使用</x:v>
      </x:c>
      <x:c r="J781" s="9" t="str">
        <x:v>1. 打开忘记密码
2. 输入验证码123456
3. 输入密码NewPass#2026
4. 输入确认密码NewPass#2026
5. 点击重置密码
6. 打开设置
7. 点击退出登录
8. 确认退出
9. 打开手机号登录
10. 输入手机号+62 81234567890
11. 选择密码登录
12. 输入密码NewPass#2026
13. 点击登录</x:v>
      </x:c>
      <x:c r="K781" s="9" t="str">
        <x:v>登录账号甲并进入首页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来源（当前证据）：liveshow-proto/MainBasis/统一需求文档.md；位置：第 1511 行；REQ-956eee627217、第 1512 行；REQ-da9ec0c10c8c、第 1515 行；REQ-a17ae8f2bc3a、第 1517 行；REQ-c59e965587e7、第 1518 行；REQ-6ab1d015eba7、第 1454 行；REQ-620f415b6634、第 1471 行；REQ-7d818f9c9cf0、第 1490 行；REQ-db0051cdeede、第 2349 行；REQ-e855670b3ded、第 1509 行
2. 规则：BR-2D493F3EDA9283
3. 未动态验证
4. 示例账号、编号、金额与日期是本条测试数据；执行前按前置条件准备，未填写的产品决策不得自行假定。</x:v>
      </x:c>
    </x:row>
    <x:row r="782" ht="235" customHeight="1">
      <x:c r="A782" s="10" t="n">
        <x:v>781</x:v>
      </x:c>
      <x:c r="B782" s="10" t="str">
        <x:v>USER-0781</x:v>
      </x:c>
      <x:c r="C782" s="10" t="str">
        <x:v>个人中心</x:v>
      </x:c>
      <x:c r="D782" s="10" t="str">
        <x:v>忘记密码（用户）</x:v>
      </x:c>
      <x:c r="E782" s="10" t="str">
        <x:v>功能需求</x:v>
      </x:c>
      <x:c r="F782" s="10" t="str">
        <x:v>P1</x:v>
      </x:c>
      <x:c r="G782" s="9" t="str">
        <x:v>验证重置后的密码用于邮箱登录</x:v>
      </x:c>
      <x:c r="H782" s="9" t="str">
        <x:v>邮箱共用新密码</x:v>
      </x:c>
      <x:c r="I782" s="9" t="str">
        <x:v>1. 用户为本条执行者
2. 账号甲已绑定手机号+62 81234567890及邮箱qa.test@example.com；当前验证方式为手机号，验证码123456有效且未使用</x:v>
      </x:c>
      <x:c r="J782" s="9" t="str">
        <x:v>1. 打开忘记密码
2. 输入验证码123456
3. 输入密码NewPass#2026
4. 输入确认密码NewPass#2026
5. 点击重置密码
6. 打开设置
7. 点击退出登录
8. 确认退出
9. 打开邮箱登录
10. 输入邮箱qa.test@example.com
11. 选择密码登录
12. 输入密码NewPass#2026
13. 点击登录</x:v>
      </x:c>
      <x:c r="K782" s="9" t="str">
        <x:v>登录账号甲并进入首页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来源（当前证据）：liveshow-proto/MainBasis/统一需求文档.md；位置：第 1511 行；REQ-956eee627217、第 1512 行；REQ-da9ec0c10c8c、第 1515 行；REQ-a17ae8f2bc3a、第 1517 行；REQ-c59e965587e7、第 1518 行；REQ-6ab1d015eba7、第 1454 行；REQ-620f415b6634、第 1471 行；REQ-7d818f9c9cf0、第 1490 行；REQ-db0051cdeede、第 2349 行；REQ-e855670b3ded、第 1509 行
2. 规则：BR-F31EA9C276370D
3. 未动态验证
4. 示例账号、编号、金额与日期是本条测试数据；执行前按前置条件准备，未填写的产品决策不得自行假定。</x:v>
      </x:c>
    </x:row>
    <x:row r="783" ht="280" customHeight="1">
      <x:c r="A783" s="10" t="n">
        <x:v>782</x:v>
      </x:c>
      <x:c r="B783" s="10" t="str">
        <x:v>USER-0782</x:v>
      </x:c>
      <x:c r="C783" s="10" t="str">
        <x:v>个人中心</x:v>
      </x:c>
      <x:c r="D783" s="10" t="str">
        <x:v>修改密码（用户）</x:v>
      </x:c>
      <x:c r="E783" s="10" t="str">
        <x:v>功能需求</x:v>
      </x:c>
      <x:c r="F783" s="10" t="str">
        <x:v>P2</x:v>
      </x:c>
      <x:c r="G783" s="9" t="str">
        <x:v>验证修改成功后的新密码立即可用</x:v>
      </x:c>
      <x:c r="H783" s="9" t="str">
        <x:v>修改后新密码登录</x:v>
      </x:c>
      <x:c r="I783" s="9" t="str">
        <x:v>1. 用户为本条执行者
2. 账号甲绑定邮箱qa.test@example.com，当前密码OldPass#2026</x:v>
      </x:c>
      <x:c r="J783" s="9" t="str">
        <x:v>1. 打开修改密码
2. 输入当前密码OldPass#2026
3. 输入新密码NewPass#2026
4. 输入确认新密码NewPass#2026
5. 点击完成
6. 打开设置
7. 点击退出登录
8. 确认退出
9. 打开邮箱密码登录
10. 输入邮箱qa.test@example.com
11. 输入密码NewPass#2026
12. 点击登录</x:v>
      </x:c>
      <x:c r="K783" s="9" t="str">
        <x:v>登录账号甲并进入首页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来源（当前证据）：liveshow-proto/MainBasis/统一需求文档.md；位置：第 1502 行；REQ-ce587729acac、第 1353 行；REQ-38961d098c06、第 1354 行；REQ-848f796728b0、第 1388 行；REQ-c45bffcc76df、第 1395 行；REQ-d2a5c2bc5ab7、第 1416 行；REQ-ded540825cfd、第 1421 行；REQ-6369e820dcd5、第 1453 行；REQ-4fdff45d29cb、第 1454 行；REQ-620f415b6634、第 1471 行；REQ-7d818f9c9cf0、第 1478 行；REQ-6247f34fa79d、第 1490 行；REQ-db0051cdeede、第 1517 行；REQ-c59e965587e7、第 2349 行；REQ-e855670b3ded、第 1496 行
2. 规则：BR-2A8F39DC70D27C
3. 未动态验证
4. 示例账号、编号、金额与日期是本条测试数据；执行前按前置条件准备，未填写的产品决策不得自行假定。</x:v>
      </x:c>
    </x:row>
    <x:row r="784" ht="130" customHeight="1">
      <x:c r="A784" s="10" t="n">
        <x:v>783</x:v>
      </x:c>
      <x:c r="B784" s="10" t="str">
        <x:v>USER-0783</x:v>
      </x:c>
      <x:c r="C784" s="10" t="str">
        <x:v>首页与发现</x:v>
      </x:c>
      <x:c r="D784" s="10" t="str">
        <x:v>充值福利（用户）</x:v>
      </x:c>
      <x:c r="E784" s="10" t="str">
        <x:v>功能需求</x:v>
      </x:c>
      <x:c r="F784" s="10" t="str">
        <x:v>P2</x:v>
      </x:c>
      <x:c r="G784" s="9" t="str">
        <x:v>验证同一任务多档奖励分别领取</x:v>
      </x:c>
      <x:c r="H784" s="9" t="str">
        <x:v>多档奖励独立状态</x:v>
      </x:c>
      <x:c r="I784" s="9" t="str">
        <x:v>1. 用户为本条执行者
2. 任务甲已启用且在有效期内，配置观看10分钟奖励10金币、30分钟奖励30金币；用户甲今日已累计观看30分钟且两档均未领，当前未到领取截止时间</x:v>
      </x:c>
      <x:c r="J784" s="9" t="str">
        <x:v>1. 打开福利中心
2. 点击任务甲10分钟档领取
3. 查看30分钟档</x:v>
      </x:c>
      <x:c r="K784" s="9" t="str">
        <x:v>30分钟档仍可领取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来源（当前证据）：liveshow-proto/MainBasis/统一需求文档.md；位置：第 618 行；REQ-c1796e8ee348、第 594 行
2. 规则：BR-558C6755CD7EA8
3. 未动态验证
4. 示例账号、编号、金额与日期是本条测试数据；执行前按前置条件准备，未填写的产品决策不得自行假定。</x:v>
      </x:c>
    </x:row>
    <x:row r="785" ht="130" customHeight="1">
      <x:c r="A785" s="10" t="n">
        <x:v>784</x:v>
      </x:c>
      <x:c r="B785" s="10" t="str">
        <x:v>USER-0784</x:v>
      </x:c>
      <x:c r="C785" s="10" t="str">
        <x:v>首页与发现</x:v>
      </x:c>
      <x:c r="D785" s="10" t="str">
        <x:v>充值福利（用户）</x:v>
      </x:c>
      <x:c r="E785" s="10" t="str">
        <x:v>功能需求</x:v>
      </x:c>
      <x:c r="F785" s="10" t="str">
        <x:v>P2</x:v>
      </x:c>
      <x:c r="G785" s="9" t="str">
        <x:v>验证同一任务另一档可以继续领取</x:v>
      </x:c>
      <x:c r="H785" s="9" t="str">
        <x:v>多档领取成功</x:v>
      </x:c>
      <x:c r="I785" s="9" t="str">
        <x:v>1. 用户为本条执行者
2. 任务甲已启用且在有效期内，配置观看10分钟奖励10金币、30分钟奖励30金币；用户甲今日已累计观看30分钟且两档均未领，当前未到领取截止时间</x:v>
      </x:c>
      <x:c r="J785" s="9" t="str">
        <x:v>1. 打开福利中心
2. 点击任务甲10分钟档领取
3. 点击30分钟档领取</x:v>
      </x:c>
      <x:c r="K785" s="9" t="str">
        <x:v>30分钟档显示已领取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来源（当前证据）：liveshow-proto/MainBasis/统一需求文档.md；位置：第 618 行；REQ-c1796e8ee348、第 594 行
2. 规则：BR-8D0A9206CFCEBC
3. 未动态验证
4. 示例账号、编号、金额与日期是本条测试数据；执行前按前置条件准备，未填写的产品决策不得自行假定。</x:v>
      </x:c>
    </x:row>
    <x:row r="786" ht="130" customHeight="1">
      <x:c r="A786" s="10" t="n">
        <x:v>785</x:v>
      </x:c>
      <x:c r="B786" s="10" t="str">
        <x:v>USER-0785</x:v>
      </x:c>
      <x:c r="C786" s="10" t="str">
        <x:v>消息与社交</x:v>
      </x:c>
      <x:c r="D786" s="10" t="str">
        <x:v>1 对 1 私信（用户）</x:v>
      </x:c>
      <x:c r="E786" s="10" t="str">
        <x:v>功能需求</x:v>
      </x:c>
      <x:c r="F786" s="10" t="str">
        <x:v>P2</x:v>
      </x:c>
      <x:c r="G786" s="9" t="str">
        <x:v>验证对方进入会话更新已读</x:v>
      </x:c>
      <x:c r="H786" s="9" t="str">
        <x:v>私信读状态同步</x:v>
      </x:c>
      <x:c r="I786" s="9" t="str">
        <x:v>1. 用户为本条执行者
2. 甲乙为好友，甲已发送测试消息M001，乙尚未进入该会话；乙为配合账号
3. 乙在本条查看前进入与甲的会话</x:v>
      </x:c>
      <x:c r="J786" s="9" t="str">
        <x:v>1. 打开与乙的私信
2. 查看M001已读状态</x:v>
      </x:c>
      <x:c r="K786" s="9" t="str">
        <x:v>M001显示已读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来源（当前证据）：liveshow-proto/MainBasis/统一需求文档.md；位置：第 886 行；REQ-4fd122fd97bf、第 883 行
2. 规则：BR-7DD2553EAA5823
3. 未动态验证
4. 示例账号、编号、金额与日期是本条测试数据；执行前按前置条件准备，未填写的产品决策不得自行假定。</x:v>
      </x:c>
    </x:row>
    <x:row r="787" ht="130" customHeight="1">
      <x:c r="A787" s="10" t="n">
        <x:v>786</x:v>
      </x:c>
      <x:c r="B787" s="10" t="str">
        <x:v>USER-0786</x:v>
      </x:c>
      <x:c r="C787" s="10" t="str">
        <x:v>消息与社交</x:v>
      </x:c>
      <x:c r="D787" s="10" t="str">
        <x:v>粉丝列表（用户）</x:v>
      </x:c>
      <x:c r="E787" s="10" t="str">
        <x:v>功能需求</x:v>
      </x:c>
      <x:c r="F787" s="10" t="str">
        <x:v>P2</x:v>
      </x:c>
      <x:c r="G787" s="9" t="str">
        <x:v>验证用户名检索test</x:v>
      </x:c>
      <x:c r="H787" s="9" t="str">
        <x:v>关系列表模糊检索</x:v>
      </x:c>
      <x:c r="I787" s="9" t="str">
        <x:v>1. 用户为本条执行者
2. 本列表仅有昵称为TestAlpha的甲、昵称为Beta的乙</x:v>
      </x:c>
      <x:c r="J787" s="9" t="str">
        <x:v>1. 打开粉丝列表
2. 输入搜索词test</x:v>
      </x:c>
      <x:c r="K787" s="9" t="str">
        <x:v>结果仅包含甲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来源（当前证据）：liveshow-proto/MainBasis/统一需求文档.md；位置：第 709 行；REQ-971575bcd0ea、第 707 行
2. 规则：BR-A3621E56AAE8DB
3. 未动态验证
4. 示例账号、编号、金额与日期是本条测试数据；执行前按前置条件准备，未填写的产品决策不得自行假定。</x:v>
      </x:c>
    </x:row>
    <x:row r="788" ht="130" customHeight="1">
      <x:c r="A788" s="10" t="n">
        <x:v>787</x:v>
      </x:c>
      <x:c r="B788" s="10" t="str">
        <x:v>USER-0787</x:v>
      </x:c>
      <x:c r="C788" s="10" t="str">
        <x:v>消息与社交</x:v>
      </x:c>
      <x:c r="D788" s="10" t="str">
        <x:v>粉丝列表（用户）</x:v>
      </x:c>
      <x:c r="E788" s="10" t="str">
        <x:v>功能需求</x:v>
      </x:c>
      <x:c r="F788" s="10" t="str">
        <x:v>P2</x:v>
      </x:c>
      <x:c r="G788" s="9" t="str">
        <x:v>验证用户名检索TEST</x:v>
      </x:c>
      <x:c r="H788" s="9" t="str">
        <x:v>关系列表模糊检索</x:v>
      </x:c>
      <x:c r="I788" s="9" t="str">
        <x:v>1. 用户为本条执行者
2. 本列表仅有昵称为TestAlpha的甲、昵称为Beta的乙</x:v>
      </x:c>
      <x:c r="J788" s="9" t="str">
        <x:v>1. 打开粉丝列表
2. 输入搜索词TEST</x:v>
      </x:c>
      <x:c r="K788" s="9" t="str">
        <x:v>结果仅包含甲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来源（当前证据）：liveshow-proto/MainBasis/统一需求文档.md；位置：第 709 行；REQ-971575bcd0ea、第 707 行
2. 规则：BR-EB9AD98F6F7E40
3. 未动态验证
4. 示例账号、编号、金额与日期是本条测试数据；执行前按前置条件准备，未填写的产品决策不得自行假定。</x:v>
      </x:c>
    </x:row>
    <x:row r="789" ht="130" customHeight="1">
      <x:c r="A789" s="10" t="n">
        <x:v>788</x:v>
      </x:c>
      <x:c r="B789" s="10" t="str">
        <x:v>USER-0788</x:v>
      </x:c>
      <x:c r="C789" s="10" t="str">
        <x:v>消息与社交</x:v>
      </x:c>
      <x:c r="D789" s="10" t="str">
        <x:v>粉丝列表（用户）</x:v>
      </x:c>
      <x:c r="E789" s="10" t="str">
        <x:v>功能需求</x:v>
      </x:c>
      <x:c r="F789" s="10" t="str">
        <x:v>P2</x:v>
      </x:c>
      <x:c r="G789" s="9" t="str">
        <x:v>验证用户名检索空值</x:v>
      </x:c>
      <x:c r="H789" s="9" t="str">
        <x:v>关系列表模糊检索</x:v>
      </x:c>
      <x:c r="I789" s="9" t="str">
        <x:v>1. 用户为本条执行者
2. 本列表仅有昵称为TestAlpha的甲、昵称为Beta的乙</x:v>
      </x:c>
      <x:c r="J789" s="9" t="str">
        <x:v>1. 打开粉丝列表
2. 清空搜索词</x:v>
      </x:c>
      <x:c r="K789" s="9" t="str">
        <x:v>结果包含甲和乙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来源（当前证据）：liveshow-proto/MainBasis/统一需求文档.md；位置：第 709 行；REQ-971575bcd0ea、第 707 行
2. 规则：BR-4FEADEB5CC932A
3. 未动态验证
4. 示例账号、编号、金额与日期是本条测试数据；执行前按前置条件准备，未填写的产品决策不得自行假定。</x:v>
      </x:c>
    </x:row>
    <x:row r="790" ht="130" customHeight="1">
      <x:c r="A790" s="10" t="n">
        <x:v>789</x:v>
      </x:c>
      <x:c r="B790" s="10" t="str">
        <x:v>USER-0789</x:v>
      </x:c>
      <x:c r="C790" s="10" t="str">
        <x:v>个人中心</x:v>
      </x:c>
      <x:c r="D790" s="10" t="str">
        <x:v>我的关注（用户）</x:v>
      </x:c>
      <x:c r="E790" s="10" t="str">
        <x:v>功能需求</x:v>
      </x:c>
      <x:c r="F790" s="10" t="str">
        <x:v>P2</x:v>
      </x:c>
      <x:c r="G790" s="9" t="str">
        <x:v>验证用户名检索test</x:v>
      </x:c>
      <x:c r="H790" s="9" t="str">
        <x:v>关系列表模糊检索</x:v>
      </x:c>
      <x:c r="I790" s="9" t="str">
        <x:v>1. 用户为本条执行者
2. 本列表仅有昵称为TestAlpha的甲、昵称为Beta的乙</x:v>
      </x:c>
      <x:c r="J790" s="9" t="str">
        <x:v>1. 打开我的关注
2. 输入搜索词test</x:v>
      </x:c>
      <x:c r="K790" s="9" t="str">
        <x:v>结果仅包含甲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来源（当前证据）：liveshow-proto/MainBasis/统一需求文档.md；位置：第 720 行；REQ-6b2cbb975486、第 718 行
2. 规则：BR-168C435088C61A
3. 未动态验证
4. 示例账号、编号、金额与日期是本条测试数据；执行前按前置条件准备，未填写的产品决策不得自行假定。</x:v>
      </x:c>
    </x:row>
    <x:row r="791" ht="130" customHeight="1">
      <x:c r="A791" s="10" t="n">
        <x:v>790</x:v>
      </x:c>
      <x:c r="B791" s="10" t="str">
        <x:v>USER-0790</x:v>
      </x:c>
      <x:c r="C791" s="10" t="str">
        <x:v>个人中心</x:v>
      </x:c>
      <x:c r="D791" s="10" t="str">
        <x:v>我的关注（用户）</x:v>
      </x:c>
      <x:c r="E791" s="10" t="str">
        <x:v>功能需求</x:v>
      </x:c>
      <x:c r="F791" s="10" t="str">
        <x:v>P2</x:v>
      </x:c>
      <x:c r="G791" s="9" t="str">
        <x:v>验证用户名检索TEST</x:v>
      </x:c>
      <x:c r="H791" s="9" t="str">
        <x:v>关系列表模糊检索</x:v>
      </x:c>
      <x:c r="I791" s="9" t="str">
        <x:v>1. 用户为本条执行者
2. 本列表仅有昵称为TestAlpha的甲、昵称为Beta的乙</x:v>
      </x:c>
      <x:c r="J791" s="9" t="str">
        <x:v>1. 打开我的关注
2. 输入搜索词TEST</x:v>
      </x:c>
      <x:c r="K791" s="9" t="str">
        <x:v>结果仅包含甲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来源（当前证据）：liveshow-proto/MainBasis/统一需求文档.md；位置：第 720 行；REQ-6b2cbb975486、第 718 行
2. 规则：BR-37A2F2372036C4
3. 未动态验证
4. 示例账号、编号、金额与日期是本条测试数据；执行前按前置条件准备，未填写的产品决策不得自行假定。</x:v>
      </x:c>
    </x:row>
    <x:row r="792" ht="130" customHeight="1">
      <x:c r="A792" s="10" t="n">
        <x:v>791</x:v>
      </x:c>
      <x:c r="B792" s="10" t="str">
        <x:v>USER-0791</x:v>
      </x:c>
      <x:c r="C792" s="10" t="str">
        <x:v>个人中心</x:v>
      </x:c>
      <x:c r="D792" s="10" t="str">
        <x:v>我的关注（用户）</x:v>
      </x:c>
      <x:c r="E792" s="10" t="str">
        <x:v>功能需求</x:v>
      </x:c>
      <x:c r="F792" s="10" t="str">
        <x:v>P2</x:v>
      </x:c>
      <x:c r="G792" s="9" t="str">
        <x:v>验证用户名检索空值</x:v>
      </x:c>
      <x:c r="H792" s="9" t="str">
        <x:v>关系列表模糊检索</x:v>
      </x:c>
      <x:c r="I792" s="9" t="str">
        <x:v>1. 用户为本条执行者
2. 本列表仅有昵称为TestAlpha的甲、昵称为Beta的乙</x:v>
      </x:c>
      <x:c r="J792" s="9" t="str">
        <x:v>1. 打开我的关注
2. 清空搜索词</x:v>
      </x:c>
      <x:c r="K792" s="9" t="str">
        <x:v>结果包含甲和乙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来源（当前证据）：liveshow-proto/MainBasis/统一需求文档.md；位置：第 720 行；REQ-6b2cbb975486、第 718 行
2. 规则：BR-7C8C29C2C94975
3. 未动态验证
4. 示例账号、编号、金额与日期是本条测试数据；执行前按前置条件准备，未填写的产品决策不得自行假定。</x:v>
      </x:c>
    </x:row>
    <x:row r="793" ht="130" customHeight="1">
      <x:c r="A793" s="10" t="n">
        <x:v>792</x:v>
      </x:c>
      <x:c r="B793" s="10" t="str">
        <x:v>USER-0792</x:v>
      </x:c>
      <x:c r="C793" s="10" t="str">
        <x:v>消息与社交</x:v>
      </x:c>
      <x:c r="D793" s="10" t="str">
        <x:v>好友列表（用户）</x:v>
      </x:c>
      <x:c r="E793" s="10" t="str">
        <x:v>功能需求</x:v>
      </x:c>
      <x:c r="F793" s="10" t="str">
        <x:v>P2</x:v>
      </x:c>
      <x:c r="G793" s="9" t="str">
        <x:v>验证用户名检索test</x:v>
      </x:c>
      <x:c r="H793" s="9" t="str">
        <x:v>关系列表模糊检索</x:v>
      </x:c>
      <x:c r="I793" s="9" t="str">
        <x:v>1. 用户为本条执行者
2. 本列表仅有昵称为TestAlpha的甲、昵称为Beta的乙</x:v>
      </x:c>
      <x:c r="J793" s="9" t="str">
        <x:v>1. 打开好友列表
2. 输入搜索词test</x:v>
      </x:c>
      <x:c r="K793" s="9" t="str">
        <x:v>结果仅包含甲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来源（当前证据）：liveshow-proto/MainBasis/统一需求文档.md；位置：第 856 行；REQ-1f98d757e221、第 854 行
2. 规则：BR-735C84A3DA72D7
3. 未动态验证
4. 示例账号、编号、金额与日期是本条测试数据；执行前按前置条件准备，未填写的产品决策不得自行假定。</x:v>
      </x:c>
    </x:row>
    <x:row r="794" ht="130" customHeight="1">
      <x:c r="A794" s="10" t="n">
        <x:v>793</x:v>
      </x:c>
      <x:c r="B794" s="10" t="str">
        <x:v>USER-0793</x:v>
      </x:c>
      <x:c r="C794" s="10" t="str">
        <x:v>消息与社交</x:v>
      </x:c>
      <x:c r="D794" s="10" t="str">
        <x:v>好友列表（用户）</x:v>
      </x:c>
      <x:c r="E794" s="10" t="str">
        <x:v>功能需求</x:v>
      </x:c>
      <x:c r="F794" s="10" t="str">
        <x:v>P2</x:v>
      </x:c>
      <x:c r="G794" s="9" t="str">
        <x:v>验证用户名检索TEST</x:v>
      </x:c>
      <x:c r="H794" s="9" t="str">
        <x:v>关系列表模糊检索</x:v>
      </x:c>
      <x:c r="I794" s="9" t="str">
        <x:v>1. 用户为本条执行者
2. 本列表仅有昵称为TestAlpha的甲、昵称为Beta的乙</x:v>
      </x:c>
      <x:c r="J794" s="9" t="str">
        <x:v>1. 打开好友列表
2. 输入搜索词TEST</x:v>
      </x:c>
      <x:c r="K794" s="9" t="str">
        <x:v>结果仅包含甲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来源（当前证据）：liveshow-proto/MainBasis/统一需求文档.md；位置：第 856 行；REQ-1f98d757e221、第 854 行
2. 规则：BR-C0F120CF1A7BCE
3. 未动态验证
4. 示例账号、编号、金额与日期是本条测试数据；执行前按前置条件准备，未填写的产品决策不得自行假定。</x:v>
      </x:c>
    </x:row>
    <x:row r="795" ht="130" customHeight="1">
      <x:c r="A795" s="10" t="n">
        <x:v>794</x:v>
      </x:c>
      <x:c r="B795" s="10" t="str">
        <x:v>USER-0794</x:v>
      </x:c>
      <x:c r="C795" s="10" t="str">
        <x:v>消息与社交</x:v>
      </x:c>
      <x:c r="D795" s="10" t="str">
        <x:v>好友列表（用户）</x:v>
      </x:c>
      <x:c r="E795" s="10" t="str">
        <x:v>功能需求</x:v>
      </x:c>
      <x:c r="F795" s="10" t="str">
        <x:v>P2</x:v>
      </x:c>
      <x:c r="G795" s="9" t="str">
        <x:v>验证用户名检索空值</x:v>
      </x:c>
      <x:c r="H795" s="9" t="str">
        <x:v>关系列表模糊检索</x:v>
      </x:c>
      <x:c r="I795" s="9" t="str">
        <x:v>1. 用户为本条执行者
2. 本列表仅有昵称为TestAlpha的甲、昵称为Beta的乙</x:v>
      </x:c>
      <x:c r="J795" s="9" t="str">
        <x:v>1. 打开好友列表
2. 清空搜索词</x:v>
      </x:c>
      <x:c r="K795" s="9" t="str">
        <x:v>结果包含甲和乙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来源（当前证据）：liveshow-proto/MainBasis/统一需求文档.md；位置：第 856 行；REQ-1f98d757e221、第 854 行
2. 规则：BR-C974BEE2382621
3. 未动态验证
4. 示例账号、编号、金额与日期是本条测试数据；执行前按前置条件准备，未填写的产品决策不得自行假定。</x:v>
      </x:c>
    </x:row>
    <x:row r="796" ht="145" customHeight="1">
      <x:c r="A796" s="10" t="n">
        <x:v>795</x:v>
      </x:c>
      <x:c r="B796" s="10" t="str">
        <x:v>USER-0795</x:v>
      </x:c>
      <x:c r="C796" s="10" t="str">
        <x:v>消息与社交</x:v>
      </x:c>
      <x:c r="D796" s="10" t="str">
        <x:v>群管理（成员）（用户）</x:v>
      </x:c>
      <x:c r="E796" s="10" t="str">
        <x:v>功能需求</x:v>
      </x:c>
      <x:c r="F796" s="10" t="str">
        <x:v>P2</x:v>
      </x:c>
      <x:c r="G796" s="9" t="str">
        <x:v>验证群免打扰不阻止接收消息</x:v>
      </x:c>
      <x:c r="H796" s="9" t="str">
        <x:v>免打扰与消息接收隔离</x:v>
      </x:c>
      <x:c r="I796" s="9" t="str">
        <x:v>1. 用户为本条执行者
2. 当前账号有粉丝群甲的有效访问权限，消息免打扰原为关闭
3. 群内配合成员乙在开关保存后发送“免打扰接收测试”</x:v>
      </x:c>
      <x:c r="J796" s="9" t="str">
        <x:v>1. 打开群管理（成员）
2. 点击开启群消息免打扰
3. 返回粉丝群聊天
4. 查看最新消息</x:v>
      </x:c>
      <x:c r="K796" s="9" t="str">
        <x:v>群内仍显示“免打扰接收测试”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来源（当前证据）：liveshow-proto/MainBasis/统一需求文档.md；位置：第 912 行；REQ-afbde3ae27a9、第 916 行；REQ-43a003d8c23f、第 909 行
2. 规则：BR-8D4AFD7E0041F1
3. 未动态验证
4. 示例账号、编号、金额与日期是本条测试数据；执行前按前置条件准备，未填写的产品决策不得自行假定。</x:v>
      </x:c>
    </x:row>
    <x:row r="797" ht="130" customHeight="1">
      <x:c r="A797" s="10" t="n">
        <x:v>796</x:v>
      </x:c>
      <x:c r="B797" s="10" t="str">
        <x:v>USER-0796</x:v>
      </x:c>
      <x:c r="C797" s="10" t="str">
        <x:v>消息与社交</x:v>
      </x:c>
      <x:c r="D797" s="10" t="str">
        <x:v>群管理（群主）（主播）</x:v>
      </x:c>
      <x:c r="E797" s="10" t="str">
        <x:v>功能需求</x:v>
      </x:c>
      <x:c r="F797" s="10" t="str">
        <x:v>P2</x:v>
      </x:c>
      <x:c r="G797" s="9" t="str">
        <x:v>验证群免打扰不阻止接收消息</x:v>
      </x:c>
      <x:c r="H797" s="9" t="str">
        <x:v>免打扰与消息接收隔离</x:v>
      </x:c>
      <x:c r="I797" s="9" t="str">
        <x:v>1. 主播为本条执行者
2. 当前账号有粉丝群甲的有效访问权限，消息免打扰原为关闭
3. 群内配合成员乙在开关保存后发送“免打扰接收测试”</x:v>
      </x:c>
      <x:c r="J797" s="9" t="str">
        <x:v>1. 打开群管理（群主）
2. 点击开启群消息免打扰
3. 返回粉丝群聊天
4. 查看最新消息</x:v>
      </x:c>
      <x:c r="K797" s="9" t="str">
        <x:v>群内仍显示“免打扰接收测试”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来源（当前证据）：liveshow-proto/MainBasis/统一需求文档.md；位置：第 924 行；REQ-ed73a73d0917、第 919 行
2. 规则：BR-E8A5C60753A474
3. 未动态验证
4. 示例账号、编号、金额与日期是本条测试数据；执行前按前置条件准备，未填写的产品决策不得自行假定。</x:v>
      </x:c>
    </x:row>
    <x:row r="798" ht="130" customHeight="1">
      <x:c r="A798" s="10" t="n">
        <x:v>797</x:v>
      </x:c>
      <x:c r="B798" s="10" t="str">
        <x:v>USER-0797</x:v>
      </x:c>
      <x:c r="C798" s="10" t="str">
        <x:v>直播</x:v>
      </x:c>
      <x:c r="D798" s="10" t="str">
        <x:v>粉丝团·已加入（用户）</x:v>
      </x:c>
      <x:c r="E798" s="10" t="str">
        <x:v>功能需求</x:v>
      </x:c>
      <x:c r="F798" s="10" t="str">
        <x:v>P2</x:v>
      </x:c>
      <x:c r="G798" s="9" t="str">
        <x:v>验证重新入团不恢复历史成长</x:v>
      </x:c>
      <x:c r="H798" s="9" t="str">
        <x:v>重新入团粉丝等级重置</x:v>
      </x:c>
      <x:c r="I798" s="9" t="str">
        <x:v>1. 用户为本条执行者
2. 用户甲原属于主播乙粉丝团，粉丝等级和亲密度非0；已退出后重新满足条件加入乙的粉丝团</x:v>
      </x:c>
      <x:c r="J798" s="9" t="str">
        <x:v>1. 打开主播乙直播间
2. 打开已加入粉丝团信息</x:v>
      </x:c>
      <x:c r="K798" s="9" t="str">
        <x:v>粉丝等级从0开始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来源（当前证据）：liveshow-proto/MainBasis/统一需求文档.md；位置：第 1625 行；REQ-0f1b9b9f419d、第 1619 行
2. 规则：BR-7056C886230FAB
3. 未动态验证
4. 示例账号、编号、金额与日期是本条测试数据；执行前按前置条件准备，未填写的产品决策不得自行假定。</x:v>
      </x:c>
    </x:row>
    <x:row r="799" ht="130" customHeight="1">
      <x:c r="A799" s="10" t="n">
        <x:v>798</x:v>
      </x:c>
      <x:c r="B799" s="10" t="str">
        <x:v>USER-0798</x:v>
      </x:c>
      <x:c r="C799" s="10" t="str">
        <x:v>直播</x:v>
      </x:c>
      <x:c r="D799" s="10" t="str">
        <x:v>粉丝团·已加入（用户）</x:v>
      </x:c>
      <x:c r="E799" s="10" t="str">
        <x:v>功能需求</x:v>
      </x:c>
      <x:c r="F799" s="10" t="str">
        <x:v>P2</x:v>
      </x:c>
      <x:c r="G799" s="9" t="str">
        <x:v>验证重新入团不恢复历史成长</x:v>
      </x:c>
      <x:c r="H799" s="9" t="str">
        <x:v>重新入团亲密度重置</x:v>
      </x:c>
      <x:c r="I799" s="9" t="str">
        <x:v>1. 用户为本条执行者
2. 用户甲原属于主播乙粉丝团，粉丝等级和亲密度非0；已退出后重新满足条件加入乙的粉丝团</x:v>
      </x:c>
      <x:c r="J799" s="9" t="str">
        <x:v>1. 打开主播乙直播间
2. 打开已加入粉丝团信息</x:v>
      </x:c>
      <x:c r="K799" s="9" t="str">
        <x:v>亲密度为0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来源（当前证据）：liveshow-proto/MainBasis/统一需求文档.md；位置：第 1625 行；REQ-0f1b9b9f419d、第 1619 行
2. 规则：BR-356F19E4CFC89E
3. 未动态验证
4. 示例账号、编号、金额与日期是本条测试数据；执行前按前置条件准备，未填写的产品决策不得自行假定。</x:v>
      </x:c>
    </x:row>
  </x:sheetData>
  <x:dataValidations count="3">
    <x:dataValidation type="list" sqref="E2:E799">
      <x:formula1>"功能需求,业务流程,逻辑校验,异常用例"</x:formula1>
    </x:dataValidation>
    <x:dataValidation type="list" sqref="F2:F799">
      <x:formula1>"P0,P1,P2,P3"</x:formula1>
    </x:dataValidation>
    <x:dataValidation type="list" sqref="M2:M79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c2e5bddfa04d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85" customHeight="1">
      <x:c r="A2" s="10" t="str">
        <x:v>PENDING-profile-live-entry</x:v>
      </x:c>
      <x:c r="B2" s="10" t="str">
        <x:v>GROUP-profile-live-entry</x:v>
      </x:c>
      <x:c r="C2" s="10" t="str"/>
      <x:c r="D2" s="10" t="str"/>
      <x:c r="E2" s="10" t="str">
        <x:v>部分阻塞</x:v>
      </x:c>
      <x:c r="F2" s="10" t="str">
        <x:v>相关业务模块</x:v>
      </x:c>
      <x:c r="G2" s="9" t="str">
        <x:v>个人中心开播入口</x:v>
      </x:c>
      <x:c r="H2" s="9" t="str">
        <x:v>角色与权限</x:v>
      </x:c>
      <x:c r="I2" s="9" t="str">
        <x:v>已认证主播点击个人中心开始直播，直接进入开播设置还是先进入主播中心？</x:v>
      </x:c>
      <x:c r="J2" s="9" t="str">
        <x:v>A. 直接进入开播设置
B. 先进入主播中心</x:v>
      </x:c>
      <x:c r="K2" s="9" t="str">
        <x:v>先确认此决定及适用范围，再按选定方案补齐相应正向、边界和失败分支；现有可执行分支继续测试。</x:v>
      </x:c>
      <x:c r="L2" s="12" t="str"/>
      <x:c r="M2" s="12" t="str"/>
      <x:c r="N2" s="10" t="str">
        <x:v>1. liveshow-proto/MainBasis/需求待确认清单.md 第7行；AN-52423cc339e3
2. 候选方案只供决策，不是已确认预期。</x:v>
      </x:c>
      <x:c r="O2" s="9" t="str">
        <x:v>1. 用户App</x:v>
      </x:c>
      <x:c r="P2" s="9" t="str"/>
      <x:c r="Q2" s="9" t="str">
        <x:v>1. 个人中心开播入口的确定性预期及对应分支</x:v>
      </x:c>
      <x:c r="R2" s="9" t="str">
        <x:v>产品</x:v>
      </x:c>
      <x:c r="S2" s="9" t="str">
        <x:v>相关功能测试开始前</x:v>
      </x:c>
      <x:c r="T2" s="9" t="str">
        <x:v>待确认</x:v>
      </x:c>
    </x:row>
    <x:row r="3" ht="85" customHeight="1">
      <x:c r="A3" s="10" t="str">
        <x:v>PENDING-badge-location</x:v>
      </x:c>
      <x:c r="B3" s="10" t="str">
        <x:v>GROUP-badge-location</x:v>
      </x:c>
      <x:c r="C3" s="10" t="str"/>
      <x:c r="D3" s="10" t="str"/>
      <x:c r="E3" s="10" t="str">
        <x:v>部分阻塞</x:v>
      </x:c>
      <x:c r="F3" s="10" t="str">
        <x:v>等级与身份</x:v>
      </x:c>
      <x:c r="G3" s="9" t="str">
        <x:v>等级勋章展示位置</x:v>
      </x:c>
      <x:c r="H3" s="9" t="str">
        <x:v>角色与权限</x:v>
      </x:c>
      <x:c r="I3" s="9" t="str">
        <x:v>等级勋章在用户App的哪些位置展示？</x:v>
      </x:c>
      <x:c r="J3" s="9" t="str">
        <x:v>A. 仅个人主页等级区域
B. 个人主页及直播资料卡等级区域
C. 复用现有已佩戴勋章区域</x:v>
      </x:c>
      <x:c r="K3" s="9" t="str">
        <x:v>先确认此决定及适用范围，再按选定方案补齐相应正向、边界和失败分支；现有可执行分支继续测试。</x:v>
      </x:c>
      <x:c r="L3" s="12" t="str"/>
      <x:c r="M3" s="12" t="str"/>
      <x:c r="N3" s="10" t="str">
        <x:v>1. liveshow-proto/MainBasis/需求待确认清单.md 第11行；AN-f205606825f1
2. 候选方案只供决策，不是已确认预期。</x:v>
      </x:c>
      <x:c r="O3" s="9" t="str">
        <x:v>1. 用户App
2. 管理后台</x:v>
      </x:c>
      <x:c r="P3" s="9" t="str"/>
      <x:c r="Q3" s="9" t="str">
        <x:v>1. 等级勋章展示位置的确定性预期及对应分支</x:v>
      </x:c>
      <x:c r="R3" s="9" t="str">
        <x:v>产品</x:v>
      </x:c>
      <x:c r="S3" s="9" t="str">
        <x:v>相关功能测试开始前</x:v>
      </x:c>
      <x:c r="T3" s="9" t="str">
        <x:v>待确认</x:v>
      </x:c>
    </x:row>
    <x:row r="4" ht="85" customHeight="1">
      <x:c r="A4" s="10" t="str">
        <x:v>PENDING-badge-auto</x:v>
      </x:c>
      <x:c r="B4" s="10" t="str">
        <x:v>GROUP-badge-auto</x:v>
      </x:c>
      <x:c r="C4" s="10" t="str"/>
      <x:c r="D4" s="10" t="str"/>
      <x:c r="E4" s="10" t="str">
        <x:v>部分阻塞</x:v>
      </x:c>
      <x:c r="F4" s="10" t="str">
        <x:v>等级与身份</x:v>
      </x:c>
      <x:c r="G4" s="9" t="str">
        <x:v>升级勋章自动替换</x:v>
      </x:c>
      <x:c r="H4" s="9" t="str">
        <x:v>业务规则</x:v>
      </x:c>
      <x:c r="I4" s="9" t="str">
        <x:v>等级变化后是否自动替换该类型勋章？</x:v>
      </x:c>
      <x:c r="J4" s="9" t="str">
        <x:v>A. 立即自动替换
B. 获得新勋章后保留原佩戴状态</x:v>
      </x:c>
      <x:c r="K4" s="9" t="str">
        <x:v>先确认此决定及适用范围，再按选定方案补齐相应正向、边界和失败分支；现有可执行分支继续测试。</x:v>
      </x:c>
      <x:c r="L4" s="12" t="str"/>
      <x:c r="M4" s="12" t="str"/>
      <x:c r="N4" s="10" t="str">
        <x:v>1. liveshow-proto/MainBasis/需求待确认清单.md 第15行；AN-f205606825f1
2. 候选方案只供决策，不是已确认预期。</x:v>
      </x:c>
      <x:c r="O4" s="9" t="str">
        <x:v>1. 用户App
2. 管理后台</x:v>
      </x:c>
      <x:c r="P4" s="9" t="str"/>
      <x:c r="Q4" s="9" t="str">
        <x:v>1. 升级勋章自动替换的确定性预期及对应分支</x:v>
      </x:c>
      <x:c r="R4" s="9" t="str">
        <x:v>产品</x:v>
      </x:c>
      <x:c r="S4" s="9" t="str">
        <x:v>相关功能测试开始前</x:v>
      </x:c>
      <x:c r="T4" s="9" t="str">
        <x:v>待确认</x:v>
      </x:c>
    </x:row>
    <x:row r="5" ht="85" customHeight="1">
      <x:c r="A5" s="10" t="str">
        <x:v>PENDING-badge-wear</x:v>
      </x:c>
      <x:c r="B5" s="10" t="str">
        <x:v>GROUP-badge-wear</x:v>
      </x:c>
      <x:c r="C5" s="10" t="str"/>
      <x:c r="D5" s="10" t="str"/>
      <x:c r="E5" s="10" t="str">
        <x:v>部分阻塞</x:v>
      </x:c>
      <x:c r="F5" s="10" t="str">
        <x:v>等级与身份</x:v>
      </x:c>
      <x:c r="G5" s="9" t="str">
        <x:v>等级勋章手动佩戴</x:v>
      </x:c>
      <x:c r="H5" s="9" t="str">
        <x:v>业务规则</x:v>
      </x:c>
      <x:c r="I5" s="9" t="str">
        <x:v>等级勋章是否允许用户手动佩戴和卸下？</x:v>
      </x:c>
      <x:c r="J5" s="9" t="str">
        <x:v>A. 自动展示且不能手动操作
B. 可手动佩戴和卸下</x:v>
      </x:c>
      <x:c r="K5" s="9" t="str">
        <x:v>先确认此决定及适用范围，再按选定方案补齐相应正向、边界和失败分支；现有可执行分支继续测试。</x:v>
      </x:c>
      <x:c r="L5" s="12" t="str"/>
      <x:c r="M5" s="12" t="str"/>
      <x:c r="N5" s="10" t="str">
        <x:v>1. liveshow-proto/MainBasis/需求待确认清单.md 第19行；AN-f205606825f1
2. 候选方案只供决策，不是已确认预期。</x:v>
      </x:c>
      <x:c r="O5" s="9" t="str">
        <x:v>1. 用户App
2. 管理后台</x:v>
      </x:c>
      <x:c r="P5" s="9" t="str"/>
      <x:c r="Q5" s="9" t="str">
        <x:v>1. 等级勋章手动佩戴的确定性预期及对应分支</x:v>
      </x:c>
      <x:c r="R5" s="9" t="str">
        <x:v>产品</x:v>
      </x:c>
      <x:c r="S5" s="9" t="str">
        <x:v>相关功能测试开始前</x:v>
      </x:c>
      <x:c r="T5" s="9" t="str">
        <x:v>待确认</x:v>
      </x:c>
    </x:row>
    <x:row r="6" ht="85" customHeight="1">
      <x:c r="A6" s="10" t="str">
        <x:v>PENDING-reward-prop-conflict</x:v>
      </x:c>
      <x:c r="B6" s="10" t="str">
        <x:v>GROUP-reward-prop-conflict</x:v>
      </x:c>
      <x:c r="C6" s="10" t="str"/>
      <x:c r="D6" s="10" t="str"/>
      <x:c r="E6" s="10" t="str">
        <x:v>部分阻塞</x:v>
      </x:c>
      <x:c r="F6" s="10" t="str">
        <x:v>任务与福利</x:v>
      </x:c>
      <x:c r="G6" s="9" t="str">
        <x:v>任务道具奖励冲突</x:v>
      </x:c>
      <x:c r="H6" s="9" t="str">
        <x:v>业务规则</x:v>
      </x:c>
      <x:c r="I6" s="9" t="str">
        <x:v>任务配置及福利页说明仅奖励金币，但已领取视图仍写道具入背包；本期是否允许任务奖励道具？</x:v>
      </x:c>
      <x:c r="J6" s="9" t="str">
        <x:v>A. 本期只支持金币并修正领取视图
B. 增加道具奖励并补充后台配置规则</x:v>
      </x:c>
      <x:c r="K6" s="9" t="str">
        <x:v>本期按统一需求的金币奖励执行；道具奖励属于后续范围变更，不阻塞当前金币奖励用例。</x:v>
      </x:c>
      <x:c r="L6" s="12" t="str"/>
      <x:c r="M6" s="12" t="str"/>
      <x:c r="N6" s="10" t="str">
        <x:v>1. liveshow-proto/MainBasis/需求待确认清单.md 第23行；AN-a7de732767b6
2. 统一需求明确本期仅金币奖励；现有差异按正式规则处理。</x:v>
      </x:c>
      <x:c r="O6" s="9" t="str">
        <x:v>1. 用户App
2. 管理后台</x:v>
      </x:c>
      <x:c r="P6" s="9" t="str"/>
      <x:c r="Q6" s="9" t="str">
        <x:v>1. 任务道具奖励冲突的确定性预期及对应分支</x:v>
      </x:c>
      <x:c r="R6" s="9" t="str">
        <x:v>产品</x:v>
      </x:c>
      <x:c r="S6" s="9" t="str">
        <x:v>相关功能测试开始前</x:v>
      </x:c>
      <x:c r="T6" s="9" t="str">
        <x:v>无需处理</x:v>
      </x:c>
    </x:row>
    <x:row r="7" ht="115" customHeight="1">
      <x:c r="A7" s="10" t="str">
        <x:v>PENDING-virtual-board</x:v>
      </x:c>
      <x:c r="B7" s="10" t="str">
        <x:v>GROUP-virtual-board</x:v>
      </x:c>
      <x:c r="C7" s="10" t="str"/>
      <x:c r="D7" s="10" t="str"/>
      <x:c r="E7" s="10" t="str">
        <x:v>部分阻塞</x:v>
      </x:c>
      <x:c r="F7" s="10" t="str">
        <x:v>资产与结算</x:v>
      </x:c>
      <x:c r="G7" s="9" t="str">
        <x:v>虚拟金币榜单范围</x:v>
      </x:c>
      <x:c r="H7" s="9" t="str">
        <x:v>业务规则</x:v>
      </x:c>
      <x:c r="I7" s="9" t="str">
        <x:v>系统概要允许虚拟赠礼计入榜单展示，具体适用于哪些榜单？</x:v>
      </x:c>
      <x:c r="J7" s="9" t="str">
        <x:v>A. 仅本场氛围榜
B. 本场榜及平台双榜
C. 由后台逐榜配置</x:v>
      </x:c>
      <x:c r="K7" s="9" t="str">
        <x:v>先确认此决定及适用范围，再按选定方案补齐相应正向、边界和失败分支；现有可执行分支继续测试。</x:v>
      </x:c>
      <x:c r="L7" s="12" t="str"/>
      <x:c r="M7" s="12" t="str"/>
      <x:c r="N7" s="10" t="str">
        <x:v>1. liveshow-proto/MainBasis/需求待确认清单.md 第27行；AN-58bdfd055651、AN-9076ce003939、AN-ba0acac09cff、AN-bbb10e3b591b、AN-7861fb19ad1a
2. 候选方案只供决策，不是已确认预期。</x:v>
      </x:c>
      <x:c r="O7" s="9" t="str">
        <x:v>1. 用户App
2. 公会App
3. 管理后台</x:v>
      </x:c>
      <x:c r="P7" s="9" t="str"/>
      <x:c r="Q7" s="9" t="str">
        <x:v>1. 虚拟金币榜单范围的确定性预期及对应分支</x:v>
      </x:c>
      <x:c r="R7" s="9" t="str">
        <x:v>产品</x:v>
      </x:c>
      <x:c r="S7" s="9" t="str">
        <x:v>相关功能测试开始前</x:v>
      </x:c>
      <x:c r="T7" s="9" t="str">
        <x:v>待确认</x:v>
      </x:c>
    </x:row>
    <x:row r="8" ht="85" customHeight="1">
      <x:c r="A8" s="10" t="str">
        <x:v>PENDING-search-sort</x:v>
      </x:c>
      <x:c r="B8" s="10" t="str">
        <x:v>GROUP-search-sort</x:v>
      </x:c>
      <x:c r="C8" s="10" t="str"/>
      <x:c r="D8" s="10" t="str"/>
      <x:c r="E8" s="10" t="str">
        <x:v>部分阻塞</x:v>
      </x:c>
      <x:c r="F8" s="10" t="str">
        <x:v>相关业务模块</x:v>
      </x:c>
      <x:c r="G8" s="9" t="str">
        <x:v>搜索结果优先级</x:v>
      </x:c>
      <x:c r="H8" s="9" t="str">
        <x:v>业务规则</x:v>
      </x:c>
      <x:c r="I8" s="9" t="str">
        <x:v>昵称、用户 ID、房间号同时命中时，搜索结果按什么优先级排序？</x:v>
      </x:c>
      <x:c r="J8" s="9" t="str">
        <x:v>A. 精确匹配优先再按账号 ID
B. 直播中优先再按匹配程度
C. 按后台搜索权重</x:v>
      </x:c>
      <x:c r="K8" s="9" t="str">
        <x:v>先确认此决定及适用范围，再按选定方案补齐相应正向、边界和失败分支；现有可执行分支继续测试。</x:v>
      </x:c>
      <x:c r="L8" s="12" t="str"/>
      <x:c r="M8" s="12" t="str"/>
      <x:c r="N8" s="10" t="str">
        <x:v>1. liveshow-proto/MainBasis/需求待确认清单.md 第31行；AN-8adebba29dc6
2. 候选方案只供决策，不是已确认预期。</x:v>
      </x:c>
      <x:c r="O8" s="9" t="str">
        <x:v>1. 用户App</x:v>
      </x:c>
      <x:c r="P8" s="9" t="str"/>
      <x:c r="Q8" s="9" t="str">
        <x:v>1. 搜索结果优先级的确定性预期及对应分支</x:v>
      </x:c>
      <x:c r="R8" s="9" t="str">
        <x:v>产品</x:v>
      </x:c>
      <x:c r="S8" s="9" t="str">
        <x:v>相关功能测试开始前</x:v>
      </x:c>
      <x:c r="T8" s="9" t="str">
        <x:v>待确认</x:v>
      </x:c>
    </x:row>
    <x:row r="9" ht="85" customHeight="1">
      <x:c r="A9" s="10" t="str">
        <x:v>PENDING-follower-sort</x:v>
      </x:c>
      <x:c r="B9" s="10" t="str">
        <x:v>GROUP-follower-sort</x:v>
      </x:c>
      <x:c r="C9" s="10" t="str"/>
      <x:c r="D9" s="10" t="str"/>
      <x:c r="E9" s="10" t="str">
        <x:v>部分阻塞</x:v>
      </x:c>
      <x:c r="F9" s="10" t="str">
        <x:v>相关业务模块</x:v>
      </x:c>
      <x:c r="G9" s="9" t="str">
        <x:v>粉丝列表排序</x:v>
      </x:c>
      <x:c r="H9" s="9" t="str">
        <x:v>计算与统计口径</x:v>
      </x:c>
      <x:c r="I9" s="9" t="str">
        <x:v>粉丝列表按哪个字段排序及处理相同值？</x:v>
      </x:c>
      <x:c r="J9" s="9" t="str">
        <x:v>A. 关注时间倒序后按 ID
B. 昵称升序后按 ID
C. 财富等级倒序后按 ID</x:v>
      </x:c>
      <x:c r="K9" s="9" t="str">
        <x:v>先确认此决定及适用范围，再按选定方案补齐相应正向、边界和失败分支；现有可执行分支继续测试。</x:v>
      </x:c>
      <x:c r="L9" s="12" t="str"/>
      <x:c r="M9" s="12" t="str"/>
      <x:c r="N9" s="10" t="str">
        <x:v>1. liveshow-proto/MainBasis/需求待确认清单.md 第35行；AN-0a26d56ce987、AN-8adb4ebc8fae
2. 候选方案只供决策，不是已确认预期。</x:v>
      </x:c>
      <x:c r="O9" s="9" t="str">
        <x:v>1. 用户App</x:v>
      </x:c>
      <x:c r="P9" s="9" t="str"/>
      <x:c r="Q9" s="9" t="str">
        <x:v>1. 粉丝列表排序的确定性预期及对应分支</x:v>
      </x:c>
      <x:c r="R9" s="9" t="str">
        <x:v>产品</x:v>
      </x:c>
      <x:c r="S9" s="9" t="str">
        <x:v>相关功能测试开始前</x:v>
      </x:c>
      <x:c r="T9" s="9" t="str">
        <x:v>待确认</x:v>
      </x:c>
    </x:row>
    <x:row r="10" ht="85" customHeight="1">
      <x:c r="A10" s="10" t="str">
        <x:v>PENDING-friend-sort</x:v>
      </x:c>
      <x:c r="B10" s="10" t="str">
        <x:v>GROUP-friend-sort</x:v>
      </x:c>
      <x:c r="C10" s="10" t="str"/>
      <x:c r="D10" s="10" t="str"/>
      <x:c r="E10" s="10" t="str">
        <x:v>部分阻塞</x:v>
      </x:c>
      <x:c r="F10" s="10" t="str">
        <x:v>相关业务模块</x:v>
      </x:c>
      <x:c r="G10" s="9" t="str">
        <x:v>好友列表排序</x:v>
      </x:c>
      <x:c r="H10" s="9" t="str">
        <x:v>计算与统计口径</x:v>
      </x:c>
      <x:c r="I10" s="9" t="str">
        <x:v>好友列表采用什么排序？</x:v>
      </x:c>
      <x:c r="J10" s="9" t="str">
        <x:v>A. 成为好友时间倒序后按 ID
B. 昵称升序后按 ID
C. 最近互动时间倒序后按 ID</x:v>
      </x:c>
      <x:c r="K10" s="9" t="str">
        <x:v>先确认此决定及适用范围，再按选定方案补齐相应正向、边界和失败分支；现有可执行分支继续测试。</x:v>
      </x:c>
      <x:c r="L10" s="12" t="str"/>
      <x:c r="M10" s="12" t="str"/>
      <x:c r="N10" s="10" t="str">
        <x:v>1. liveshow-proto/MainBasis/需求待确认清单.md 第39行；AN-67388dbeec3b
2. 候选方案只供决策，不是已确认预期。</x:v>
      </x:c>
      <x:c r="O10" s="9" t="str">
        <x:v>1. 用户App</x:v>
      </x:c>
      <x:c r="P10" s="9" t="str"/>
      <x:c r="Q10" s="9" t="str">
        <x:v>1. 好友列表排序的确定性预期及对应分支</x:v>
      </x:c>
      <x:c r="R10" s="9" t="str">
        <x:v>产品</x:v>
      </x:c>
      <x:c r="S10" s="9" t="str">
        <x:v>相关功能测试开始前</x:v>
      </x:c>
      <x:c r="T10" s="9" t="str">
        <x:v>待确认</x:v>
      </x:c>
    </x:row>
    <x:row r="11" ht="85" customHeight="1">
      <x:c r="A11" s="10" t="str">
        <x:v>PENDING-profile-clubs-sort</x:v>
      </x:c>
      <x:c r="B11" s="10" t="str">
        <x:v>GROUP-profile-clubs-sort</x:v>
      </x:c>
      <x:c r="C11" s="10" t="str"/>
      <x:c r="D11" s="10" t="str"/>
      <x:c r="E11" s="10" t="str">
        <x:v>部分阻塞</x:v>
      </x:c>
      <x:c r="F11" s="10" t="str">
        <x:v>相关业务模块</x:v>
      </x:c>
      <x:c r="G11" s="9" t="str">
        <x:v>他人主页的粉丝团顺序</x:v>
      </x:c>
      <x:c r="H11" s="9" t="str">
        <x:v>计算与统计口径</x:v>
      </x:c>
      <x:c r="I11" s="9" t="str">
        <x:v>他人主页展示多个粉丝团时如何排序？</x:v>
      </x:c>
      <x:c r="J11" s="9" t="str">
        <x:v>A. 最近加入优先
B. 贡献最高优先
C. 粉丝等级最高优先</x:v>
      </x:c>
      <x:c r="K11" s="9" t="str">
        <x:v>先确认此决定及适用范围，再按选定方案补齐相应正向、边界和失败分支；现有可执行分支继续测试。</x:v>
      </x:c>
      <x:c r="L11" s="12" t="str"/>
      <x:c r="M11" s="12" t="str"/>
      <x:c r="N11" s="10" t="str">
        <x:v>1. liveshow-proto/MainBasis/需求待确认清单.md 第43行；AN-d6f642464ad5
2. 候选方案只供决策，不是已确认预期。</x:v>
      </x:c>
      <x:c r="O11" s="9" t="str">
        <x:v>1. 用户App</x:v>
      </x:c>
      <x:c r="P11" s="9" t="str"/>
      <x:c r="Q11" s="9" t="str">
        <x:v>1. 他人主页的粉丝团顺序的确定性预期及对应分支</x:v>
      </x:c>
      <x:c r="R11" s="9" t="str">
        <x:v>产品</x:v>
      </x:c>
      <x:c r="S11" s="9" t="str">
        <x:v>相关功能测试开始前</x:v>
      </x:c>
      <x:c r="T11" s="9" t="str">
        <x:v>待确认</x:v>
      </x:c>
    </x:row>
    <x:row r="12" ht="85" customHeight="1">
      <x:c r="A12" s="10" t="str">
        <x:v>PENDING-moderator-sort</x:v>
      </x:c>
      <x:c r="B12" s="10" t="str">
        <x:v>GROUP-moderator-sort</x:v>
      </x:c>
      <x:c r="C12" s="10" t="str"/>
      <x:c r="D12" s="10" t="str"/>
      <x:c r="E12" s="10" t="str">
        <x:v>部分阻塞</x:v>
      </x:c>
      <x:c r="F12" s="10" t="str">
        <x:v>相关业务模块</x:v>
      </x:c>
      <x:c r="G12" s="9" t="str">
        <x:v>房管列表排序</x:v>
      </x:c>
      <x:c r="H12" s="9" t="str">
        <x:v>计算与统计口径</x:v>
      </x:c>
      <x:c r="I12" s="9" t="str">
        <x:v>房管列表以什么顺序展示？</x:v>
      </x:c>
      <x:c r="J12" s="9" t="str">
        <x:v>A. 授权时间倒序
B. 授权时间正序
C. 账号 ID 升序</x:v>
      </x:c>
      <x:c r="K12" s="9" t="str">
        <x:v>先确认此决定及适用范围，再按选定方案补齐相应正向、边界和失败分支；现有可执行分支继续测试。</x:v>
      </x:c>
      <x:c r="L12" s="12" t="str"/>
      <x:c r="M12" s="12" t="str"/>
      <x:c r="N12" s="10" t="str">
        <x:v>1. liveshow-proto/MainBasis/需求待确认清单.md 第47行；AN-6b663b6d1503
2. 候选方案只供决策，不是已确认预期。</x:v>
      </x:c>
      <x:c r="O12" s="9" t="str">
        <x:v>1. 用户App</x:v>
      </x:c>
      <x:c r="P12" s="9" t="str"/>
      <x:c r="Q12" s="9" t="str">
        <x:v>1. 房管列表排序的确定性预期及对应分支</x:v>
      </x:c>
      <x:c r="R12" s="9" t="str">
        <x:v>产品</x:v>
      </x:c>
      <x:c r="S12" s="9" t="str">
        <x:v>相关功能测试开始前</x:v>
      </x:c>
      <x:c r="T12" s="9" t="str">
        <x:v>待确认</x:v>
      </x:c>
    </x:row>
    <x:row r="13" ht="85" customHeight="1">
      <x:c r="A13" s="10" t="str">
        <x:v>PENDING-guild-notice-sort</x:v>
      </x:c>
      <x:c r="B13" s="10" t="str">
        <x:v>GROUP-guild-notice-sort</x:v>
      </x:c>
      <x:c r="C13" s="10" t="str"/>
      <x:c r="D13" s="10" t="str"/>
      <x:c r="E13" s="10" t="str">
        <x:v>部分阻塞</x:v>
      </x:c>
      <x:c r="F13" s="10" t="str">
        <x:v>相关业务模块</x:v>
      </x:c>
      <x:c r="G13" s="9" t="str">
        <x:v>公会通知顺序</x:v>
      </x:c>
      <x:c r="H13" s="9" t="str">
        <x:v>计算与统计口径</x:v>
      </x:c>
      <x:c r="I13" s="9" t="str">
        <x:v>主播端公会通知列表如何排序？</x:v>
      </x:c>
      <x:c r="J13" s="9" t="str">
        <x:v>A. 生成时间倒序
B. 未读优先再按生成时间倒序</x:v>
      </x:c>
      <x:c r="K13" s="9" t="str">
        <x:v>先确认此决定及适用范围，再按选定方案补齐相应正向、边界和失败分支；现有可执行分支继续测试。</x:v>
      </x:c>
      <x:c r="L13" s="12" t="str"/>
      <x:c r="M13" s="12" t="str"/>
      <x:c r="N13" s="10" t="str">
        <x:v>1. liveshow-proto/MainBasis/需求待确认清单.md 第51行；AN-205fe7899e2d
2. 候选方案只供决策，不是已确认预期。</x:v>
      </x:c>
      <x:c r="O13" s="9" t="str">
        <x:v>1. 用户App
2. 公会App</x:v>
      </x:c>
      <x:c r="P13" s="9" t="str"/>
      <x:c r="Q13" s="9" t="str">
        <x:v>1. 公会通知顺序的确定性预期及对应分支</x:v>
      </x:c>
      <x:c r="R13" s="9" t="str">
        <x:v>产品</x:v>
      </x:c>
      <x:c r="S13" s="9" t="str">
        <x:v>相关功能测试开始前</x:v>
      </x:c>
      <x:c r="T13" s="9" t="str">
        <x:v>待确认</x:v>
      </x:c>
    </x:row>
    <x:row r="14" ht="85" customHeight="1">
      <x:c r="A14" s="10" t="str">
        <x:v>PENDING-fan-tie</x:v>
      </x:c>
      <x:c r="B14" s="10" t="str">
        <x:v>GROUP-fan-tie</x:v>
      </x:c>
      <x:c r="C14" s="10" t="str"/>
      <x:c r="D14" s="10" t="str"/>
      <x:c r="E14" s="10" t="str">
        <x:v>部分阻塞</x:v>
      </x:c>
      <x:c r="F14" s="10" t="str">
        <x:v>相关业务模块</x:v>
      </x:c>
      <x:c r="G14" s="9" t="str">
        <x:v>成员列表同值排序</x:v>
      </x:c>
      <x:c r="H14" s="9" t="str">
        <x:v>计算与统计口径</x:v>
      </x:c>
      <x:c r="I14" s="9" t="str">
        <x:v>粉丝团管理的贡献或加入时间相同时，使用什么次序？</x:v>
      </x:c>
      <x:c r="J14" s="9" t="str">
        <x:v>A. 用户 ID 升序
B. 另一贡献字段倒序后按 ID</x:v>
      </x:c>
      <x:c r="K14" s="9" t="str">
        <x:v>先确认此决定及适用范围，再按选定方案补齐相应正向、边界和失败分支；现有可执行分支继续测试。</x:v>
      </x:c>
      <x:c r="L14" s="12" t="str"/>
      <x:c r="M14" s="12" t="str"/>
      <x:c r="N14" s="10" t="str">
        <x:v>1. liveshow-proto/MainBasis/需求待确认清单.md 第55行；AN-ef6b1570b239
2. 候选方案只供决策，不是已确认预期。</x:v>
      </x:c>
      <x:c r="O14" s="9" t="str">
        <x:v>1. 用户App</x:v>
      </x:c>
      <x:c r="P14" s="9" t="str"/>
      <x:c r="Q14" s="9" t="str">
        <x:v>1. 成员列表同值排序的确定性预期及对应分支</x:v>
      </x:c>
      <x:c r="R14" s="9" t="str">
        <x:v>产品</x:v>
      </x:c>
      <x:c r="S14" s="9" t="str">
        <x:v>相关功能测试开始前</x:v>
      </x:c>
      <x:c r="T14" s="9" t="str">
        <x:v>待确认</x:v>
      </x:c>
    </x:row>
    <x:row r="15" ht="85" customHeight="1">
      <x:c r="A15" s="10" t="str">
        <x:v>PENDING-live-detail-sort</x:v>
      </x:c>
      <x:c r="B15" s="10" t="str">
        <x:v>GROUP-live-detail-sort</x:v>
      </x:c>
      <x:c r="C15" s="10" t="str"/>
      <x:c r="D15" s="10" t="str"/>
      <x:c r="E15" s="10" t="str">
        <x:v>部分阻塞</x:v>
      </x:c>
      <x:c r="F15" s="10" t="str">
        <x:v>跨端统计</x:v>
      </x:c>
      <x:c r="G15" s="9" t="str">
        <x:v>直播数据明细排序</x:v>
      </x:c>
      <x:c r="H15" s="9" t="str">
        <x:v>计算与统计口径</x:v>
      </x:c>
      <x:c r="I15" s="9" t="str">
        <x:v>直播数据的日和月明细按什么顺序排列？</x:v>
      </x:c>
      <x:c r="J15" s="9" t="str">
        <x:v>A. 日期倒序
B. 日期正序</x:v>
      </x:c>
      <x:c r="K15" s="9" t="str">
        <x:v>先确认此决定及适用范围，再按选定方案补齐相应正向、边界和失败分支；现有可执行分支继续测试。</x:v>
      </x:c>
      <x:c r="L15" s="12" t="str"/>
      <x:c r="M15" s="12" t="str"/>
      <x:c r="N15" s="10" t="str">
        <x:v>1. liveshow-proto/MainBasis/需求待确认清单.md 第59行；AN-4a3fca14d996、AN-b6f8607b601f
2. 候选方案只供决策，不是已确认预期。</x:v>
      </x:c>
      <x:c r="O15" s="9" t="str">
        <x:v>1. 用户App</x:v>
      </x:c>
      <x:c r="P15" s="9" t="str"/>
      <x:c r="Q15" s="9" t="str">
        <x:v>1. 直播数据明细排序的确定性预期及对应分支</x:v>
      </x:c>
      <x:c r="R15" s="9" t="str">
        <x:v>产品</x:v>
      </x:c>
      <x:c r="S15" s="9" t="str">
        <x:v>相关功能测试开始前</x:v>
      </x:c>
      <x:c r="T15" s="9" t="str">
        <x:v>待确认</x:v>
      </x:c>
    </x:row>
    <x:row r="16" ht="85" customHeight="1">
      <x:c r="A16" s="10" t="str">
        <x:v>PENDING-country-sort</x:v>
      </x:c>
      <x:c r="B16" s="10" t="str">
        <x:v>GROUP-country-sort</x:v>
      </x:c>
      <x:c r="C16" s="10" t="str"/>
      <x:c r="D16" s="10" t="str"/>
      <x:c r="E16" s="10" t="str">
        <x:v>部分阻塞</x:v>
      </x:c>
      <x:c r="F16" s="10" t="str">
        <x:v>相关业务模块</x:v>
      </x:c>
      <x:c r="G16" s="9" t="str">
        <x:v>区号列表顺序</x:v>
      </x:c>
      <x:c r="H16" s="9" t="str">
        <x:v>计算与统计口径</x:v>
      </x:c>
      <x:c r="I16" s="9" t="str">
        <x:v>国家和地区区号列表按什么规则排序？</x:v>
      </x:c>
      <x:c r="J16" s="9" t="str">
        <x:v>A. 当前语言名称升序
B. 英文名称升序
C. 国际区号升序</x:v>
      </x:c>
      <x:c r="K16" s="9" t="str">
        <x:v>先确认此决定及适用范围，再按选定方案补齐相应正向、边界和失败分支；现有可执行分支继续测试。</x:v>
      </x:c>
      <x:c r="L16" s="12" t="str"/>
      <x:c r="M16" s="12" t="str"/>
      <x:c r="N16" s="10" t="str">
        <x:v>1. liveshow-proto/MainBasis/需求待确认清单.md 第63行；AN-5f1c2d451728
2. 候选方案只供决策，不是已确认预期。</x:v>
      </x:c>
      <x:c r="O16" s="9" t="str">
        <x:v>1. 用户App</x:v>
      </x:c>
      <x:c r="P16" s="9" t="str"/>
      <x:c r="Q16" s="9" t="str">
        <x:v>1. 区号列表顺序的确定性预期及对应分支</x:v>
      </x:c>
      <x:c r="R16" s="9" t="str">
        <x:v>产品</x:v>
      </x:c>
      <x:c r="S16" s="9" t="str">
        <x:v>相关功能测试开始前</x:v>
      </x:c>
      <x:c r="T16" s="9" t="str">
        <x:v>待确认</x:v>
      </x:c>
    </x:row>
    <x:row r="17" ht="85" customHeight="1">
      <x:c r="A17" s="10" t="str">
        <x:v>PENDING-operation-login-format</x:v>
      </x:c>
      <x:c r="B17" s="10" t="str">
        <x:v>GROUP-operation-login-format</x:v>
      </x:c>
      <x:c r="C17" s="10" t="str"/>
      <x:c r="D17" s="10" t="str"/>
      <x:c r="E17" s="10" t="str">
        <x:v>部分阻塞</x:v>
      </x:c>
      <x:c r="F17" s="10" t="str">
        <x:v>相关业务模块</x:v>
      </x:c>
      <x:c r="G17" s="9" t="str">
        <x:v>运营账号登录格式</x:v>
      </x:c>
      <x:c r="H17" s="9" t="str">
        <x:v>角色与权限</x:v>
      </x:c>
      <x:c r="I17" s="9" t="str">
        <x:v>运营账号必须是可接收验证码的邮箱，还是允许普通登录名？</x:v>
      </x:c>
      <x:c r="J17" s="9" t="str">
        <x:v>A. 必须为有效邮箱地址
B. 允许普通登录名并使用密码登录</x:v>
      </x:c>
      <x:c r="K17" s="9" t="str">
        <x:v>先确认此决定及适用范围，再按选定方案补齐相应正向、边界和失败分支；现有可执行分支继续测试。</x:v>
      </x:c>
      <x:c r="L17" s="12" t="str"/>
      <x:c r="M17" s="12" t="str"/>
      <x:c r="N17" s="10" t="str">
        <x:v>1. liveshow-proto/MainBasis/需求待确认清单.md 第67行；AN-ff08deec1174、AN-053fd74e2f42
2. 候选方案只供决策，不是已确认预期。</x:v>
      </x:c>
      <x:c r="O17" s="9" t="str">
        <x:v>1. 用户App
2. 公会App
3. 管理后台</x:v>
      </x:c>
      <x:c r="P17" s="9" t="str"/>
      <x:c r="Q17" s="9" t="str">
        <x:v>1. 运营账号登录格式的确定性预期及对应分支</x:v>
      </x:c>
      <x:c r="R17" s="9" t="str">
        <x:v>产品</x:v>
      </x:c>
      <x:c r="S17" s="9" t="str">
        <x:v>相关功能测试开始前</x:v>
      </x:c>
      <x:c r="T17" s="9" t="str">
        <x:v>待确认</x:v>
      </x:c>
    </x:row>
    <x:row r="18" ht="85" customHeight="1">
      <x:c r="A18" s="10" t="str">
        <x:v>PENDING-intimacy</x:v>
      </x:c>
      <x:c r="B18" s="10" t="str">
        <x:v>GROUP-intimacy</x:v>
      </x:c>
      <x:c r="C18" s="10" t="str"/>
      <x:c r="D18" s="10" t="str"/>
      <x:c r="E18" s="10" t="str">
        <x:v>部分阻塞</x:v>
      </x:c>
      <x:c r="F18" s="10" t="str">
        <x:v>相关业务模块</x:v>
      </x:c>
      <x:c r="G18" s="9" t="str">
        <x:v>亲密度计算</x:v>
      </x:c>
      <x:c r="H18" s="9" t="str">
        <x:v>计算与统计口径</x:v>
      </x:c>
      <x:c r="I18" s="9" t="str">
        <x:v>亲密度由哪些行为累计，采用什么单位？</x:v>
      </x:c>
      <x:c r="J18" s="9" t="str">
        <x:v>A. 有效送礼金币累计
B. 按行为配置独立积分</x:v>
      </x:c>
      <x:c r="K18" s="9" t="str">
        <x:v>先确认此决定及适用范围，再按选定方案补齐相应正向、边界和失败分支；现有可执行分支继续测试。</x:v>
      </x:c>
      <x:c r="L18" s="12" t="str"/>
      <x:c r="M18" s="12" t="str"/>
      <x:c r="N18" s="10" t="str">
        <x:v>1. liveshow-proto/MainBasis/需求待确认清单.md 第71行；AN-88f3346c11fe、AN-73b3892baa6f
2. 候选方案只供决策，不是已确认预期。</x:v>
      </x:c>
      <x:c r="O18" s="9" t="str">
        <x:v>1. 用户App
2. 管理后台</x:v>
      </x:c>
      <x:c r="P18" s="9" t="str"/>
      <x:c r="Q18" s="9" t="str">
        <x:v>1. 亲密度计算的确定性预期及对应分支</x:v>
      </x:c>
      <x:c r="R18" s="9" t="str">
        <x:v>产品</x:v>
      </x:c>
      <x:c r="S18" s="9" t="str">
        <x:v>相关功能测试开始前</x:v>
      </x:c>
      <x:c r="T18" s="9" t="str">
        <x:v>待确认</x:v>
      </x:c>
    </x:row>
    <x:row r="19" ht="85" customHeight="1">
      <x:c r="A19" s="10" t="str">
        <x:v>PENDING-intimacy-decay</x:v>
      </x:c>
      <x:c r="B19" s="10" t="str">
        <x:v>GROUP-intimacy-decay</x:v>
      </x:c>
      <x:c r="C19" s="10" t="str"/>
      <x:c r="D19" s="10" t="str"/>
      <x:c r="E19" s="10" t="str">
        <x:v>部分阻塞</x:v>
      </x:c>
      <x:c r="F19" s="10" t="str">
        <x:v>相关业务模块</x:v>
      </x:c>
      <x:c r="G19" s="9" t="str">
        <x:v>亲密度衰减</x:v>
      </x:c>
      <x:c r="H19" s="9" t="str">
        <x:v>业务规则</x:v>
      </x:c>
      <x:c r="I19" s="9" t="str">
        <x:v>除退团清零外，是否按不活跃时间衰减亲密度？</x:v>
      </x:c>
      <x:c r="J19" s="9" t="str">
        <x:v>A. 不衰减
B. 按配置的不活跃周期衰减</x:v>
      </x:c>
      <x:c r="K19" s="9" t="str">
        <x:v>先确认此决定及适用范围，再按选定方案补齐相应正向、边界和失败分支；现有可执行分支继续测试。</x:v>
      </x:c>
      <x:c r="L19" s="12" t="str"/>
      <x:c r="M19" s="12" t="str"/>
      <x:c r="N19" s="10" t="str">
        <x:v>1. liveshow-proto/MainBasis/需求待确认清单.md 第75行；AN-88f3346c11fe
2. 候选方案只供决策，不是已确认预期。</x:v>
      </x:c>
      <x:c r="O19" s="9" t="str">
        <x:v>1. 用户App
2. 管理后台</x:v>
      </x:c>
      <x:c r="P19" s="9" t="str"/>
      <x:c r="Q19" s="9" t="str">
        <x:v>1. 亲密度衰减的确定性预期及对应分支</x:v>
      </x:c>
      <x:c r="R19" s="9" t="str">
        <x:v>产品</x:v>
      </x:c>
      <x:c r="S19" s="9" t="str">
        <x:v>相关功能测试开始前</x:v>
      </x:c>
      <x:c r="T19" s="9" t="str">
        <x:v>待确认</x:v>
      </x:c>
    </x:row>
    <x:row r="20" ht="85" customHeight="1">
      <x:c r="A20" s="10" t="str">
        <x:v>PENDING-rank-unlisted</x:v>
      </x:c>
      <x:c r="B20" s="10" t="str">
        <x:v>GROUP-rank-unlisted</x:v>
      </x:c>
      <x:c r="C20" s="10" t="str"/>
      <x:c r="D20" s="10" t="str"/>
      <x:c r="E20" s="10" t="str">
        <x:v>部分阻塞</x:v>
      </x:c>
      <x:c r="F20" s="10" t="str">
        <x:v>相关业务模块</x:v>
      </x:c>
      <x:c r="G20" s="9" t="str">
        <x:v>未上榜提示</x:v>
      </x:c>
      <x:c r="H20" s="9" t="str">
        <x:v>业务规则</x:v>
      </x:c>
      <x:c r="I20" s="9" t="str">
        <x:v>不在粉丝团贡献榜前 99 名时，本人排名显示什么？</x:v>
      </x:c>
      <x:c r="J20" s="9" t="str">
        <x:v>A. 显示真实名次
B. 显示未上榜</x:v>
      </x:c>
      <x:c r="K20" s="9" t="str">
        <x:v>先确认此决定及适用范围，再按选定方案补齐相应正向、边界和失败分支；现有可执行分支继续测试。</x:v>
      </x:c>
      <x:c r="L20" s="12" t="str"/>
      <x:c r="M20" s="12" t="str"/>
      <x:c r="N20" s="10" t="str">
        <x:v>1. liveshow-proto/MainBasis/需求待确认清单.md 第79行；AN-13788c4bdaec
2. 候选方案只供决策，不是已确认预期。</x:v>
      </x:c>
      <x:c r="O20" s="9" t="str">
        <x:v>1. 用户App</x:v>
      </x:c>
      <x:c r="P20" s="9" t="str"/>
      <x:c r="Q20" s="9" t="str">
        <x:v>1. 未上榜提示的确定性预期及对应分支</x:v>
      </x:c>
      <x:c r="R20" s="9" t="str">
        <x:v>产品</x:v>
      </x:c>
      <x:c r="S20" s="9" t="str">
        <x:v>相关功能测试开始前</x:v>
      </x:c>
      <x:c r="T20" s="9" t="str">
        <x:v>待确认</x:v>
      </x:c>
    </x:row>
    <x:row r="21" ht="85" customHeight="1">
      <x:c r="A21" s="10" t="str">
        <x:v>PENDING-rank-missing</x:v>
      </x:c>
      <x:c r="B21" s="10" t="str">
        <x:v>GROUP-rank-missing</x:v>
      </x:c>
      <x:c r="C21" s="10" t="str"/>
      <x:c r="D21" s="10" t="str"/>
      <x:c r="E21" s="10" t="str">
        <x:v>部分阻塞</x:v>
      </x:c>
      <x:c r="F21" s="10" t="str">
        <x:v>相关业务模块</x:v>
      </x:c>
      <x:c r="G21" s="9" t="str">
        <x:v>贡献数据缺失</x:v>
      </x:c>
      <x:c r="H21" s="9" t="str">
        <x:v>业务规则</x:v>
      </x:c>
      <x:c r="I21" s="9" t="str">
        <x:v>贡献数据无法取得时如何区分零贡献和加载失败？</x:v>
      </x:c>
      <x:c r="J21" s="9" t="str">
        <x:v>A. 保留上次数据并提示失败
B. 显示独立缺失态并允许重试</x:v>
      </x:c>
      <x:c r="K21" s="9" t="str">
        <x:v>先确认此决定及适用范围，再按选定方案补齐相应正向、边界和失败分支；现有可执行分支继续测试。</x:v>
      </x:c>
      <x:c r="L21" s="12" t="str"/>
      <x:c r="M21" s="12" t="str"/>
      <x:c r="N21" s="10" t="str">
        <x:v>1. liveshow-proto/MainBasis/需求待确认清单.md 第83行；AN-13788c4bdaec
2. 候选方案只供决策，不是已确认预期。</x:v>
      </x:c>
      <x:c r="O21" s="9" t="str">
        <x:v>1. 用户App</x:v>
      </x:c>
      <x:c r="P21" s="9" t="str"/>
      <x:c r="Q21" s="9" t="str">
        <x:v>1. 贡献数据缺失的确定性预期及对应分支</x:v>
      </x:c>
      <x:c r="R21" s="9" t="str">
        <x:v>产品</x:v>
      </x:c>
      <x:c r="S21" s="9" t="str">
        <x:v>相关功能测试开始前</x:v>
      </x:c>
      <x:c r="T21" s="9" t="str">
        <x:v>待确认</x:v>
      </x:c>
    </x:row>
    <x:row r="22" ht="85" customHeight="1">
      <x:c r="A22" s="10" t="str">
        <x:v>PENDING-checkin-repair</x:v>
      </x:c>
      <x:c r="B22" s="10" t="str">
        <x:v>GROUP-checkin-repair</x:v>
      </x:c>
      <x:c r="C22" s="10" t="str"/>
      <x:c r="D22" s="10" t="str"/>
      <x:c r="E22" s="10" t="str">
        <x:v>部分阻塞</x:v>
      </x:c>
      <x:c r="F22" s="10" t="str">
        <x:v>相关业务模块</x:v>
      </x:c>
      <x:c r="G22" s="9" t="str">
        <x:v>补签</x:v>
      </x:c>
      <x:c r="H22" s="9" t="str">
        <x:v>业务规则</x:v>
      </x:c>
      <x:c r="I22" s="9" t="str">
        <x:v>是否支持对漏签日期进行补签？</x:v>
      </x:c>
      <x:c r="J22" s="9" t="str">
        <x:v>A. 不支持补签
B. 支持按配置补签</x:v>
      </x:c>
      <x:c r="K22" s="9" t="str">
        <x:v>先确认此决定及适用范围，再按选定方案补齐相应正向、边界和失败分支；现有可执行分支继续测试。</x:v>
      </x:c>
      <x:c r="L22" s="12" t="str"/>
      <x:c r="M22" s="12" t="str"/>
      <x:c r="N22" s="10" t="str">
        <x:v>1. liveshow-proto/MainBasis/需求待确认清单.md 第87行；AN-5ea05985e150
2. 候选方案只供决策，不是已确认预期。</x:v>
      </x:c>
      <x:c r="O22" s="9" t="str">
        <x:v>1. 用户App
2. 管理后台</x:v>
      </x:c>
      <x:c r="P22" s="9" t="str"/>
      <x:c r="Q22" s="9" t="str">
        <x:v>1. 补签的确定性预期及对应分支</x:v>
      </x:c>
      <x:c r="R22" s="9" t="str">
        <x:v>产品</x:v>
      </x:c>
      <x:c r="S22" s="9" t="str">
        <x:v>相关功能测试开始前</x:v>
      </x:c>
      <x:c r="T22" s="9" t="str">
        <x:v>待确认</x:v>
      </x:c>
    </x:row>
    <x:row r="23" ht="85" customHeight="1">
      <x:c r="A23" s="10" t="str">
        <x:v>PENDING-business-zone</x:v>
      </x:c>
      <x:c r="B23" s="10" t="str">
        <x:v>GROUP-business-zone</x:v>
      </x:c>
      <x:c r="C23" s="10" t="str"/>
      <x:c r="D23" s="10" t="str"/>
      <x:c r="E23" s="10" t="str">
        <x:v>部分阻塞</x:v>
      </x:c>
      <x:c r="F23" s="10" t="str">
        <x:v>相关业务模块</x:v>
      </x:c>
      <x:c r="G23" s="9" t="str">
        <x:v>业务日和周界限</x:v>
      </x:c>
      <x:c r="H23" s="9" t="str">
        <x:v>业务规则</x:v>
      </x:c>
      <x:c r="I23" s="9" t="str">
        <x:v>签到、任务、榜单、直播有效天和报表分别采用什么业务时区；任务周是否统一从周一开始？</x:v>
      </x:c>
      <x:c r="J23" s="9" t="str">
        <x:v>A. 全端统一指定业务时区且周一开始
B. 按业务分别指定时区和周起始日</x:v>
      </x:c>
      <x:c r="K23" s="9" t="str">
        <x:v>先确认此决定及适用范围，再按选定方案补齐相应正向、边界和失败分支；现有可执行分支继续测试。</x:v>
      </x:c>
      <x:c r="L23" s="12" t="str"/>
      <x:c r="M23" s="12" t="str"/>
      <x:c r="N23" s="10" t="str">
        <x:v>1. liveshow-proto/MainBasis/需求待确认清单.md 第91行；AN-6162c5b34166、AN-2d643ddb84e1
2. 候选方案只供决策，不是已确认预期。</x:v>
      </x:c>
      <x:c r="O23" s="9" t="str">
        <x:v>1. 用户App
2. 公会App
3. 管理后台</x:v>
      </x:c>
      <x:c r="P23" s="9" t="str"/>
      <x:c r="Q23" s="9" t="str">
        <x:v>1. 业务日和周界限的确定性预期及对应分支</x:v>
      </x:c>
      <x:c r="R23" s="9" t="str">
        <x:v>产品</x:v>
      </x:c>
      <x:c r="S23" s="9" t="str">
        <x:v>相关功能测试开始前</x:v>
      </x:c>
      <x:c r="T23" s="9" t="str">
        <x:v>待确认</x:v>
      </x:c>
    </x:row>
    <x:row r="24" ht="85" customHeight="1">
      <x:c r="A24" s="10" t="str">
        <x:v>PENDING-reward-disabled</x:v>
      </x:c>
      <x:c r="B24" s="10" t="str">
        <x:v>GROUP-reward-disabled</x:v>
      </x:c>
      <x:c r="C24" s="10" t="str"/>
      <x:c r="D24" s="10" t="str"/>
      <x:c r="E24" s="10" t="str">
        <x:v>部分阻塞</x:v>
      </x:c>
      <x:c r="F24" s="10" t="str">
        <x:v>任务与福利</x:v>
      </x:c>
      <x:c r="G24" s="9" t="str">
        <x:v>任务关闭后的待领奖励</x:v>
      </x:c>
      <x:c r="H24" s="9" t="str">
        <x:v>业务规则</x:v>
      </x:c>
      <x:c r="I24" s="9" t="str">
        <x:v>任务到期或停用时，当天已达成且未超过领取截止时间的奖励是否还能领取？</x:v>
      </x:c>
      <x:c r="J24" s="9" t="str">
        <x:v>A. 仍可在原截止时间前领取
B. 任务到期或停用立即失效</x:v>
      </x:c>
      <x:c r="K24" s="9" t="str">
        <x:v>先确认此决定及适用范围，再按选定方案补齐相应正向、边界和失败分支；现有可执行分支继续测试。</x:v>
      </x:c>
      <x:c r="L24" s="12" t="str"/>
      <x:c r="M24" s="12" t="str"/>
      <x:c r="N24" s="10" t="str">
        <x:v>1. liveshow-proto/MainBasis/需求待确认清单.md 第95行；AN-6162c5b34166
2. 候选方案只供决策，不是已确认预期。</x:v>
      </x:c>
      <x:c r="O24" s="9" t="str">
        <x:v>1. 用户App
2. 管理后台</x:v>
      </x:c>
      <x:c r="P24" s="9" t="str"/>
      <x:c r="Q24" s="9" t="str">
        <x:v>1. 任务关闭后的待领奖励的确定性预期及对应分支</x:v>
      </x:c>
      <x:c r="R24" s="9" t="str">
        <x:v>产品</x:v>
      </x:c>
      <x:c r="S24" s="9" t="str">
        <x:v>相关功能测试开始前</x:v>
      </x:c>
      <x:c r="T24" s="9" t="str">
        <x:v>待确认</x:v>
      </x:c>
    </x:row>
    <x:row r="25" ht="85" customHeight="1">
      <x:c r="A25" s="10" t="str">
        <x:v>PENDING-effective-duration</x:v>
      </x:c>
      <x:c r="B25" s="10" t="str">
        <x:v>GROUP-effective-duration</x:v>
      </x:c>
      <x:c r="C25" s="10" t="str"/>
      <x:c r="D25" s="10" t="str"/>
      <x:c r="E25" s="10" t="str">
        <x:v>部分阻塞</x:v>
      </x:c>
      <x:c r="F25" s="10" t="str">
        <x:v>跨端统计</x:v>
      </x:c>
      <x:c r="G25" s="9" t="str">
        <x:v>有效时长排除条件</x:v>
      </x:c>
      <x:c r="H25" s="9" t="str">
        <x:v>业务规则</x:v>
      </x:c>
      <x:c r="I25" s="9" t="str">
        <x:v>断流、后台挂起和暂停期间哪些时长计入每日 3 小时门槛？</x:v>
      </x:c>
      <x:c r="J25" s="9" t="str">
        <x:v>A. 仅连续成功推流时长
B. 会话持续时长扣除配置的无效区间</x:v>
      </x:c>
      <x:c r="K25" s="9" t="str">
        <x:v>先确认此决定及适用范围，再按选定方案补齐相应正向、边界和失败分支；现有可执行分支继续测试。</x:v>
      </x:c>
      <x:c r="L25" s="12" t="str"/>
      <x:c r="M25" s="12" t="str"/>
      <x:c r="N25" s="10" t="str">
        <x:v>1. liveshow-proto/MainBasis/需求待确认清单.md 第99行；AN-2d643ddb84e1
2. 候选方案只供决策，不是已确认预期。</x:v>
      </x:c>
      <x:c r="O25" s="9" t="str">
        <x:v>1. 用户App
2. 公会App
3. 管理后台</x:v>
      </x:c>
      <x:c r="P25" s="9" t="str"/>
      <x:c r="Q25" s="9" t="str">
        <x:v>1. 有效时长排除条件的确定性预期及对应分支</x:v>
      </x:c>
      <x:c r="R25" s="9" t="str">
        <x:v>产品</x:v>
      </x:c>
      <x:c r="S25" s="9" t="str">
        <x:v>相关功能测试开始前</x:v>
      </x:c>
      <x:c r="T25" s="9" t="str">
        <x:v>待确认</x:v>
      </x:c>
    </x:row>
    <x:row r="26" ht="85" customHeight="1">
      <x:c r="A26" s="10" t="str">
        <x:v>PENDING-cross-day-live</x:v>
      </x:c>
      <x:c r="B26" s="10" t="str">
        <x:v>GROUP-cross-day-live</x:v>
      </x:c>
      <x:c r="C26" s="10" t="str"/>
      <x:c r="D26" s="10" t="str"/>
      <x:c r="E26" s="10" t="str">
        <x:v>部分阻塞</x:v>
      </x:c>
      <x:c r="F26" s="10" t="str">
        <x:v>跨端统计</x:v>
      </x:c>
      <x:c r="G26" s="9" t="str">
        <x:v>跨日直播时长分配</x:v>
      </x:c>
      <x:c r="H26" s="9" t="str">
        <x:v>业务规则</x:v>
      </x:c>
      <x:c r="I26" s="9" t="str">
        <x:v>跨自然日的一场直播如何分配每天的有效时长及收益？</x:v>
      </x:c>
      <x:c r="J26" s="9" t="str">
        <x:v>A. 按事件发生时间切分到各日
B. 全部归入开播日</x:v>
      </x:c>
      <x:c r="K26" s="9" t="str">
        <x:v>先确认此决定及适用范围，再按选定方案补齐相应正向、边界和失败分支；现有可执行分支继续测试。</x:v>
      </x:c>
      <x:c r="L26" s="12" t="str"/>
      <x:c r="M26" s="12" t="str"/>
      <x:c r="N26" s="10" t="str">
        <x:v>1. liveshow-proto/MainBasis/需求待确认清单.md 第103行；AN-2d643ddb84e1
2. 候选方案只供决策，不是已确认预期。</x:v>
      </x:c>
      <x:c r="O26" s="9" t="str">
        <x:v>1. 用户App
2. 公会App
3. 管理后台</x:v>
      </x:c>
      <x:c r="P26" s="9" t="str"/>
      <x:c r="Q26" s="9" t="str">
        <x:v>1. 跨日直播时长分配的确定性预期及对应分支</x:v>
      </x:c>
      <x:c r="R26" s="9" t="str">
        <x:v>产品</x:v>
      </x:c>
      <x:c r="S26" s="9" t="str">
        <x:v>相关功能测试开始前</x:v>
      </x:c>
      <x:c r="T26" s="9" t="str">
        <x:v>待确认</x:v>
      </x:c>
    </x:row>
    <x:row r="27" ht="85" customHeight="1">
      <x:c r="A27" s="10" t="str">
        <x:v>PENDING-metric-latency</x:v>
      </x:c>
      <x:c r="B27" s="10" t="str">
        <x:v>GROUP-metric-latency</x:v>
      </x:c>
      <x:c r="C27" s="10" t="str"/>
      <x:c r="D27" s="10" t="str"/>
      <x:c r="E27" s="10" t="str">
        <x:v>部分阻塞</x:v>
      </x:c>
      <x:c r="F27" s="10" t="str">
        <x:v>相关业务模块</x:v>
      </x:c>
      <x:c r="G27" s="9" t="str">
        <x:v>指标刷新时效</x:v>
      </x:c>
      <x:c r="H27" s="9" t="str">
        <x:v>业务规则</x:v>
      </x:c>
      <x:c r="I27" s="9" t="str">
        <x:v>直播、收益和等级变动后，各端指标最迟何时应更新？</x:v>
      </x:c>
      <x:c r="J27" s="9" t="str">
        <x:v>A. 实时更新并指定秒级上限
B. 按固定汇总周期更新</x:v>
      </x:c>
      <x:c r="K27" s="9" t="str">
        <x:v>先确认此决定及适用范围，再按选定方案补齐相应正向、边界和失败分支；现有可执行分支继续测试。</x:v>
      </x:c>
      <x:c r="L27" s="12" t="str"/>
      <x:c r="M27" s="12" t="str"/>
      <x:c r="N27" s="10" t="str">
        <x:v>1. liveshow-proto/MainBasis/需求待确认清单.md 第107行；AN-2d643ddb84e1、AN-4c265a228f16
2. 候选方案只供决策，不是已确认预期。</x:v>
      </x:c>
      <x:c r="O27" s="9" t="str">
        <x:v>1. 用户App
2. 公会App
3. 管理后台</x:v>
      </x:c>
      <x:c r="P27" s="9" t="str"/>
      <x:c r="Q27" s="9" t="str">
        <x:v>1. 指标刷新时效的确定性预期及对应分支</x:v>
      </x:c>
      <x:c r="R27" s="9" t="str">
        <x:v>多方确认</x:v>
      </x:c>
      <x:c r="S27" s="9" t="str">
        <x:v>相关功能测试开始前</x:v>
      </x:c>
      <x:c r="T27" s="9" t="str">
        <x:v>待确认</x:v>
      </x:c>
    </x:row>
    <x:row r="28" ht="85" customHeight="1">
      <x:c r="A28" s="10" t="str">
        <x:v>PENDING-first-recharge</x:v>
      </x:c>
      <x:c r="B28" s="10" t="str">
        <x:v>GROUP-first-recharge</x:v>
      </x:c>
      <x:c r="C28" s="10" t="str"/>
      <x:c r="D28" s="10" t="str"/>
      <x:c r="E28" s="10" t="str">
        <x:v>部分阻塞</x:v>
      </x:c>
      <x:c r="F28" s="10" t="str">
        <x:v>相关业务模块</x:v>
      </x:c>
      <x:c r="G28" s="9" t="str">
        <x:v>首充资格</x:v>
      </x:c>
      <x:c r="H28" s="9" t="str">
        <x:v>业务规则</x:v>
      </x:c>
      <x:c r="I28" s="9" t="str">
        <x:v>首充资格按哪种充值成功记录判定？</x:v>
      </x:c>
      <x:c r="J28" s="9" t="str">
        <x:v>A. 账号首次任意渠道成功充值
B. 各活动分别以首次购买判定</x:v>
      </x:c>
      <x:c r="K28" s="9" t="str">
        <x:v>先确认此决定及适用范围，再按选定方案补齐相应正向、边界和失败分支；现有可执行分支继续测试。</x:v>
      </x:c>
      <x:c r="L28" s="12" t="str"/>
      <x:c r="M28" s="12" t="str"/>
      <x:c r="N28" s="10" t="str">
        <x:v>1. liveshow-proto/MainBasis/需求待确认清单.md 第111行；AN-b13d526e82bf
2. 候选方案只供决策，不是已确认预期。</x:v>
      </x:c>
      <x:c r="O28" s="9" t="str">
        <x:v>1. 用户App
2. 管理后台</x:v>
      </x:c>
      <x:c r="P28" s="9" t="str"/>
      <x:c r="Q28" s="9" t="str">
        <x:v>1. 首充资格的确定性预期及对应分支</x:v>
      </x:c>
      <x:c r="R28" s="9" t="str">
        <x:v>产品</x:v>
      </x:c>
      <x:c r="S28" s="9" t="str">
        <x:v>相关功能测试开始前</x:v>
      </x:c>
      <x:c r="T28" s="9" t="str">
        <x:v>待确认</x:v>
      </x:c>
    </x:row>
    <x:row r="29" ht="85" customHeight="1">
      <x:c r="A29" s="10" t="str">
        <x:v>PENDING-first-recharge-hide</x:v>
      </x:c>
      <x:c r="B29" s="10" t="str">
        <x:v>GROUP-first-recharge-hide</x:v>
      </x:c>
      <x:c r="C29" s="10" t="str"/>
      <x:c r="D29" s="10" t="str"/>
      <x:c r="E29" s="10" t="str">
        <x:v>部分阻塞</x:v>
      </x:c>
      <x:c r="F29" s="10" t="str">
        <x:v>相关业务模块</x:v>
      </x:c>
      <x:c r="G29" s="9" t="str">
        <x:v>首充购买后的展示</x:v>
      </x:c>
      <x:c r="H29" s="9" t="str">
        <x:v>业务规则</x:v>
      </x:c>
      <x:c r="I29" s="9" t="str">
        <x:v>首充套餐成功购买后，是否继续展示？</x:v>
      </x:c>
      <x:c r="J29" s="9" t="str">
        <x:v>A. 隐藏该套餐
B. 保留套餐并显示不可购买</x:v>
      </x:c>
      <x:c r="K29" s="9" t="str">
        <x:v>先确认此决定及适用范围，再按选定方案补齐相应正向、边界和失败分支；现有可执行分支继续测试。</x:v>
      </x:c>
      <x:c r="L29" s="12" t="str"/>
      <x:c r="M29" s="12" t="str"/>
      <x:c r="N29" s="10" t="str">
        <x:v>1. liveshow-proto/MainBasis/需求待确认清单.md 第115行；AN-b13d526e82bf
2. 候选方案只供决策，不是已确认预期。</x:v>
      </x:c>
      <x:c r="O29" s="9" t="str">
        <x:v>1. 用户App</x:v>
      </x:c>
      <x:c r="P29" s="9" t="str"/>
      <x:c r="Q29" s="9" t="str">
        <x:v>1. 首充购买后的展示的确定性预期及对应分支</x:v>
      </x:c>
      <x:c r="R29" s="9" t="str">
        <x:v>产品</x:v>
      </x:c>
      <x:c r="S29" s="9" t="str">
        <x:v>相关功能测试开始前</x:v>
      </x:c>
      <x:c r="T29" s="9" t="str">
        <x:v>待确认</x:v>
      </x:c>
    </x:row>
    <x:row r="30" ht="85" customHeight="1">
      <x:c r="A30" s="10" t="str">
        <x:v>PENDING-recharge-expiry</x:v>
      </x:c>
      <x:c r="B30" s="10" t="str">
        <x:v>GROUP-recharge-expiry</x:v>
      </x:c>
      <x:c r="C30" s="10" t="str"/>
      <x:c r="D30" s="10" t="str"/>
      <x:c r="E30" s="10" t="str">
        <x:v>部分阻塞</x:v>
      </x:c>
      <x:c r="F30" s="10" t="str">
        <x:v>相关业务模块</x:v>
      </x:c>
      <x:c r="G30" s="9" t="str">
        <x:v>支付中套餐过期</x:v>
      </x:c>
      <x:c r="H30" s="9" t="str">
        <x:v>业务规则</x:v>
      </x:c>
      <x:c r="I30" s="9" t="str">
        <x:v>支付已经发起但尚未完成时套餐过期，订单能否按快照继续完成？</x:v>
      </x:c>
      <x:c r="J30" s="9" t="str">
        <x:v>A. 在原订单有效期内继续支付
B. 过期即取消未支付订单</x:v>
      </x:c>
      <x:c r="K30" s="9" t="str">
        <x:v>先确认此决定及适用范围，再按选定方案补齐相应正向、边界和失败分支；现有可执行分支继续测试。</x:v>
      </x:c>
      <x:c r="L30" s="12" t="str"/>
      <x:c r="M30" s="12" t="str"/>
      <x:c r="N30" s="10" t="str">
        <x:v>1. liveshow-proto/MainBasis/需求待确认清单.md 第119行；AN-b13d526e82bf
2. 候选方案只供决策，不是已确认预期。</x:v>
      </x:c>
      <x:c r="O30" s="9" t="str">
        <x:v>1. 用户App
2. 管理后台</x:v>
      </x:c>
      <x:c r="P30" s="9" t="str"/>
      <x:c r="Q30" s="9" t="str">
        <x:v>1. 支付中套餐过期的确定性预期及对应分支</x:v>
      </x:c>
      <x:c r="R30" s="9" t="str">
        <x:v>产品</x:v>
      </x:c>
      <x:c r="S30" s="9" t="str">
        <x:v>相关功能测试开始前</x:v>
      </x:c>
      <x:c r="T30" s="9" t="str">
        <x:v>待确认</x:v>
      </x:c>
    </x:row>
    <x:row r="31" ht="85" customHeight="1">
      <x:c r="A31" s="10" t="str">
        <x:v>PENDING-recharge-empty</x:v>
      </x:c>
      <x:c r="B31" s="10" t="str">
        <x:v>GROUP-recharge-empty</x:v>
      </x:c>
      <x:c r="C31" s="10" t="str"/>
      <x:c r="D31" s="10" t="str"/>
      <x:c r="E31" s="10" t="str">
        <x:v>部分阻塞</x:v>
      </x:c>
      <x:c r="F31" s="10" t="str">
        <x:v>相关业务模块</x:v>
      </x:c>
      <x:c r="G31" s="9" t="str">
        <x:v>无可购套餐</x:v>
      </x:c>
      <x:c r="H31" s="9" t="str">
        <x:v>业务规则</x:v>
      </x:c>
      <x:c r="I31" s="9" t="str">
        <x:v>没有可购充值套餐时页面如何展示并引导？</x:v>
      </x:c>
      <x:c r="J31" s="9" t="str">
        <x:v>A. 空态且不可发起支付
B. 展示下架套餐但不可购买</x:v>
      </x:c>
      <x:c r="K31" s="9" t="str">
        <x:v>先确认此决定及适用范围，再按选定方案补齐相应正向、边界和失败分支；现有可执行分支继续测试。</x:v>
      </x:c>
      <x:c r="L31" s="12" t="str"/>
      <x:c r="M31" s="12" t="str"/>
      <x:c r="N31" s="10" t="str">
        <x:v>1. liveshow-proto/MainBasis/需求待确认清单.md 第123行；AN-b13d526e82bf
2. 候选方案只供决策，不是已确认预期。</x:v>
      </x:c>
      <x:c r="O31" s="9" t="str">
        <x:v>1. 用户App</x:v>
      </x:c>
      <x:c r="P31" s="9" t="str"/>
      <x:c r="Q31" s="9" t="str">
        <x:v>1. 无可购套餐的确定性预期及对应分支</x:v>
      </x:c>
      <x:c r="R31" s="9" t="str">
        <x:v>产品</x:v>
      </x:c>
      <x:c r="S31" s="9" t="str">
        <x:v>相关功能测试开始前</x:v>
      </x:c>
      <x:c r="T31" s="9" t="str">
        <x:v>待确认</x:v>
      </x:c>
    </x:row>
    <x:row r="32" ht="85" customHeight="1">
      <x:c r="A32" s="10" t="str">
        <x:v>PENDING-level-gift-scope</x:v>
      </x:c>
      <x:c r="B32" s="10" t="str">
        <x:v>GROUP-level-gift-scope</x:v>
      </x:c>
      <x:c r="C32" s="10" t="str"/>
      <x:c r="D32" s="10" t="str"/>
      <x:c r="E32" s="10" t="str">
        <x:v>部分阻塞</x:v>
      </x:c>
      <x:c r="F32" s="10" t="str">
        <x:v>等级与身份</x:v>
      </x:c>
      <x:c r="G32" s="9" t="str">
        <x:v>等级贡献计入类型</x:v>
      </x:c>
      <x:c r="H32" s="9" t="str">
        <x:v>业务规则</x:v>
      </x:c>
      <x:c r="I32" s="9" t="str">
        <x:v>财富等级和粉丝等级分别计入哪些礼物类型，幸运礼物按何种价值计入？</x:v>
      </x:c>
      <x:c r="J32" s="9" t="str">
        <x:v>A. 全部真实礼物按送出价值
B. 全部真实礼物按扣除返奖后的净消耗
C. 由等级类型分别配置</x:v>
      </x:c>
      <x:c r="K32" s="9" t="str">
        <x:v>先确认此决定及适用范围，再按选定方案补齐相应正向、边界和失败分支；现有可执行分支继续测试。</x:v>
      </x:c>
      <x:c r="L32" s="12" t="str"/>
      <x:c r="M32" s="12" t="str"/>
      <x:c r="N32" s="10" t="str">
        <x:v>1. liveshow-proto/MainBasis/需求待确认清单.md 第127行；AN-3839cfde3299
2. 候选方案只供决策，不是已确认预期。</x:v>
      </x:c>
      <x:c r="O32" s="9" t="str">
        <x:v>1. 用户App
2. 管理后台</x:v>
      </x:c>
      <x:c r="P32" s="9" t="str"/>
      <x:c r="Q32" s="9" t="str">
        <x:v>1. 等级贡献计入类型的确定性预期及对应分支</x:v>
      </x:c>
      <x:c r="R32" s="9" t="str">
        <x:v>产品</x:v>
      </x:c>
      <x:c r="S32" s="9" t="str">
        <x:v>相关功能测试开始前</x:v>
      </x:c>
      <x:c r="T32" s="9" t="str">
        <x:v>待确认</x:v>
      </x:c>
    </x:row>
    <x:row r="33" ht="85" customHeight="1">
      <x:c r="A33" s="10" t="str">
        <x:v>PENDING-club-level-attribution</x:v>
      </x:c>
      <x:c r="B33" s="10" t="str">
        <x:v>GROUP-club-level-attribution</x:v>
      </x:c>
      <x:c r="C33" s="10" t="str"/>
      <x:c r="D33" s="10" t="str"/>
      <x:c r="E33" s="10" t="str">
        <x:v>部分阻塞</x:v>
      </x:c>
      <x:c r="F33" s="10" t="str">
        <x:v>相关业务模块</x:v>
      </x:c>
      <x:c r="G33" s="9" t="str">
        <x:v>粉丝团累计收礼归属</x:v>
      </x:c>
      <x:c r="H33" s="9" t="str">
        <x:v>计算与统计口径</x:v>
      </x:c>
      <x:c r="I33" s="9" t="str">
        <x:v>粉丝团等级累计收礼是否只计有效团员在入团期间的赠礼？</x:v>
      </x:c>
      <x:c r="J33" s="9" t="str">
        <x:v>A. 只计有效团员在团期间赠礼
B. 计入该主播的全部有效收礼</x:v>
      </x:c>
      <x:c r="K33" s="9" t="str">
        <x:v>先确认此决定及适用范围，再按选定方案补齐相应正向、边界和失败分支；现有可执行分支继续测试。</x:v>
      </x:c>
      <x:c r="L33" s="12" t="str"/>
      <x:c r="M33" s="12" t="str"/>
      <x:c r="N33" s="10" t="str">
        <x:v>1. liveshow-proto/MainBasis/需求待确认清单.md 第131行；AN-3839cfde3299
2. 候选方案只供决策，不是已确认预期。</x:v>
      </x:c>
      <x:c r="O33" s="9" t="str">
        <x:v>1. 用户App
2. 管理后台</x:v>
      </x:c>
      <x:c r="P33" s="9" t="str"/>
      <x:c r="Q33" s="9" t="str">
        <x:v>1. 粉丝团累计收礼归属的确定性预期及对应分支</x:v>
      </x:c>
      <x:c r="R33" s="9" t="str">
        <x:v>产品</x:v>
      </x:c>
      <x:c r="S33" s="9" t="str">
        <x:v>相关功能测试开始前</x:v>
      </x:c>
      <x:c r="T33" s="9" t="str">
        <x:v>待确认</x:v>
      </x:c>
    </x:row>
    <x:row r="34" ht="85" customHeight="1">
      <x:c r="A34" s="10" t="str">
        <x:v>PENDING-coin-precision</x:v>
      </x:c>
      <x:c r="B34" s="10" t="str">
        <x:v>GROUP-coin-precision</x:v>
      </x:c>
      <x:c r="C34" s="10" t="str"/>
      <x:c r="D34" s="10" t="str"/>
      <x:c r="E34" s="10" t="str">
        <x:v>部分阻塞</x:v>
      </x:c>
      <x:c r="F34" s="10" t="str">
        <x:v>资产与结算</x:v>
      </x:c>
      <x:c r="G34" s="9" t="str">
        <x:v>金币和收益精度</x:v>
      </x:c>
      <x:c r="H34" s="9" t="str">
        <x:v>计算与统计口径</x:v>
      </x:c>
      <x:c r="I34" s="9" t="str">
        <x:v>幸运礼物收益出现不足 1 金币的小数时如何存储、累计和展示？</x:v>
      </x:c>
      <x:c r="J34" s="9" t="str">
        <x:v>A. 每笔截断为整数
B. 保留小数累计后统一展示
C. 按明确精度四舍五入</x:v>
      </x:c>
      <x:c r="K34" s="9" t="str">
        <x:v>先确认此决定及适用范围，再按选定方案补齐相应正向、边界和失败分支；现有可执行分支继续测试。</x:v>
      </x:c>
      <x:c r="L34" s="12" t="str"/>
      <x:c r="M34" s="12" t="str"/>
      <x:c r="N34" s="10" t="str">
        <x:v>1. liveshow-proto/MainBasis/需求待确认清单.md 第135行；AN-3839cfde3299
2. 候选方案只供决策，不是已确认预期。</x:v>
      </x:c>
      <x:c r="O34" s="9" t="str">
        <x:v>1. 用户App
2. 公会App
3. 管理后台</x:v>
      </x:c>
      <x:c r="P34" s="9" t="str"/>
      <x:c r="Q34" s="9" t="str">
        <x:v>1. 金币和收益精度的确定性预期及对应分支</x:v>
      </x:c>
      <x:c r="R34" s="9" t="str">
        <x:v>多方确认</x:v>
      </x:c>
      <x:c r="S34" s="9" t="str">
        <x:v>相关功能测试开始前</x:v>
      </x:c>
      <x:c r="T34" s="9" t="str">
        <x:v>待确认</x:v>
      </x:c>
    </x:row>
    <x:row r="35" ht="85" customHeight="1">
      <x:c r="A35" s="10" t="str">
        <x:v>PENDING-level-reversal</x:v>
      </x:c>
      <x:c r="B35" s="10" t="str">
        <x:v>GROUP-level-reversal</x:v>
      </x:c>
      <x:c r="C35" s="10" t="str"/>
      <x:c r="D35" s="10" t="str"/>
      <x:c r="E35" s="10" t="str">
        <x:v>部分阻塞</x:v>
      </x:c>
      <x:c r="F35" s="10" t="str">
        <x:v>等级与身份</x:v>
      </x:c>
      <x:c r="G35" s="9" t="str">
        <x:v>等级冲正与降级</x:v>
      </x:c>
      <x:c r="H35" s="9" t="str">
        <x:v>业务规则</x:v>
      </x:c>
      <x:c r="I35" s="9" t="str">
        <x:v>充值退款、消费冲正或撤销分别是否回扣成长值，以及是否降级？</x:v>
      </x:c>
      <x:c r="J35" s="9" t="str">
        <x:v>A. 按被撤销的有效赠礼回扣并重算等级
B. 回扣成长值但保留已达等级</x:v>
      </x:c>
      <x:c r="K35" s="9" t="str">
        <x:v>先确认此决定及适用范围，再按选定方案补齐相应正向、边界和失败分支；现有可执行分支继续测试。</x:v>
      </x:c>
      <x:c r="L35" s="12" t="str"/>
      <x:c r="M35" s="12" t="str"/>
      <x:c r="N35" s="10" t="str">
        <x:v>1. liveshow-proto/MainBasis/需求待确认清单.md 第139行；AN-4c265a228f16
2. 候选方案只供决策，不是已确认预期。</x:v>
      </x:c>
      <x:c r="O35" s="9" t="str">
        <x:v>1. 用户App
2. 管理后台</x:v>
      </x:c>
      <x:c r="P35" s="9" t="str"/>
      <x:c r="Q35" s="9" t="str">
        <x:v>1. 等级冲正与降级的确定性预期及对应分支</x:v>
      </x:c>
      <x:c r="R35" s="9" t="str">
        <x:v>产品</x:v>
      </x:c>
      <x:c r="S35" s="9" t="str">
        <x:v>相关功能测试开始前</x:v>
      </x:c>
      <x:c r="T35" s="9" t="str">
        <x:v>待确认</x:v>
      </x:c>
    </x:row>
    <x:row r="36" ht="85" customHeight="1">
      <x:c r="A36" s="10" t="str">
        <x:v>PENDING-level-history</x:v>
      </x:c>
      <x:c r="B36" s="10" t="str">
        <x:v>GROUP-level-history</x:v>
      </x:c>
      <x:c r="C36" s="10" t="str"/>
      <x:c r="D36" s="10" t="str"/>
      <x:c r="E36" s="10" t="str">
        <x:v>部分阻塞</x:v>
      </x:c>
      <x:c r="F36" s="10" t="str">
        <x:v>等级与身份</x:v>
      </x:c>
      <x:c r="G36" s="9" t="str">
        <x:v>历史等级快照</x:v>
      </x:c>
      <x:c r="H36" s="9" t="str">
        <x:v>业务规则</x:v>
      </x:c>
      <x:c r="I36" s="9" t="str">
        <x:v>调整等级阈值后历史记录展示原等级还是重算等级？</x:v>
      </x:c>
      <x:c r="J36" s="9" t="str">
        <x:v>A. 保留事件发生时等级
B. 显示当前重算等级</x:v>
      </x:c>
      <x:c r="K36" s="9" t="str">
        <x:v>先确认此决定及适用范围，再按选定方案补齐相应正向、边界和失败分支；现有可执行分支继续测试。</x:v>
      </x:c>
      <x:c r="L36" s="12" t="str"/>
      <x:c r="M36" s="12" t="str"/>
      <x:c r="N36" s="10" t="str">
        <x:v>1. liveshow-proto/MainBasis/需求待确认清单.md 第143行；AN-10e4cbde5c33
2. 候选方案只供决策，不是已确认预期。</x:v>
      </x:c>
      <x:c r="O36" s="9" t="str">
        <x:v>1. 用户App
2. 公会App
3. 管理后台</x:v>
      </x:c>
      <x:c r="P36" s="9" t="str"/>
      <x:c r="Q36" s="9" t="str">
        <x:v>1. 历史等级快照的确定性预期及对应分支</x:v>
      </x:c>
      <x:c r="R36" s="9" t="str">
        <x:v>产品</x:v>
      </x:c>
      <x:c r="S36" s="9" t="str">
        <x:v>相关功能测试开始前</x:v>
      </x:c>
      <x:c r="T36" s="9" t="str">
        <x:v>待确认</x:v>
      </x:c>
    </x:row>
    <x:row r="37" ht="85" customHeight="1">
      <x:c r="A37" s="10" t="str">
        <x:v>PENDING-badge-refresh</x:v>
      </x:c>
      <x:c r="B37" s="10" t="str">
        <x:v>GROUP-badge-refresh</x:v>
      </x:c>
      <x:c r="C37" s="10" t="str"/>
      <x:c r="D37" s="10" t="str"/>
      <x:c r="E37" s="10" t="str">
        <x:v>部分阻塞</x:v>
      </x:c>
      <x:c r="F37" s="10" t="str">
        <x:v>等级与身份</x:v>
      </x:c>
      <x:c r="G37" s="9" t="str">
        <x:v>等级勋章图刷新</x:v>
      </x:c>
      <x:c r="H37" s="9" t="str">
        <x:v>业务规则</x:v>
      </x:c>
      <x:c r="I37" s="9" t="str">
        <x:v>后台修改等级勋章图后，客户端何时刷新？</x:v>
      </x:c>
      <x:c r="J37" s="9" t="str">
        <x:v>A. 下一次加载资料时更新
B. 重新登录后更新
C. 按明确缓存有效期更新</x:v>
      </x:c>
      <x:c r="K37" s="9" t="str">
        <x:v>先确认此决定及适用范围，再按选定方案补齐相应正向、边界和失败分支；现有可执行分支继续测试。</x:v>
      </x:c>
      <x:c r="L37" s="12" t="str"/>
      <x:c r="M37" s="12" t="str"/>
      <x:c r="N37" s="10" t="str">
        <x:v>1. liveshow-proto/MainBasis/需求待确认清单.md 第147行；AN-10e4cbde5c33
2. 候选方案只供决策，不是已确认预期。</x:v>
      </x:c>
      <x:c r="O37" s="9" t="str">
        <x:v>1. 用户App
2. 管理后台</x:v>
      </x:c>
      <x:c r="P37" s="9" t="str"/>
      <x:c r="Q37" s="9" t="str">
        <x:v>1. 等级勋章图刷新的确定性预期及对应分支</x:v>
      </x:c>
      <x:c r="R37" s="9" t="str">
        <x:v>产品</x:v>
      </x:c>
      <x:c r="S37" s="9" t="str">
        <x:v>相关功能测试开始前</x:v>
      </x:c>
      <x:c r="T37" s="9" t="str">
        <x:v>待确认</x:v>
      </x:c>
    </x:row>
    <x:row r="38" ht="85" customHeight="1">
      <x:c r="A38" s="10" t="str">
        <x:v>PENDING-badge-fallback</x:v>
      </x:c>
      <x:c r="B38" s="10" t="str">
        <x:v>GROUP-badge-fallback</x:v>
      </x:c>
      <x:c r="C38" s="10" t="str"/>
      <x:c r="D38" s="10" t="str"/>
      <x:c r="E38" s="10" t="str">
        <x:v>部分阻塞</x:v>
      </x:c>
      <x:c r="F38" s="10" t="str">
        <x:v>等级与身份</x:v>
      </x:c>
      <x:c r="G38" s="9" t="str">
        <x:v>等级勋章图片缺失</x:v>
      </x:c>
      <x:c r="H38" s="9" t="str">
        <x:v>业务规则</x:v>
      </x:c>
      <x:c r="I38" s="9" t="str">
        <x:v>等级勋章图无法加载时客户端显示什么？</x:v>
      </x:c>
      <x:c r="J38" s="9" t="str">
        <x:v>A. 显示默认等级图
B. 只显示等级文字</x:v>
      </x:c>
      <x:c r="K38" s="9" t="str">
        <x:v>先确认此决定及适用范围，再按选定方案补齐相应正向、边界和失败分支；现有可执行分支继续测试。</x:v>
      </x:c>
      <x:c r="L38" s="12" t="str"/>
      <x:c r="M38" s="12" t="str"/>
      <x:c r="N38" s="10" t="str">
        <x:v>1. liveshow-proto/MainBasis/需求待确认清单.md 第151行；AN-d8d7a1c44fc2
2. 候选方案只供决策，不是已确认预期。</x:v>
      </x:c>
      <x:c r="O38" s="9" t="str">
        <x:v>1. 用户App
2. 管理后台</x:v>
      </x:c>
      <x:c r="P38" s="9" t="str"/>
      <x:c r="Q38" s="9" t="str">
        <x:v>1. 等级勋章图片缺失的确定性预期及对应分支</x:v>
      </x:c>
      <x:c r="R38" s="9" t="str">
        <x:v>产品</x:v>
      </x:c>
      <x:c r="S38" s="9" t="str">
        <x:v>相关功能测试开始前</x:v>
      </x:c>
      <x:c r="T38" s="9" t="str">
        <x:v>待确认</x:v>
      </x:c>
    </x:row>
    <x:row r="39" ht="85" customHeight="1">
      <x:c r="A39" s="10" t="str">
        <x:v>PENDING-share-detail</x:v>
      </x:c>
      <x:c r="B39" s="10" t="str">
        <x:v>GROUP-share-detail</x:v>
      </x:c>
      <x:c r="C39" s="10" t="str"/>
      <x:c r="D39" s="10" t="str"/>
      <x:c r="E39" s="10" t="str">
        <x:v>部分阻塞</x:v>
      </x:c>
      <x:c r="F39" s="10" t="str">
        <x:v>资产与结算</x:v>
      </x:c>
      <x:c r="G39" s="9" t="str">
        <x:v>分成记录详情</x:v>
      </x:c>
      <x:c r="H39" s="9" t="str">
        <x:v>业务规则</x:v>
      </x:c>
      <x:c r="I39" s="9" t="str">
        <x:v>主播点击分成日期记录后是否提供可操作的详情页，详情包含哪些内容？</x:v>
      </x:c>
      <x:c r="J39" s="9" t="str">
        <x:v>A. 仅保留当前只读列表
B. 新增该笔分成详情页</x:v>
      </x:c>
      <x:c r="K39" s="9" t="str">
        <x:v>先确认此决定及适用范围，再按选定方案补齐相应正向、边界和失败分支；现有可执行分支继续测试。</x:v>
      </x:c>
      <x:c r="L39" s="12" t="str"/>
      <x:c r="M39" s="12" t="str"/>
      <x:c r="N39" s="10" t="str">
        <x:v>1. liveshow-proto/MainBasis/需求待确认清单.md 第155行；AN-7fdf6bcdd026
2. 候选方案只供决策，不是已确认预期。</x:v>
      </x:c>
      <x:c r="O39" s="9" t="str">
        <x:v>1. 用户App</x:v>
      </x:c>
      <x:c r="P39" s="9" t="str"/>
      <x:c r="Q39" s="9" t="str">
        <x:v>1. 分成记录详情的确定性预期及对应分支</x:v>
      </x:c>
      <x:c r="R39" s="9" t="str">
        <x:v>产品</x:v>
      </x:c>
      <x:c r="S39" s="9" t="str">
        <x:v>相关功能测试开始前</x:v>
      </x:c>
      <x:c r="T39" s="9" t="str">
        <x:v>待确认</x:v>
      </x:c>
    </x:row>
    <x:row r="40" ht="85" customHeight="1">
      <x:c r="A40" s="10" t="str">
        <x:v>PENDING-group-report</x:v>
      </x:c>
      <x:c r="B40" s="10" t="str">
        <x:v>GROUP-group-report</x:v>
      </x:c>
      <x:c r="C40" s="10" t="str"/>
      <x:c r="D40" s="10" t="str"/>
      <x:c r="E40" s="10" t="str">
        <x:v>部分阻塞</x:v>
      </x:c>
      <x:c r="F40" s="10" t="str">
        <x:v>相关业务模块</x:v>
      </x:c>
      <x:c r="G40" s="9" t="str">
        <x:v>粉丝群举报对象</x:v>
      </x:c>
      <x:c r="H40" s="9" t="str">
        <x:v>业务规则</x:v>
      </x:c>
      <x:c r="I40" s="9" t="str">
        <x:v>群管理的举报针对群、群主还是具体消息？</x:v>
      </x:c>
      <x:c r="J40" s="9" t="str">
        <x:v>A. 举报群主账号
B. 举报指定消息及其发送者
C. 单独举报粉丝群</x:v>
      </x:c>
      <x:c r="K40" s="9" t="str">
        <x:v>先确认此决定及适用范围，再按选定方案补齐相应正向、边界和失败分支；现有可执行分支继续测试。</x:v>
      </x:c>
      <x:c r="L40" s="12" t="str"/>
      <x:c r="M40" s="12" t="str"/>
      <x:c r="N40" s="10" t="str">
        <x:v>1. liveshow-proto/MainBasis/需求待确认清单.md 第159行；AN-3bc6aef15073
2. 候选方案只供决策，不是已确认预期。</x:v>
      </x:c>
      <x:c r="O40" s="9" t="str">
        <x:v>1. 用户App
2. 管理后台</x:v>
      </x:c>
      <x:c r="P40" s="9" t="str"/>
      <x:c r="Q40" s="9" t="str">
        <x:v>1. 粉丝群举报对象的确定性预期及对应分支</x:v>
      </x:c>
      <x:c r="R40" s="9" t="str">
        <x:v>产品</x:v>
      </x:c>
      <x:c r="S40" s="9" t="str">
        <x:v>相关功能测试开始前</x:v>
      </x:c>
      <x:c r="T40" s="9" t="str">
        <x:v>待确认</x:v>
      </x:c>
    </x:row>
  </x:sheetData>
  <x:dataValidations count="5">
    <x:dataValidation type="list" sqref="E2:E40">
      <x:formula1>"阻塞测试,部分阻塞,不阻塞"</x:formula1>
    </x:dataValidation>
    <x:dataValidation type="list" sqref="H2:H4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40">
      <x:formula1>"A,B,C,D,其他"</x:formula1>
    </x:dataValidation>
    <x:dataValidation type="list" sqref="R2:R40">
      <x:formula1>"产品,交互,技术,多方确认"</x:formula1>
    </x:dataValidation>
    <x:dataValidation type="list" sqref="T2:T4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0fee3e98724c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0" hidden="0" customWidth="1"/>
    <x:col min="4" max="4" width="70" hidden="0" customWidth="1"/>
    <x:col min="5" max="5" width="24" hidden="0" customWidth="1"/>
    <x:col min="6" max="6" width="40" hidden="0" customWidth="1"/>
    <x:col min="7" max="7" width="68" hidden="0" customWidth="1"/>
  </x:cols>
  <x:sheetData>
    <x:row r="1" ht="34" customHeight="1">
      <x:c r="A1" s="29" t="str">
        <x:v>需求编号</x:v>
      </x:c>
      <x:c r="B1" s="29" t="str">
        <x:v>功能模块</x:v>
      </x:c>
      <x:c r="C1" s="29" t="str">
        <x:v>来源行</x:v>
      </x:c>
      <x:c r="D1" s="29" t="str">
        <x:v>需求内容</x:v>
      </x:c>
      <x:c r="E1" s="29" t="str">
        <x:v>处理状态</x:v>
      </x:c>
      <x:c r="F1" s="29" t="str">
        <x:v>关联正式用例</x:v>
      </x:c>
      <x:c r="G1" s="29" t="str">
        <x:v>待完成事项</x:v>
      </x:c>
    </x:row>
    <x:row r="2" ht="44" customHeight="1">
      <x:c r="A2" s="4" t="str">
        <x:v>概要-14</x:v>
      </x:c>
      <x:c r="B2" s="4" t="str">
        <x:v>系统概要与公共规则</x:v>
      </x:c>
      <x:c r="C2" s="4" t="n">
        <x:v>14</x:v>
      </x:c>
      <x:c r="D2" s="4" t="str">
        <x:v>|参与方|说明|</x:v>
      </x:c>
      <x:c r="E2" s="4" t="str">
        <x:v>尚未建立场景映射</x:v>
      </x:c>
      <x:c r="F2" s="4" t="str"/>
      <x:c r="G2" s="4" t="str">
        <x:v>系统概要或共同业务条款：已保留全文，不用端侧用例数量反推本条完整覆盖；跨段等价映射尚未逐项闭合。</x:v>
      </x:c>
    </x:row>
    <x:row r="3" ht="44" customHeight="1">
      <x:c r="A3" s="4" t="str">
        <x:v>概要-16</x:v>
      </x:c>
      <x:c r="B3" s="4" t="str">
        <x:v>系统概要与公共规则</x:v>
      </x:c>
      <x:c r="C3" s="4" t="n">
        <x:v>16</x:v>
      </x:c>
      <x:c r="D3" s="4" t="str">
        <x:v>|用户|使用账号、观看直播、互动消费并维护社交关系。|</x:v>
      </x:c>
      <x:c r="E3" s="4" t="str">
        <x:v>尚未建立场景映射</x:v>
      </x:c>
      <x:c r="F3" s="4" t="str"/>
      <x:c r="G3" s="4" t="str">
        <x:v>系统概要或共同业务条款：已保留全文，不用端侧用例数量反推本条完整覆盖；跨段等价映射尚未逐项闭合。</x:v>
      </x:c>
    </x:row>
    <x:row r="4" ht="44" customHeight="1">
      <x:c r="A4" s="4" t="str">
        <x:v>概要-17</x:v>
      </x:c>
      <x:c r="B4" s="4" t="str">
        <x:v>系统概要与公共规则</x:v>
      </x:c>
      <x:c r="C4" s="4" t="n">
        <x:v>17</x:v>
      </x:c>
      <x:c r="D4" s="4" t="str">
        <x:v>|主播|由用户完成入会和认证后获得的身份，负责创建和经营直播间。|</x:v>
      </x:c>
      <x:c r="E4" s="4" t="str">
        <x:v>尚未建立场景映射</x:v>
      </x:c>
      <x:c r="F4" s="4" t="str"/>
      <x:c r="G4" s="4" t="str">
        <x:v>系统概要或共同业务条款：已保留全文，不用端侧用例数量反推本条完整覆盖；跨段等价映射尚未逐项闭合。</x:v>
      </x:c>
    </x:row>
    <x:row r="5" ht="44" customHeight="1">
      <x:c r="A5" s="4" t="str">
        <x:v>概要-18</x:v>
      </x:c>
      <x:c r="B5" s="4" t="str">
        <x:v>系统概要与公共规则</x:v>
      </x:c>
      <x:c r="C5" s="4" t="n">
        <x:v>18</x:v>
      </x:c>
      <x:c r="D5" s="4" t="str">
        <x:v>|公会|由公会长操作公会端，管理公会、主播、直播权限和运营账号。|</x:v>
      </x:c>
      <x:c r="E5" s="4" t="str">
        <x:v>尚未建立场景映射</x:v>
      </x:c>
      <x:c r="F5" s="4" t="str"/>
      <x:c r="G5" s="4" t="str">
        <x:v>系统概要或共同业务条款：已保留全文，不用端侧用例数量反推本条完整覆盖；跨段等价映射尚未逐项闭合。</x:v>
      </x:c>
    </x:row>
    <x:row r="6" ht="44" customHeight="1">
      <x:c r="A6" s="4" t="str">
        <x:v>概要-19</x:v>
      </x:c>
      <x:c r="B6" s="4" t="str">
        <x:v>系统概要与公共规则</x:v>
      </x:c>
      <x:c r="C6" s="4" t="n">
        <x:v>19</x:v>
      </x:c>
      <x:c r="D6" s="4" t="str">
        <x:v>|平台|通过管理后台负责审核、运营、风控和财务核算，并在线下与主播完成分成结算。|</x:v>
      </x:c>
      <x:c r="E6" s="4" t="str">
        <x:v>尚未建立场景映射</x:v>
      </x:c>
      <x:c r="F6" s="4" t="str"/>
      <x:c r="G6" s="4" t="str">
        <x:v>系统概要或共同业务条款：已保留全文，不用端侧用例数量反推本条完整覆盖；跨段等价映射尚未逐项闭合。</x:v>
      </x:c>
    </x:row>
    <x:row r="7" ht="44" customHeight="1">
      <x:c r="A7" s="4" t="str">
        <x:v>概要-23</x:v>
      </x:c>
      <x:c r="B7" s="4" t="str">
        <x:v>系统概要与公共规则</x:v>
      </x:c>
      <x:c r="C7" s="4" t="n">
        <x:v>23</x:v>
      </x:c>
      <x:c r="D7" s="4" t="str">
        <x:v>- 用户端/主播端：中文/英文/印尼/马来</x:v>
      </x:c>
      <x:c r="E7" s="4" t="str">
        <x:v>尚未建立场景映射</x:v>
      </x:c>
      <x:c r="F7" s="4" t="str"/>
      <x:c r="G7" s="4" t="str">
        <x:v>系统概要或共同业务条款：已保留全文，不用端侧用例数量反推本条完整覆盖；跨段等价映射尚未逐项闭合。</x:v>
      </x:c>
    </x:row>
    <x:row r="8" ht="44" customHeight="1">
      <x:c r="A8" s="4" t="str">
        <x:v>概要-25</x:v>
      </x:c>
      <x:c r="B8" s="4" t="str">
        <x:v>系统概要与公共规则</x:v>
      </x:c>
      <x:c r="C8" s="4" t="n">
        <x:v>25</x:v>
      </x:c>
      <x:c r="D8" s="4" t="str">
        <x:v>- 公会端：中文/英文/印尼/马来</x:v>
      </x:c>
      <x:c r="E8" s="4" t="str">
        <x:v>尚未建立场景映射</x:v>
      </x:c>
      <x:c r="F8" s="4" t="str"/>
      <x:c r="G8" s="4" t="str">
        <x:v>系统概要或共同业务条款：已保留全文，不用端侧用例数量反推本条完整覆盖；跨段等价映射尚未逐项闭合。</x:v>
      </x:c>
    </x:row>
    <x:row r="9" ht="44" customHeight="1">
      <x:c r="A9" s="4" t="str">
        <x:v>概要-27</x:v>
      </x:c>
      <x:c r="B9" s="4" t="str">
        <x:v>系统概要与公共规则</x:v>
      </x:c>
      <x:c r="C9" s="4" t="n">
        <x:v>27</x:v>
      </x:c>
      <x:c r="D9" s="4" t="str">
        <x:v>- 管理后台：中文</x:v>
      </x:c>
      <x:c r="E9" s="4" t="str">
        <x:v>尚未建立场景映射</x:v>
      </x:c>
      <x:c r="F9" s="4" t="str"/>
      <x:c r="G9" s="4" t="str">
        <x:v>系统概要或共同业务条款：已保留全文，不用端侧用例数量反推本条完整覆盖；跨段等价映射尚未逐项闭合。</x:v>
      </x:c>
    </x:row>
    <x:row r="10" ht="44" customHeight="1">
      <x:c r="A10" s="4" t="str">
        <x:v>概要-35</x:v>
      </x:c>
      <x:c r="B10" s="4" t="str">
        <x:v>系统概要与公共规则</x:v>
      </x:c>
      <x:c r="C10" s="4" t="n">
        <x:v>35</x:v>
      </x:c>
      <x:c r="D10" s="4" t="str">
        <x:v>|用例名称|概要说明|</x:v>
      </x:c>
      <x:c r="E10" s="4" t="str">
        <x:v>尚未建立场景映射</x:v>
      </x:c>
      <x:c r="F10" s="4" t="str"/>
      <x:c r="G10" s="4" t="str">
        <x:v>系统概要或共同业务条款：已保留全文，不用端侧用例数量反推本条完整覆盖；跨段等价映射尚未逐项闭合。</x:v>
      </x:c>
    </x:row>
    <x:row r="11" ht="44" customHeight="1">
      <x:c r="A11" s="4" t="str">
        <x:v>概要-37</x:v>
      </x:c>
      <x:c r="B11" s="4" t="str">
        <x:v>系统概要与公共规则</x:v>
      </x:c>
      <x:c r="C11" s="4" t="n">
        <x:v>37</x:v>
      </x:c>
      <x:c r="D11" s="4" t="str">
        <x:v>|管理账号|注册、登录、退出、重置密码和注销账号。|</x:v>
      </x:c>
      <x:c r="E11" s="4" t="str">
        <x:v>尚未建立场景映射</x:v>
      </x:c>
      <x:c r="F11" s="4" t="str"/>
      <x:c r="G11" s="4" t="str">
        <x:v>系统概要或共同业务条款：已保留全文，不用端侧用例数量反推本条完整覆盖；跨段等价映射尚未逐项闭合。</x:v>
      </x:c>
    </x:row>
    <x:row r="12" ht="44" customHeight="1">
      <x:c r="A12" s="4" t="str">
        <x:v>概要-38</x:v>
      </x:c>
      <x:c r="B12" s="4" t="str">
        <x:v>系统概要与公共规则</x:v>
      </x:c>
      <x:c r="C12" s="4" t="n">
        <x:v>38</x:v>
      </x:c>
      <x:c r="D12" s="4" t="str">
        <x:v>|维护个人信息|维护个人资料、隐私、通知、语言及装扮设置。|</x:v>
      </x:c>
      <x:c r="E12" s="4" t="str">
        <x:v>尚未建立场景映射</x:v>
      </x:c>
      <x:c r="F12" s="4" t="str"/>
      <x:c r="G12" s="4" t="str">
        <x:v>系统概要或共同业务条款：已保留全文，不用端侧用例数量反推本条完整覆盖；跨段等价映射尚未逐项闭合。</x:v>
      </x:c>
    </x:row>
    <x:row r="13" ht="44" customHeight="1">
      <x:c r="A13" s="4" t="str">
        <x:v>概要-39</x:v>
      </x:c>
      <x:c r="B13" s="4" t="str">
        <x:v>系统概要与公共规则</x:v>
      </x:c>
      <x:c r="C13" s="4" t="n">
        <x:v>39</x:v>
      </x:c>
      <x:c r="D13" s="4" t="str">
        <x:v>|观看直播|进入普通房、门票房或密码房并观看直播。|</x:v>
      </x:c>
      <x:c r="E13" s="4" t="str">
        <x:v>尚未建立场景映射</x:v>
      </x:c>
      <x:c r="F13" s="4" t="str"/>
      <x:c r="G13" s="4" t="str">
        <x:v>系统概要或共同业务条款：已保留全文，不用端侧用例数量反推本条完整覆盖；跨段等价映射尚未逐项闭合。</x:v>
      </x:c>
    </x:row>
    <x:row r="14" ht="44" customHeight="1">
      <x:c r="A14" s="4" t="str">
        <x:v>概要-40</x:v>
      </x:c>
      <x:c r="B14" s="4" t="str">
        <x:v>系统概要与公共规则</x:v>
      </x:c>
      <x:c r="C14" s="4" t="n">
        <x:v>40</x:v>
      </x:c>
      <x:c r="D14" s="4" t="str">
        <x:v>|直播互动|发送公屏消息、点赞、关注和分享直播。|</x:v>
      </x:c>
      <x:c r="E14" s="4" t="str">
        <x:v>尚未建立场景映射</x:v>
      </x:c>
      <x:c r="F14" s="4" t="str"/>
      <x:c r="G14" s="4" t="str">
        <x:v>系统概要或共同业务条款：已保留全文，不用端侧用例数量反推本条完整覆盖；跨段等价映射尚未逐项闭合。</x:v>
      </x:c>
    </x:row>
    <x:row r="15" ht="44" customHeight="1">
      <x:c r="A15" s="4" t="str">
        <x:v>概要-41</x:v>
      </x:c>
      <x:c r="B15" s="4" t="str">
        <x:v>系统概要与公共规则</x:v>
      </x:c>
      <x:c r="C15" s="4" t="n">
        <x:v>41</x:v>
      </x:c>
      <x:c r="D15" s="4" t="str">
        <x:v>|赠送礼物|赠送常规、连续或幸运礼物，并接收赠送及中奖结果。|</x:v>
      </x:c>
      <x:c r="E15" s="4" t="str">
        <x:v>尚未建立场景映射</x:v>
      </x:c>
      <x:c r="F15" s="4" t="str"/>
      <x:c r="G15" s="4" t="str">
        <x:v>系统概要或共同业务条款：已保留全文，不用端侧用例数量反推本条完整覆盖；跨段等价映射尚未逐项闭合。</x:v>
      </x:c>
    </x:row>
    <x:row r="16" ht="44" customHeight="1">
      <x:c r="A16" s="4" t="str">
        <x:v>概要-42</x:v>
      </x:c>
      <x:c r="B16" s="4" t="str">
        <x:v>系统概要与公共规则</x:v>
      </x:c>
      <x:c r="C16" s="4" t="n">
        <x:v>42</x:v>
      </x:c>
      <x:c r="D16" s="4" t="str">
        <x:v>|参与平台活动|参与签到、任务和邀请活动。|</x:v>
      </x:c>
      <x:c r="E16" s="4" t="str">
        <x:v>尚未建立场景映射</x:v>
      </x:c>
      <x:c r="F16" s="4" t="str"/>
      <x:c r="G16" s="4" t="str">
        <x:v>系统概要或共同业务条款：已保留全文，不用端侧用例数量反推本条完整覆盖；跨段等价映射尚未逐项闭合。</x:v>
      </x:c>
    </x:row>
    <x:row r="17" ht="44" customHeight="1">
      <x:c r="A17" s="4" t="str">
        <x:v>概要-43</x:v>
      </x:c>
      <x:c r="B17" s="4" t="str">
        <x:v>系统概要与公共规则</x:v>
      </x:c>
      <x:c r="C17" s="4" t="n">
        <x:v>43</x:v>
      </x:c>
      <x:c r="D17" s="4" t="str">
        <x:v>|管理社交关系|管理关注、好友、私信和账号拉黑关系。|</x:v>
      </x:c>
      <x:c r="E17" s="4" t="str">
        <x:v>尚未建立场景映射</x:v>
      </x:c>
      <x:c r="F17" s="4" t="str"/>
      <x:c r="G17" s="4" t="str">
        <x:v>系统概要或共同业务条款：已保留全文，不用端侧用例数量反推本条完整覆盖；跨段等价映射尚未逐项闭合。</x:v>
      </x:c>
    </x:row>
    <x:row r="18" ht="44" customHeight="1">
      <x:c r="A18" s="4" t="str">
        <x:v>概要-44</x:v>
      </x:c>
      <x:c r="B18" s="4" t="str">
        <x:v>系统概要与公共规则</x:v>
      </x:c>
      <x:c r="C18" s="4" t="n">
        <x:v>44</x:v>
      </x:c>
      <x:c r="D18" s="4" t="str">
        <x:v>|管理粉丝团关系|加入或退出粉丝团并参与粉丝团群聊。|</x:v>
      </x:c>
      <x:c r="E18" s="4" t="str">
        <x:v>尚未建立场景映射</x:v>
      </x:c>
      <x:c r="F18" s="4" t="str"/>
      <x:c r="G18" s="4" t="str">
        <x:v>系统概要或共同业务条款：已保留全文，不用端侧用例数量反推本条完整覆盖；跨段等价映射尚未逐项闭合。</x:v>
      </x:c>
    </x:row>
    <x:row r="19" ht="44" customHeight="1">
      <x:c r="A19" s="4" t="str">
        <x:v>概要-45</x:v>
      </x:c>
      <x:c r="B19" s="4" t="str">
        <x:v>系统概要与公共规则</x:v>
      </x:c>
      <x:c r="C19" s="4" t="n">
        <x:v>45</x:v>
      </x:c>
      <x:c r="D19" s="4" t="str">
        <x:v>|充值和消费金币|充值金币，并使用金币购买门票或赠送礼物。|</x:v>
      </x:c>
      <x:c r="E19" s="4" t="str">
        <x:v>尚未建立场景映射</x:v>
      </x:c>
      <x:c r="F19" s="4" t="str"/>
      <x:c r="G19" s="4" t="str">
        <x:v>系统概要或共同业务条款：已保留全文，不用端侧用例数量反推本条完整覆盖；跨段等价映射尚未逐项闭合。</x:v>
      </x:c>
    </x:row>
    <x:row r="20" ht="44" customHeight="1">
      <x:c r="A20" s="4" t="str">
        <x:v>概要-46</x:v>
      </x:c>
      <x:c r="B20" s="4" t="str">
        <x:v>系统概要与公共规则</x:v>
      </x:c>
      <x:c r="C20" s="4" t="n">
        <x:v>46</x:v>
      </x:c>
      <x:c r="D20" s="4" t="str">
        <x:v>|管理公会关系|申请加入或退出公会。|</x:v>
      </x:c>
      <x:c r="E20" s="4" t="str">
        <x:v>尚未建立场景映射</x:v>
      </x:c>
      <x:c r="F20" s="4" t="str"/>
      <x:c r="G20" s="4" t="str">
        <x:v>系统概要或共同业务条款：已保留全文，不用端侧用例数量反推本条完整覆盖；跨段等价映射尚未逐项闭合。</x:v>
      </x:c>
    </x:row>
    <x:row r="21" ht="44" customHeight="1">
      <x:c r="A21" s="4" t="str">
        <x:v>概要-47</x:v>
      </x:c>
      <x:c r="B21" s="4" t="str">
        <x:v>系统概要与公共规则</x:v>
      </x:c>
      <x:c r="C21" s="4" t="n">
        <x:v>47</x:v>
      </x:c>
      <x:c r="D21" s="4" t="str">
        <x:v>|举报|举报用户、主播|</x:v>
      </x:c>
      <x:c r="E21" s="4" t="str">
        <x:v>尚未建立场景映射</x:v>
      </x:c>
      <x:c r="F21" s="4" t="str"/>
      <x:c r="G21" s="4" t="str">
        <x:v>系统概要或共同业务条款：已保留全文，不用端侧用例数量反推本条完整覆盖；跨段等价映射尚未逐项闭合。</x:v>
      </x:c>
    </x:row>
    <x:row r="22" ht="44" customHeight="1">
      <x:c r="A22" s="4" t="str">
        <x:v>概要-53</x:v>
      </x:c>
      <x:c r="B22" s="4" t="str">
        <x:v>系统概要与公共规则</x:v>
      </x:c>
      <x:c r="C22" s="4" t="n">
        <x:v>53</x:v>
      </x:c>
      <x:c r="D22" s="4" t="str">
        <x:v>|用例名称|概要说明|</x:v>
      </x:c>
      <x:c r="E22" s="4" t="str">
        <x:v>尚未建立场景映射</x:v>
      </x:c>
      <x:c r="F22" s="4" t="str"/>
      <x:c r="G22" s="4" t="str">
        <x:v>系统概要或共同业务条款：已保留全文，不用端侧用例数量反推本条完整覆盖；跨段等价映射尚未逐项闭合。</x:v>
      </x:c>
    </x:row>
    <x:row r="23" ht="44" customHeight="1">
      <x:c r="A23" s="4" t="str">
        <x:v>概要-55</x:v>
      </x:c>
      <x:c r="B23" s="4" t="str">
        <x:v>系统概要与公共规则</x:v>
      </x:c>
      <x:c r="C23" s="4" t="n">
        <x:v>55</x:v>
      </x:c>
      <x:c r="D23" s="4" t="str">
        <x:v>|管理主播认证和直播权限|提交或补充认证资料，处理主播身份和直播权限状态。|</x:v>
      </x:c>
      <x:c r="E23" s="4" t="str">
        <x:v>尚未建立场景映射</x:v>
      </x:c>
      <x:c r="F23" s="4" t="str"/>
      <x:c r="G23" s="4" t="str">
        <x:v>系统概要或共同业务条款：已保留全文，不用端侧用例数量反推本条完整覆盖；跨段等价映射尚未逐项闭合。</x:v>
      </x:c>
    </x:row>
    <x:row r="24" ht="44" customHeight="1">
      <x:c r="A24" s="4" t="str">
        <x:v>概要-56</x:v>
      </x:c>
      <x:c r="B24" s="4" t="str">
        <x:v>系统概要与公共规则</x:v>
      </x:c>
      <x:c r="C24" s="4" t="n">
        <x:v>56</x:v>
      </x:c>
      <x:c r="D24" s="4" t="str">
        <x:v>|配置并开始直播|设置直播信息、房间类型和画面参数后开始直播。|</x:v>
      </x:c>
      <x:c r="E24" s="4" t="str">
        <x:v>尚未建立场景映射</x:v>
      </x:c>
      <x:c r="F24" s="4" t="str"/>
      <x:c r="G24" s="4" t="str">
        <x:v>系统概要或共同业务条款：已保留全文，不用端侧用例数量反推本条完整覆盖；跨段等价映射尚未逐项闭合。</x:v>
      </x:c>
    </x:row>
    <x:row r="25" ht="44" customHeight="1">
      <x:c r="A25" s="4" t="str">
        <x:v>概要-57</x:v>
      </x:c>
      <x:c r="B25" s="4" t="str">
        <x:v>系统概要与公共规则</x:v>
      </x:c>
      <x:c r="C25" s="4" t="n">
        <x:v>57</x:v>
      </x:c>
      <x:c r="D25" s="4" t="str">
        <x:v>|经营并结束直播|管理直播过程中的观众互动并结束直播。|</x:v>
      </x:c>
      <x:c r="E25" s="4" t="str">
        <x:v>尚未建立场景映射</x:v>
      </x:c>
      <x:c r="F25" s="4" t="str"/>
      <x:c r="G25" s="4" t="str">
        <x:v>系统概要或共同业务条款：已保留全文，不用端侧用例数量反推本条完整覆盖；跨段等价映射尚未逐项闭合。</x:v>
      </x:c>
    </x:row>
    <x:row r="26" ht="44" customHeight="1">
      <x:c r="A26" s="4" t="str">
        <x:v>概要-58</x:v>
      </x:c>
      <x:c r="B26" s="4" t="str">
        <x:v>系统概要与公共规则</x:v>
      </x:c>
      <x:c r="C26" s="4" t="n">
        <x:v>58</x:v>
      </x:c>
      <x:c r="D26" s="4" t="str">
        <x:v>|管理直播间秩序|清屏、禁言、踢出、管理黑名单。|</x:v>
      </x:c>
      <x:c r="E26" s="4" t="str">
        <x:v>尚未建立场景映射</x:v>
      </x:c>
      <x:c r="F26" s="4" t="str"/>
      <x:c r="G26" s="4" t="str">
        <x:v>系统概要或共同业务条款：已保留全文，不用端侧用例数量反推本条完整覆盖；跨段等价映射尚未逐项闭合。</x:v>
      </x:c>
    </x:row>
    <x:row r="27" ht="44" customHeight="1">
      <x:c r="A27" s="4" t="str">
        <x:v>概要-59</x:v>
      </x:c>
      <x:c r="B27" s="4" t="str">
        <x:v>系统概要与公共规则</x:v>
      </x:c>
      <x:c r="C27" s="4" t="n">
        <x:v>59</x:v>
      </x:c>
      <x:c r="D27" s="4" t="str">
        <x:v>|管理连麦|发起、接受和结束主播连麦。|</x:v>
      </x:c>
      <x:c r="E27" s="4" t="str">
        <x:v>尚未建立场景映射</x:v>
      </x:c>
      <x:c r="F27" s="4" t="str"/>
      <x:c r="G27" s="4" t="str">
        <x:v>系统概要或共同业务条款：已保留全文，不用端侧用例数量反推本条完整覆盖；跨段等价映射尚未逐项闭合。</x:v>
      </x:c>
    </x:row>
    <x:row r="28" ht="44" customHeight="1">
      <x:c r="A28" s="4" t="str">
        <x:v>概要-60</x:v>
      </x:c>
      <x:c r="B28" s="4" t="str">
        <x:v>系统概要与公共规则</x:v>
      </x:c>
      <x:c r="C28" s="4" t="n">
        <x:v>60</x:v>
      </x:c>
      <x:c r="D28" s="4" t="str">
        <x:v>|管理粉丝团|创建并设置粉丝团，管理成员、群聊和禁言。|</x:v>
      </x:c>
      <x:c r="E28" s="4" t="str">
        <x:v>尚未建立场景映射</x:v>
      </x:c>
      <x:c r="F28" s="4" t="str"/>
      <x:c r="G28" s="4" t="str">
        <x:v>系统概要或共同业务条款：已保留全文，不用端侧用例数量反推本条完整覆盖；跨段等价映射尚未逐项闭合。</x:v>
      </x:c>
    </x:row>
    <x:row r="29" ht="44" customHeight="1">
      <x:c r="A29" s="4" t="str">
        <x:v>概要-61</x:v>
      </x:c>
      <x:c r="B29" s="4" t="str">
        <x:v>系统概要与公共规则</x:v>
      </x:c>
      <x:c r="C29" s="4" t="n">
        <x:v>61</x:v>
      </x:c>
      <x:c r="D29" s="4" t="str">
        <x:v>|管理房管|添加、移除房管，在直播间内执行禁言、踢出和评论管理。|</x:v>
      </x:c>
      <x:c r="E29" s="4" t="str">
        <x:v>尚未建立场景映射</x:v>
      </x:c>
      <x:c r="F29" s="4" t="str"/>
      <x:c r="G29" s="4" t="str">
        <x:v>系统概要或共同业务条款：已保留全文，不用端侧用例数量反推本条完整覆盖；跨段等价映射尚未逐项闭合。</x:v>
      </x:c>
    </x:row>
    <x:row r="30" ht="44" customHeight="1">
      <x:c r="A30" s="4" t="str">
        <x:v>概要-65</x:v>
      </x:c>
      <x:c r="B30" s="4" t="str">
        <x:v>系统概要与公共规则</x:v>
      </x:c>
      <x:c r="C30" s="4" t="n">
        <x:v>65</x:v>
      </x:c>
      <x:c r="D30" s="4" t="str">
        <x:v>|用例名称|概要说明|</x:v>
      </x:c>
      <x:c r="E30" s="4" t="str">
        <x:v>尚未建立场景映射</x:v>
      </x:c>
      <x:c r="F30" s="4" t="str"/>
      <x:c r="G30" s="4" t="str">
        <x:v>系统概要或共同业务条款：已保留全文，不用端侧用例数量反推本条完整覆盖；跨段等价映射尚未逐项闭合。</x:v>
      </x:c>
    </x:row>
    <x:row r="31" ht="44" customHeight="1">
      <x:c r="A31" s="4" t="str">
        <x:v>概要-67</x:v>
      </x:c>
      <x:c r="B31" s="4" t="str">
        <x:v>系统概要与公共规则</x:v>
      </x:c>
      <x:c r="C31" s="4" t="n">
        <x:v>67</x:v>
      </x:c>
      <x:c r="D31" s="4" t="str">
        <x:v>|管理公会信息|维护公会资料、公告和公会账号。|</x:v>
      </x:c>
      <x:c r="E31" s="4" t="str">
        <x:v>尚未建立场景映射</x:v>
      </x:c>
      <x:c r="F31" s="4" t="str"/>
      <x:c r="G31" s="4" t="str">
        <x:v>系统概要或共同业务条款：已保留全文，不用端侧用例数量反推本条完整覆盖；跨段等价映射尚未逐项闭合。</x:v>
      </x:c>
    </x:row>
    <x:row r="32" ht="44" customHeight="1">
      <x:c r="A32" s="4" t="str">
        <x:v>概要-68</x:v>
      </x:c>
      <x:c r="B32" s="4" t="str">
        <x:v>系统概要与公共规则</x:v>
      </x:c>
      <x:c r="C32" s="4" t="n">
        <x:v>68</x:v>
      </x:c>
      <x:c r="D32" s="4" t="str">
        <x:v>|管理公会主播|审批入会和退会申请，并管理名下主播及其状态。|</x:v>
      </x:c>
      <x:c r="E32" s="4" t="str">
        <x:v>尚未建立场景映射</x:v>
      </x:c>
      <x:c r="F32" s="4" t="str"/>
      <x:c r="G32" s="4" t="str">
        <x:v>系统概要或共同业务条款：已保留全文，不用端侧用例数量反推本条完整覆盖；跨段等价映射尚未逐项闭合。</x:v>
      </x:c>
    </x:row>
    <x:row r="33" ht="44" customHeight="1">
      <x:c r="A33" s="4" t="str">
        <x:v>概要-69</x:v>
      </x:c>
      <x:c r="B33" s="4" t="str">
        <x:v>系统概要与公共规则</x:v>
      </x:c>
      <x:c r="C33" s="4" t="n">
        <x:v>69</x:v>
      </x:c>
      <x:c r="D33" s="4" t="str">
        <x:v>|管理直播权限|在平台授权范围内开启或关闭主播直播权限。|</x:v>
      </x:c>
      <x:c r="E33" s="4" t="str">
        <x:v>尚未建立场景映射</x:v>
      </x:c>
      <x:c r="F33" s="4" t="str"/>
      <x:c r="G33" s="4" t="str">
        <x:v>系统概要或共同业务条款：已保留全文，不用端侧用例数量反推本条完整覆盖；跨段等价映射尚未逐项闭合。</x:v>
      </x:c>
    </x:row>
    <x:row r="34" ht="44" customHeight="1">
      <x:c r="A34" s="4" t="str">
        <x:v>概要-70</x:v>
      </x:c>
      <x:c r="B34" s="4" t="str">
        <x:v>系统概要与公共规则</x:v>
      </x:c>
      <x:c r="C34" s="4" t="n">
        <x:v>70</x:v>
      </x:c>
      <x:c r="D34" s="4" t="str">
        <x:v>|开展公会运营|向名下主播发送运营消息。|</x:v>
      </x:c>
      <x:c r="E34" s="4" t="str">
        <x:v>尚未建立场景映射</x:v>
      </x:c>
      <x:c r="F34" s="4" t="str"/>
      <x:c r="G34" s="4" t="str">
        <x:v>系统概要或共同业务条款：已保留全文，不用端侧用例数量反推本条完整覆盖；跨段等价映射尚未逐项闭合。</x:v>
      </x:c>
    </x:row>
    <x:row r="35" ht="44" customHeight="1">
      <x:c r="A35" s="4" t="str">
        <x:v>概要-71</x:v>
      </x:c>
      <x:c r="B35" s="4" t="str">
        <x:v>系统概要与公共规则</x:v>
      </x:c>
      <x:c r="C35" s="4" t="n">
        <x:v>71</x:v>
      </x:c>
      <x:c r="D35" s="4" t="str">
        <x:v>|管理运营账号和虚拟金币|创建、启停本公会运营账号，并在平台额度内发放虚拟金币。|</x:v>
      </x:c>
      <x:c r="E35" s="4" t="str">
        <x:v>尚未建立场景映射</x:v>
      </x:c>
      <x:c r="F35" s="4" t="str"/>
      <x:c r="G35" s="4" t="str">
        <x:v>系统概要或共同业务条款：已保留全文，不用端侧用例数量反推本条完整覆盖；跨段等价映射尚未逐项闭合。</x:v>
      </x:c>
    </x:row>
    <x:row r="36" ht="44" customHeight="1">
      <x:c r="A36" s="4" t="str">
        <x:v>概要-75</x:v>
      </x:c>
      <x:c r="B36" s="4" t="str">
        <x:v>系统概要与公共规则</x:v>
      </x:c>
      <x:c r="C36" s="4" t="n">
        <x:v>75</x:v>
      </x:c>
      <x:c r="D36" s="4" t="str">
        <x:v>|用例名称|概要说明|</x:v>
      </x:c>
      <x:c r="E36" s="4" t="str">
        <x:v>尚未建立场景映射</x:v>
      </x:c>
      <x:c r="F36" s="4" t="str"/>
      <x:c r="G36" s="4" t="str">
        <x:v>系统概要或共同业务条款：已保留全文，不用端侧用例数量反推本条完整覆盖；跨段等价映射尚未逐项闭合。</x:v>
      </x:c>
    </x:row>
    <x:row r="37" ht="44" customHeight="1">
      <x:c r="A37" s="4" t="str">
        <x:v>概要-77</x:v>
      </x:c>
      <x:c r="B37" s="4" t="str">
        <x:v>系统概要与公共规则</x:v>
      </x:c>
      <x:c r="C37" s="4" t="n">
        <x:v>77</x:v>
      </x:c>
      <x:c r="D37" s="4" t="str">
        <x:v>|管理用户|管理用户资料、账号状态、封禁。|</x:v>
      </x:c>
      <x:c r="E37" s="4" t="str">
        <x:v>尚未建立场景映射</x:v>
      </x:c>
      <x:c r="F37" s="4" t="str"/>
      <x:c r="G37" s="4" t="str">
        <x:v>系统概要或共同业务条款：已保留全文，不用端侧用例数量反推本条完整覆盖；跨段等价映射尚未逐项闭合。</x:v>
      </x:c>
    </x:row>
    <x:row r="38" ht="44" customHeight="1">
      <x:c r="A38" s="4" t="str">
        <x:v>概要-78</x:v>
      </x:c>
      <x:c r="B38" s="4" t="str">
        <x:v>系统概要与公共规则</x:v>
      </x:c>
      <x:c r="C38" s="4" t="n">
        <x:v>78</x:v>
      </x:c>
      <x:c r="D38" s="4" t="str">
        <x:v>|管理主播|审核主播认证，管理直播权限及主播封禁。|</x:v>
      </x:c>
      <x:c r="E38" s="4" t="str">
        <x:v>尚未建立场景映射</x:v>
      </x:c>
      <x:c r="F38" s="4" t="str"/>
      <x:c r="G38" s="4" t="str">
        <x:v>系统概要或共同业务条款：已保留全文，不用端侧用例数量反推本条完整覆盖；跨段等价映射尚未逐项闭合。</x:v>
      </x:c>
    </x:row>
    <x:row r="39" ht="44" customHeight="1">
      <x:c r="A39" s="4" t="str">
        <x:v>概要-79</x:v>
      </x:c>
      <x:c r="B39" s="4" t="str">
        <x:v>系统概要与公共规则</x:v>
      </x:c>
      <x:c r="C39" s="4" t="n">
        <x:v>79</x:v>
      </x:c>
      <x:c r="D39" s="4" t="str">
        <x:v>|管理公会|创建、启停或解散公会，并管理公会长和登录账号。|</x:v>
      </x:c>
      <x:c r="E39" s="4" t="str">
        <x:v>尚未建立场景映射</x:v>
      </x:c>
      <x:c r="F39" s="4" t="str"/>
      <x:c r="G39" s="4" t="str">
        <x:v>系统概要或共同业务条款：已保留全文，不用端侧用例数量反推本条完整覆盖；跨段等价映射尚未逐项闭合。</x:v>
      </x:c>
    </x:row>
    <x:row r="40" ht="44" customHeight="1">
      <x:c r="A40" s="4" t="str">
        <x:v>概要-80</x:v>
      </x:c>
      <x:c r="B40" s="4" t="str">
        <x:v>系统概要与公共规则</x:v>
      </x:c>
      <x:c r="C40" s="4" t="n">
        <x:v>80</x:v>
      </x:c>
      <x:c r="D40" s="4" t="str">
        <x:v>|监控和处置直播|监控、巡查和抽检直播，并执行警告、关播或断流。|</x:v>
      </x:c>
      <x:c r="E40" s="4" t="str">
        <x:v>尚未建立场景映射</x:v>
      </x:c>
      <x:c r="F40" s="4" t="str"/>
      <x:c r="G40" s="4" t="str">
        <x:v>系统概要或共同业务条款：已保留全文，不用端侧用例数量反推本条完整覆盖；跨段等价映射尚未逐项闭合。</x:v>
      </x:c>
    </x:row>
    <x:row r="41" ht="44" customHeight="1">
      <x:c r="A41" s="4" t="str">
        <x:v>概要-81</x:v>
      </x:c>
      <x:c r="B41" s="4" t="str">
        <x:v>系统概要与公共规则</x:v>
      </x:c>
      <x:c r="C41" s="4" t="n">
        <x:v>81</x:v>
      </x:c>
      <x:c r="D41" s="4" t="str">
        <x:v>|内容审核与违规处置|处理机审告警、人工复审、举报，进行关播、关播直播权限、封禁操作。|</x:v>
      </x:c>
      <x:c r="E41" s="4" t="str">
        <x:v>尚未建立场景映射</x:v>
      </x:c>
      <x:c r="F41" s="4" t="str"/>
      <x:c r="G41" s="4" t="str">
        <x:v>系统概要或共同业务条款：已保留全文，不用端侧用例数量反推本条完整覆盖；跨段等价映射尚未逐项闭合。</x:v>
      </x:c>
    </x:row>
    <x:row r="42" ht="44" customHeight="1">
      <x:c r="A42" s="4" t="str">
        <x:v>概要-82</x:v>
      </x:c>
      <x:c r="B42" s="4" t="str">
        <x:v>系统概要与公共规则</x:v>
      </x:c>
      <x:c r="C42" s="4" t="n">
        <x:v>82</x:v>
      </x:c>
      <x:c r="D42" s="4" t="str">
        <x:v>|配置礼物、商品及分成规则|管理礼物、商品 SKU、道具及其分成规则。|</x:v>
      </x:c>
      <x:c r="E42" s="4" t="str">
        <x:v>尚未建立场景映射</x:v>
      </x:c>
      <x:c r="F42" s="4" t="str"/>
      <x:c r="G42" s="4" t="str">
        <x:v>系统概要或共同业务条款：已保留全文，不用端侧用例数量反推本条完整覆盖；跨段等价映射尚未逐项闭合。</x:v>
      </x:c>
    </x:row>
    <x:row r="43" ht="44" customHeight="1">
      <x:c r="A43" s="4" t="str">
        <x:v>概要-83</x:v>
      </x:c>
      <x:c r="B43" s="4" t="str">
        <x:v>系统概要与公共规则</x:v>
      </x:c>
      <x:c r="C43" s="4" t="n">
        <x:v>83</x:v>
      </x:c>
      <x:c r="D43" s="4" t="str">
        <x:v>|配置运营内容|管理展示位、推送、榜单、充值、签到、任务和公会推荐。|</x:v>
      </x:c>
      <x:c r="E43" s="4" t="str">
        <x:v>尚未建立场景映射</x:v>
      </x:c>
      <x:c r="F43" s="4" t="str"/>
      <x:c r="G43" s="4" t="str">
        <x:v>系统概要或共同业务条款：已保留全文，不用端侧用例数量反推本条完整覆盖；跨段等价映射尚未逐项闭合。</x:v>
      </x:c>
    </x:row>
    <x:row r="44" ht="44" customHeight="1">
      <x:c r="A44" s="4" t="str">
        <x:v>概要-84</x:v>
      </x:c>
      <x:c r="B44" s="4" t="str">
        <x:v>系统概要与公共规则</x:v>
      </x:c>
      <x:c r="C44" s="4" t="n">
        <x:v>84</x:v>
      </x:c>
      <x:c r="D44" s="4" t="str">
        <x:v>|管理充值订单退款与渠道账务|处理充值订单退款、拒付、渠道对账和资金对账。|</x:v>
      </x:c>
      <x:c r="E44" s="4" t="str">
        <x:v>尚未建立场景映射</x:v>
      </x:c>
      <x:c r="F44" s="4" t="str"/>
      <x:c r="G44" s="4" t="str">
        <x:v>系统概要或共同业务条款：已保留全文，不用端侧用例数量反推本条完整覆盖；跨段等价映射尚未逐项闭合。</x:v>
      </x:c>
    </x:row>
    <x:row r="45" ht="44" customHeight="1">
      <x:c r="A45" s="4" t="str">
        <x:v>概要-85</x:v>
      </x:c>
      <x:c r="B45" s="4" t="str">
        <x:v>系统概要与公共规则</x:v>
      </x:c>
      <x:c r="C45" s="4" t="n">
        <x:v>85</x:v>
      </x:c>
      <x:c r="D45" s="4" t="str">
        <x:v>|核算并记录分成结算|由平台财务核算主播收益，并记录线下结算结果。|</x:v>
      </x:c>
      <x:c r="E45" s="4" t="str">
        <x:v>尚未建立场景映射</x:v>
      </x:c>
      <x:c r="F45" s="4" t="str"/>
      <x:c r="G45" s="4" t="str">
        <x:v>系统概要或共同业务条款：已保留全文，不用端侧用例数量反推本条完整覆盖；跨段等价映射尚未逐项闭合。</x:v>
      </x:c>
    </x:row>
    <x:row r="46" ht="44" customHeight="1">
      <x:c r="A46" s="4" t="str">
        <x:v>概要-86</x:v>
      </x:c>
      <x:c r="B46" s="4" t="str">
        <x:v>系统概要与公共规则</x:v>
      </x:c>
      <x:c r="C46" s="4" t="n">
        <x:v>86</x:v>
      </x:c>
      <x:c r="D46" s="4" t="str">
        <x:v>|管理运营账号与虚拟金币|启停运营账号，管理公会管理账号权限，限制虚拟金币额度发放。|</x:v>
      </x:c>
      <x:c r="E46" s="4" t="str">
        <x:v>尚未建立场景映射</x:v>
      </x:c>
      <x:c r="F46" s="4" t="str"/>
      <x:c r="G46" s="4" t="str">
        <x:v>系统概要或共同业务条款：已保留全文，不用端侧用例数量反推本条完整覆盖；跨段等价映射尚未逐项闭合。</x:v>
      </x:c>
    </x:row>
    <x:row r="47" ht="44" customHeight="1">
      <x:c r="A47" s="4" t="str">
        <x:v>概要-96</x:v>
      </x:c>
      <x:c r="B47" s="4" t="str">
        <x:v>系统概要与公共规则</x:v>
      </x:c>
      <x:c r="C47" s="4" t="n">
        <x:v>96</x:v>
      </x:c>
      <x:c r="D47" s="4" t="str">
        <x:v>- 用户成为主播，需上传认证资料（ktp身份证或驾照）并提交入会申请。公会初审和平台终审均通过后，加入公会并获得主播身份。</x:v>
      </x:c>
      <x:c r="E47" s="4" t="str">
        <x:v>尚未建立场景映射</x:v>
      </x:c>
      <x:c r="F47" s="4" t="str"/>
      <x:c r="G47" s="4" t="str">
        <x:v>系统概要或共同业务条款：已保留全文，不用端侧用例数量反推本条完整覆盖；跨段等价映射尚未逐项闭合。</x:v>
      </x:c>
    </x:row>
    <x:row r="48" ht="44" customHeight="1">
      <x:c r="A48" s="4" t="str">
        <x:v>概要-98</x:v>
      </x:c>
      <x:c r="B48" s="4" t="str">
        <x:v>系统概要与公共规则</x:v>
      </x:c>
      <x:c r="C48" s="4" t="n">
        <x:v>98</x:v>
      </x:c>
      <x:c r="D48" s="4" t="str">
        <x:v>- 用户身份和主播身份共用账号、个人资料、社交关系及金币资产。</x:v>
      </x:c>
      <x:c r="E48" s="4" t="str">
        <x:v>尚未建立场景映射</x:v>
      </x:c>
      <x:c r="F48" s="4" t="str"/>
      <x:c r="G48" s="4" t="str">
        <x:v>系统概要或共同业务条款：已保留全文，不用端侧用例数量反推本条完整覆盖；跨段等价映射尚未逐项闭合。</x:v>
      </x:c>
    </x:row>
    <x:row r="49" ht="44" customHeight="1">
      <x:c r="A49" s="4" t="str">
        <x:v>概要-100</x:v>
      </x:c>
      <x:c r="B49" s="4" t="str">
        <x:v>系统概要与公共规则</x:v>
      </x:c>
      <x:c r="C49" s="4" t="n">
        <x:v>100</x:v>
      </x:c>
      <x:c r="D49" s="4" t="str">
        <x:v>- 主播身份与直播权限分别管理。成为主播且直播权限开启后才能开播。</x:v>
      </x:c>
      <x:c r="E49" s="4" t="str">
        <x:v>尚未建立场景映射</x:v>
      </x:c>
      <x:c r="F49" s="4" t="str"/>
      <x:c r="G49" s="4" t="str">
        <x:v>系统概要或共同业务条款：已保留全文，不用端侧用例数量反推本条完整覆盖；跨段等价映射尚未逐项闭合。</x:v>
      </x:c>
    </x:row>
    <x:row r="50" ht="44" customHeight="1">
      <x:c r="A50" s="4" t="str">
        <x:v>概要-102</x:v>
      </x:c>
      <x:c r="B50" s="4" t="str">
        <x:v>系统概要与公共规则</x:v>
      </x:c>
      <x:c r="C50" s="4" t="n">
        <x:v>102</x:v>
      </x:c>
      <x:c r="D50" s="4" t="str">
        <x:v>- 头像和昵称修改后进入平台风控检测，通过后生效；检测不通过时保留原资料。其他资料直接保存。</x:v>
      </x:c>
      <x:c r="E50" s="4" t="str">
        <x:v>尚未建立场景映射</x:v>
      </x:c>
      <x:c r="F50" s="4" t="str"/>
      <x:c r="G50" s="4" t="str">
        <x:v>系统概要或共同业务条款：已保留全文，不用端侧用例数量反推本条完整覆盖；跨段等价映射尚未逐项闭合。</x:v>
      </x:c>
    </x:row>
    <x:row r="51" ht="44" customHeight="1">
      <x:c r="A51" s="4" t="str">
        <x:v>概要-104</x:v>
      </x:c>
      <x:c r="B51" s="4" t="str">
        <x:v>系统概要与公共规则</x:v>
      </x:c>
      <x:c r="C51" s="4" t="n">
        <x:v>104</x:v>
      </x:c>
      <x:c r="D51" s="4" t="str">
        <x:v>| 账号状态 | 说明 |</x:v>
      </x:c>
      <x:c r="E51" s="4" t="str">
        <x:v>尚未建立场景映射</x:v>
      </x:c>
      <x:c r="F51" s="4" t="str"/>
      <x:c r="G51" s="4" t="str">
        <x:v>系统概要或共同业务条款：已保留全文，不用端侧用例数量反推本条完整覆盖；跨段等价映射尚未逐项闭合。</x:v>
      </x:c>
    </x:row>
    <x:row r="52" ht="44" customHeight="1">
      <x:c r="A52" s="4" t="str">
        <x:v>概要-106</x:v>
      </x:c>
      <x:c r="B52" s="4" t="str">
        <x:v>系统概要与公共规则</x:v>
      </x:c>
      <x:c r="C52" s="4" t="n">
        <x:v>106</x:v>
      </x:c>
      <x:c r="D52" s="4" t="str">
        <x:v>| 正常 | 可登录用户APP|</x:v>
      </x:c>
      <x:c r="E52" s="4" t="str">
        <x:v>尚未建立场景映射</x:v>
      </x:c>
      <x:c r="F52" s="4" t="str"/>
      <x:c r="G52" s="4" t="str">
        <x:v>系统概要或共同业务条款：已保留全文，不用端侧用例数量反推本条完整覆盖；跨段等价映射尚未逐项闭合。</x:v>
      </x:c>
    </x:row>
    <x:row r="53" ht="44" customHeight="1">
      <x:c r="A53" s="4" t="str">
        <x:v>概要-107</x:v>
      </x:c>
      <x:c r="B53" s="4" t="str">
        <x:v>系统概要与公共规则</x:v>
      </x:c>
      <x:c r="C53" s="4" t="n">
        <x:v>107</x:v>
      </x:c>
      <x:c r="D53" s="4" t="str">
        <x:v>| 封禁 | 不管是否有主播身份，均无法登录用户APP|</x:v>
      </x:c>
      <x:c r="E53" s="4" t="str">
        <x:v>尚未建立场景映射</x:v>
      </x:c>
      <x:c r="F53" s="4" t="str"/>
      <x:c r="G53" s="4" t="str">
        <x:v>系统概要或共同业务条款：已保留全文，不用端侧用例数量反推本条完整覆盖；跨段等价映射尚未逐项闭合。</x:v>
      </x:c>
    </x:row>
    <x:row r="54" ht="44" customHeight="1">
      <x:c r="A54" s="4" t="str">
        <x:v>概要-113</x:v>
      </x:c>
      <x:c r="B54" s="4" t="str">
        <x:v>系统概要与公共规则</x:v>
      </x:c>
      <x:c r="C54" s="4" t="n">
        <x:v>113</x:v>
      </x:c>
      <x:c r="D54" s="4" t="str">
        <x:v>1. 同一用户只能存在一笔处理中入会申请，且只能加入一个公会。</x:v>
      </x:c>
      <x:c r="E54" s="4" t="str">
        <x:v>尚未建立场景映射</x:v>
      </x:c>
      <x:c r="F54" s="4" t="str"/>
      <x:c r="G54" s="4" t="str">
        <x:v>系统概要或共同业务条款：已保留全文，不用端侧用例数量反推本条完整覆盖；跨段等价映射尚未逐项闭合。</x:v>
      </x:c>
    </x:row>
    <x:row r="55" ht="44" customHeight="1">
      <x:c r="A55" s="4" t="str">
        <x:v>概要-115</x:v>
      </x:c>
      <x:c r="B55" s="4" t="str">
        <x:v>系统概要与公共规则</x:v>
      </x:c>
      <x:c r="C55" s="4" t="n">
        <x:v>115</x:v>
      </x:c>
      <x:c r="D55" s="4" t="str">
        <x:v>2. 公会驳回后，申请单作废，用户可以重新提交申请。</x:v>
      </x:c>
      <x:c r="E55" s="4" t="str">
        <x:v>尚未建立场景映射</x:v>
      </x:c>
      <x:c r="F55" s="4" t="str"/>
      <x:c r="G55" s="4" t="str">
        <x:v>系统概要或共同业务条款：已保留全文，不用端侧用例数量反推本条完整覆盖；跨段等价映射尚未逐项闭合。</x:v>
      </x:c>
    </x:row>
    <x:row r="56" ht="44" customHeight="1">
      <x:c r="A56" s="4" t="str">
        <x:v>概要-117</x:v>
      </x:c>
      <x:c r="B56" s="4" t="str">
        <x:v>系统概要与公共规则</x:v>
      </x:c>
      <x:c r="C56" s="4" t="n">
        <x:v>117</x:v>
      </x:c>
      <x:c r="D56" s="4" t="str">
        <x:v>3. 公会通过后，申请进入平台终审，此时用户尚未加入公会，也未获得主播身份。</x:v>
      </x:c>
      <x:c r="E56" s="4" t="str">
        <x:v>尚未建立场景映射</x:v>
      </x:c>
      <x:c r="F56" s="4" t="str"/>
      <x:c r="G56" s="4" t="str">
        <x:v>系统概要或共同业务条款：已保留全文，不用端侧用例数量反推本条完整覆盖；跨段等价映射尚未逐项闭合。</x:v>
      </x:c>
    </x:row>
    <x:row r="57" ht="44" customHeight="1">
      <x:c r="A57" s="4" t="str">
        <x:v>概要-119</x:v>
      </x:c>
      <x:c r="B57" s="4" t="str">
        <x:v>系统概要与公共规则</x:v>
      </x:c>
      <x:c r="C57" s="4" t="n">
        <x:v>119</x:v>
      </x:c>
      <x:c r="D57" s="4" t="str">
        <x:v>4. 平台驳回后，申请单作废，用户可以重新提交申请。</x:v>
      </x:c>
      <x:c r="E57" s="4" t="str">
        <x:v>尚未建立场景映射</x:v>
      </x:c>
      <x:c r="F57" s="4" t="str"/>
      <x:c r="G57" s="4" t="str">
        <x:v>系统概要或共同业务条款：已保留全文，不用端侧用例数量反推本条完整覆盖；跨段等价映射尚未逐项闭合。</x:v>
      </x:c>
    </x:row>
    <x:row r="58" ht="44" customHeight="1">
      <x:c r="A58" s="4" t="str">
        <x:v>概要-121</x:v>
      </x:c>
      <x:c r="B58" s="4" t="str">
        <x:v>系统概要与公共规则</x:v>
      </x:c>
      <x:c r="C58" s="4" t="n">
        <x:v>121</x:v>
      </x:c>
      <x:c r="D58" s="4" t="str">
        <x:v>5. 平台通过后，用户加入公会并获得主播身份。</x:v>
      </x:c>
      <x:c r="E58" s="4" t="str">
        <x:v>尚未建立场景映射</x:v>
      </x:c>
      <x:c r="F58" s="4" t="str"/>
      <x:c r="G58" s="4" t="str">
        <x:v>系统概要或共同业务条款：已保留全文，不用端侧用例数量反推本条完整覆盖；跨段等价映射尚未逐项闭合。</x:v>
      </x:c>
    </x:row>
    <x:row r="59" ht="44" customHeight="1">
      <x:c r="A59" s="4" t="str">
        <x:v>概要-123</x:v>
      </x:c>
      <x:c r="B59" s="4" t="str">
        <x:v>系统概要与公共规则</x:v>
      </x:c>
      <x:c r="C59" s="4" t="n">
        <x:v>123</x:v>
      </x:c>
      <x:c r="D59" s="4" t="str">
        <x:v>6. 主播可申请退会，公会也可直接移除主播；退出公会将失去主播身份。</x:v>
      </x:c>
      <x:c r="E59" s="4" t="str">
        <x:v>尚未建立场景映射</x:v>
      </x:c>
      <x:c r="F59" s="4" t="str"/>
      <x:c r="G59" s="4" t="str">
        <x:v>系统概要或共同业务条款：已保留全文，不用端侧用例数量反推本条完整覆盖；跨段等价映射尚未逐项闭合。</x:v>
      </x:c>
    </x:row>
    <x:row r="60" ht="44" customHeight="1">
      <x:c r="A60" s="4" t="str">
        <x:v>概要-129</x:v>
      </x:c>
      <x:c r="B60" s="4" t="str">
        <x:v>系统概要与公共规则</x:v>
      </x:c>
      <x:c r="C60" s="4" t="n">
        <x:v>129</x:v>
      </x:c>
      <x:c r="D60" s="4" t="str">
        <x:v>|状态|身份/关系|用户/主播|公会|平台|</x:v>
      </x:c>
      <x:c r="E60" s="4" t="str">
        <x:v>尚未建立场景映射</x:v>
      </x:c>
      <x:c r="F60" s="4" t="str"/>
      <x:c r="G60" s="4" t="str">
        <x:v>系统概要或共同业务条款：已保留全文，不用端侧用例数量反推本条完整覆盖；跨段等价映射尚未逐项闭合。</x:v>
      </x:c>
    </x:row>
    <x:row r="61" ht="44" customHeight="1">
      <x:c r="A61" s="4" t="str">
        <x:v>概要-131</x:v>
      </x:c>
      <x:c r="B61" s="4" t="str">
        <x:v>系统概要与公共规则</x:v>
      </x:c>
      <x:c r="C61" s="4" t="n">
        <x:v>131</x:v>
      </x:c>
      <x:c r="D61" s="4" t="str">
        <x:v>|待审核|用户|\-\-|通过/驳回|\-\-|</x:v>
      </x:c>
      <x:c r="E61" s="4" t="str">
        <x:v>尚未建立场景映射</x:v>
      </x:c>
      <x:c r="F61" s="4" t="str"/>
      <x:c r="G61" s="4" t="str">
        <x:v>系统概要或共同业务条款：已保留全文，不用端侧用例数量反推本条完整覆盖；跨段等价映射尚未逐项闭合。</x:v>
      </x:c>
    </x:row>
    <x:row r="62" ht="44" customHeight="1">
      <x:c r="A62" s="4" t="str">
        <x:v>概要-132</x:v>
      </x:c>
      <x:c r="B62" s="4" t="str">
        <x:v>系统概要与公共规则</x:v>
      </x:c>
      <x:c r="C62" s="4" t="n">
        <x:v>132</x:v>
      </x:c>
      <x:c r="D62" s="4" t="str">
        <x:v>|公会驳回|用户|重新提交申请|\-\-|\-\-|</x:v>
      </x:c>
      <x:c r="E62" s="4" t="str">
        <x:v>尚未建立场景映射</x:v>
      </x:c>
      <x:c r="F62" s="4" t="str"/>
      <x:c r="G62" s="4" t="str">
        <x:v>系统概要或共同业务条款：已保留全文，不用端侧用例数量反推本条完整覆盖；跨段等价映射尚未逐项闭合。</x:v>
      </x:c>
    </x:row>
    <x:row r="63" ht="44" customHeight="1">
      <x:c r="A63" s="4" t="str">
        <x:v>概要-133</x:v>
      </x:c>
      <x:c r="B63" s="4" t="str">
        <x:v>系统概要与公共规则</x:v>
      </x:c>
      <x:c r="C63" s="4" t="n">
        <x:v>133</x:v>
      </x:c>
      <x:c r="D63" s="4" t="str">
        <x:v>|公会通过|用户|\-\-|\-\-|通过/驳回|</x:v>
      </x:c>
      <x:c r="E63" s="4" t="str">
        <x:v>尚未建立场景映射</x:v>
      </x:c>
      <x:c r="F63" s="4" t="str"/>
      <x:c r="G63" s="4" t="str">
        <x:v>系统概要或共同业务条款：已保留全文，不用端侧用例数量反推本条完整覆盖；跨段等价映射尚未逐项闭合。</x:v>
      </x:c>
    </x:row>
    <x:row r="64" ht="44" customHeight="1">
      <x:c r="A64" s="4" t="str">
        <x:v>概要-134</x:v>
      </x:c>
      <x:c r="B64" s="4" t="str">
        <x:v>系统概要与公共规则</x:v>
      </x:c>
      <x:c r="C64" s="4" t="n">
        <x:v>134</x:v>
      </x:c>
      <x:c r="D64" s="4" t="str">
        <x:v>|平台驳回|用户|重新提交申请|\-\-|\-\-|</x:v>
      </x:c>
      <x:c r="E64" s="4" t="str">
        <x:v>尚未建立场景映射</x:v>
      </x:c>
      <x:c r="F64" s="4" t="str"/>
      <x:c r="G64" s="4" t="str">
        <x:v>系统概要或共同业务条款：已保留全文，不用端侧用例数量反推本条完整覆盖；跨段等价映射尚未逐项闭合。</x:v>
      </x:c>
    </x:row>
    <x:row r="65" ht="44" customHeight="1">
      <x:c r="A65" s="4" t="str">
        <x:v>概要-135</x:v>
      </x:c>
      <x:c r="B65" s="4" t="str">
        <x:v>系统概要与公共规则</x:v>
      </x:c>
      <x:c r="C65" s="4" t="n">
        <x:v>135</x:v>
      </x:c>
      <x:c r="D65" s="4" t="str">
        <x:v>|平台通过|主播|直播权限开启时可开播|移除主播；开/关直播权限|开/关直播权限；开/关公会管理权限|</x:v>
      </x:c>
      <x:c r="E65" s="4" t="str">
        <x:v>尚未建立场景映射</x:v>
      </x:c>
      <x:c r="F65" s="4" t="str"/>
      <x:c r="G65" s="4" t="str">
        <x:v>系统概要或共同业务条款：已保留全文，不用端侧用例数量反推本条完整覆盖；跨段等价映射尚未逐项闭合。</x:v>
      </x:c>
    </x:row>
    <x:row r="66" ht="44" customHeight="1">
      <x:c r="A66" s="4" t="str">
        <x:v>概要-141</x:v>
      </x:c>
      <x:c r="B66" s="4" t="str">
        <x:v>系统概要与公共规则</x:v>
      </x:c>
      <x:c r="C66" s="4" t="n">
        <x:v>141</x:v>
      </x:c>
      <x:c r="D66" s="4" t="str">
        <x:v>|状态|身份/关系|用户/主播|公会|</x:v>
      </x:c>
      <x:c r="E66" s="4" t="str">
        <x:v>尚未建立场景映射</x:v>
      </x:c>
      <x:c r="F66" s="4" t="str"/>
      <x:c r="G66" s="4" t="str">
        <x:v>系统概要或共同业务条款：已保留全文，不用端侧用例数量反推本条完整覆盖；跨段等价映射尚未逐项闭合。</x:v>
      </x:c>
    </x:row>
    <x:row r="67" ht="44" customHeight="1">
      <x:c r="A67" s="4" t="str">
        <x:v>概要-143</x:v>
      </x:c>
      <x:c r="B67" s="4" t="str">
        <x:v>系统概要与公共规则</x:v>
      </x:c>
      <x:c r="C67" s="4" t="n">
        <x:v>143</x:v>
      </x:c>
      <x:c r="D67" s="4" t="str">
        <x:v>|待审核|主播|\-\-|同意/驳回|</x:v>
      </x:c>
      <x:c r="E67" s="4" t="str">
        <x:v>尚未建立场景映射</x:v>
      </x:c>
      <x:c r="F67" s="4" t="str"/>
      <x:c r="G67" s="4" t="str">
        <x:v>系统概要或共同业务条款：已保留全文，不用端侧用例数量反推本条完整覆盖；跨段等价映射尚未逐项闭合。</x:v>
      </x:c>
    </x:row>
    <x:row r="68" ht="44" customHeight="1">
      <x:c r="A68" s="4" t="str">
        <x:v>概要-144</x:v>
      </x:c>
      <x:c r="B68" s="4" t="str">
        <x:v>系统概要与公共规则</x:v>
      </x:c>
      <x:c r="C68" s="4" t="n">
        <x:v>144</x:v>
      </x:c>
      <x:c r="D68" s="4" t="str">
        <x:v>|驳回|主播|重新提交退会申请|\-\-|</x:v>
      </x:c>
      <x:c r="E68" s="4" t="str">
        <x:v>尚未建立场景映射</x:v>
      </x:c>
      <x:c r="F68" s="4" t="str"/>
      <x:c r="G68" s="4" t="str">
        <x:v>系统概要或共同业务条款：已保留全文，不用端侧用例数量反推本条完整覆盖；跨段等价映射尚未逐项闭合。</x:v>
      </x:c>
    </x:row>
    <x:row r="69" ht="44" customHeight="1">
      <x:c r="A69" s="4" t="str">
        <x:v>概要-145</x:v>
      </x:c>
      <x:c r="B69" s="4" t="str">
        <x:v>系统概要与公共规则</x:v>
      </x:c>
      <x:c r="C69" s="4" t="n">
        <x:v>145</x:v>
      </x:c>
      <x:c r="D69" s="4" t="str">
        <x:v>|通过|用户，退出公会并失去主播身份|申请加入公会|\-\-|</x:v>
      </x:c>
      <x:c r="E69" s="4" t="str">
        <x:v>尚未建立场景映射</x:v>
      </x:c>
      <x:c r="F69" s="4" t="str"/>
      <x:c r="G69" s="4" t="str">
        <x:v>系统概要或共同业务条款：已保留全文，不用端侧用例数量反推本条完整覆盖；跨段等价映射尚未逐项闭合。</x:v>
      </x:c>
    </x:row>
    <x:row r="70" ht="44" customHeight="1">
      <x:c r="A70" s="4" t="str">
        <x:v>概要-151</x:v>
      </x:c>
      <x:c r="B70" s="4" t="str">
        <x:v>系统概要与公共规则</x:v>
      </x:c>
      <x:c r="C70" s="4" t="n">
        <x:v>151</x:v>
      </x:c>
      <x:c r="D70" s="4" t="str">
        <x:v>- 公会创建：</x:v>
      </x:c>
      <x:c r="E70" s="4" t="str">
        <x:v>尚未建立场景映射</x:v>
      </x:c>
      <x:c r="F70" s="4" t="str"/>
      <x:c r="G70" s="4" t="str">
        <x:v>系统概要或共同业务条款：已保留全文，不用端侧用例数量反推本条完整覆盖；跨段等价映射尚未逐项闭合。</x:v>
      </x:c>
    </x:row>
    <x:row r="71" ht="44" customHeight="1">
      <x:c r="A71" s="4" t="str">
        <x:v>概要-154</x:v>
      </x:c>
      <x:c r="B71" s="4" t="str">
        <x:v>系统概要与公共规则</x:v>
      </x:c>
      <x:c r="C71" s="4" t="n">
        <x:v>154</x:v>
      </x:c>
      <x:c r="D71" s="4" t="str">
        <x:v>- 公会状态：</x:v>
      </x:c>
      <x:c r="E71" s="4" t="str">
        <x:v>尚未建立场景映射</x:v>
      </x:c>
      <x:c r="F71" s="4" t="str"/>
      <x:c r="G71" s="4" t="str">
        <x:v>系统概要或共同业务条款：已保留全文，不用端侧用例数量反推本条完整覆盖；跨段等价映射尚未逐项闭合。</x:v>
      </x:c>
    </x:row>
    <x:row r="72" ht="44" customHeight="1">
      <x:c r="A72" s="4" t="str">
        <x:v>概要-156</x:v>
      </x:c>
      <x:c r="B72" s="4" t="str">
        <x:v>系统概要与公共规则</x:v>
      </x:c>
      <x:c r="C72" s="4" t="n">
        <x:v>156</x:v>
      </x:c>
      <x:c r="D72" s="4" t="str">
        <x:v>| 状态 | 说明 |</x:v>
      </x:c>
      <x:c r="E72" s="4" t="str">
        <x:v>尚未建立场景映射</x:v>
      </x:c>
      <x:c r="F72" s="4" t="str"/>
      <x:c r="G72" s="4" t="str">
        <x:v>系统概要或共同业务条款：已保留全文，不用端侧用例数量反推本条完整覆盖；跨段等价映射尚未逐项闭合。</x:v>
      </x:c>
    </x:row>
    <x:row r="73" ht="44" customHeight="1">
      <x:c r="A73" s="4" t="str">
        <x:v>概要-158</x:v>
      </x:c>
      <x:c r="B73" s="4" t="str">
        <x:v>系统概要与公共规则</x:v>
      </x:c>
      <x:c r="C73" s="4" t="n">
        <x:v>158</x:v>
      </x:c>
      <x:c r="D73" s="4" t="str">
        <x:v>| 正常 | 正常使用|</x:v>
      </x:c>
      <x:c r="E73" s="4" t="str">
        <x:v>尚未建立场景映射</x:v>
      </x:c>
      <x:c r="F73" s="4" t="str"/>
      <x:c r="G73" s="4" t="str">
        <x:v>系统概要或共同业务条款：已保留全文，不用端侧用例数量反推本条完整覆盖；跨段等价映射尚未逐项闭合。</x:v>
      </x:c>
    </x:row>
    <x:row r="74" ht="57" customHeight="1">
      <x:c r="A74" s="4" t="str">
        <x:v>概要-159</x:v>
      </x:c>
      <x:c r="B74" s="4" t="str">
        <x:v>系统概要与公共规则</x:v>
      </x:c>
      <x:c r="C74" s="4" t="n">
        <x:v>159</x:v>
      </x:c>
      <x:c r="D74" s="4" t="str">
        <x:v>| 停用 | 由平台操作，公会冻结后，平台搜索不到、公会长无法登录、主播关系解除，名下主播失去主播身份并停止开播。所有业务数据保留，平台后台可查看 |</x:v>
      </x:c>
      <x:c r="E74" s="4" t="str">
        <x:v>尚未建立场景映射</x:v>
      </x:c>
      <x:c r="F74" s="4" t="str"/>
      <x:c r="G74" s="4" t="str">
        <x:v>系统概要或共同业务条款：已保留全文，不用端侧用例数量反推本条完整覆盖；跨段等价映射尚未逐项闭合。</x:v>
      </x:c>
    </x:row>
    <x:row r="75" ht="44" customHeight="1">
      <x:c r="A75" s="4" t="str">
        <x:v>概要-161</x:v>
      </x:c>
      <x:c r="B75" s="4" t="str">
        <x:v>系统概要与公共规则</x:v>
      </x:c>
      <x:c r="C75" s="4" t="n">
        <x:v>161</x:v>
      </x:c>
      <x:c r="D75" s="4" t="str">
        <x:v>- 公会长账号：</x:v>
      </x:c>
      <x:c r="E75" s="4" t="str">
        <x:v>尚未建立场景映射</x:v>
      </x:c>
      <x:c r="F75" s="4" t="str"/>
      <x:c r="G75" s="4" t="str">
        <x:v>系统概要或共同业务条款：已保留全文，不用端侧用例数量反推本条完整覆盖；跨段等价映射尚未逐项闭合。</x:v>
      </x:c>
    </x:row>
    <x:row r="76" ht="44" customHeight="1">
      <x:c r="A76" s="4" t="str">
        <x:v>概要-163</x:v>
      </x:c>
      <x:c r="B76" s="4" t="str">
        <x:v>系统概要与公共规则</x:v>
      </x:c>
      <x:c r="C76" s="4" t="n">
        <x:v>163</x:v>
      </x:c>
      <x:c r="D76" s="4" t="str">
        <x:v>- 公会长账号状态：</x:v>
      </x:c>
      <x:c r="E76" s="4" t="str">
        <x:v>尚未建立场景映射</x:v>
      </x:c>
      <x:c r="F76" s="4" t="str"/>
      <x:c r="G76" s="4" t="str">
        <x:v>系统概要或共同业务条款：已保留全文，不用端侧用例数量反推本条完整覆盖；跨段等价映射尚未逐项闭合。</x:v>
      </x:c>
    </x:row>
    <x:row r="77" ht="44" customHeight="1">
      <x:c r="A77" s="4" t="str">
        <x:v>概要-165</x:v>
      </x:c>
      <x:c r="B77" s="4" t="str">
        <x:v>系统概要与公共规则</x:v>
      </x:c>
      <x:c r="C77" s="4" t="n">
        <x:v>165</x:v>
      </x:c>
      <x:c r="D77" s="4" t="str">
        <x:v>| 状态 | 说明 |</x:v>
      </x:c>
      <x:c r="E77" s="4" t="str">
        <x:v>尚未建立场景映射</x:v>
      </x:c>
      <x:c r="F77" s="4" t="str"/>
      <x:c r="G77" s="4" t="str">
        <x:v>系统概要或共同业务条款：已保留全文，不用端侧用例数量反推本条完整覆盖；跨段等价映射尚未逐项闭合。</x:v>
      </x:c>
    </x:row>
    <x:row r="78" ht="44" customHeight="1">
      <x:c r="A78" s="4" t="str">
        <x:v>概要-167</x:v>
      </x:c>
      <x:c r="B78" s="4" t="str">
        <x:v>系统概要与公共规则</x:v>
      </x:c>
      <x:c r="C78" s="4" t="n">
        <x:v>167</x:v>
      </x:c>
      <x:c r="D78" s="4" t="str">
        <x:v>| 正常 | 可登录公会APP|</x:v>
      </x:c>
      <x:c r="E78" s="4" t="str">
        <x:v>尚未建立场景映射</x:v>
      </x:c>
      <x:c r="F78" s="4" t="str"/>
      <x:c r="G78" s="4" t="str">
        <x:v>系统概要或共同业务条款：已保留全文，不用端侧用例数量反推本条完整覆盖；跨段等价映射尚未逐项闭合。</x:v>
      </x:c>
    </x:row>
    <x:row r="79" ht="44" customHeight="1">
      <x:c r="A79" s="4" t="str">
        <x:v>概要-168</x:v>
      </x:c>
      <x:c r="B79" s="4" t="str">
        <x:v>系统概要与公共规则</x:v>
      </x:c>
      <x:c r="C79" s="4" t="n">
        <x:v>168</x:v>
      </x:c>
      <x:c r="D79" s="4" t="str">
        <x:v>| 停用 | 无法登录公会APP，对公会中主播无影响|</x:v>
      </x:c>
      <x:c r="E79" s="4" t="str">
        <x:v>尚未建立场景映射</x:v>
      </x:c>
      <x:c r="F79" s="4" t="str"/>
      <x:c r="G79" s="4" t="str">
        <x:v>系统概要或共同业务条款：已保留全文，不用端侧用例数量反推本条完整覆盖；跨段等价映射尚未逐项闭合。</x:v>
      </x:c>
    </x:row>
    <x:row r="80" ht="44" customHeight="1">
      <x:c r="A80" s="4" t="str">
        <x:v>概要-178</x:v>
      </x:c>
      <x:c r="B80" s="4" t="str">
        <x:v>系统概要与公共规则</x:v>
      </x:c>
      <x:c r="C80" s="4" t="n">
        <x:v>178</x:v>
      </x:c>
      <x:c r="D80" s="4" t="str">
        <x:v>- 每个主播对应一个长期存在的直播间ID；每次开播创建一个新的直播场次。</x:v>
      </x:c>
      <x:c r="E80" s="4" t="str">
        <x:v>尚未建立场景映射</x:v>
      </x:c>
      <x:c r="F80" s="4" t="str"/>
      <x:c r="G80" s="4" t="str">
        <x:v>系统概要或共同业务条款：已保留全文，不用端侧用例数量反推本条完整覆盖；跨段等价映射尚未逐项闭合。</x:v>
      </x:c>
    </x:row>
    <x:row r="81" ht="44" customHeight="1">
      <x:c r="A81" s="4" t="str">
        <x:v>概要-180</x:v>
      </x:c>
      <x:c r="B81" s="4" t="str">
        <x:v>系统概要与公共规则</x:v>
      </x:c>
      <x:c r="C81" s="4" t="n">
        <x:v>180</x:v>
      </x:c>
      <x:c r="D81" s="4" t="str">
        <x:v>- 直播标题、封面、分类、房间类型、门票价格和密码等内容归属于当前直播场次。</x:v>
      </x:c>
      <x:c r="E81" s="4" t="str">
        <x:v>尚未建立场景映射</x:v>
      </x:c>
      <x:c r="F81" s="4" t="str"/>
      <x:c r="G81" s="4" t="str">
        <x:v>系统概要或共同业务条款：已保留全文，不用端侧用例数量反推本条完整覆盖；跨段等价映射尚未逐项闭合。</x:v>
      </x:c>
    </x:row>
    <x:row r="82" ht="44" customHeight="1">
      <x:c r="A82" s="4" t="str">
        <x:v>概要-182</x:v>
      </x:c>
      <x:c r="B82" s="4" t="str">
        <x:v>系统概要与公共规则</x:v>
      </x:c>
      <x:c r="C82" s="4" t="n">
        <x:v>182</x:v>
      </x:c>
      <x:c r="D82" s="4" t="str">
        <x:v>- 直播结束后关闭当前场次，历史消息、消费、处置和收益记录继续保留。</x:v>
      </x:c>
      <x:c r="E82" s="4" t="str">
        <x:v>尚未建立场景映射</x:v>
      </x:c>
      <x:c r="F82" s="4" t="str"/>
      <x:c r="G82" s="4" t="str">
        <x:v>系统概要或共同业务条款：已保留全文，不用端侧用例数量反推本条完整覆盖；跨段等价映射尚未逐项闭合。</x:v>
      </x:c>
    </x:row>
    <x:row r="83" ht="44" customHeight="1">
      <x:c r="A83" s="4" t="str">
        <x:v>概要-188</x:v>
      </x:c>
      <x:c r="B83" s="4" t="str">
        <x:v>系统概要与公共规则</x:v>
      </x:c>
      <x:c r="C83" s="4" t="n">
        <x:v>188</x:v>
      </x:c>
      <x:c r="D83" s="4" t="str">
        <x:v>|房间类型|进入规则|</x:v>
      </x:c>
      <x:c r="E83" s="4" t="str">
        <x:v>尚未建立场景映射</x:v>
      </x:c>
      <x:c r="F83" s="4" t="str"/>
      <x:c r="G83" s="4" t="str">
        <x:v>系统概要或共同业务条款：已保留全文，不用端侧用例数量反推本条完整覆盖；跨段等价映射尚未逐项闭合。</x:v>
      </x:c>
    </x:row>
    <x:row r="84" ht="44" customHeight="1">
      <x:c r="A84" s="4" t="str">
        <x:v>概要-190</x:v>
      </x:c>
      <x:c r="B84" s="4" t="str">
        <x:v>系统概要与公共规则</x:v>
      </x:c>
      <x:c r="C84" s="4" t="n">
        <x:v>190</x:v>
      </x:c>
      <x:c r="D84" s="4" t="str">
        <x:v>|普通房|用户账号状态未禁用，用户和直播间对应主播无拉黑关系。|</x:v>
      </x:c>
      <x:c r="E84" s="4" t="str">
        <x:v>尚未建立场景映射</x:v>
      </x:c>
      <x:c r="F84" s="4" t="str"/>
      <x:c r="G84" s="4" t="str">
        <x:v>系统概要或共同业务条款：已保留全文，不用端侧用例数量反推本条完整覆盖；跨段等价映射尚未逐项闭合。</x:v>
      </x:c>
    </x:row>
    <x:row r="85" ht="44" customHeight="1">
      <x:c r="A85" s="4" t="str">
        <x:v>概要-191</x:v>
      </x:c>
      <x:c r="B85" s="4" t="str">
        <x:v>系统概要与公共规则</x:v>
      </x:c>
      <x:c r="C85" s="4" t="n">
        <x:v>191</x:v>
      </x:c>
      <x:c r="D85" s="4" t="str">
        <x:v>|门票房|用户支付当前场次门票后进入；同一场次重复进入不重复收费。场次结束或用户被踢出后门票失效，不退还已支付金币。|</x:v>
      </x:c>
      <x:c r="E85" s="4" t="str">
        <x:v>尚未建立场景映射</x:v>
      </x:c>
      <x:c r="F85" s="4" t="str"/>
      <x:c r="G85" s="4" t="str">
        <x:v>系统概要或共同业务条款：已保留全文，不用端侧用例数量反推本条完整覆盖；跨段等价映射尚未逐项闭合。</x:v>
      </x:c>
    </x:row>
    <x:row r="86" ht="44" customHeight="1">
      <x:c r="A86" s="4" t="str">
        <x:v>概要-192</x:v>
      </x:c>
      <x:c r="B86" s="4" t="str">
        <x:v>系统概要与公共规则</x:v>
      </x:c>
      <x:c r="C86" s="4" t="n">
        <x:v>192</x:v>
      </x:c>
      <x:c r="D86" s="4" t="str">
        <x:v>|密码房|用户通过房间密码校验后进入；|</x:v>
      </x:c>
      <x:c r="E86" s="4" t="str">
        <x:v>尚未建立场景映射</x:v>
      </x:c>
      <x:c r="F86" s="4" t="str"/>
      <x:c r="G86" s="4" t="str">
        <x:v>系统概要或共同业务条款：已保留全文，不用端侧用例数量反推本条完整覆盖；跨段等价映射尚未逐项闭合。</x:v>
      </x:c>
    </x:row>
    <x:row r="87" ht="44" customHeight="1">
      <x:c r="A87" s="4" t="str">
        <x:v>概要-194</x:v>
      </x:c>
      <x:c r="B87" s="4" t="str">
        <x:v>系统概要与公共规则</x:v>
      </x:c>
      <x:c r="C87" s="4" t="n">
        <x:v>194</x:v>
      </x:c>
      <x:c r="D87" s="4" t="str">
        <x:v>- 门票房和密码房由平台功能开关控制，关闭时主播不能选择对应房型。</x:v>
      </x:c>
      <x:c r="E87" s="4" t="str">
        <x:v>尚未建立场景映射</x:v>
      </x:c>
      <x:c r="F87" s="4" t="str"/>
      <x:c r="G87" s="4" t="str">
        <x:v>系统概要或共同业务条款：已保留全文，不用端侧用例数量反推本条完整覆盖；跨段等价映射尚未逐项闭合。</x:v>
      </x:c>
    </x:row>
    <x:row r="88" ht="44" customHeight="1">
      <x:c r="A88" s="4" t="str">
        <x:v>概要-196</x:v>
      </x:c>
      <x:c r="B88" s="4" t="str">
        <x:v>系统概要与公共规则</x:v>
      </x:c>
      <x:c r="C88" s="4" t="n">
        <x:v>196</x:v>
      </x:c>
      <x:c r="D88" s="4" t="str">
        <x:v>- 账号封禁、账号拉黑和本场踢出等限制优先于房间准入规则。</x:v>
      </x:c>
      <x:c r="E88" s="4" t="str">
        <x:v>尚未建立场景映射</x:v>
      </x:c>
      <x:c r="F88" s="4" t="str"/>
      <x:c r="G88" s="4" t="str">
        <x:v>系统概要或共同业务条款：已保留全文，不用端侧用例数量反推本条完整覆盖；跨段等价映射尚未逐项闭合。</x:v>
      </x:c>
    </x:row>
    <x:row r="89" ht="44" customHeight="1">
      <x:c r="A89" s="4" t="str">
        <x:v>概要-202</x:v>
      </x:c>
      <x:c r="B89" s="4" t="str">
        <x:v>系统概要与公共规则</x:v>
      </x:c>
      <x:c r="C89" s="4" t="n">
        <x:v>202</x:v>
      </x:c>
      <x:c r="D89" s="4" t="str">
        <x:v>- 开播条件为：账号可用、公会有效、主播认证通过且直播权限已开启。</x:v>
      </x:c>
      <x:c r="E89" s="4" t="str">
        <x:v>尚未建立场景映射</x:v>
      </x:c>
      <x:c r="F89" s="4" t="str"/>
      <x:c r="G89" s="4" t="str">
        <x:v>系统概要或共同业务条款：已保留全文，不用端侧用例数量反推本条完整覆盖；跨段等价映射尚未逐项闭合。</x:v>
      </x:c>
    </x:row>
    <x:row r="90" ht="44" customHeight="1">
      <x:c r="A90" s="4" t="str">
        <x:v>概要-204</x:v>
      </x:c>
      <x:c r="B90" s="4" t="str">
        <x:v>系统概要与公共规则</x:v>
      </x:c>
      <x:c r="C90" s="4" t="n">
        <x:v>204</x:v>
      </x:c>
      <x:c r="D90" s="4" t="str">
        <x:v>- 直播权限被关闭后，主播不能再次开播；正在直播时立即结束当前场次。</x:v>
      </x:c>
      <x:c r="E90" s="4" t="str">
        <x:v>尚未建立场景映射</x:v>
      </x:c>
      <x:c r="F90" s="4" t="str"/>
      <x:c r="G90" s="4" t="str">
        <x:v>系统概要或共同业务条款：已保留全文，不用端侧用例数量反推本条完整覆盖；跨段等价映射尚未逐项闭合。</x:v>
      </x:c>
    </x:row>
    <x:row r="91" ht="44" customHeight="1">
      <x:c r="A91" s="4" t="str">
        <x:v>概要-206</x:v>
      </x:c>
      <x:c r="B91" s="4" t="str">
        <x:v>系统概要与公共规则</x:v>
      </x:c>
      <x:c r="C91" s="4" t="n">
        <x:v>206</x:v>
      </x:c>
      <x:c r="D91" s="4" t="str">
        <x:v>- 平台、公会对主播开播权限的管理规则：</x:v>
      </x:c>
      <x:c r="E91" s="4" t="str">
        <x:v>尚未建立场景映射</x:v>
      </x:c>
      <x:c r="F91" s="4" t="str"/>
      <x:c r="G91" s="4" t="str">
        <x:v>系统概要或共同业务条款：已保留全文，不用端侧用例数量反推本条完整覆盖；跨段等价映射尚未逐项闭合。</x:v>
      </x:c>
    </x:row>
    <x:row r="92" ht="44" customHeight="1">
      <x:c r="A92" s="4" t="str">
        <x:v>概要-208</x:v>
      </x:c>
      <x:c r="B92" s="4" t="str">
        <x:v>系统概要与公共规则</x:v>
      </x:c>
      <x:c r="C92" s="4" t="n">
        <x:v>208</x:v>
      </x:c>
      <x:c r="D92" s="4" t="str">
        <x:v>|平台|公会|主播最终开播权限|</x:v>
      </x:c>
      <x:c r="E92" s="4" t="str">
        <x:v>尚未建立场景映射</x:v>
      </x:c>
      <x:c r="F92" s="4" t="str"/>
      <x:c r="G92" s="4" t="str">
        <x:v>系统概要或共同业务条款：已保留全文，不用端侧用例数量反推本条完整覆盖；跨段等价映射尚未逐项闭合。</x:v>
      </x:c>
    </x:row>
    <x:row r="93" ht="44" customHeight="1">
      <x:c r="A93" s="4" t="str">
        <x:v>概要-210</x:v>
      </x:c>
      <x:c r="B93" s="4" t="str">
        <x:v>系统概要与公共规则</x:v>
      </x:c>
      <x:c r="C93" s="4" t="n">
        <x:v>210</x:v>
      </x:c>
      <x:c r="D93" s="4" t="str">
        <x:v>|开启|开启|开启|</x:v>
      </x:c>
      <x:c r="E93" s="4" t="str">
        <x:v>尚未建立场景映射</x:v>
      </x:c>
      <x:c r="F93" s="4" t="str"/>
      <x:c r="G93" s="4" t="str">
        <x:v>系统概要或共同业务条款：已保留全文，不用端侧用例数量反推本条完整覆盖；跨段等价映射尚未逐项闭合。</x:v>
      </x:c>
    </x:row>
    <x:row r="94" ht="44" customHeight="1">
      <x:c r="A94" s="4" t="str">
        <x:v>概要-211</x:v>
      </x:c>
      <x:c r="B94" s="4" t="str">
        <x:v>系统概要与公共规则</x:v>
      </x:c>
      <x:c r="C94" s="4" t="n">
        <x:v>211</x:v>
      </x:c>
      <x:c r="D94" s="4" t="str">
        <x:v>|开启|关闭|关闭|</x:v>
      </x:c>
      <x:c r="E94" s="4" t="str">
        <x:v>尚未建立场景映射</x:v>
      </x:c>
      <x:c r="F94" s="4" t="str"/>
      <x:c r="G94" s="4" t="str">
        <x:v>系统概要或共同业务条款：已保留全文，不用端侧用例数量反推本条完整覆盖；跨段等价映射尚未逐项闭合。</x:v>
      </x:c>
    </x:row>
    <x:row r="95" ht="44" customHeight="1">
      <x:c r="A95" s="4" t="str">
        <x:v>概要-212</x:v>
      </x:c>
      <x:c r="B95" s="4" t="str">
        <x:v>系统概要与公共规则</x:v>
      </x:c>
      <x:c r="C95" s="4" t="n">
        <x:v>212</x:v>
      </x:c>
      <x:c r="D95" s="4" t="str">
        <x:v>|关闭（权限锁定/未锁定）|跟随平台显示，页面提示“权限已锁定”|关闭|</x:v>
      </x:c>
      <x:c r="E95" s="4" t="str">
        <x:v>尚未建立场景映射</x:v>
      </x:c>
      <x:c r="F95" s="4" t="str"/>
      <x:c r="G95" s="4" t="str">
        <x:v>系统概要或共同业务条款：已保留全文，不用端侧用例数量反推本条完整覆盖；跨段等价映射尚未逐项闭合。</x:v>
      </x:c>
    </x:row>
    <x:row r="96" ht="44" customHeight="1">
      <x:c r="A96" s="4" t="str">
        <x:v>概要-213</x:v>
      </x:c>
      <x:c r="B96" s="4" t="str">
        <x:v>系统概要与公共规则</x:v>
      </x:c>
      <x:c r="C96" s="4" t="n">
        <x:v>213</x:v>
      </x:c>
      <x:c r="D96" s="4" t="str">
        <x:v>|开启（权限锁定）|跟随平台显示，页面提示“权限已锁定”|开启|</x:v>
      </x:c>
      <x:c r="E96" s="4" t="str">
        <x:v>尚未建立场景映射</x:v>
      </x:c>
      <x:c r="F96" s="4" t="str"/>
      <x:c r="G96" s="4" t="str">
        <x:v>系统概要或共同业务条款：已保留全文，不用端侧用例数量反推本条完整覆盖；跨段等价映射尚未逐项闭合。</x:v>
      </x:c>
    </x:row>
    <x:row r="97" ht="72" customHeight="1">
      <x:c r="A97" s="4" t="str">
        <x:v>概要-214</x:v>
      </x:c>
      <x:c r="B97" s="4" t="str">
        <x:v>系统概要与公共规则</x:v>
      </x:c>
      <x:c r="C97" s="4" t="n">
        <x:v>214</x:v>
      </x:c>
      <x:c r="D97" s="4" t="str">
        <x:v>|开启（权限锁定后又取消锁定）|显示锁定前的公会权限状态。如：锁定前平台开启，公会关闭；然后平台锁定，则公会跟随平台显示开启，并提示“权限已锁定”；然后平台取消锁定，此时公会将显示关闭|显示锁定前公会设定|</x:v>
      </x:c>
      <x:c r="E97" s="4" t="str">
        <x:v>尚未建立场景映射</x:v>
      </x:c>
      <x:c r="F97" s="4" t="str"/>
      <x:c r="G97" s="4" t="str">
        <x:v>系统概要或共同业务条款：已保留全文，不用端侧用例数量反推本条完整覆盖；跨段等价映射尚未逐项闭合。</x:v>
      </x:c>
    </x:row>
    <x:row r="98" ht="44" customHeight="1">
      <x:c r="A98" s="4" t="str">
        <x:v>概要-215</x:v>
      </x:c>
      <x:c r="B98" s="4" t="str">
        <x:v>系统概要与公共规则</x:v>
      </x:c>
      <x:c r="C98" s="4" t="n">
        <x:v>215</x:v>
      </x:c>
      <x:c r="D98" s="4" t="str">
        <x:v>|关闭（关闭后又开启）|同上||</x:v>
      </x:c>
      <x:c r="E98" s="4" t="str">
        <x:v>尚未建立场景映射</x:v>
      </x:c>
      <x:c r="F98" s="4" t="str"/>
      <x:c r="G98" s="4" t="str">
        <x:v>系统概要或共同业务条款：已保留全文，不用端侧用例数量反推本条完整覆盖；跨段等价映射尚未逐项闭合。</x:v>
      </x:c>
    </x:row>
    <x:row r="99" ht="44" customHeight="1">
      <x:c r="A99" s="4" t="str">
        <x:v>概要-217</x:v>
      </x:c>
      <x:c r="B99" s="4" t="str">
        <x:v>系统概要与公共规则</x:v>
      </x:c>
      <x:c r="C99" s="4" t="n">
        <x:v>217</x:v>
      </x:c>
      <x:c r="D99" s="4" t="str">
        <x:v>- 锁定期间保留公会原设置，公会设定跟随平台；取消锁定后，按当前平台设置和公会原设置，重新计算主播的开播权限。</x:v>
      </x:c>
      <x:c r="E99" s="4" t="str">
        <x:v>尚未建立场景映射</x:v>
      </x:c>
      <x:c r="F99" s="4" t="str"/>
      <x:c r="G99" s="4" t="str">
        <x:v>系统概要或共同业务条款：已保留全文，不用端侧用例数量反推本条完整覆盖；跨段等价映射尚未逐项闭合。</x:v>
      </x:c>
    </x:row>
    <x:row r="100" ht="44" customHeight="1">
      <x:c r="A100" s="4" t="str">
        <x:v>概要-223</x:v>
      </x:c>
      <x:c r="B100" s="4" t="str">
        <x:v>系统概要与公共规则</x:v>
      </x:c>
      <x:c r="C100" s="4" t="n">
        <x:v>223</x:v>
      </x:c>
      <x:c r="D100" s="4" t="str">
        <x:v>- 一期仅普通房支持连麦，门票房、密码房不提供入口。</x:v>
      </x:c>
      <x:c r="E100" s="4" t="str">
        <x:v>尚未建立场景映射</x:v>
      </x:c>
      <x:c r="F100" s="4" t="str"/>
      <x:c r="G100" s="4" t="str">
        <x:v>系统概要或共同业务条款：已保留全文，不用端侧用例数量反推本条完整覆盖；跨段等价映射尚未逐项闭合。</x:v>
      </x:c>
    </x:row>
    <x:row r="101" ht="44" customHeight="1">
      <x:c r="A101" s="4" t="str">
        <x:v>概要-225</x:v>
      </x:c>
      <x:c r="B101" s="4" t="str">
        <x:v>系统概要与公共规则</x:v>
      </x:c>
      <x:c r="C101" s="4" t="n">
        <x:v>225</x:v>
      </x:c>
      <x:c r="D101" s="4" t="str">
        <x:v>- 一期只支持两位主播连线，不支持观众上麦或超过两位主播的连线。</x:v>
      </x:c>
      <x:c r="E101" s="4" t="str">
        <x:v>尚未建立场景映射</x:v>
      </x:c>
      <x:c r="F101" s="4" t="str"/>
      <x:c r="G101" s="4" t="str">
        <x:v>系统概要或共同业务条款：已保留全文，不用端侧用例数量反推本条完整覆盖；跨段等价映射尚未逐项闭合。</x:v>
      </x:c>
    </x:row>
    <x:row r="102" ht="44" customHeight="1">
      <x:c r="A102" s="4" t="str">
        <x:v>概要-227</x:v>
      </x:c>
      <x:c r="B102" s="4" t="str">
        <x:v>系统概要与公共规则</x:v>
      </x:c>
      <x:c r="C102" s="4" t="n">
        <x:v>227</x:v>
      </x:c>
      <x:c r="D102" s="4" t="str">
        <x:v>- 连麦结束不影响双方原直播场次，主播仍可继续直播。</x:v>
      </x:c>
      <x:c r="E102" s="4" t="str">
        <x:v>尚未建立场景映射</x:v>
      </x:c>
      <x:c r="F102" s="4" t="str"/>
      <x:c r="G102" s="4" t="str">
        <x:v>系统概要或共同业务条款：已保留全文，不用端侧用例数量反推本条完整覆盖；跨段等价映射尚未逐项闭合。</x:v>
      </x:c>
    </x:row>
    <x:row r="103" ht="44" customHeight="1">
      <x:c r="A103" s="4" t="str">
        <x:v>概要-235</x:v>
      </x:c>
      <x:c r="B103" s="4" t="str">
        <x:v>系统概要与公共规则</x:v>
      </x:c>
      <x:c r="C103" s="4" t="n">
        <x:v>235</x:v>
      </x:c>
      <x:c r="D103" s="4" t="str">
        <x:v>|动作|规则或后果|是否可取消|</x:v>
      </x:c>
      <x:c r="E103" s="4" t="str">
        <x:v>尚未建立场景映射</x:v>
      </x:c>
      <x:c r="F103" s="4" t="str"/>
      <x:c r="G103" s="4" t="str">
        <x:v>系统概要或共同业务条款：已保留全文，不用端侧用例数量反推本条完整覆盖；跨段等价映射尚未逐项闭合。</x:v>
      </x:c>
    </x:row>
    <x:row r="104" ht="57" customHeight="1">
      <x:c r="A104" s="4" t="str">
        <x:v>概要-237</x:v>
      </x:c>
      <x:c r="B104" s="4" t="str">
        <x:v>系统概要与公共规则</x:v>
      </x:c>
      <x:c r="C104" s="4" t="n">
        <x:v>237</x:v>
      </x:c>
      <x:c r="D104" s="4" t="str">
        <x:v>|拉黑|双方禁止相互搜索、关注、申请好友、私信、观看直播和加入粉丝群；&lt;br&gt;解除粉丝、关注、好友和粉丝团关系，取消拉黑后不恢复；&lt;br&gt;已有好友申请失效|是|</x:v>
      </x:c>
      <x:c r="E104" s="4" t="str">
        <x:v>尚未建立场景映射</x:v>
      </x:c>
      <x:c r="F104" s="4" t="str"/>
      <x:c r="G104" s="4" t="str">
        <x:v>系统概要或共同业务条款：已保留全文，不用端侧用例数量反推本条完整覆盖；跨段等价映射尚未逐项闭合。</x:v>
      </x:c>
    </x:row>
    <x:row r="105" ht="44" customHeight="1">
      <x:c r="A105" s="4" t="str">
        <x:v>概要-238</x:v>
      </x:c>
      <x:c r="B105" s="4" t="str">
        <x:v>系统概要与公共规则</x:v>
      </x:c>
      <x:c r="C105" s="4" t="n">
        <x:v>238</x:v>
      </x:c>
      <x:c r="D105" s="4" t="str">
        <x:v>|关注|本人关注量及被关注人粉丝量加 1；&lt;br&gt;关注账号为主播时，可以收到其开播提醒|是|</x:v>
      </x:c>
      <x:c r="E105" s="4" t="str">
        <x:v>尚未建立场景映射</x:v>
      </x:c>
      <x:c r="F105" s="4" t="str"/>
      <x:c r="G105" s="4" t="str">
        <x:v>系统概要或共同业务条款：已保留全文，不用端侧用例数量反推本条完整覆盖；跨段等价映射尚未逐项闭合。</x:v>
      </x:c>
    </x:row>
    <x:row r="106" ht="44" customHeight="1">
      <x:c r="A106" s="4" t="str">
        <x:v>概要-239</x:v>
      </x:c>
      <x:c r="B106" s="4" t="str">
        <x:v>系统概要与公共规则</x:v>
      </x:c>
      <x:c r="C106" s="4" t="n">
        <x:v>239</x:v>
      </x:c>
      <x:c r="D106" s="4" t="str">
        <x:v>|申请好友|向被申请人发送申请通知，已有申请时不能重复申请；被申请人同意后，双方成为好友|\-|</x:v>
      </x:c>
      <x:c r="E106" s="4" t="str">
        <x:v>尚未建立场景映射</x:v>
      </x:c>
      <x:c r="F106" s="4" t="str"/>
      <x:c r="G106" s="4" t="str">
        <x:v>系统概要或共同业务条款：已保留全文，不用端侧用例数量反推本条完整覆盖；跨段等价映射尚未逐项闭合。</x:v>
      </x:c>
    </x:row>
    <x:row r="107" ht="44" customHeight="1">
      <x:c r="A107" s="4" t="str">
        <x:v>概要-240</x:v>
      </x:c>
      <x:c r="B107" s="4" t="str">
        <x:v>系统概要与公共规则</x:v>
      </x:c>
      <x:c r="C107" s="4" t="n">
        <x:v>240</x:v>
      </x:c>
      <x:c r="D107" s="4" t="str">
        <x:v>|删除好友|解除双方的好友关系，删除聊天列表中对话框及聊天记录|\-|</x:v>
      </x:c>
      <x:c r="E107" s="4" t="str">
        <x:v>尚未建立场景映射</x:v>
      </x:c>
      <x:c r="F107" s="4" t="str"/>
      <x:c r="G107" s="4" t="str">
        <x:v>系统概要或共同业务条款：已保留全文，不用端侧用例数量反推本条完整覆盖；跨段等价映射尚未逐项闭合。</x:v>
      </x:c>
    </x:row>
    <x:row r="108" ht="44" customHeight="1">
      <x:c r="A108" s="4" t="str">
        <x:v>概要-241</x:v>
      </x:c>
      <x:c r="B108" s="4" t="str">
        <x:v>系统概要与公共规则</x:v>
      </x:c>
      <x:c r="C108" s="4" t="n">
        <x:v>241</x:v>
      </x:c>
      <x:c r="D108" s="4" t="str">
        <x:v>|举报|生成举报工单|\-|</x:v>
      </x:c>
      <x:c r="E108" s="4" t="str">
        <x:v>尚未建立场景映射</x:v>
      </x:c>
      <x:c r="F108" s="4" t="str"/>
      <x:c r="G108" s="4" t="str">
        <x:v>系统概要或共同业务条款：已保留全文，不用端侧用例数量反推本条完整覆盖；跨段等价映射尚未逐项闭合。</x:v>
      </x:c>
    </x:row>
    <x:row r="109" ht="44" customHeight="1">
      <x:c r="A109" s="4" t="str">
        <x:v>概要-242</x:v>
      </x:c>
      <x:c r="B109" s="4" t="str">
        <x:v>系统概要与公共规则</x:v>
      </x:c>
      <x:c r="C109" s="4" t="n">
        <x:v>242</x:v>
      </x:c>
      <x:c r="D109" s="4" t="str">
        <x:v>|私信|好友之间可以私信；非好友最多发送三条私信|\-|</x:v>
      </x:c>
      <x:c r="E109" s="4" t="str">
        <x:v>尚未建立场景映射</x:v>
      </x:c>
      <x:c r="F109" s="4" t="str"/>
      <x:c r="G109" s="4" t="str">
        <x:v>系统概要或共同业务条款：已保留全文，不用端侧用例数量反推本条完整覆盖；跨段等价映射尚未逐项闭合。</x:v>
      </x:c>
    </x:row>
    <x:row r="110" ht="44" customHeight="1">
      <x:c r="A110" s="4" t="str">
        <x:v>概要-248</x:v>
      </x:c>
      <x:c r="B110" s="4" t="str">
        <x:v>系统概要与公共规则</x:v>
      </x:c>
      <x:c r="C110" s="4" t="n">
        <x:v>248</x:v>
      </x:c>
      <x:c r="D110" s="4" t="str">
        <x:v>|动作|后果|是否可取消|</x:v>
      </x:c>
      <x:c r="E110" s="4" t="str">
        <x:v>尚未建立场景映射</x:v>
      </x:c>
      <x:c r="F110" s="4" t="str"/>
      <x:c r="G110" s="4" t="str">
        <x:v>系统概要或共同业务条款：已保留全文，不用端侧用例数量反推本条完整覆盖；跨段等价映射尚未逐项闭合。</x:v>
      </x:c>
    </x:row>
    <x:row r="111" ht="44" customHeight="1">
      <x:c r="A111" s="4" t="str">
        <x:v>概要-250</x:v>
      </x:c>
      <x:c r="B111" s="4" t="str">
        <x:v>系统概要与公共规则</x:v>
      </x:c>
      <x:c r="C111" s="4" t="n">
        <x:v>250</x:v>
      </x:c>
      <x:c r="D111" s="4" t="str">
        <x:v>|禁言|观众本场次不能继续发送公屏消息，下一场次恢复|是|</x:v>
      </x:c>
      <x:c r="E111" s="4" t="str">
        <x:v>尚未建立场景映射</x:v>
      </x:c>
      <x:c r="F111" s="4" t="str"/>
      <x:c r="G111" s="4" t="str">
        <x:v>系统概要或共同业务条款：已保留全文，不用端侧用例数量反推本条完整覆盖；跨段等价映射尚未逐项闭合。</x:v>
      </x:c>
    </x:row>
    <x:row r="112" ht="44" customHeight="1">
      <x:c r="A112" s="4" t="str">
        <x:v>概要-251</x:v>
      </x:c>
      <x:c r="B112" s="4" t="str">
        <x:v>系统概要与公共规则</x:v>
      </x:c>
      <x:c r="C112" s="4" t="n">
        <x:v>251</x:v>
      </x:c>
      <x:c r="D112" s="4" t="str">
        <x:v>|踢出直播间|观众退出直播间，本场次不可重进，下一场次恢复；门票房门票不退款|\-|</x:v>
      </x:c>
      <x:c r="E112" s="4" t="str">
        <x:v>尚未建立场景映射</x:v>
      </x:c>
      <x:c r="F112" s="4" t="str"/>
      <x:c r="G112" s="4" t="str">
        <x:v>系统概要或共同业务条款：已保留全文，不用端侧用例数量反推本条完整覆盖；跨段等价映射尚未逐项闭合。</x:v>
      </x:c>
    </x:row>
    <x:row r="113" ht="44" customHeight="1">
      <x:c r="A113" s="4" t="str">
        <x:v>概要-252</x:v>
      </x:c>
      <x:c r="B113" s="4" t="str">
        <x:v>系统概要与公共规则</x:v>
      </x:c>
      <x:c r="C113" s="4" t="n">
        <x:v>252</x:v>
      </x:c>
      <x:c r="D113" s="4" t="str">
        <x:v>|设置房管|房管可以对直播间观众执行禁言、踢出和屏蔽单条评论；&lt;br&gt;每位主播最多设置 3 名房管，授权长期有效|是|</x:v>
      </x:c>
      <x:c r="E113" s="4" t="str">
        <x:v>尚未建立场景映射</x:v>
      </x:c>
      <x:c r="F113" s="4" t="str"/>
      <x:c r="G113" s="4" t="str">
        <x:v>系统概要或共同业务条款：已保留全文，不用端侧用例数量反推本条完整覆盖；跨段等价映射尚未逐项闭合。</x:v>
      </x:c>
    </x:row>
    <x:row r="114" ht="44" customHeight="1">
      <x:c r="A114" s="4" t="str">
        <x:v>概要-253</x:v>
      </x:c>
      <x:c r="B114" s="4" t="str">
        <x:v>系统概要与公共规则</x:v>
      </x:c>
      <x:c r="C114" s="4" t="n">
        <x:v>253</x:v>
      </x:c>
      <x:c r="D114" s="4" t="str">
        <x:v>|屏蔽单条评论、清屏|主播和观众均不能看到被屏蔽的评论；清空当前公屏消息|\-|</x:v>
      </x:c>
      <x:c r="E114" s="4" t="str">
        <x:v>尚未建立场景映射</x:v>
      </x:c>
      <x:c r="F114" s="4" t="str"/>
      <x:c r="G114" s="4" t="str">
        <x:v>系统概要或共同业务条款：已保留全文，不用端侧用例数量反推本条完整覆盖；跨段等价映射尚未逐项闭合。</x:v>
      </x:c>
    </x:row>
    <x:row r="115" ht="44" customHeight="1">
      <x:c r="A115" s="4" t="str">
        <x:v>概要-259</x:v>
      </x:c>
      <x:c r="B115" s="4" t="str">
        <x:v>系统概要与公共规则</x:v>
      </x:c>
      <x:c r="C115" s="4" t="n">
        <x:v>259</x:v>
      </x:c>
      <x:c r="D115" s="4" t="str">
        <x:v>|动作|后果|是否可取消|</x:v>
      </x:c>
      <x:c r="E115" s="4" t="str">
        <x:v>尚未建立场景映射</x:v>
      </x:c>
      <x:c r="F115" s="4" t="str"/>
      <x:c r="G115" s="4" t="str">
        <x:v>系统概要或共同业务条款：已保留全文，不用端侧用例数量反推本条完整覆盖；跨段等价映射尚未逐项闭合。</x:v>
      </x:c>
    </x:row>
    <x:row r="116" ht="44" customHeight="1">
      <x:c r="A116" s="4" t="str">
        <x:v>概要-261</x:v>
      </x:c>
      <x:c r="B116" s="4" t="str">
        <x:v>系统概要与公共规则</x:v>
      </x:c>
      <x:c r="C116" s="4" t="n">
        <x:v>261</x:v>
      </x:c>
      <x:c r="D116" s="4" t="str">
        <x:v>|移除粉丝群成员&lt;br&gt;/ 主动退出粉丝群|退出粉丝群并卸下粉丝身份标识；&lt;br&gt;用户粉丝等级和亲密度清零，重新入团后从 0 开始累计|\-|</x:v>
      </x:c>
      <x:c r="E116" s="4" t="str">
        <x:v>尚未建立场景映射</x:v>
      </x:c>
      <x:c r="F116" s="4" t="str"/>
      <x:c r="G116" s="4" t="str">
        <x:v>系统概要或共同业务条款：已保留全文，不用端侧用例数量反推本条完整覆盖；跨段等价映射尚未逐项闭合。</x:v>
      </x:c>
    </x:row>
    <x:row r="117" ht="44" customHeight="1">
      <x:c r="A117" s="4" t="str">
        <x:v>概要-262</x:v>
      </x:c>
      <x:c r="B117" s="4" t="str">
        <x:v>系统概要与公共规则</x:v>
      </x:c>
      <x:c r="C117" s="4" t="n">
        <x:v>262</x:v>
      </x:c>
      <x:c r="D117" s="4" t="str">
        <x:v>|单人 / 全员禁言|只限制对应成员的群内发言|是|</x:v>
      </x:c>
      <x:c r="E117" s="4" t="str">
        <x:v>尚未建立场景映射</x:v>
      </x:c>
      <x:c r="F117" s="4" t="str"/>
      <x:c r="G117" s="4" t="str">
        <x:v>系统概要或共同业务条款：已保留全文，不用端侧用例数量反推本条完整覆盖；跨段等价映射尚未逐项闭合。</x:v>
      </x:c>
    </x:row>
    <x:row r="118" ht="44" customHeight="1">
      <x:c r="A118" s="4" t="str">
        <x:v>概要-268</x:v>
      </x:c>
      <x:c r="B118" s="4" t="str">
        <x:v>系统概要与公共规则</x:v>
      </x:c>
      <x:c r="C118" s="4" t="n">
        <x:v>268</x:v>
      </x:c>
      <x:c r="D118" s="4" t="str">
        <x:v>- 连麦的前提条件：双方主播均在普通房型中直播、均处于未连麦状态，且不存在账号拉黑关系。</x:v>
      </x:c>
      <x:c r="E118" s="4" t="str">
        <x:v>尚未建立场景映射</x:v>
      </x:c>
      <x:c r="F118" s="4" t="str"/>
      <x:c r="G118" s="4" t="str">
        <x:v>系统概要或共同业务条款：已保留全文，不用端侧用例数量反推本条完整覆盖；跨段等价映射尚未逐项闭合。</x:v>
      </x:c>
    </x:row>
    <x:row r="119" ht="44" customHeight="1">
      <x:c r="A119" s="4" t="str">
        <x:v>概要-270</x:v>
      </x:c>
      <x:c r="B119" s="4" t="str">
        <x:v>系统概要与公共规则</x:v>
      </x:c>
      <x:c r="C119" s="4" t="n">
        <x:v>270</x:v>
      </x:c>
      <x:c r="D119" s="4" t="str">
        <x:v>- 任一方中途结束直播，其发出的邀请和进行中的连麦均立即失效。</x:v>
      </x:c>
      <x:c r="E119" s="4" t="str">
        <x:v>尚未建立场景映射</x:v>
      </x:c>
      <x:c r="F119" s="4" t="str"/>
      <x:c r="G119" s="4" t="str">
        <x:v>系统概要或共同业务条款：已保留全文，不用端侧用例数量反推本条完整覆盖；跨段等价映射尚未逐项闭合。</x:v>
      </x:c>
    </x:row>
    <x:row r="120" ht="44" customHeight="1">
      <x:c r="A120" s="4" t="str">
        <x:v>概要-272</x:v>
      </x:c>
      <x:c r="B120" s="4" t="str">
        <x:v>系统概要与公共规则</x:v>
      </x:c>
      <x:c r="C120" s="4" t="n">
        <x:v>272</x:v>
      </x:c>
      <x:c r="D120" s="4" t="str">
        <x:v>|动作（A → B）|规则或后果|</x:v>
      </x:c>
      <x:c r="E120" s="4" t="str">
        <x:v>尚未建立场景映射</x:v>
      </x:c>
      <x:c r="F120" s="4" t="str"/>
      <x:c r="G120" s="4" t="str">
        <x:v>系统概要或共同业务条款：已保留全文，不用端侧用例数量反推本条完整覆盖；跨段等价映射尚未逐项闭合。</x:v>
      </x:c>
    </x:row>
    <x:row r="121" ht="44" customHeight="1">
      <x:c r="A121" s="4" t="str">
        <x:v>概要-274</x:v>
      </x:c>
      <x:c r="B121" s="4" t="str">
        <x:v>系统概要与公共规则</x:v>
      </x:c>
      <x:c r="C121" s="4" t="n">
        <x:v>274</x:v>
      </x:c>
      <x:c r="D121" s="4" t="str">
        <x:v>|邀请连麦|A 只能发起一个邀请；B 可以收到多个邀请|</x:v>
      </x:c>
      <x:c r="E121" s="4" t="str">
        <x:v>尚未建立场景映射</x:v>
      </x:c>
      <x:c r="F121" s="4" t="str"/>
      <x:c r="G121" s="4" t="str">
        <x:v>系统概要或共同业务条款：已保留全文，不用端侧用例数量反推本条完整覆盖；跨段等价映射尚未逐项闭合。</x:v>
      </x:c>
    </x:row>
    <x:row r="122" ht="44" customHeight="1">
      <x:c r="A122" s="4" t="str">
        <x:v>概要-275</x:v>
      </x:c>
      <x:c r="B122" s="4" t="str">
        <x:v>系统概要与公共规则</x:v>
      </x:c>
      <x:c r="C122" s="4" t="n">
        <x:v>275</x:v>
      </x:c>
      <x:c r="D122" s="4" t="str">
        <x:v>|取消邀请|已发起的邀请失效|</x:v>
      </x:c>
      <x:c r="E122" s="4" t="str">
        <x:v>尚未建立场景映射</x:v>
      </x:c>
      <x:c r="F122" s="4" t="str"/>
      <x:c r="G122" s="4" t="str">
        <x:v>系统概要或共同业务条款：已保留全文，不用端侧用例数量反推本条完整覆盖；跨段等价映射尚未逐项闭合。</x:v>
      </x:c>
    </x:row>
    <x:row r="123" ht="44" customHeight="1">
      <x:c r="A123" s="4" t="str">
        <x:v>概要-276</x:v>
      </x:c>
      <x:c r="B123" s="4" t="str">
        <x:v>系统概要与公共规则</x:v>
      </x:c>
      <x:c r="C123" s="4" t="n">
        <x:v>276</x:v>
      </x:c>
      <x:c r="D123" s="4" t="str">
        <x:v>|拒绝邀请|已发起的邀请失效|</x:v>
      </x:c>
      <x:c r="E123" s="4" t="str">
        <x:v>尚未建立场景映射</x:v>
      </x:c>
      <x:c r="F123" s="4" t="str"/>
      <x:c r="G123" s="4" t="str">
        <x:v>系统概要或共同业务条款：已保留全文，不用端侧用例数量反推本条完整覆盖；跨段等价映射尚未逐项闭合。</x:v>
      </x:c>
    </x:row>
    <x:row r="124" ht="44" customHeight="1">
      <x:c r="A124" s="4" t="str">
        <x:v>概要-277</x:v>
      </x:c>
      <x:c r="B124" s="4" t="str">
        <x:v>系统概要与公共规则</x:v>
      </x:c>
      <x:c r="C124" s="4" t="n">
        <x:v>277</x:v>
      </x:c>
      <x:c r="D124" s="4" t="str">
        <x:v>|接受邀请|已发起的邀请失效；已收到的其他邀请保留|</x:v>
      </x:c>
      <x:c r="E124" s="4" t="str">
        <x:v>尚未建立场景映射</x:v>
      </x:c>
      <x:c r="F124" s="4" t="str"/>
      <x:c r="G124" s="4" t="str">
        <x:v>系统概要或共同业务条款：已保留全文，不用端侧用例数量反推本条完整覆盖；跨段等价映射尚未逐项闭合。</x:v>
      </x:c>
    </x:row>
    <x:row r="125" ht="44" customHeight="1">
      <x:c r="A125" s="4" t="str">
        <x:v>概要-278</x:v>
      </x:c>
      <x:c r="B125" s="4" t="str">
        <x:v>系统概要与公共规则</x:v>
      </x:c>
      <x:c r="C125" s="4" t="n">
        <x:v>278</x:v>
      </x:c>
      <x:c r="D125" s="4" t="str">
        <x:v>|被接受邀请|不能发起邀请，也不能接受邀请|</x:v>
      </x:c>
      <x:c r="E125" s="4" t="str">
        <x:v>尚未建立场景映射</x:v>
      </x:c>
      <x:c r="F125" s="4" t="str"/>
      <x:c r="G125" s="4" t="str">
        <x:v>系统概要或共同业务条款：已保留全文，不用端侧用例数量反推本条完整覆盖；跨段等价映射尚未逐项闭合。</x:v>
      </x:c>
    </x:row>
    <x:row r="126" ht="44" customHeight="1">
      <x:c r="A126" s="4" t="str">
        <x:v>概要-279</x:v>
      </x:c>
      <x:c r="B126" s="4" t="str">
        <x:v>系统概要与公共规则</x:v>
      </x:c>
      <x:c r="C126" s="4" t="n">
        <x:v>279</x:v>
      </x:c>
      <x:c r="D126" s="4" t="str">
        <x:v>|结束连麦|双方立即退出连麦画面，各自原直播仍继续|</x:v>
      </x:c>
      <x:c r="E126" s="4" t="str">
        <x:v>尚未建立场景映射</x:v>
      </x:c>
      <x:c r="F126" s="4" t="str"/>
      <x:c r="G126" s="4" t="str">
        <x:v>系统概要或共同业务条款：已保留全文，不用端侧用例数量反推本条完整覆盖；跨段等价映射尚未逐项闭合。</x:v>
      </x:c>
    </x:row>
    <x:row r="127" ht="44" customHeight="1">
      <x:c r="A127" s="4" t="str">
        <x:v>概要-285</x:v>
      </x:c>
      <x:c r="B127" s="4" t="str">
        <x:v>系统概要与公共规则</x:v>
      </x:c>
      <x:c r="C127" s="4" t="n">
        <x:v>285</x:v>
      </x:c>
      <x:c r="D127" s="4" t="str">
        <x:v>- 举报对象：账号、直播场次。直播场次的举报入口仅在直播中开放。</x:v>
      </x:c>
      <x:c r="E127" s="4" t="str">
        <x:v>尚未建立场景映射</x:v>
      </x:c>
      <x:c r="F127" s="4" t="str"/>
      <x:c r="G127" s="4" t="str">
        <x:v>系统概要或共同业务条款：已保留全文，不用端侧用例数量反推本条完整覆盖；跨段等价映射尚未逐项闭合。</x:v>
      </x:c>
    </x:row>
    <x:row r="128" ht="44" customHeight="1">
      <x:c r="A128" s="4" t="str">
        <x:v>概要-287</x:v>
      </x:c>
      <x:c r="B128" s="4" t="str">
        <x:v>系统概要与公共规则</x:v>
      </x:c>
      <x:c r="C128" s="4" t="n">
        <x:v>287</x:v>
      </x:c>
      <x:c r="D128" s="4" t="str">
        <x:v>- 举报类型：色情低俗、涉及宗教政治、暴恐血腥、未成年人有害、其他。</x:v>
      </x:c>
      <x:c r="E128" s="4" t="str">
        <x:v>尚未建立场景映射</x:v>
      </x:c>
      <x:c r="F128" s="4" t="str"/>
      <x:c r="G128" s="4" t="str">
        <x:v>系统概要或共同业务条款：已保留全文，不用端侧用例数量反推本条完整覆盖；跨段等价映射尚未逐项闭合。</x:v>
      </x:c>
    </x:row>
    <x:row r="129" ht="44" customHeight="1">
      <x:c r="A129" s="4" t="str">
        <x:v>概要-291</x:v>
      </x:c>
      <x:c r="B129" s="4" t="str">
        <x:v>系统概要与公共规则</x:v>
      </x:c>
      <x:c r="C129" s="4" t="n">
        <x:v>291</x:v>
      </x:c>
      <x:c r="D129" s="4" t="str">
        <x:v>|处置类型|即时后果|处置前/后直播间状态|通知|</x:v>
      </x:c>
      <x:c r="E129" s="4" t="str">
        <x:v>尚未建立场景映射</x:v>
      </x:c>
      <x:c r="F129" s="4" t="str"/>
      <x:c r="G129" s="4" t="str">
        <x:v>系统概要或共同业务条款：已保留全文，不用端侧用例数量反推本条完整覆盖；跨段等价映射尚未逐项闭合。</x:v>
      </x:c>
    </x:row>
    <x:row r="130" ht="44" customHeight="1">
      <x:c r="A130" s="4" t="str">
        <x:v>概要-293</x:v>
      </x:c>
      <x:c r="B130" s="4" t="str">
        <x:v>系统概要与公共规则</x:v>
      </x:c>
      <x:c r="C130" s="4" t="n">
        <x:v>293</x:v>
      </x:c>
      <x:c r="D130" s="4" t="str">
        <x:v>|不处置|\-\-&lt;br&gt;|直播中 → 直播中|通知举报人：“举报内容暂无可处置违规，感谢您的反馈”|</x:v>
      </x:c>
      <x:c r="E130" s="4" t="str">
        <x:v>尚未建立场景映射</x:v>
      </x:c>
      <x:c r="F130" s="4" t="str"/>
      <x:c r="G130" s="4" t="str">
        <x:v>系统概要或共同业务条款：已保留全文，不用端侧用例数量反推本条完整覆盖；跨段等价映射尚未逐项闭合。</x:v>
      </x:c>
    </x:row>
    <x:row r="131" ht="57" customHeight="1">
      <x:c r="A131" s="4" t="str">
        <x:v>概要-294</x:v>
      </x:c>
      <x:c r="B131" s="4" t="str">
        <x:v>系统概要与公共规则</x:v>
      </x:c>
      <x:c r="C131" s="4" t="n">
        <x:v>294</x:v>
      </x:c>
      <x:c r="D131" s="4" t="str">
        <x:v>|警告|主播直播间弹窗强提示&lt;br&gt;|直播中 → 直播中|通知举报人：“举报成立，平台已依规处理”；消息通知并弹窗提示主播：“直播间存在违规，请及时调整”|</x:v>
      </x:c>
      <x:c r="E131" s="4" t="str">
        <x:v>尚未建立场景映射</x:v>
      </x:c>
      <x:c r="F131" s="4" t="str"/>
      <x:c r="G131" s="4" t="str">
        <x:v>系统概要或共同业务条款：已保留全文，不用端侧用例数量反推本条完整覆盖；跨段等价映射尚未逐项闭合。</x:v>
      </x:c>
    </x:row>
    <x:row r="132" ht="57" customHeight="1">
      <x:c r="A132" s="4" t="str">
        <x:v>概要-295</x:v>
      </x:c>
      <x:c r="B132" s="4" t="str">
        <x:v>系统概要与公共规则</x:v>
      </x:c>
      <x:c r="C132" s="4" t="n">
        <x:v>295</x:v>
      </x:c>
      <x:c r="D132" s="4" t="str">
        <x:v>|关播&lt;br&gt;|关闭当前直播间，不影响下次开播|直播中 → 已结束&lt;br&gt;|通知举报人同“警告”；通知主播：“直播间存在违规，平台已关闭直播间”|</x:v>
      </x:c>
      <x:c r="E132" s="4" t="str">
        <x:v>尚未建立场景映射</x:v>
      </x:c>
      <x:c r="F132" s="4" t="str"/>
      <x:c r="G132" s="4" t="str">
        <x:v>系统概要或共同业务条款：已保留全文，不用端侧用例数量反推本条完整覆盖；跨段等价映射尚未逐项闭合。</x:v>
      </x:c>
    </x:row>
    <x:row r="133" ht="57" customHeight="1">
      <x:c r="A133" s="4" t="str">
        <x:v>概要-296</x:v>
      </x:c>
      <x:c r="B133" s="4" t="str">
        <x:v>系统概要与公共规则</x:v>
      </x:c>
      <x:c r="C133" s="4" t="n">
        <x:v>296</x:v>
      </x:c>
      <x:c r="D133" s="4" t="str">
        <x:v>|关闭直播权限|关闭当前直播间，并关闭主播直播权限|直播中 → 已结束|通知举报人同“警告”；通知主播：“直播间严重违规，平台已关闭直播间，并关闭直播权限”|</x:v>
      </x:c>
      <x:c r="E133" s="4" t="str">
        <x:v>尚未建立场景映射</x:v>
      </x:c>
      <x:c r="F133" s="4" t="str"/>
      <x:c r="G133" s="4" t="str">
        <x:v>系统概要或共同业务条款：已保留全文，不用端侧用例数量反推本条完整覆盖；跨段等价映射尚未逐项闭合。</x:v>
      </x:c>
    </x:row>
    <x:row r="134" ht="44" customHeight="1">
      <x:c r="A134" s="4" t="str">
        <x:v>概要-306</x:v>
      </x:c>
      <x:c r="B134" s="4" t="str">
        <x:v>系统概要与公共规则</x:v>
      </x:c>
      <x:c r="C134" s="4" t="n">
        <x:v>306</x:v>
      </x:c>
      <x:c r="D134" s="4" t="str">
        <x:v>|处置类型|即时后果|处置前/后账号状态|通知|</x:v>
      </x:c>
      <x:c r="E134" s="4" t="str">
        <x:v>尚未建立场景映射</x:v>
      </x:c>
      <x:c r="F134" s="4" t="str"/>
      <x:c r="G134" s="4" t="str">
        <x:v>系统概要或共同业务条款：已保留全文，不用端侧用例数量反推本条完整覆盖；跨段等价映射尚未逐项闭合。</x:v>
      </x:c>
    </x:row>
    <x:row r="135" ht="44" customHeight="1">
      <x:c r="A135" s="4" t="str">
        <x:v>概要-308</x:v>
      </x:c>
      <x:c r="B135" s="4" t="str">
        <x:v>系统概要与公共规则</x:v>
      </x:c>
      <x:c r="C135" s="4" t="n">
        <x:v>308</x:v>
      </x:c>
      <x:c r="D135" s="4" t="str">
        <x:v>|不处置|\-\-|正常 → 正常|通知举报人：“举报账号暂无可处置的违规，感谢您的反馈”|</x:v>
      </x:c>
      <x:c r="E135" s="4" t="str">
        <x:v>尚未建立场景映射</x:v>
      </x:c>
      <x:c r="F135" s="4" t="str"/>
      <x:c r="G135" s="4" t="str">
        <x:v>系统概要或共同业务条款：已保留全文，不用端侧用例数量反推本条完整覆盖；跨段等价映射尚未逐项闭合。</x:v>
      </x:c>
    </x:row>
    <x:row r="136" ht="57" customHeight="1">
      <x:c r="A136" s="4" t="str">
        <x:v>概要-309</x:v>
      </x:c>
      <x:c r="B136" s="4" t="str">
        <x:v>系统概要与公共规则</x:v>
      </x:c>
      <x:c r="C136" s="4" t="n">
        <x:v>309</x:v>
      </x:c>
      <x:c r="D136" s="4" t="str">
        <x:v>|封禁账号|已登录账号强制下线，包含正在直播的账号；未登录账号禁止登录|正常 → 封禁|通知举报人：“举报成立，平台已依规处理”；被举报人登录时提示：“账号已封禁”|</x:v>
      </x:c>
      <x:c r="E136" s="4" t="str">
        <x:v>尚未建立场景映射</x:v>
      </x:c>
      <x:c r="F136" s="4" t="str"/>
      <x:c r="G136" s="4" t="str">
        <x:v>系统概要或共同业务条款：已保留全文，不用端侧用例数量反推本条完整覆盖；跨段等价映射尚未逐项闭合。</x:v>
      </x:c>
    </x:row>
    <x:row r="137" ht="44" customHeight="1">
      <x:c r="A137" s="4" t="str">
        <x:v>概要-317</x:v>
      </x:c>
      <x:c r="B137" s="4" t="str">
        <x:v>系统概要与公共规则</x:v>
      </x:c>
      <x:c r="C137" s="4" t="n">
        <x:v>317</x:v>
      </x:c>
      <x:c r="D137" s="4" t="str">
        <x:v>- 用户金币来自充值、充值赠送、签到、任务、邀请奖励、活动奖励和幸运礼物返奖。</x:v>
      </x:c>
      <x:c r="E137" s="4" t="str">
        <x:v>尚未建立场景映射</x:v>
      </x:c>
      <x:c r="F137" s="4" t="str"/>
      <x:c r="G137" s="4" t="str">
        <x:v>系统概要或共同业务条款：已保留全文，不用端侧用例数量反推本条完整覆盖；跨段等价映射尚未逐项闭合。</x:v>
      </x:c>
    </x:row>
    <x:row r="138" ht="44" customHeight="1">
      <x:c r="A138" s="4" t="str">
        <x:v>概要-319</x:v>
      </x:c>
      <x:c r="B138" s="4" t="str">
        <x:v>系统概要与公共规则</x:v>
      </x:c>
      <x:c r="C138" s="4" t="n">
        <x:v>319</x:v>
      </x:c>
      <x:c r="D138" s="4" t="str">
        <x:v>- 不同来源的真实金币进入同一金币账户，可用于赠送礼物或购买门票，不能兑换现金。</x:v>
      </x:c>
      <x:c r="E138" s="4" t="str">
        <x:v>尚未建立场景映射</x:v>
      </x:c>
      <x:c r="F138" s="4" t="str"/>
      <x:c r="G138" s="4" t="str">
        <x:v>系统概要或共同业务条款：已保留全文，不用端侧用例数量反推本条完整覆盖；跨段等价映射尚未逐项闭合。</x:v>
      </x:c>
    </x:row>
    <x:row r="139" ht="44" customHeight="1">
      <x:c r="A139" s="4" t="str">
        <x:v>概要-321</x:v>
      </x:c>
      <x:c r="B139" s="4" t="str">
        <x:v>系统概要与公共规则</x:v>
      </x:c>
      <x:c r="C139" s="4" t="n">
        <x:v>321</x:v>
      </x:c>
      <x:c r="D139" s="4" t="str">
        <x:v>- 充值成功后增加金币并生成充值记录；</x:v>
      </x:c>
      <x:c r="E139" s="4" t="str">
        <x:v>尚未建立场景映射</x:v>
      </x:c>
      <x:c r="F139" s="4" t="str"/>
      <x:c r="G139" s="4" t="str">
        <x:v>系统概要或共同业务条款：已保留全文，不用端侧用例数量反推本条完整覆盖；跨段等价映射尚未逐项闭合。</x:v>
      </x:c>
    </x:row>
    <x:row r="140" ht="44" customHeight="1">
      <x:c r="A140" s="4" t="str">
        <x:v>概要-323</x:v>
      </x:c>
      <x:c r="B140" s="4" t="str">
        <x:v>系统概要与公共规则</x:v>
      </x:c>
      <x:c r="C140" s="4" t="n">
        <x:v>323</x:v>
      </x:c>
      <x:c r="D140" s="4" t="str">
        <x:v>- 消费成功只扣减一次金币并生成消费记录，余额不足或条件检查失败时不扣减。</x:v>
      </x:c>
      <x:c r="E140" s="4" t="str">
        <x:v>尚未建立场景映射</x:v>
      </x:c>
      <x:c r="F140" s="4" t="str"/>
      <x:c r="G140" s="4" t="str">
        <x:v>系统概要或共同业务条款：已保留全文，不用端侧用例数量反推本条完整覆盖；跨段等价映射尚未逐项闭合。</x:v>
      </x:c>
    </x:row>
    <x:row r="141" ht="44" customHeight="1">
      <x:c r="A141" s="4" t="str">
        <x:v>概要-325</x:v>
      </x:c>
      <x:c r="B141" s="4" t="str">
        <x:v>系统概要与公共规则</x:v>
      </x:c>
      <x:c r="C141" s="4" t="n">
        <x:v>325</x:v>
      </x:c>
      <x:c r="D141" s="4" t="str">
        <x:v>- 金币余额为负数时不能继续消费；后续充值到账的金币先抵扣负余额，剩余部分计入可用余额。</x:v>
      </x:c>
      <x:c r="E141" s="4" t="str">
        <x:v>尚未建立场景映射</x:v>
      </x:c>
      <x:c r="F141" s="4" t="str"/>
      <x:c r="G141" s="4" t="str">
        <x:v>系统概要或共同业务条款：已保留全文，不用端侧用例数量反推本条完整覆盖；跨段等价映射尚未逐项闭合。</x:v>
      </x:c>
    </x:row>
    <x:row r="142" ht="44" customHeight="1">
      <x:c r="A142" s="4" t="str">
        <x:v>概要-331</x:v>
      </x:c>
      <x:c r="B142" s="4" t="str">
        <x:v>系统概要与公共规则</x:v>
      </x:c>
      <x:c r="C142" s="4" t="n">
        <x:v>331</x:v>
      </x:c>
      <x:c r="D142" s="4" t="str">
        <x:v>|类型|规则|</x:v>
      </x:c>
      <x:c r="E142" s="4" t="str">
        <x:v>尚未建立场景映射</x:v>
      </x:c>
      <x:c r="F142" s="4" t="str"/>
      <x:c r="G142" s="4" t="str">
        <x:v>系统概要或共同业务条款：已保留全文，不用端侧用例数量反推本条完整覆盖；跨段等价映射尚未逐项闭合。</x:v>
      </x:c>
    </x:row>
    <x:row r="143" ht="44" customHeight="1">
      <x:c r="A143" s="4" t="str">
        <x:v>概要-333</x:v>
      </x:c>
      <x:c r="B143" s="4" t="str">
        <x:v>系统概要与公共规则</x:v>
      </x:c>
      <x:c r="C143" s="4" t="n">
        <x:v>333</x:v>
      </x:c>
      <x:c r="D143" s="4" t="str">
        <x:v>|普通礼物|按平台配置的金币价格长期上架，由平台手动上下架。|</x:v>
      </x:c>
      <x:c r="E143" s="4" t="str">
        <x:v>尚未建立场景映射</x:v>
      </x:c>
      <x:c r="F143" s="4" t="str"/>
      <x:c r="G143" s="4" t="str">
        <x:v>系统概要或共同业务条款：已保留全文，不用端侧用例数量反推本条完整覆盖；跨段等价映射尚未逐项闭合。</x:v>
      </x:c>
    </x:row>
    <x:row r="144" ht="44" customHeight="1">
      <x:c r="A144" s="4" t="str">
        <x:v>概要-334</x:v>
      </x:c>
      <x:c r="B144" s="4" t="str">
        <x:v>系统概要与公共规则</x:v>
      </x:c>
      <x:c r="C144" s="4" t="n">
        <x:v>334</x:v>
      </x:c>
      <x:c r="D144" s="4" t="str">
        <x:v>|定制礼物|按配置时间生效和失效，平台可提前下架。|</x:v>
      </x:c>
      <x:c r="E144" s="4" t="str">
        <x:v>尚未建立场景映射</x:v>
      </x:c>
      <x:c r="F144" s="4" t="str"/>
      <x:c r="G144" s="4" t="str">
        <x:v>系统概要或共同业务条款：已保留全文，不用端侧用例数量反推本条完整覆盖；跨段等价映射尚未逐项闭合。</x:v>
      </x:c>
    </x:row>
    <x:row r="145" ht="44" customHeight="1">
      <x:c r="A145" s="4" t="str">
        <x:v>概要-335</x:v>
      </x:c>
      <x:c r="B145" s="4" t="str">
        <x:v>系统概要与公共规则</x:v>
      </x:c>
      <x:c r="C145" s="4" t="n">
        <x:v>335</x:v>
      </x:c>
      <x:c r="D145" s="4" t="str">
        <x:v>|幸运礼物|每个礼物独立开奖，中奖金币返还用户；价格、奖励档位和概率由平台配置。|</x:v>
      </x:c>
      <x:c r="E145" s="4" t="str">
        <x:v>尚未建立场景映射</x:v>
      </x:c>
      <x:c r="F145" s="4" t="str"/>
      <x:c r="G145" s="4" t="str">
        <x:v>系统概要或共同业务条款：已保留全文，不用端侧用例数量反推本条完整覆盖；跨段等价映射尚未逐项闭合。</x:v>
      </x:c>
    </x:row>
    <x:row r="146" ht="44" customHeight="1">
      <x:c r="A146" s="4" t="str">
        <x:v>概要-336</x:v>
      </x:c>
      <x:c r="B146" s="4" t="str">
        <x:v>系统概要与公共规则</x:v>
      </x:c>
      <x:c r="C146" s="4" t="n">
        <x:v>336</x:v>
      </x:c>
      <x:c r="D146" s="4" t="str">
        <x:v>|门票|购买后获得当前直播场次的进入资格，按礼物类商品参与收益和分成。|</x:v>
      </x:c>
      <x:c r="E146" s="4" t="str">
        <x:v>尚未建立场景映射</x:v>
      </x:c>
      <x:c r="F146" s="4" t="str"/>
      <x:c r="G146" s="4" t="str">
        <x:v>系统概要或共同业务条款：已保留全文，不用端侧用例数量反推本条完整覆盖；跨段等价映射尚未逐项闭合。</x:v>
      </x:c>
    </x:row>
    <x:row r="147" ht="44" customHeight="1">
      <x:c r="A147" s="4" t="str">
        <x:v>概要-338</x:v>
      </x:c>
      <x:c r="B147" s="4" t="str">
        <x:v>系统概要与公共规则</x:v>
      </x:c>
      <x:c r="C147" s="4" t="n">
        <x:v>338</x:v>
      </x:c>
      <x:c r="D147" s="4" t="str">
        <x:v>- 礼物下架后不能继续赠送，已完成的赠送、开奖、消费和结算记录继续保留。</x:v>
      </x:c>
      <x:c r="E147" s="4" t="str">
        <x:v>尚未建立场景映射</x:v>
      </x:c>
      <x:c r="F147" s="4" t="str"/>
      <x:c r="G147" s="4" t="str">
        <x:v>系统概要或共同业务条款：已保留全文，不用端侧用例数量反推本条完整覆盖；跨段等价映射尚未逐项闭合。</x:v>
      </x:c>
    </x:row>
    <x:row r="148" ht="44" customHeight="1">
      <x:c r="A148" s="4" t="str">
        <x:v>概要-340</x:v>
      </x:c>
      <x:c r="B148" s="4" t="str">
        <x:v>系统概要与公共规则</x:v>
      </x:c>
      <x:c r="C148" s="4" t="n">
        <x:v>340</x:v>
      </x:c>
      <x:c r="D148" s="4" t="str">
        <x:v>- 连续赠送按每个礼物分别扣减金币并记录结果。</x:v>
      </x:c>
      <x:c r="E148" s="4" t="str">
        <x:v>尚未建立场景映射</x:v>
      </x:c>
      <x:c r="F148" s="4" t="str"/>
      <x:c r="G148" s="4" t="str">
        <x:v>系统概要或共同业务条款：已保留全文，不用端侧用例数量反推本条完整覆盖；跨段等价映射尚未逐项闭合。</x:v>
      </x:c>
    </x:row>
    <x:row r="149" ht="44" customHeight="1">
      <x:c r="A149" s="4" t="str">
        <x:v>概要-342</x:v>
      </x:c>
      <x:c r="B149" s="4" t="str">
        <x:v>系统概要与公共规则</x:v>
      </x:c>
      <x:c r="C149" s="4" t="n">
        <x:v>342</x:v>
      </x:c>
      <x:c r="D149" s="4" t="str">
        <x:v>- 已成功赠送的礼物和已购买的门票不支持退款或退回，充值订单退款不撤销已完成的礼物和门票消费。</x:v>
      </x:c>
      <x:c r="E149" s="4" t="str">
        <x:v>尚未建立场景映射</x:v>
      </x:c>
      <x:c r="F149" s="4" t="str"/>
      <x:c r="G149" s="4" t="str">
        <x:v>系统概要或共同业务条款：已保留全文，不用端侧用例数量反推本条完整覆盖；跨段等价映射尚未逐项闭合。</x:v>
      </x:c>
    </x:row>
    <x:row r="150" ht="44" customHeight="1">
      <x:c r="A150" s="4" t="str">
        <x:v>概要-356</x:v>
      </x:c>
      <x:c r="B150" s="4" t="str">
        <x:v>系统概要与公共规则</x:v>
      </x:c>
      <x:c r="C150" s="4" t="n">
        <x:v>356</x:v>
      </x:c>
      <x:c r="D150" s="4" t="str">
        <x:v>|一次送出数量|每个礼物消耗|长期平均返还比例|</x:v>
      </x:c>
      <x:c r="E150" s="4" t="str">
        <x:v>尚未建立场景映射</x:v>
      </x:c>
      <x:c r="F150" s="4" t="str"/>
      <x:c r="G150" s="4" t="str">
        <x:v>系统概要或共同业务条款：已保留全文，不用端侧用例数量反推本条完整覆盖；跨段等价映射尚未逐项闭合。</x:v>
      </x:c>
    </x:row>
    <x:row r="151" ht="44" customHeight="1">
      <x:c r="A151" s="4" t="str">
        <x:v>概要-358</x:v>
      </x:c>
      <x:c r="B151" s="4" t="str">
        <x:v>系统概要与公共规则</x:v>
      </x:c>
      <x:c r="C151" s="4" t="n">
        <x:v>358</x:v>
      </x:c>
      <x:c r="D151" s="4" t="str">
        <x:v>|1 个|10 金币|96%|</x:v>
      </x:c>
      <x:c r="E151" s="4" t="str">
        <x:v>尚未建立场景映射</x:v>
      </x:c>
      <x:c r="F151" s="4" t="str"/>
      <x:c r="G151" s="4" t="str">
        <x:v>系统概要或共同业务条款：已保留全文，不用端侧用例数量反推本条完整覆盖；跨段等价映射尚未逐项闭合。</x:v>
      </x:c>
    </x:row>
    <x:row r="152" ht="44" customHeight="1">
      <x:c r="A152" s="4" t="str">
        <x:v>概要-359</x:v>
      </x:c>
      <x:c r="B152" s="4" t="str">
        <x:v>系统概要与公共规则</x:v>
      </x:c>
      <x:c r="C152" s="4" t="n">
        <x:v>359</x:v>
      </x:c>
      <x:c r="D152" s="4" t="str">
        <x:v>|10 个|10 金币|97%|</x:v>
      </x:c>
      <x:c r="E152" s="4" t="str">
        <x:v>尚未建立场景映射</x:v>
      </x:c>
      <x:c r="F152" s="4" t="str"/>
      <x:c r="G152" s="4" t="str">
        <x:v>系统概要或共同业务条款：已保留全文，不用端侧用例数量反推本条完整覆盖；跨段等价映射尚未逐项闭合。</x:v>
      </x:c>
    </x:row>
    <x:row r="153" ht="44" customHeight="1">
      <x:c r="A153" s="4" t="str">
        <x:v>概要-360</x:v>
      </x:c>
      <x:c r="B153" s="4" t="str">
        <x:v>系统概要与公共规则</x:v>
      </x:c>
      <x:c r="C153" s="4" t="n">
        <x:v>360</x:v>
      </x:c>
      <x:c r="D153" s="4" t="str">
        <x:v>|100 个及以上|10 金币|98%|</x:v>
      </x:c>
      <x:c r="E153" s="4" t="str">
        <x:v>尚未建立场景映射</x:v>
      </x:c>
      <x:c r="F153" s="4" t="str"/>
      <x:c r="G153" s="4" t="str">
        <x:v>系统概要或共同业务条款：已保留全文，不用端侧用例数量反推本条完整覆盖；跨段等价映射尚未逐项闭合。</x:v>
      </x:c>
    </x:row>
    <x:row r="154" ht="44" customHeight="1">
      <x:c r="A154" s="4" t="str">
        <x:v>概要-370</x:v>
      </x:c>
      <x:c r="B154" s="4" t="str">
        <x:v>系统概要与公共规则</x:v>
      </x:c>
      <x:c r="C154" s="4" t="n">
        <x:v>370</x:v>
      </x:c>
      <x:c r="D154" s="4" t="str">
        <x:v>|单次开奖返还金币|【1 连抽】概率|【10 连抽】概率|【100 连抽】概率|</x:v>
      </x:c>
      <x:c r="E154" s="4" t="str">
        <x:v>尚未建立场景映射</x:v>
      </x:c>
      <x:c r="F154" s="4" t="str"/>
      <x:c r="G154" s="4" t="str">
        <x:v>系统概要或共同业务条款：已保留全文，不用端侧用例数量反推本条完整覆盖；跨段等价映射尚未逐项闭合。</x:v>
      </x:c>
    </x:row>
    <x:row r="155" ht="44" customHeight="1">
      <x:c r="A155" s="4" t="str">
        <x:v>概要-372</x:v>
      </x:c>
      <x:c r="B155" s="4" t="str">
        <x:v>系统概要与公共规则</x:v>
      </x:c>
      <x:c r="C155" s="4" t="n">
        <x:v>372</x:v>
      </x:c>
      <x:c r="D155" s="4" t="str">
        <x:v>|0|10\.4%|8\.4%|6\.4%|</x:v>
      </x:c>
      <x:c r="E155" s="4" t="str">
        <x:v>尚未建立场景映射</x:v>
      </x:c>
      <x:c r="F155" s="4" t="str"/>
      <x:c r="G155" s="4" t="str">
        <x:v>系统概要或共同业务条款：已保留全文，不用端侧用例数量反推本条完整覆盖；跨段等价映射尚未逐项闭合。</x:v>
      </x:c>
    </x:row>
    <x:row r="156" ht="44" customHeight="1">
      <x:c r="A156" s="4" t="str">
        <x:v>概要-373</x:v>
      </x:c>
      <x:c r="B156" s="4" t="str">
        <x:v>系统概要与公共规则</x:v>
      </x:c>
      <x:c r="C156" s="4" t="n">
        <x:v>373</x:v>
      </x:c>
      <x:c r="D156" s="4" t="str">
        <x:v>|5|32%|34%|36%|</x:v>
      </x:c>
      <x:c r="E156" s="4" t="str">
        <x:v>尚未建立场景映射</x:v>
      </x:c>
      <x:c r="F156" s="4" t="str"/>
      <x:c r="G156" s="4" t="str">
        <x:v>系统概要或共同业务条款：已保留全文，不用端侧用例数量反推本条完整覆盖；跨段等价映射尚未逐项闭合。</x:v>
      </x:c>
    </x:row>
    <x:row r="157" ht="44" customHeight="1">
      <x:c r="A157" s="4" t="str">
        <x:v>概要-374</x:v>
      </x:c>
      <x:c r="B157" s="4" t="str">
        <x:v>系统概要与公共规则</x:v>
      </x:c>
      <x:c r="C157" s="4" t="n">
        <x:v>374</x:v>
      </x:c>
      <x:c r="D157" s="4" t="str">
        <x:v>|10|55%|55%|55%|</x:v>
      </x:c>
      <x:c r="E157" s="4" t="str">
        <x:v>尚未建立场景映射</x:v>
      </x:c>
      <x:c r="F157" s="4" t="str"/>
      <x:c r="G157" s="4" t="str">
        <x:v>系统概要或共同业务条款：已保留全文，不用端侧用例数量反推本条完整覆盖；跨段等价映射尚未逐项闭合。</x:v>
      </x:c>
    </x:row>
    <x:row r="158" ht="44" customHeight="1">
      <x:c r="A158" s="4" t="str">
        <x:v>概要-375</x:v>
      </x:c>
      <x:c r="B158" s="4" t="str">
        <x:v>系统概要与公共规则</x:v>
      </x:c>
      <x:c r="C158" s="4" t="n">
        <x:v>375</x:v>
      </x:c>
      <x:c r="D158" s="4" t="str">
        <x:v>|50|2%|2%|2%|</x:v>
      </x:c>
      <x:c r="E158" s="4" t="str">
        <x:v>尚未建立场景映射</x:v>
      </x:c>
      <x:c r="F158" s="4" t="str"/>
      <x:c r="G158" s="4" t="str">
        <x:v>系统概要或共同业务条款：已保留全文，不用端侧用例数量反推本条完整覆盖；跨段等价映射尚未逐项闭合。</x:v>
      </x:c>
    </x:row>
    <x:row r="159" ht="44" customHeight="1">
      <x:c r="A159" s="4" t="str">
        <x:v>概要-376</x:v>
      </x:c>
      <x:c r="B159" s="4" t="str">
        <x:v>系统概要与公共规则</x:v>
      </x:c>
      <x:c r="C159" s="4" t="n">
        <x:v>376</x:v>
      </x:c>
      <x:c r="D159" s="4" t="str">
        <x:v>|100|0\.5%|0\.5%|0\.5%|</x:v>
      </x:c>
      <x:c r="E159" s="4" t="str">
        <x:v>尚未建立场景映射</x:v>
      </x:c>
      <x:c r="F159" s="4" t="str"/>
      <x:c r="G159" s="4" t="str">
        <x:v>系统概要或共同业务条款：已保留全文，不用端侧用例数量反推本条完整覆盖；跨段等价映射尚未逐项闭合。</x:v>
      </x:c>
    </x:row>
    <x:row r="160" ht="44" customHeight="1">
      <x:c r="A160" s="4" t="str">
        <x:v>概要-377</x:v>
      </x:c>
      <x:c r="B160" s="4" t="str">
        <x:v>系统概要与公共规则</x:v>
      </x:c>
      <x:c r="C160" s="4" t="n">
        <x:v>377</x:v>
      </x:c>
      <x:c r="D160" s="4" t="str">
        <x:v>|1000|0\.1%|0\.1%|0\.1%|</x:v>
      </x:c>
      <x:c r="E160" s="4" t="str">
        <x:v>尚未建立场景映射</x:v>
      </x:c>
      <x:c r="F160" s="4" t="str"/>
      <x:c r="G160" s="4" t="str">
        <x:v>系统概要或共同业务条款：已保留全文，不用端侧用例数量反推本条完整覆盖；跨段等价映射尚未逐项闭合。</x:v>
      </x:c>
    </x:row>
    <x:row r="161" ht="44" customHeight="1">
      <x:c r="A161" s="4" t="str">
        <x:v>概要-378</x:v>
      </x:c>
      <x:c r="B161" s="4" t="str">
        <x:v>系统概要与公共规则</x:v>
      </x:c>
      <x:c r="C161" s="4" t="n">
        <x:v>378</x:v>
      </x:c>
      <x:c r="D161" s="4" t="str">
        <x:v>|合计|100%|100%|100%|</x:v>
      </x:c>
      <x:c r="E161" s="4" t="str">
        <x:v>尚未建立场景映射</x:v>
      </x:c>
      <x:c r="F161" s="4" t="str"/>
      <x:c r="G161" s="4" t="str">
        <x:v>系统概要或共同业务条款：已保留全文，不用端侧用例数量反推本条完整覆盖；跨段等价映射尚未逐项闭合。</x:v>
      </x:c>
    </x:row>
    <x:row r="162" ht="44" customHeight="1">
      <x:c r="A162" s="4" t="str">
        <x:v>概要-382</x:v>
      </x:c>
      <x:c r="B162" s="4" t="str">
        <x:v>系统概要与公共规则</x:v>
      </x:c>
      <x:c r="C162" s="4" t="n">
        <x:v>382</x:v>
      </x:c>
      <x:c r="D162" s="4" t="str">
        <x:v>- 用户送出 1 个礼物，先扣除 10 金币。若获得 50 金币，余额净增加 40 金币；若获得 0 金币，则实际消耗 10 金币。</x:v>
      </x:c>
      <x:c r="E162" s="4" t="str">
        <x:v>尚未建立场景映射</x:v>
      </x:c>
      <x:c r="F162" s="4" t="str"/>
      <x:c r="G162" s="4" t="str">
        <x:v>系统概要或共同业务条款：已保留全文，不用端侧用例数量反推本条完整覆盖；跨段等价映射尚未逐项闭合。</x:v>
      </x:c>
    </x:row>
    <x:row r="163" ht="44" customHeight="1">
      <x:c r="A163" s="4" t="str">
        <x:v>概要-384</x:v>
      </x:c>
      <x:c r="B163" s="4" t="str">
        <x:v>系统概要与公共规则</x:v>
      </x:c>
      <x:c r="C163" s="4" t="n">
        <x:v>384</x:v>
      </x:c>
      <x:c r="D163" s="4" t="str">
        <x:v>- 用户一次送出 10 个礼物时，先扣除 100 金币，10 个礼物分别开奖。长期平均返还约 97 金币，单次实际结果可能高于或低于该数值。</x:v>
      </x:c>
      <x:c r="E163" s="4" t="str">
        <x:v>尚未建立场景映射</x:v>
      </x:c>
      <x:c r="F163" s="4" t="str"/>
      <x:c r="G163" s="4" t="str">
        <x:v>系统概要或共同业务条款：已保留全文，不用端侧用例数量反推本条完整覆盖；跨段等价映射尚未逐项闭合。</x:v>
      </x:c>
    </x:row>
    <x:row r="164" ht="44" customHeight="1">
      <x:c r="A164" s="4" t="str">
        <x:v>概要-390</x:v>
      </x:c>
      <x:c r="B164" s="4" t="str">
        <x:v>系统概要与公共规则</x:v>
      </x:c>
      <x:c r="C164" s="4" t="n">
        <x:v>390</x:v>
      </x:c>
      <x:c r="D164" s="4" t="str">
        <x:v>- 道具（头像框、气泡、勋章\.\.\.）由平台配置获取条件、有效期和上下架状态。</x:v>
      </x:c>
      <x:c r="E164" s="4" t="str">
        <x:v>尚未建立场景映射</x:v>
      </x:c>
      <x:c r="F164" s="4" t="str"/>
      <x:c r="G164" s="4" t="str">
        <x:v>系统概要或共同业务条款：已保留全文，不用端侧用例数量反推本条完整覆盖；跨段等价映射尚未逐项闭合。</x:v>
      </x:c>
    </x:row>
    <x:row r="165" ht="44" customHeight="1">
      <x:c r="A165" s="4" t="str">
        <x:v>概要-392</x:v>
      </x:c>
      <x:c r="B165" s="4" t="str">
        <x:v>系统概要与公共规则</x:v>
      </x:c>
      <x:c r="C165" s="4" t="n">
        <x:v>392</x:v>
      </x:c>
      <x:c r="D165" s="4" t="str">
        <x:v>- 用户只能使用已获得且处于有效期内的道具；道具到期后自动停止展示。</x:v>
      </x:c>
      <x:c r="E165" s="4" t="str">
        <x:v>尚未建立场景映射</x:v>
      </x:c>
      <x:c r="F165" s="4" t="str"/>
      <x:c r="G165" s="4" t="str">
        <x:v>系统概要或共同业务条款：已保留全文，不用端侧用例数量反推本条完整覆盖；跨段等价映射尚未逐项闭合。</x:v>
      </x:c>
    </x:row>
    <x:row r="166" ht="44" customHeight="1">
      <x:c r="A166" s="4" t="str">
        <x:v>概要-394</x:v>
      </x:c>
      <x:c r="B166" s="4" t="str">
        <x:v>系统概要与公共规则</x:v>
      </x:c>
      <x:c r="C166" s="4" t="n">
        <x:v>394</x:v>
      </x:c>
      <x:c r="D166" s="4" t="str">
        <x:v>- 道具下架后停止新发放，已发放道具按原有效期继续使用。</x:v>
      </x:c>
      <x:c r="E166" s="4" t="str">
        <x:v>尚未建立场景映射</x:v>
      </x:c>
      <x:c r="F166" s="4" t="str"/>
      <x:c r="G166" s="4" t="str">
        <x:v>系统概要或共同业务条款：已保留全文，不用端侧用例数量反推本条完整覆盖；跨段等价映射尚未逐项闭合。</x:v>
      </x:c>
    </x:row>
    <x:row r="167" ht="44" customHeight="1">
      <x:c r="A167" s="4" t="str">
        <x:v>概要-400</x:v>
      </x:c>
      <x:c r="B167" s="4" t="str">
        <x:v>系统概要与公共规则</x:v>
      </x:c>
      <x:c r="C167" s="4" t="n">
        <x:v>400</x:v>
      </x:c>
      <x:c r="D167" s="4" t="str">
        <x:v>- 只有充值订单支持退款或支付渠道拒付处理。</x:v>
      </x:c>
      <x:c r="E167" s="4" t="str">
        <x:v>尚未建立场景映射</x:v>
      </x:c>
      <x:c r="F167" s="4" t="str"/>
      <x:c r="G167" s="4" t="str">
        <x:v>系统概要或共同业务条款：已保留全文，不用端侧用例数量反推本条完整覆盖；跨段等价映射尚未逐项闭合。</x:v>
      </x:c>
    </x:row>
    <x:row r="168" ht="44" customHeight="1">
      <x:c r="A168" s="4" t="str">
        <x:v>概要-402</x:v>
      </x:c>
      <x:c r="B168" s="4" t="str">
        <x:v>系统概要与公共规则</x:v>
      </x:c>
      <x:c r="C168" s="4" t="n">
        <x:v>402</x:v>
      </x:c>
      <x:c r="D168" s="4" t="str">
        <x:v>- 充值订单用户侧不提供退款操作</x:v>
      </x:c>
      <x:c r="E168" s="4" t="str">
        <x:v>尚未建立场景映射</x:v>
      </x:c>
      <x:c r="F168" s="4" t="str"/>
      <x:c r="G168" s="4" t="str">
        <x:v>系统概要或共同业务条款：已保留全文，不用端侧用例数量反推本条完整覆盖；跨段等价映射尚未逐项闭合。</x:v>
      </x:c>
    </x:row>
    <x:row r="169" ht="44" customHeight="1">
      <x:c r="A169" s="4" t="str">
        <x:v>概要-404</x:v>
      </x:c>
      <x:c r="B169" s="4" t="str">
        <x:v>系统概要与公共规则</x:v>
      </x:c>
      <x:c r="C169" s="4" t="n">
        <x:v>404</x:v>
      </x:c>
      <x:c r="D169" s="4" t="str">
        <x:v>- 充值订单退款后，从用户当前金币余额中扣除该订单到账的金币。余额不足时允许形成负数余额，不撤销用户已经完成的礼物或门票消费。</x:v>
      </x:c>
      <x:c r="E169" s="4" t="str">
        <x:v>尚未建立场景映射</x:v>
      </x:c>
      <x:c r="F169" s="4" t="str"/>
      <x:c r="G169" s="4" t="str">
        <x:v>系统概要或共同业务条款：已保留全文，不用端侧用例数量反推本条完整覆盖；跨段等价映射尚未逐项闭合。</x:v>
      </x:c>
    </x:row>
    <x:row r="170" ht="44" customHeight="1">
      <x:c r="A170" s="4" t="str">
        <x:v>概要-406</x:v>
      </x:c>
      <x:c r="B170" s="4" t="str">
        <x:v>系统概要与公共规则</x:v>
      </x:c>
      <x:c r="C170" s="4" t="n">
        <x:v>406</x:v>
      </x:c>
      <x:c r="D170" s="4" t="str">
        <x:v>- 用户后续充值时，到账金币先抵扣负余额，剩余金币进入可用余额。</x:v>
      </x:c>
      <x:c r="E170" s="4" t="str">
        <x:v>尚未建立场景映射</x:v>
      </x:c>
      <x:c r="F170" s="4" t="str"/>
      <x:c r="G170" s="4" t="str">
        <x:v>系统概要或共同业务条款：已保留全文，不用端侧用例数量反推本条完整覆盖；跨段等价映射尚未逐项闭合。</x:v>
      </x:c>
    </x:row>
    <x:row r="171" ht="44" customHeight="1">
      <x:c r="A171" s="4" t="str">
        <x:v>概要-408</x:v>
      </x:c>
      <x:c r="B171" s="4" t="str">
        <x:v>系统概要与公共规则</x:v>
      </x:c>
      <x:c r="C171" s="4" t="n">
        <x:v>408</x:v>
      </x:c>
      <x:c r="D171" s="4" t="str">
        <x:v>- 示例：用户充值获得 1000 金币并全部消费后，余额为 0；该充值订单退款后，余额变为 \-1000；再次充值 2000 金币后，余额变为 1000。</x:v>
      </x:c>
      <x:c r="E171" s="4" t="str">
        <x:v>尚未建立场景映射</x:v>
      </x:c>
      <x:c r="F171" s="4" t="str"/>
      <x:c r="G171" s="4" t="str">
        <x:v>系统概要或共同业务条款：已保留全文，不用端侧用例数量反推本条完整覆盖；跨段等价映射尚未逐项闭合。</x:v>
      </x:c>
    </x:row>
    <x:row r="172" ht="44" customHeight="1">
      <x:c r="A172" s="4" t="str">
        <x:v>概要-416</x:v>
      </x:c>
      <x:c r="B172" s="4" t="str">
        <x:v>系统概要与公共规则</x:v>
      </x:c>
      <x:c r="C172" s="4" t="n">
        <x:v>416</x:v>
      </x:c>
      <x:c r="D172" s="4" t="str">
        <x:v>|类型|收益规则|</x:v>
      </x:c>
      <x:c r="E172" s="4" t="str">
        <x:v>尚未建立场景映射</x:v>
      </x:c>
      <x:c r="F172" s="4" t="str"/>
      <x:c r="G172" s="4" t="str">
        <x:v>系统概要或共同业务条款：已保留全文，不用端侧用例数量反推本条完整覆盖；跨段等价映射尚未逐项闭合。</x:v>
      </x:c>
    </x:row>
    <x:row r="173" ht="44" customHeight="1">
      <x:c r="A173" s="4" t="str">
        <x:v>概要-418</x:v>
      </x:c>
      <x:c r="B173" s="4" t="str">
        <x:v>系统概要与公共规则</x:v>
      </x:c>
      <x:c r="C173" s="4" t="n">
        <x:v>418</x:v>
      </x:c>
      <x:c r="D173" s="4" t="str">
        <x:v>|普通礼物|主播收益等于用户实际消费的金币|</x:v>
      </x:c>
      <x:c r="E173" s="4" t="str">
        <x:v>尚未建立场景映射</x:v>
      </x:c>
      <x:c r="F173" s="4" t="str"/>
      <x:c r="G173" s="4" t="str">
        <x:v>系统概要或共同业务条款：已保留全文，不用端侧用例数量反推本条完整覆盖；跨段等价映射尚未逐项闭合。</x:v>
      </x:c>
    </x:row>
    <x:row r="174" ht="44" customHeight="1">
      <x:c r="A174" s="4" t="str">
        <x:v>概要-419</x:v>
      </x:c>
      <x:c r="B174" s="4" t="str">
        <x:v>系统概要与公共规则</x:v>
      </x:c>
      <x:c r="C174" s="4" t="n">
        <x:v>419</x:v>
      </x:c>
      <x:c r="D174" s="4" t="str">
        <x:v>|定制礼物|主播收益等于用户实际消费的金币|</x:v>
      </x:c>
      <x:c r="E174" s="4" t="str">
        <x:v>尚未建立场景映射</x:v>
      </x:c>
      <x:c r="F174" s="4" t="str"/>
      <x:c r="G174" s="4" t="str">
        <x:v>系统概要或共同业务条款：已保留全文，不用端侧用例数量反推本条完整覆盖；跨段等价映射尚未逐项闭合。</x:v>
      </x:c>
    </x:row>
    <x:row r="175" ht="44" customHeight="1">
      <x:c r="A175" s="4" t="str">
        <x:v>概要-420</x:v>
      </x:c>
      <x:c r="B175" s="4" t="str">
        <x:v>系统概要与公共规则</x:v>
      </x:c>
      <x:c r="C175" s="4" t="n">
        <x:v>420</x:v>
      </x:c>
      <x:c r="D175" s="4" t="str">
        <x:v>|幸运礼物|主播收益等于用户送出礼物价值*1%（1%后台可配），返奖结果不影响主播收益|</x:v>
      </x:c>
      <x:c r="E175" s="4" t="str">
        <x:v>尚未建立场景映射</x:v>
      </x:c>
      <x:c r="F175" s="4" t="str"/>
      <x:c r="G175" s="4" t="str">
        <x:v>系统概要或共同业务条款：已保留全文，不用端侧用例数量反推本条完整覆盖；跨段等价映射尚未逐项闭合。</x:v>
      </x:c>
    </x:row>
    <x:row r="176" ht="44" customHeight="1">
      <x:c r="A176" s="4" t="str">
        <x:v>概要-421</x:v>
      </x:c>
      <x:c r="B176" s="4" t="str">
        <x:v>系统概要与公共规则</x:v>
      </x:c>
      <x:c r="C176" s="4" t="n">
        <x:v>421</x:v>
      </x:c>
      <x:c r="D176" s="4" t="str">
        <x:v>|门票|主播收益等于用户购买门票实际消费的金币|</x:v>
      </x:c>
      <x:c r="E176" s="4" t="str">
        <x:v>尚未建立场景映射</x:v>
      </x:c>
      <x:c r="F176" s="4" t="str"/>
      <x:c r="G176" s="4" t="str">
        <x:v>系统概要或共同业务条款：已保留全文，不用端侧用例数量反推本条完整覆盖；跨段等价映射尚未逐项闭合。</x:v>
      </x:c>
    </x:row>
    <x:row r="177" ht="44" customHeight="1">
      <x:c r="A177" s="4" t="str">
        <x:v>概要-423</x:v>
      </x:c>
      <x:c r="B177" s="4" t="str">
        <x:v>系统概要与公共规则</x:v>
      </x:c>
      <x:c r="C177" s="4" t="n">
        <x:v>423</x:v>
      </x:c>
      <x:c r="D177" s="4" t="str">
        <x:v>- 虚拟金币消费、失败或撤销的消费不计入主播收益。</x:v>
      </x:c>
      <x:c r="E177" s="4" t="str">
        <x:v>尚未建立场景映射</x:v>
      </x:c>
      <x:c r="F177" s="4" t="str"/>
      <x:c r="G177" s="4" t="str">
        <x:v>系统概要或共同业务条款：已保留全文，不用端侧用例数量反推本条完整覆盖；跨段等价映射尚未逐项闭合。</x:v>
      </x:c>
    </x:row>
    <x:row r="178" ht="44" customHeight="1">
      <x:c r="A178" s="4" t="str">
        <x:v>概要-425</x:v>
      </x:c>
      <x:c r="B178" s="4" t="str">
        <x:v>系统概要与公共规则</x:v>
      </x:c>
      <x:c r="C178" s="4" t="n">
        <x:v>425</x:v>
      </x:c>
      <x:c r="D178" s="4" t="str">
        <x:v>- 已消费完成的礼物和门票不因充值订单退款或拒付而撤销，对应主播收益和分成不受影响。</x:v>
      </x:c>
      <x:c r="E178" s="4" t="str">
        <x:v>尚未建立场景映射</x:v>
      </x:c>
      <x:c r="F178" s="4" t="str"/>
      <x:c r="G178" s="4" t="str">
        <x:v>系统概要或共同业务条款：已保留全文，不用端侧用例数量反推本条完整覆盖；跨段等价映射尚未逐项闭合。</x:v>
      </x:c>
    </x:row>
    <x:row r="179" ht="44" customHeight="1">
      <x:c r="A179" s="4" t="str">
        <x:v>概要-431</x:v>
      </x:c>
      <x:c r="B179" s="4" t="str">
        <x:v>系统概要与公共规则</x:v>
      </x:c>
      <x:c r="C179" s="4" t="n">
        <x:v>431</x:v>
      </x:c>
      <x:c r="D179" s="4" t="str">
        <x:v>- 系统不提供线上结算申请或审批流程。</x:v>
      </x:c>
      <x:c r="E179" s="4" t="str">
        <x:v>尚未建立场景映射</x:v>
      </x:c>
      <x:c r="F179" s="4" t="str"/>
      <x:c r="G179" s="4" t="str">
        <x:v>系统概要或共同业务条款：已保留全文，不用端侧用例数量反推本条完整覆盖；跨段等价映射尚未逐项闭合。</x:v>
      </x:c>
    </x:row>
    <x:row r="180" ht="44" customHeight="1">
      <x:c r="A180" s="4" t="str">
        <x:v>概要-433</x:v>
      </x:c>
      <x:c r="B180" s="4" t="str">
        <x:v>系统概要与公共规则</x:v>
      </x:c>
      <x:c r="C180" s="4" t="n">
        <x:v>433</x:v>
      </x:c>
      <x:c r="D180" s="4" t="str">
        <x:v>- 后台输出数据的汇总/明细报表等，不计算具体的分成金额。</x:v>
      </x:c>
      <x:c r="E180" s="4" t="str">
        <x:v>尚未建立场景映射</x:v>
      </x:c>
      <x:c r="F180" s="4" t="str"/>
      <x:c r="G180" s="4" t="str">
        <x:v>系统概要或共同业务条款：已保留全文，不用端侧用例数量反推本条完整覆盖；跨段等价映射尚未逐项闭合。</x:v>
      </x:c>
    </x:row>
    <x:row r="181" ht="44" customHeight="1">
      <x:c r="A181" s="4" t="str">
        <x:v>概要-435</x:v>
      </x:c>
      <x:c r="B181" s="4" t="str">
        <x:v>系统概要与公共规则</x:v>
      </x:c>
      <x:c r="C181" s="4" t="n">
        <x:v>435</x:v>
      </x:c>
      <x:c r="D181" s="4" t="str">
        <x:v>- 分成比例和应结金额由财务根据报表中心数据确定。财务在线下与主播完成结算，并在系统中上传结果。</x:v>
      </x:c>
      <x:c r="E181" s="4" t="str">
        <x:v>尚未建立场景映射</x:v>
      </x:c>
      <x:c r="F181" s="4" t="str"/>
      <x:c r="G181" s="4" t="str">
        <x:v>系统概要或共同业务条款：已保留全文，不用端侧用例数量反推本条完整覆盖；跨段等价映射尚未逐项闭合。</x:v>
      </x:c>
    </x:row>
    <x:row r="182" ht="57" customHeight="1">
      <x:c r="A182" s="4" t="str">
        <x:v>概要-441</x:v>
      </x:c>
      <x:c r="B182" s="4" t="str">
        <x:v>系统概要与公共规则</x:v>
      </x:c>
      <x:c r="C182" s="4" t="n">
        <x:v>441</x:v>
      </x:c>
      <x:c r="D182" s="4" t="str">
        <x:v>|类型|用户充值（印尼盾）|平台奖励（金币）|赠送礼物价值（金币）|主播收益（金币）|平台分成（50%，印尼盾）|公会分成（10%，印尼盾）|主播分成（40%，印尼盾）|</x:v>
      </x:c>
      <x:c r="E182" s="4" t="str">
        <x:v>尚未建立场景映射</x:v>
      </x:c>
      <x:c r="F182" s="4" t="str"/>
      <x:c r="G182" s="4" t="str">
        <x:v>系统概要或共同业务条款：已保留全文，不用端侧用例数量反推本条完整覆盖；跨段等价映射尚未逐项闭合。</x:v>
      </x:c>
    </x:row>
    <x:row r="183" ht="44" customHeight="1">
      <x:c r="A183" s="4" t="str">
        <x:v>概要-443</x:v>
      </x:c>
      <x:c r="B183" s="4" t="str">
        <x:v>系统概要与公共规则</x:v>
      </x:c>
      <x:c r="C183" s="4" t="n">
        <x:v>443</x:v>
      </x:c>
      <x:c r="D183" s="4" t="str">
        <x:v>|普通礼物 / 定制礼物 / 门票|75,000|5,000|80,000|80,000|40,000|8,000|32,000|</x:v>
      </x:c>
      <x:c r="E183" s="4" t="str">
        <x:v>尚未建立场景映射</x:v>
      </x:c>
      <x:c r="F183" s="4" t="str"/>
      <x:c r="G183" s="4" t="str">
        <x:v>系统概要或共同业务条款：已保留全文，不用端侧用例数量反推本条完整覆盖；跨段等价映射尚未逐项闭合。</x:v>
      </x:c>
    </x:row>
    <x:row r="184" ht="44" customHeight="1">
      <x:c r="A184" s="4" t="str">
        <x:v>概要-444</x:v>
      </x:c>
      <x:c r="B184" s="4" t="str">
        <x:v>系统概要与公共规则</x:v>
      </x:c>
      <x:c r="C184" s="4" t="n">
        <x:v>444</x:v>
      </x:c>
      <x:c r="D184" s="4" t="str">
        <x:v>|幸运礼物|15,000|0|15,000|150（按1%计算）|75|15|60|</x:v>
      </x:c>
      <x:c r="E184" s="4" t="str">
        <x:v>尚未建立场景映射</x:v>
      </x:c>
      <x:c r="F184" s="4" t="str"/>
      <x:c r="G184" s="4" t="str">
        <x:v>系统概要或共同业务条款：已保留全文，不用端侧用例数量反推本条完整覆盖；跨段等价映射尚未逐项闭合。</x:v>
      </x:c>
    </x:row>
    <x:row r="185" ht="44" customHeight="1">
      <x:c r="A185" s="4" t="str">
        <x:v>概要-452</x:v>
      </x:c>
      <x:c r="B185" s="4" t="str">
        <x:v>系统概要与公共规则</x:v>
      </x:c>
      <x:c r="C185" s="4" t="n">
        <x:v>452</x:v>
      </x:c>
      <x:c r="D185" s="4" t="str">
        <x:v>- 由公会创建，由公会运营人员登录使用。</x:v>
      </x:c>
      <x:c r="E185" s="4" t="str">
        <x:v>尚未建立场景映射</x:v>
      </x:c>
      <x:c r="F185" s="4" t="str"/>
      <x:c r="G185" s="4" t="str">
        <x:v>系统概要或共同业务条款：已保留全文，不用端侧用例数量反推本条完整覆盖；跨段等价映射尚未逐项闭合。</x:v>
      </x:c>
    </x:row>
    <x:row r="186" ht="44" customHeight="1">
      <x:c r="A186" s="4" t="str">
        <x:v>概要-454</x:v>
      </x:c>
      <x:c r="B186" s="4" t="str">
        <x:v>系统概要与公共规则</x:v>
      </x:c>
      <x:c r="C186" s="4" t="n">
        <x:v>454</x:v>
      </x:c>
      <x:c r="D186" s="4" t="str">
        <x:v>- 可在直播间手动发送公屏消息或赠送礼物，不能赠送幸运礼物。</x:v>
      </x:c>
      <x:c r="E186" s="4" t="str">
        <x:v>尚未建立场景映射</x:v>
      </x:c>
      <x:c r="F186" s="4" t="str"/>
      <x:c r="G186" s="4" t="str">
        <x:v>系统概要或共同业务条款：已保留全文，不用端侧用例数量反推本条完整覆盖；跨段等价映射尚未逐项闭合。</x:v>
      </x:c>
    </x:row>
    <x:row r="187" ht="44" customHeight="1">
      <x:c r="A187" s="4" t="str">
        <x:v>概要-456</x:v>
      </x:c>
      <x:c r="B187" s="4" t="str">
        <x:v>系统概要与公共规则</x:v>
      </x:c>
      <x:c r="C187" s="4" t="n">
        <x:v>456</x:v>
      </x:c>
      <x:c r="D187" s="4" t="str">
        <x:v>- 进入门票房不需要购买门票，进入密码房无需输入密码。</x:v>
      </x:c>
      <x:c r="E187" s="4" t="str">
        <x:v>尚未建立场景映射</x:v>
      </x:c>
      <x:c r="F187" s="4" t="str"/>
      <x:c r="G187" s="4" t="str">
        <x:v>系统概要或共同业务条款：已保留全文，不用端侧用例数量反推本条完整覆盖；跨段等价映射尚未逐项闭合。</x:v>
      </x:c>
    </x:row>
    <x:row r="188" ht="44" customHeight="1">
      <x:c r="A188" s="4" t="str">
        <x:v>概要-458</x:v>
      </x:c>
      <x:c r="B188" s="4" t="str">
        <x:v>系统概要与公共规则</x:v>
      </x:c>
      <x:c r="C188" s="4" t="n">
        <x:v>458</x:v>
      </x:c>
      <x:c r="D188" s="4" t="str">
        <x:v>- 运营账号下单独设置虚拟金币账户。</x:v>
      </x:c>
      <x:c r="E188" s="4" t="str">
        <x:v>尚未建立场景映射</x:v>
      </x:c>
      <x:c r="F188" s="4" t="str"/>
      <x:c r="G188" s="4" t="str">
        <x:v>系统概要或共同业务条款：已保留全文，不用端侧用例数量反推本条完整覆盖；跨段等价映射尚未逐项闭合。</x:v>
      </x:c>
    </x:row>
    <x:row r="189" ht="44" customHeight="1">
      <x:c r="A189" s="4" t="str">
        <x:v>概要-464</x:v>
      </x:c>
      <x:c r="B189" s="4" t="str">
        <x:v>系统概要与公共规则</x:v>
      </x:c>
      <x:c r="C189" s="4" t="n">
        <x:v>464</x:v>
      </x:c>
      <x:c r="D189" s="4" t="str">
        <x:v>- 公会可以创建本公会运营账号、发放虚拟金币、启用或禁用账号，并查看运营账号数据。</x:v>
      </x:c>
      <x:c r="E189" s="4" t="str">
        <x:v>尚未建立场景映射</x:v>
      </x:c>
      <x:c r="F189" s="4" t="str"/>
      <x:c r="G189" s="4" t="str">
        <x:v>系统概要或共同业务条款：已保留全文，不用端侧用例数量反推本条完整覆盖；跨段等价映射尚未逐项闭合。</x:v>
      </x:c>
    </x:row>
    <x:row r="190" ht="44" customHeight="1">
      <x:c r="A190" s="4" t="str">
        <x:v>概要-466</x:v>
      </x:c>
      <x:c r="B190" s="4" t="str">
        <x:v>系统概要与公共规则</x:v>
      </x:c>
      <x:c r="C190" s="4" t="n">
        <x:v>466</x:v>
      </x:c>
      <x:c r="D190" s="4" t="str">
        <x:v>- 平台不创建运营账号、不发放虚拟金币，可以启用或禁用运营账号。</x:v>
      </x:c>
      <x:c r="E190" s="4" t="str">
        <x:v>尚未建立场景映射</x:v>
      </x:c>
      <x:c r="F190" s="4" t="str"/>
      <x:c r="G190" s="4" t="str">
        <x:v>系统概要或共同业务条款：已保留全文，不用端侧用例数量反推本条完整覆盖；跨段等价映射尚未逐项闭合。</x:v>
      </x:c>
    </x:row>
    <x:row r="191" ht="44" customHeight="1">
      <x:c r="A191" s="4" t="str">
        <x:v>概要-468</x:v>
      </x:c>
      <x:c r="B191" s="4" t="str">
        <x:v>系统概要与公共规则</x:v>
      </x:c>
      <x:c r="C191" s="4" t="n">
        <x:v>468</x:v>
      </x:c>
      <x:c r="D191" s="4" t="str">
        <x:v>- 平台可以锁定或解除公会的运营账号管理权限。</x:v>
      </x:c>
      <x:c r="E191" s="4" t="str">
        <x:v>尚未建立场景映射</x:v>
      </x:c>
      <x:c r="F191" s="4" t="str"/>
      <x:c r="G191" s="4" t="str">
        <x:v>系统概要或共同业务条款：已保留全文，不用端侧用例数量反推本条完整覆盖；跨段等价映射尚未逐项闭合。</x:v>
      </x:c>
    </x:row>
    <x:row r="192" ht="44" customHeight="1">
      <x:c r="A192" s="4" t="str">
        <x:v>概要-470</x:v>
      </x:c>
      <x:c r="B192" s="4" t="str">
        <x:v>系统概要与公共规则</x:v>
      </x:c>
      <x:c r="C192" s="4" t="n">
        <x:v>470</x:v>
      </x:c>
      <x:c r="D192" s="4" t="str">
        <x:v>- 平台可限制单个公会每月累计发放虚拟金币的上限，及各公会内单运营账号每月累计获得虚拟金币的上限。</x:v>
      </x:c>
      <x:c r="E192" s="4" t="str">
        <x:v>尚未建立场景映射</x:v>
      </x:c>
      <x:c r="F192" s="4" t="str"/>
      <x:c r="G192" s="4" t="str">
        <x:v>系统概要或共同业务条款：已保留全文，不用端侧用例数量反推本条完整覆盖；跨段等价映射尚未逐项闭合。</x:v>
      </x:c>
    </x:row>
    <x:row r="193" ht="44" customHeight="1">
      <x:c r="A193" s="4" t="str">
        <x:v>概要-472</x:v>
      </x:c>
      <x:c r="B193" s="4" t="str">
        <x:v>系统概要与公共规则</x:v>
      </x:c>
      <x:c r="C193" s="4" t="n">
        <x:v>472</x:v>
      </x:c>
      <x:c r="D193" s="4" t="str">
        <x:v>- 平台可以查看运营账号列表、虚拟金币发放明细和消费明细。</x:v>
      </x:c>
      <x:c r="E193" s="4" t="str">
        <x:v>尚未建立场景映射</x:v>
      </x:c>
      <x:c r="F193" s="4" t="str"/>
      <x:c r="G193" s="4" t="str">
        <x:v>系统概要或共同业务条款：已保留全文，不用端侧用例数量反推本条完整覆盖；跨段等价映射尚未逐项闭合。</x:v>
      </x:c>
    </x:row>
    <x:row r="194" ht="44" customHeight="1">
      <x:c r="A194" s="4" t="str">
        <x:v>概要-478</x:v>
      </x:c>
      <x:c r="B194" s="4" t="str">
        <x:v>系统概要与公共规则</x:v>
      </x:c>
      <x:c r="C194" s="4" t="n">
        <x:v>478</x:v>
      </x:c>
      <x:c r="D194" s="4" t="str">
        <x:v>- 虚拟金币与用户真实金币分账户记录，不可互相转换。</x:v>
      </x:c>
      <x:c r="E194" s="4" t="str">
        <x:v>尚未建立场景映射</x:v>
      </x:c>
      <x:c r="F194" s="4" t="str"/>
      <x:c r="G194" s="4" t="str">
        <x:v>系统概要或共同业务条款：已保留全文，不用端侧用例数量反推本条完整覆盖；跨段等价映射尚未逐项闭合。</x:v>
      </x:c>
    </x:row>
    <x:row r="195" ht="44" customHeight="1">
      <x:c r="A195" s="4" t="str">
        <x:v>概要-480</x:v>
      </x:c>
      <x:c r="B195" s="4" t="str">
        <x:v>系统概要与公共规则</x:v>
      </x:c>
      <x:c r="C195" s="4" t="n">
        <x:v>480</x:v>
      </x:c>
      <x:c r="D195" s="4" t="str">
        <x:v>- 运营账号使用虚拟金币送礼，可计入直播间氛围和榜单展示，但不形成主播收益或分成。</x:v>
      </x:c>
      <x:c r="E195" s="4" t="str">
        <x:v>尚未建立场景映射</x:v>
      </x:c>
      <x:c r="F195" s="4" t="str"/>
      <x:c r="G195" s="4" t="str">
        <x:v>系统概要或共同业务条款：已保留全文，不用端侧用例数量反推本条完整覆盖；跨段等价映射尚未逐项闭合。</x:v>
      </x:c>
    </x:row>
    <x:row r="196" ht="44" customHeight="1">
      <x:c r="A196" s="4" t="str">
        <x:v>概要-487</x:v>
      </x:c>
      <x:c r="B196" s="4" t="str">
        <x:v>系统概要与公共规则</x:v>
      </x:c>
      <x:c r="C196" s="4" t="n">
        <x:v>487</x:v>
      </x:c>
      <x:c r="D196" s="4" t="str">
        <x:v>|首页|福利|消息|我的|</x:v>
      </x:c>
      <x:c r="E196" s="4" t="str">
        <x:v>尚未建立场景映射</x:v>
      </x:c>
      <x:c r="F196" s="4" t="str"/>
      <x:c r="G196" s="4" t="str">
        <x:v>系统概要或共同业务条款：已保留全文，不用端侧用例数量反推本条完整覆盖；跨段等价映射尚未逐项闭合。</x:v>
      </x:c>
    </x:row>
    <x:row r="197" ht="57" customHeight="1">
      <x:c r="A197" s="4" t="str">
        <x:v>概要-489</x:v>
      </x:c>
      <x:c r="B197" s="4" t="str">
        <x:v>系统概要与公共规则</x:v>
      </x:c>
      <x:c r="C197" s="4" t="n">
        <x:v>489</x:v>
      </x:c>
      <x:c r="D197" s="4" t="str">
        <x:v>|✅&lt;br&gt;全部功能|✅&lt;br&gt;只能进入一级页|✅&lt;br&gt;消息、好友|✅&lt;br&gt;编辑资料、设置（除绑定手机号、绑定邮箱、注销登录外）；&lt;br&gt;关注、粉丝、好友；黑名单、联系客服；|</x:v>
      </x:c>
      <x:c r="E197" s="4" t="str">
        <x:v>尚未建立场景映射</x:v>
      </x:c>
      <x:c r="F197" s="4" t="str"/>
      <x:c r="G197" s="4" t="str">
        <x:v>系统概要或共同业务条款：已保留全文，不用端侧用例数量反推本条完整覆盖；跨段等价映射尚未逐项闭合。</x:v>
      </x:c>
    </x:row>
    <x:row r="198" ht="87" customHeight="1">
      <x:c r="A198" s="4" t="str">
        <x:v>概要-490</x:v>
      </x:c>
      <x:c r="B198" s="4" t="str">
        <x:v>系统概要与公共规则</x:v>
      </x:c>
      <x:c r="C198" s="4" t="n">
        <x:v>490</x:v>
      </x:c>
      <x:c r="D198" s="4" t="str">
        <x:v>|\-\-|❌&lt;br&gt;进入一级页，点击其中任意功能入口，提示“运营账号无法操作”|❌&lt;br&gt;粉丝团&lt;br&gt;点击提示“运营账号无法操作”|❌&lt;br&gt;设置（绑定手机号、绑定邮箱、注销登录）；&lt;br&gt;充值、我的装扮、粉丝团、邀请奖励、开始直播、主播中心、公会中心；&lt;br&gt;点击提示“运营账号无法操作”|</x:v>
      </x:c>
      <x:c r="E198" s="4" t="str">
        <x:v>尚未建立场景映射</x:v>
      </x:c>
      <x:c r="F198" s="4" t="str"/>
      <x:c r="G198" s="4" t="str">
        <x:v>系统概要或共同业务条款：已保留全文，不用端侧用例数量反推本条完整覆盖；跨段等价映射尚未逐项闭合。</x:v>
      </x:c>
    </x:row>
    <x:row r="199" ht="57" customHeight="1">
      <x:c r="A199" s="4" t="str">
        <x:v>概要-498</x:v>
      </x:c>
      <x:c r="B199" s="4" t="str">
        <x:v>系统概要与公共规则</x:v>
      </x:c>
      <x:c r="C199" s="4" t="n">
        <x:v>498</x:v>
      </x:c>
      <x:c r="D199" s="4" t="str">
        <x:v>用户App、公会App 支持中文、English、Bahasa Indonesia、Bahasa Melayu；管理后台一期交付中文。〔依据：context/系统概要 .md / 1.2 端口语言〕</x:v>
      </x:c>
      <x:c r="E199" s="4" t="str">
        <x:v>尚未建立场景映射</x:v>
      </x:c>
      <x:c r="F199" s="4" t="str"/>
      <x:c r="G199" s="4" t="str">
        <x:v>系统概要或共同业务条款：已保留全文，不用端侧用例数量反推本条完整覆盖；跨段等价映射尚未逐项闭合。</x:v>
      </x:c>
    </x:row>
    <x:row r="200" ht="87" customHeight="1">
      <x:c r="A200" s="4" t="str">
        <x:v>概要-499</x:v>
      </x:c>
      <x:c r="B200" s="4" t="str">
        <x:v>系统概要与公共规则</x:v>
      </x:c>
      <x:c r="C200" s="4" t="n">
        <x:v>499</x:v>
      </x:c>
      <x:c r="D200" s="4" t="str">
        <x:v>同一用户同一时刻只能有一笔处理中入会申请且只能属于一个公会。公会通过后自动进入平台终审，但尚未加入公会或成为主播。任一级驳回使申请作废，重新申请必须走新的公会初审和平台终审。平台通过后才建立公会关系和主播身份。〔依据：context/系统概要 .md / 3.1.2 主播的入会/退会〕</x:v>
      </x:c>
      <x:c r="E200" s="4" t="str">
        <x:v>尚未建立场景映射</x:v>
      </x:c>
      <x:c r="F200" s="4" t="str"/>
      <x:c r="G200" s="4" t="str">
        <x:v>系统概要或共同业务条款：已保留全文，不用端侧用例数量反推本条完整覆盖；跨段等价映射尚未逐项闭合。</x:v>
      </x:c>
    </x:row>
    <x:row r="201" ht="72" customHeight="1">
      <x:c r="A201" s="4" t="str">
        <x:v>概要-500</x:v>
      </x:c>
      <x:c r="B201" s="4" t="str">
        <x:v>系统概要与公共规则</x:v>
      </x:c>
      <x:c r="C201" s="4" t="n">
        <x:v>500</x:v>
      </x:c>
      <x:c r="D201" s="4" t="str">
        <x:v>平台停用公会后，公会不可被搜索，公会长不能登录，主播关系解除，名下主播失去身份并停止开播，业务历史保留且后台可查看。单独停用公会长账号只影响该账号登录，不影响主播。〔依据：context/系统概要 .md / 3.2 公会账号与权限〕</x:v>
      </x:c>
      <x:c r="E201" s="4" t="str">
        <x:v>尚未建立场景映射</x:v>
      </x:c>
      <x:c r="F201" s="4" t="str"/>
      <x:c r="G201" s="4" t="str">
        <x:v>系统概要或共同业务条款：已保留全文，不用端侧用例数量反推本条完整覆盖；跨段等价映射尚未逐项闭合。</x:v>
      </x:c>
    </x:row>
    <x:row r="202" ht="87" customHeight="1">
      <x:c r="A202" s="4" t="str">
        <x:v>概要-501</x:v>
      </x:c>
      <x:c r="B202" s="4" t="str">
        <x:v>系统概要与公共规则</x:v>
      </x:c>
      <x:c r="C202" s="4" t="n">
        <x:v>501</x:v>
      </x:c>
      <x:c r="D202" s="4" t="str">
        <x:v>直播权限与主播身份分开。平台关闭时最终禁止开播；平台开启且未锁定时按公会开关；平台开启且锁定时最终允许开播，公会设置只读并跟随平台，原值被保留；解锁恢复原公会设定并重算。最终权限被关闭立即结束正在进行的直播，不能再开播。〔依据：context/系统概要 .md / 3.2.3 开播权限〕</x:v>
      </x:c>
      <x:c r="E202" s="4" t="str">
        <x:v>尚未建立场景映射</x:v>
      </x:c>
      <x:c r="F202" s="4" t="str"/>
      <x:c r="G202" s="4" t="str">
        <x:v>系统概要或共同业务条款：已保留全文，不用端侧用例数量反推本条完整覆盖；跨段等价映射尚未逐项闭合。</x:v>
      </x:c>
    </x:row>
    <x:row r="203" ht="57" customHeight="1">
      <x:c r="A203" s="4" t="str">
        <x:v>概要-502</x:v>
      </x:c>
      <x:c r="B203" s="4" t="str">
        <x:v>系统概要与公共规则</x:v>
      </x:c>
      <x:c r="C203" s="4" t="n">
        <x:v>502</x:v>
      </x:c>
      <x:c r="D203" s="4" t="str">
        <x:v>主播拥有固定直播间 ID，每次开播生成新的场次 ID。场次结束保留封面、标题和统计快照，当前配置修改不改写历史场次。〔依据：context/系统概要 .md / 3.2.1 直播场次〕</x:v>
      </x:c>
      <x:c r="E203" s="4" t="str">
        <x:v>尚未建立场景映射</x:v>
      </x:c>
      <x:c r="F203" s="4" t="str"/>
      <x:c r="G203" s="4" t="str">
        <x:v>系统概要或共同业务条款：已保留全文，不用端侧用例数量反推本条完整覆盖；跨段等价映射尚未逐项闭合。</x:v>
      </x:c>
    </x:row>
    <x:row r="204" ht="87" customHeight="1">
      <x:c r="A204" s="4" t="str">
        <x:v>概要-503</x:v>
      </x:c>
      <x:c r="B204" s="4" t="str">
        <x:v>系统概要与公共规则</x:v>
      </x:c>
      <x:c r="C204" s="4" t="n">
        <x:v>503</x:v>
      </x:c>
      <x:c r="D204" s="4" t="str">
        <x:v>仅普通房的两位未连麦主播且无账号拉黑关系可连麦。只能发出一个邀请，可收到多个邀请。接受邀请使自己发出的邀请失效，其他收到的邀请保留；连麦中不能再发起或接受邀请。结束连麦后双方各自直播继续；任一方结束直播使其邀请和连麦失效。〔依据：context/系统概要 .md / 3.2.4、3.3.4 连麦〕</x:v>
      </x:c>
      <x:c r="E204" s="4" t="str">
        <x:v>尚未建立场景映射</x:v>
      </x:c>
      <x:c r="F204" s="4" t="str"/>
      <x:c r="G204" s="4" t="str">
        <x:v>系统概要或共同业务条款：已保留全文，不用端侧用例数量反推本条完整覆盖；跨段等价映射尚未逐项闭合。</x:v>
      </x:c>
    </x:row>
    <x:row r="205" ht="57" customHeight="1">
      <x:c r="A205" s="4" t="str">
        <x:v>概要-504</x:v>
      </x:c>
      <x:c r="B205" s="4" t="str">
        <x:v>系统概要与公共规则</x:v>
      </x:c>
      <x:c r="C205" s="4" t="n">
        <x:v>504</x:v>
      </x:c>
      <x:c r="D205" s="4" t="str">
        <x:v>门票只对当前场次有效，同场重复进入不再扣款；被踢出或场次结束后失效且不退款。账号封禁、账号拉黑、本场踢出优先于准入资格；运营账号免票。〔依据：context/系统概要 .md / 3.2.2、3.3.2、3.7.1〕</x:v>
      </x:c>
      <x:c r="E205" s="4" t="str">
        <x:v>尚未建立场景映射</x:v>
      </x:c>
      <x:c r="F205" s="4" t="str"/>
      <x:c r="G205" s="4" t="str">
        <x:v>系统概要或共同业务条款：已保留全文，不用端侧用例数量反推本条完整覆盖；跨段等价映射尚未逐项闭合。</x:v>
      </x:c>
    </x:row>
    <x:row r="206" ht="57" customHeight="1">
      <x:c r="A206" s="4" t="str">
        <x:v>概要-505</x:v>
      </x:c>
      <x:c r="B206" s="4" t="str">
        <x:v>系统概要与公共规则</x:v>
      </x:c>
      <x:c r="C206" s="4" t="n">
        <x:v>505</x:v>
      </x:c>
      <x:c r="D206" s="4" t="str">
        <x:v>真实金币共用同一账户，不可提现。消费成功只扣款一次并生成消费记录，余额不足或条件检查失败不扣款；负数余额不能继续消费。〔依据：context/系统概要 .md / 3.5.1 金币充值与消费〕</x:v>
      </x:c>
      <x:c r="E206" s="4" t="str">
        <x:v>尚未建立场景映射</x:v>
      </x:c>
      <x:c r="F206" s="4" t="str"/>
      <x:c r="G206" s="4" t="str">
        <x:v>系统概要或共同业务条款：已保留全文，不用端侧用例数量反推本条完整覆盖；跨段等价映射尚未逐项闭合。</x:v>
      </x:c>
    </x:row>
    <x:row r="207" ht="72" customHeight="1">
      <x:c r="A207" s="4" t="str">
        <x:v>概要-506</x:v>
      </x:c>
      <x:c r="B207" s="4" t="str">
        <x:v>系统概要与公共规则</x:v>
      </x:c>
      <x:c r="C207" s="4" t="n">
        <x:v>506</x:v>
      </x:c>
      <x:c r="D207" s="4" t="str">
        <x:v>只有充值订单支持退款或渠道拒付，用户端没有退款操作。退款扣除原订单全部到账金币，余额不足允许为负数；后续充值先抵扣负余额。退款不撤销已完成的送礼或门票消费，不回滚主播收益和分成。〔依据：context/系统概要 .md / 3.5.5、3.6.1〕</x:v>
      </x:c>
      <x:c r="E207" s="4" t="str">
        <x:v>尚未建立场景映射</x:v>
      </x:c>
      <x:c r="F207" s="4" t="str"/>
      <x:c r="G207" s="4" t="str">
        <x:v>系统概要或共同业务条款：已保留全文，不用端侧用例数量反推本条完整覆盖；跨段等价映射尚未逐项闭合。</x:v>
      </x:c>
    </x:row>
    <x:row r="208" ht="72" customHeight="1">
      <x:c r="A208" s="4" t="str">
        <x:v>概要-507</x:v>
      </x:c>
      <x:c r="B208" s="4" t="str">
        <x:v>系统概要与公共规则</x:v>
      </x:c>
      <x:c r="C208" s="4" t="n">
        <x:v>507</x:v>
      </x:c>
      <x:c r="D208" s="4" t="str">
        <x:v>普通礼物、定制礼物和门票按实际成功消费金币 1:1 形成主播收益；幸运礼物按送出礼物价值乘后台比例，默认 1%，返奖不影响该收益；虚拟、失败或撤销消费不形成收益。〔依据：context/系统概要 .md / 3.6.1 主播收益〕</x:v>
      </x:c>
      <x:c r="E208" s="4" t="str">
        <x:v>尚未建立场景映射</x:v>
      </x:c>
      <x:c r="F208" s="4" t="str"/>
      <x:c r="G208" s="4" t="str">
        <x:v>系统概要或共同业务条款：已保留全文，不用端侧用例数量反推本条完整覆盖；跨段等价映射尚未逐项闭合。</x:v>
      </x:c>
    </x:row>
    <x:row r="209" ht="72" customHeight="1">
      <x:c r="A209" s="4" t="str">
        <x:v>概要-508</x:v>
      </x:c>
      <x:c r="B209" s="4" t="str">
        <x:v>系统概要与公共规则</x:v>
      </x:c>
      <x:c r="C209" s="4" t="n">
        <x:v>508</x:v>
      </x:c>
      <x:c r="D209" s="4" t="str">
        <x:v>系统不提供线上结算申请或审批，也不计算具体分成金额。财务在线下依据报表核算和结算，系统上传结果并供相关端只读查看；资金示例中的三方比例不构成固定计算规则。〔依据：context/系统概要 .md / 3.6.2、3.6.3〕</x:v>
      </x:c>
      <x:c r="E209" s="4" t="str">
        <x:v>尚未建立场景映射</x:v>
      </x:c>
      <x:c r="F209" s="4" t="str"/>
      <x:c r="G209" s="4" t="str">
        <x:v>系统概要或共同业务条款：已保留全文，不用端侧用例数量反推本条完整覆盖；跨段等价映射尚未逐项闭合。</x:v>
      </x:c>
    </x:row>
    <x:row r="210" ht="72" customHeight="1">
      <x:c r="A210" s="4" t="str">
        <x:v>概要-509</x:v>
      </x:c>
      <x:c r="B210" s="4" t="str">
        <x:v>系统概要与公共规则</x:v>
      </x:c>
      <x:c r="C210" s="4" t="n">
        <x:v>509</x:v>
      </x:c>
      <x:c r="D210" s="4" t="str">
        <x:v>运营账号由所属公会创建并发放虚拟金币；平台只可启停、锁定公会管理和设置月额度，不创建或发币。真实和虚拟金币完全隔离，虚拟金币仅可赠送普通及定制礼物，不形成主播收益或分成。〔依据：context/系统概要 .md / 3.7 运营账号〕</x:v>
      </x:c>
      <x:c r="E210" s="4" t="str">
        <x:v>尚未建立场景映射</x:v>
      </x:c>
      <x:c r="F210" s="4" t="str"/>
      <x:c r="G210" s="4" t="str">
        <x:v>系统概要或共同业务条款：已保留全文，不用端侧用例数量反推本条完整覆盖；跨段等价映射尚未逐项闭合。</x:v>
      </x:c>
    </x:row>
    <x:row r="211" ht="102" customHeight="1">
      <x:c r="A211" s="4" t="str">
        <x:v>概要-510</x:v>
      </x:c>
      <x:c r="B211" s="4" t="str">
        <x:v>系统概要与公共规则</x:v>
      </x:c>
      <x:c r="C211" s="4" t="n">
        <x:v>510</x:v>
      </x:c>
      <x:c r="D211" s="4" t="str">
        <x:v>运营账号首页功能可用；福利页可浏览，但点击任意功能提示“运营账号无法操作”。消息可私信和使用好友功能，但不可加入粉丝团。我的允许编辑资料、未受限设置、关注、粉丝、好友、黑名单和客服；充值、我的装扮、粉丝团、邀请奖励、开播、主播中心、公会中心及绑定手机/邮箱、注销登录均提示“运营账号无法操作”。〔依据：context/系统概要 .md / 3.7.4 运营账号功能白名单〕</x:v>
      </x:c>
      <x:c r="E211" s="4" t="str">
        <x:v>尚未建立场景映射</x:v>
      </x:c>
      <x:c r="F211" s="4" t="str"/>
      <x:c r="G211" s="4" t="str">
        <x:v>系统概要或共同业务条款：已保留全文，不用端侧用例数量反推本条完整覆盖；跨段等价映射尚未逐项闭合。</x:v>
      </x:c>
    </x:row>
    <x:row r="212" ht="57" customHeight="1">
      <x:c r="A212" s="4" t="str">
        <x:v>概要-511</x:v>
      </x:c>
      <x:c r="B212" s="4" t="str">
        <x:v>系统概要与公共规则</x:v>
      </x:c>
      <x:c r="C212" s="4" t="n">
        <x:v>511</x:v>
      </x:c>
      <x:c r="D212" s="4" t="str">
        <x:v>仅正在直播的场次提供举报入口。直播场次结束后，待处理举报工单自动作废，不能处罚下一场直播；账号举报与场次举报分别处理。〔依据：context/系统概要 .md / 3.4 举报与处置机制〕</x:v>
      </x:c>
      <x:c r="E212" s="4" t="str">
        <x:v>尚未建立场景映射</x:v>
      </x:c>
      <x:c r="F212" s="4" t="str"/>
      <x:c r="G212" s="4" t="str">
        <x:v>系统概要或共同业务条款：已保留全文，不用端侧用例数量反推本条完整覆盖；跨段等价映射尚未逐项闭合。</x:v>
      </x:c>
    </x:row>
    <x:row r="213" ht="57" customHeight="1">
      <x:c r="A213" s="4" t="str">
        <x:v>概要-512</x:v>
      </x:c>
      <x:c r="B213" s="4" t="str">
        <x:v>系统概要与公共规则</x:v>
      </x:c>
      <x:c r="C213" s="4" t="n">
        <x:v>512</x:v>
      </x:c>
      <x:c r="D213" s="4" t="str">
        <x:v>直播禁言仅限制当前场次公屏，下场恢复；群禁言仅限制对应粉丝群发言。每名主播最多 3 名房管，授权跨场次持续，房管可禁言、踢出和屏蔽单条评论。〔依据：context/系统概要 .md / 3.3.2、3.3.3〕</x:v>
      </x:c>
      <x:c r="E213" s="4" t="str">
        <x:v>尚未建立场景映射</x:v>
      </x:c>
      <x:c r="F213" s="4" t="str"/>
      <x:c r="G213" s="4" t="str">
        <x:v>系统概要或共同业务条款：已保留全文，不用端侧用例数量反推本条完整覆盖；跨段等价映射尚未逐项闭合。</x:v>
      </x:c>
    </x:row>
    <x:row r="214" ht="57" customHeight="1">
      <x:c r="A214" s="4" t="str">
        <x:v>概要-513</x:v>
      </x:c>
      <x:c r="B214" s="4" t="str">
        <x:v>系统概要与公共规则</x:v>
      </x:c>
      <x:c r="C214" s="4" t="n">
        <x:v>513</x:v>
      </x:c>
      <x:c r="D214" s="4" t="str">
        <x:v>用户被移出或主动退出粉丝群后，失去团籍和群权限并卸下身份标识，粉丝等级和亲密度清零，重新加入从零累计；关注关系不因退团自动解除。〔依据：context/系统概要 .md / 3.3.3 粉丝群〕</x:v>
      </x:c>
      <x:c r="E214" s="4" t="str">
        <x:v>尚未建立场景映射</x:v>
      </x:c>
      <x:c r="F214" s="4" t="str"/>
      <x:c r="G214" s="4" t="str">
        <x:v>系统概要或共同业务条款：已保留全文，不用端侧用例数量反推本条完整覆盖；跨段等价映射尚未逐项闭合。</x:v>
      </x:c>
    </x:row>
    <x:row r="215" ht="57" customHeight="1">
      <x:c r="A215" s="4" t="str">
        <x:v>概要-514</x:v>
      </x:c>
      <x:c r="B215" s="4" t="str">
        <x:v>系统概要与公共规则</x:v>
      </x:c>
      <x:c r="C215" s="4" t="n">
        <x:v>514</x:v>
      </x:c>
      <x:c r="D215" s="4" t="str">
        <x:v>虚拟金币可以计入氛围和榜单展示，但具体榜单范围存在下级批注冲突，必须按 PENDING-virtual-board 确认；真实金币榜单的排序和计算规则独立有效。〔依据：context/系统概要 .md / 3.7.3 虚拟金币隔离〕</x:v>
      </x:c>
      <x:c r="E215" s="4" t="str">
        <x:v>尚未建立场景映射</x:v>
      </x:c>
      <x:c r="F215" s="4" t="str"/>
      <x:c r="G215" s="4" t="str">
        <x:v>系统概要或共同业务条款：已保留全文，不用端侧用例数量反推本条完整覆盖；跨段等价映射尚未逐项闭合。</x:v>
      </x:c>
    </x:row>
    <x:row r="216" ht="72" customHeight="1">
      <x:c r="A216" s="4" t="str">
        <x:v>REQ-26266fc1addf</x:v>
      </x:c>
      <x:c r="B216" s="4" t="str">
        <x:v>首页与发现</x:v>
      </x:c>
      <x:c r="C216" s="4" t="n">
        <x:v>519</x:v>
      </x:c>
      <x:c r="D216" s="4" t="str">
        <x:v>直播卡片：展示本场封面、主题、主播、分类和本场直播间访问次数。访问次数 = 本场成功进入直播间的访问事件总数；同一用户重复进入重复累计，列表曝光、密码校验失败、购票失败等未进入行为不计入。场次开始时从 0 累计，结束后固化。</x:v>
      </x:c>
      <x:c r="E216" s="4" t="str">
        <x:v>整段分支核验未闭合</x:v>
      </x:c>
      <x:c r="F216" s="4" t="str">
        <x:v>USER-0201、USER-0202、USER-0203、USER-0206、USER-0207、USER-0208、USER-0209</x:v>
      </x:c>
      <x:c r="G216" s="4" t="str">
        <x:v>本段剩余子句、条件组合及状态后续影响仍需与独立规则逐项闭合；这是生成覆盖缺口，不是产品决策缺失。</x:v>
      </x:c>
    </x:row>
    <x:row r="217" ht="44" customHeight="1">
      <x:c r="A217" s="4" t="str">
        <x:v>REQ-f407e5fbcd10</x:v>
      </x:c>
      <x:c r="B217" s="4" t="str">
        <x:v>首页与发现</x:v>
      </x:c>
      <x:c r="C217" s="4" t="n">
        <x:v>520</x:v>
      </x:c>
      <x:c r="D217" s="4" t="str">
        <x:v>房型：普通房无准入标识；门票房展示金币价格；密码房展示密码准入提示。</x:v>
      </x:c>
      <x:c r="E217" s="4" t="str">
        <x:v>整段分支核验未闭合</x:v>
      </x:c>
      <x:c r="F217" s="4" t="str">
        <x:v>USER-0201、USER-0202、USER-0203</x:v>
      </x:c>
      <x:c r="G217" s="4" t="str">
        <x:v>本段剩余子句、条件组合及状态后续影响仍需与独立规则逐项闭合；这是生成覆盖缺口，不是产品决策缺失。</x:v>
      </x:c>
    </x:row>
    <x:row r="218" ht="44" customHeight="1">
      <x:c r="A218" s="4" t="str">
        <x:v>REQ-199b478e27ce</x:v>
      </x:c>
      <x:c r="B218" s="4" t="str">
        <x:v>首页与发现</x:v>
      </x:c>
      <x:c r="C218" s="4" t="n">
        <x:v>521</x:v>
      </x:c>
      <x:c r="D218" s="4" t="str">
        <x:v>关注主播：仅展示当前用户已关注且正在直播的主播。</x:v>
      </x:c>
      <x:c r="E218" s="4" t="str">
        <x:v>整段分支核验未闭合</x:v>
      </x:c>
      <x:c r="F218" s="4" t="str">
        <x:v>USER-0204</x:v>
      </x:c>
      <x:c r="G218" s="4" t="str">
        <x:v>本段剩余子句、条件组合及状态后续影响仍需与独立规则逐项闭合；这是生成覆盖缺口，不是产品决策缺失。</x:v>
      </x:c>
    </x:row>
    <x:row r="219" ht="44" customHeight="1">
      <x:c r="A219" s="4" t="str">
        <x:v>REQ-2d0b8f0363f7</x:v>
      </x:c>
      <x:c r="B219" s="4" t="str">
        <x:v>首页与发现</x:v>
      </x:c>
      <x:c r="C219" s="4" t="n">
        <x:v>522</x:v>
      </x:c>
      <x:c r="D219" s="4" t="str">
        <x:v>Banner：内容、排序、跳转和有效期由平台配置。</x:v>
      </x:c>
      <x:c r="E219" s="4" t="str">
        <x:v>尚未建立场景映射</x:v>
      </x:c>
      <x:c r="F219" s="4" t="str"/>
      <x:c r="G219" s="4" t="str">
        <x:v>本轮独立来源库保留该已知条款，但尚未建立可核验的正式场景映射；不是无业务依据，也不转为产品待确认。</x:v>
      </x:c>
    </x:row>
    <x:row r="220" ht="44" customHeight="1">
      <x:c r="A220" s="4" t="str">
        <x:v>REQ-e8ec3f943f5b</x:v>
      </x:c>
      <x:c r="B220" s="4" t="str">
        <x:v>首页与发现</x:v>
      </x:c>
      <x:c r="C220" s="4" t="n">
        <x:v>523</x:v>
      </x:c>
      <x:c r="D220" s="4" t="str">
        <x:v>通知说明弹窗：标题“开启通知”；正文“开启后，你可以及时收到关注主播开播、互动消息及平台公告。”；按钮“暂不开启、开启通知”。</x:v>
      </x:c>
      <x:c r="E220" s="4" t="str">
        <x:v>整段分支核验未闭合</x:v>
      </x:c>
      <x:c r="F220" s="4" t="str">
        <x:v>USER-0204</x:v>
      </x:c>
      <x:c r="G220" s="4" t="str">
        <x:v>本段剩余子句、条件组合及状态后续影响仍需与独立规则逐项闭合；这是生成覆盖缺口，不是产品决策缺失。</x:v>
      </x:c>
    </x:row>
    <x:row r="221" ht="44" customHeight="1">
      <x:c r="A221" s="4" t="str">
        <x:v>REQ-7a7ace25c507</x:v>
      </x:c>
      <x:c r="B221" s="4" t="str">
        <x:v>首页与发现</x:v>
      </x:c>
      <x:c r="C221" s="4" t="n">
        <x:v>524</x:v>
      </x:c>
      <x:c r="D221" s="4" t="str">
        <x:v>系统授权弹窗：模拟手机系统通知授权，按钮“不允许、允许”。</x:v>
      </x:c>
      <x:c r="E221" s="4" t="str">
        <x:v>尚未建立场景映射</x:v>
      </x:c>
      <x:c r="F221" s="4" t="str"/>
      <x:c r="G221" s="4" t="str">
        <x:v>本轮独立来源库保留该已知条款，但尚未建立可核验的正式场景映射；不是无业务依据，也不转为产品待确认。</x:v>
      </x:c>
    </x:row>
    <x:row r="222" ht="44" customHeight="1">
      <x:c r="A222" s="4" t="str">
        <x:v>REQ-d5aa38b782fd</x:v>
      </x:c>
      <x:c r="B222" s="4" t="str">
        <x:v>首页与发现</x:v>
      </x:c>
      <x:c r="C222" s="4" t="n">
        <x:v>525</x:v>
      </x:c>
      <x:c r="D222" s="4" t="str">
        <x:v>游客可查看主播榜、贡献榜和不同分类下的主播，并可进入福利页、邀请好友页。</x:v>
      </x:c>
      <x:c r="E222" s="4" t="str">
        <x:v>尚未建立场景映射</x:v>
      </x:c>
      <x:c r="F222" s="4" t="str"/>
      <x:c r="G222" s="4" t="str">
        <x:v>本轮独立来源库保留该已知条款，但尚未建立可核验的正式场景映射；不是无业务依据，也不转为产品待确认。</x:v>
      </x:c>
    </x:row>
    <x:row r="223" ht="44" customHeight="1">
      <x:c r="A223" s="4" t="str">
        <x:v>REQ-e944097da140</x:v>
      </x:c>
      <x:c r="B223" s="4" t="str">
        <x:v>首页与发现</x:v>
      </x:c>
      <x:c r="C223" s="4" t="n">
        <x:v>526</x:v>
      </x:c>
      <x:c r="D223" s="4" t="str">
        <x:v>游客点击直播间、搜索、消息、我的或其他账号动作时不执行原操作，直接跳转登录页。</x:v>
      </x:c>
      <x:c r="E223" s="4" t="str">
        <x:v>整段分支核验未闭合</x:v>
      </x:c>
      <x:c r="F223" s="4" t="str">
        <x:v>USER-0210、USER-0211、USER-0212</x:v>
      </x:c>
      <x:c r="G223" s="4" t="str">
        <x:v>本段剩余子句、条件组合及状态后续影响仍需与独立规则逐项闭合；这是生成覆盖缺口，不是产品决策缺失。</x:v>
      </x:c>
    </x:row>
    <x:row r="224" ht="44" customHeight="1">
      <x:c r="A224" s="4" t="str">
        <x:v>REQ-875a290366f8</x:v>
      </x:c>
      <x:c r="B224" s="4" t="str">
        <x:v>首页与发现</x:v>
      </x:c>
      <x:c r="C224" s="4" t="n">
        <x:v>527</x:v>
      </x:c>
      <x:c r="D224" s="4" t="str">
        <x:v>热门排序权重、直播分类和运营 Banner 由后台配置。</x:v>
      </x:c>
      <x:c r="E224" s="4" t="str">
        <x:v>尚未建立场景映射</x:v>
      </x:c>
      <x:c r="F224" s="4" t="str"/>
      <x:c r="G224" s="4" t="str">
        <x:v>本轮独立来源库保留该已知条款，但尚未建立可核验的正式场景映射；不是无业务依据，也不转为产品待确认。</x:v>
      </x:c>
    </x:row>
    <x:row r="225" ht="44" customHeight="1">
      <x:c r="A225" s="4" t="str">
        <x:v>REQ-288a28d5bee2</x:v>
      </x:c>
      <x:c r="B225" s="4" t="str">
        <x:v>首页与发现</x:v>
      </x:c>
      <x:c r="C225" s="4" t="n">
        <x:v>528</x:v>
      </x:c>
      <x:c r="D225" s="4" t="str">
        <x:v>关注区仅展示已关注且正在直播的主播；无符合数据时隐藏。</x:v>
      </x:c>
      <x:c r="E225" s="4" t="str">
        <x:v>整段分支核验未闭合</x:v>
      </x:c>
      <x:c r="F225" s="4" t="str">
        <x:v>USER-0204、USER-0205</x:v>
      </x:c>
      <x:c r="G225" s="4" t="str">
        <x:v>本段剩余子句、条件组合及状态后续影响仍需与独立规则逐项闭合；这是生成覆盖缺口，不是产品决策缺失。</x:v>
      </x:c>
    </x:row>
    <x:row r="226" ht="44" customHeight="1">
      <x:c r="A226" s="4" t="str">
        <x:v>REQ-37571523557b</x:v>
      </x:c>
      <x:c r="B226" s="4" t="str">
        <x:v>首页与发现</x:v>
      </x:c>
      <x:c r="C226" s="4" t="n">
        <x:v>529</x:v>
      </x:c>
      <x:c r="D226" s="4" t="str">
        <x:v>门票房购票后本场可重复进入；直播结束或被主播踢出后失效，购票写入消费明细。</x:v>
      </x:c>
      <x:c r="E226" s="4" t="str">
        <x:v>整段分支核验未闭合</x:v>
      </x:c>
      <x:c r="F226" s="4" t="str">
        <x:v>USER-0201、USER-0202、USER-0203</x:v>
      </x:c>
      <x:c r="G226" s="4" t="str">
        <x:v>本段剩余子句、条件组合及状态后续影响仍需与独立规则逐项闭合；这是生成覆盖缺口，不是产品决策缺失。</x:v>
      </x:c>
    </x:row>
    <x:row r="227" ht="57" customHeight="1">
      <x:c r="A227" s="4" t="str">
        <x:v>REQ-c1abe223a320</x:v>
      </x:c>
      <x:c r="B227" s="4" t="str">
        <x:v>首页与发现</x:v>
      </x:c>
      <x:c r="C227" s="4" t="n">
        <x:v>530</x:v>
      </x:c>
      <x:c r="D227" s="4" t="str">
        <x:v>密码房开启“仅粉丝团成员可进入直播间”后，广场展示开启时所有用户仍可看到卡片；非粉丝团成员点击后显示访问受限，粉丝团成员继续校验房间密码。</x:v>
      </x:c>
      <x:c r="E227" s="4" t="str">
        <x:v>整段分支核验未闭合</x:v>
      </x:c>
      <x:c r="F227" s="4" t="str">
        <x:v>USER-0201、USER-0202、USER-0203</x:v>
      </x:c>
      <x:c r="G227" s="4" t="str">
        <x:v>本段剩余子句、条件组合及状态后续影响仍需与独立规则逐项闭合；这是生成覆盖缺口，不是产品决策缺失。</x:v>
      </x:c>
    </x:row>
    <x:row r="228" ht="44" customHeight="1">
      <x:c r="A228" s="4" t="str">
        <x:v>REQ-5ccb1a22c513</x:v>
      </x:c>
      <x:c r="B228" s="4" t="str">
        <x:v>首页与发现</x:v>
      </x:c>
      <x:c r="C228" s="4" t="n">
        <x:v>531</x:v>
      </x:c>
      <x:c r="D228" s="4" t="str">
        <x:v>密码房校验正确后进入；校验失败时保留当前页面并提示重试。</x:v>
      </x:c>
      <x:c r="E228" s="4" t="str">
        <x:v>整段分支核验未闭合</x:v>
      </x:c>
      <x:c r="F228" s="4" t="str">
        <x:v>USER-0201、USER-0202、USER-0203</x:v>
      </x:c>
      <x:c r="G228" s="4" t="str">
        <x:v>本段剩余子句、条件组合及状态后续影响仍需与独立规则逐项闭合；这是生成覆盖缺口，不是产品决策缺失。</x:v>
      </x:c>
    </x:row>
    <x:row r="229" ht="44" customHeight="1">
      <x:c r="A229" s="4" t="str">
        <x:v>REQ-b6e971fe282d</x:v>
      </x:c>
      <x:c r="B229" s="4" t="str">
        <x:v>首页与发现</x:v>
      </x:c>
      <x:c r="C229" s="4" t="n">
        <x:v>532</x:v>
      </x:c>
      <x:c r="D229" s="4" t="str">
        <x:v>登录成功后首次进入首页显示通知授权说明；选择开启或暂不开启后均不在后续登录中重复展示。</x:v>
      </x:c>
      <x:c r="E229" s="4" t="str">
        <x:v>尚未建立场景映射</x:v>
      </x:c>
      <x:c r="F229" s="4" t="str"/>
      <x:c r="G229" s="4" t="str">
        <x:v>本轮独立来源库保留该已知条款，但尚未建立可核验的正式场景映射；不是无业务依据，也不转为产品待确认。</x:v>
      </x:c>
    </x:row>
    <x:row r="230" ht="44" customHeight="1">
      <x:c r="A230" s="4" t="str">
        <x:v>REQ-509b608bd4e7</x:v>
      </x:c>
      <x:c r="B230" s="4" t="str">
        <x:v>首页与发现</x:v>
      </x:c>
      <x:c r="C230" s="4" t="n">
        <x:v>533</x:v>
      </x:c>
      <x:c r="D230" s="4" t="str">
        <x:v>点击搜索 -&gt; 进入搜索页。</x:v>
      </x:c>
      <x:c r="E230" s="4" t="str">
        <x:v>整段分支核验未闭合</x:v>
      </x:c>
      <x:c r="F230" s="4" t="str">
        <x:v>USER-0383</x:v>
      </x:c>
      <x:c r="G230" s="4" t="str">
        <x:v>本段剩余子句、条件组合及状态后续影响仍需与独立规则逐项闭合；这是生成覆盖缺口，不是产品决策缺失。</x:v>
      </x:c>
    </x:row>
    <x:row r="231" ht="44" customHeight="1">
      <x:c r="A231" s="4" t="str">
        <x:v>REQ-48ed6b7054ef</x:v>
      </x:c>
      <x:c r="B231" s="4" t="str">
        <x:v>首页与发现</x:v>
      </x:c>
      <x:c r="C231" s="4" t="n">
        <x:v>534</x:v>
      </x:c>
      <x:c r="D231" s="4" t="str">
        <x:v>切换热门或新人、选择分类 -&gt; 刷新当前直播列表。</x:v>
      </x:c>
      <x:c r="E231" s="4" t="str">
        <x:v>尚未建立场景映射</x:v>
      </x:c>
      <x:c r="F231" s="4" t="str"/>
      <x:c r="G231" s="4" t="str">
        <x:v>本轮独立来源库保留该已知条款，但尚未建立可核验的正式场景映射；不是无业务依据，也不转为产品待确认。</x:v>
      </x:c>
    </x:row>
    <x:row r="232" ht="44" customHeight="1">
      <x:c r="A232" s="4" t="str">
        <x:v>REQ-76425e959ab6</x:v>
      </x:c>
      <x:c r="B232" s="4" t="str">
        <x:v>首页与发现</x:v>
      </x:c>
      <x:c r="C232" s="4" t="n">
        <x:v>535</x:v>
      </x:c>
      <x:c r="D232" s="4" t="str">
        <x:v>通知说明点击开启通知 -&gt; 系统通知授权弹窗；点击暂不开启 -&gt; 仅关闭说明，不请求系统权限。</x:v>
      </x:c>
      <x:c r="E232" s="4" t="str">
        <x:v>尚未建立场景映射</x:v>
      </x:c>
      <x:c r="F232" s="4" t="str"/>
      <x:c r="G232" s="4" t="str">
        <x:v>本轮独立来源库保留该已知条款，但尚未建立可核验的正式场景映射；不是无业务依据，也不转为产品待确认。</x:v>
      </x:c>
    </x:row>
    <x:row r="233" ht="44" customHeight="1">
      <x:c r="A233" s="4" t="str">
        <x:v>REQ-bb13319d039b</x:v>
      </x:c>
      <x:c r="B233" s="4" t="str">
        <x:v>首页与发现</x:v>
      </x:c>
      <x:c r="C233" s="4" t="n">
        <x:v>540</x:v>
      </x:c>
      <x:c r="D233" s="4" t="str">
        <x:v>周期：按平台业务时区计算：当日从当天 00:00 开始，本周从周一 00:00 开始，本月从每月 1 日 00:00 开始。</x:v>
      </x:c>
      <x:c r="E233" s="4" t="str">
        <x:v>整段分支核验未闭合</x:v>
      </x:c>
      <x:c r="F233" s="4" t="str">
        <x:v>USER-0221、USER-0222、USER-0223</x:v>
      </x:c>
      <x:c r="G233" s="4" t="str">
        <x:v>本段剩余子句、条件组合及状态后续影响仍需与独立规则逐项闭合；这是生成覆盖缺口，不是产品决策缺失。</x:v>
      </x:c>
    </x:row>
    <x:row r="234" ht="44" customHeight="1">
      <x:c r="A234" s="4" t="str">
        <x:v>REQ-cfb0b2e6ae0f</x:v>
      </x:c>
      <x:c r="B234" s="4" t="str">
        <x:v>首页与发现</x:v>
      </x:c>
      <x:c r="C234" s="4" t="n">
        <x:v>541</x:v>
      </x:c>
      <x:c r="D234" s="4" t="str">
        <x:v>排名：依次按收礼值、主播等级、财富等级从高到低排序，仍相同时按主播 ID 数字部分从小到大排序；不设并列名次。</x:v>
      </x:c>
      <x:c r="E234" s="4" t="str">
        <x:v>整段分支核验未闭合</x:v>
      </x:c>
      <x:c r="F234" s="4" t="str">
        <x:v>USER-0213、USER-0214、USER-0215、USER-0216、USER-0220</x:v>
      </x:c>
      <x:c r="G234" s="4" t="str">
        <x:v>本段剩余子句、条件组合及状态后续影响仍需与独立规则逐项闭合；这是生成覆盖缺口，不是产品决策缺失。</x:v>
      </x:c>
    </x:row>
    <x:row r="235" ht="44" customHeight="1">
      <x:c r="A235" s="4" t="str">
        <x:v>REQ-9e4e83c848d1</x:v>
      </x:c>
      <x:c r="B235" s="4" t="str">
        <x:v>首页与发现</x:v>
      </x:c>
      <x:c r="C235" s="4" t="n">
        <x:v>542</x:v>
      </x:c>
      <x:c r="D235" s="4" t="str">
        <x:v>榜单数量：当日、本周、本月均最多显示前 30 名；第 30 名与第 31 名收礼值相同时，继续按排名规则确定顺序。</x:v>
      </x:c>
      <x:c r="E235" s="4" t="str">
        <x:v>整段分支核验未闭合</x:v>
      </x:c>
      <x:c r="F235" s="4" t="str">
        <x:v>USER-0217、USER-0218、USER-0219、USER-0220</x:v>
      </x:c>
      <x:c r="G235" s="4" t="str">
        <x:v>本段剩余子句、条件组合及状态后续影响仍需与独立规则逐项闭合；这是生成覆盖缺口，不是产品决策缺失。</x:v>
      </x:c>
    </x:row>
    <x:row r="236" ht="44" customHeight="1">
      <x:c r="A236" s="4" t="str">
        <x:v>REQ-bfa59063842c</x:v>
      </x:c>
      <x:c r="B236" s="4" t="str">
        <x:v>首页与发现</x:v>
      </x:c>
      <x:c r="C236" s="4" t="n">
        <x:v>543</x:v>
      </x:c>
      <x:c r="D236" s="4" t="str">
        <x:v>主播：展示头像、昵称、主播等级和当前开播状态。</x:v>
      </x:c>
      <x:c r="E236" s="4" t="str">
        <x:v>尚未建立场景映射</x:v>
      </x:c>
      <x:c r="F236" s="4" t="str"/>
      <x:c r="G236" s="4" t="str">
        <x:v>本轮独立来源库保留该已知条款，但尚未建立可核验的正式场景映射；不是无业务依据，也不转为产品待确认。</x:v>
      </x:c>
    </x:row>
    <x:row r="237" ht="44" customHeight="1">
      <x:c r="A237" s="4" t="str">
        <x:v>REQ-61f3f54e13a7</x:v>
      </x:c>
      <x:c r="B237" s="4" t="str">
        <x:v>首页与发现</x:v>
      </x:c>
      <x:c r="C237" s="4" t="n">
        <x:v>544</x:v>
      </x:c>
      <x:c r="D237" s="4" t="str">
        <x:v>收礼值的真实金币部分：周期内主播成功收到的礼物单价 × 数量之和。幸运礼物按送出价值计算，返奖不冲减收礼值。</x:v>
      </x:c>
      <x:c r="E237" s="4" t="str">
        <x:v>整段分支核验未闭合</x:v>
      </x:c>
      <x:c r="F237" s="4" t="str">
        <x:v>USER-0221、USER-0222、USER-0223、USER-0224</x:v>
      </x:c>
      <x:c r="G237" s="4" t="str">
        <x:v>本段剩余子句、条件组合及状态后续影响仍需与独立规则逐项闭合；这是生成覆盖缺口，不是产品决策缺失。</x:v>
      </x:c>
    </x:row>
    <x:row r="238" ht="44" customHeight="1">
      <x:c r="A238" s="4" t="str">
        <x:v>REQ-f3e7be9f9a0b</x:v>
      </x:c>
      <x:c r="B238" s="4" t="str">
        <x:v>首页与发现</x:v>
      </x:c>
      <x:c r="C238" s="4" t="n">
        <x:v>545</x:v>
      </x:c>
      <x:c r="D238" s="4" t="str">
        <x:v>主播等级或财富等级缺失时按 0 级参与排序；排名按完整排序结果连续编号。</x:v>
      </x:c>
      <x:c r="E238" s="4" t="str">
        <x:v>整段分支核验未闭合</x:v>
      </x:c>
      <x:c r="F238" s="4" t="str">
        <x:v>USER-0213、USER-0214、USER-0215、USER-0216、USER-0220</x:v>
      </x:c>
      <x:c r="G238" s="4" t="str">
        <x:v>本段剩余子句、条件组合及状态后续影响仍需与独立规则逐项闭合；这是生成覆盖缺口，不是产品决策缺失。</x:v>
      </x:c>
    </x:row>
    <x:row r="239" ht="44" customHeight="1">
      <x:c r="A239" s="4" t="str">
        <x:v>REQ-065256fe9347</x:v>
      </x:c>
      <x:c r="B239" s="4" t="str">
        <x:v>首页与发现</x:v>
      </x:c>
      <x:c r="C239" s="4" t="n">
        <x:v>546</x:v>
      </x:c>
      <x:c r="D239" s="4" t="str">
        <x:v>主播榜按收礼主播汇总真实金币赠礼；运营虚拟金币是否计入该榜的具体范围另见风险清单。</x:v>
      </x:c>
      <x:c r="E239" s="4" t="str">
        <x:v>尚未建立场景映射</x:v>
      </x:c>
      <x:c r="F239" s="4" t="str"/>
      <x:c r="G239" s="4" t="str">
        <x:v>本轮独立来源库保留该已知条款，但尚未建立可核验的正式场景映射；不是无业务依据，也不转为产品待确认。</x:v>
      </x:c>
    </x:row>
    <x:row r="240" ht="44" customHeight="1">
      <x:c r="A240" s="4" t="str">
        <x:v>REQ-3260f386f0f2</x:v>
      </x:c>
      <x:c r="B240" s="4" t="str">
        <x:v>首页与发现</x:v>
      </x:c>
      <x:c r="C240" s="4" t="n">
        <x:v>547</x:v>
      </x:c>
      <x:c r="D240" s="4" t="str">
        <x:v>有效消费冲正后重新计算收礼值和排名；充值退款不撤销已完成送礼。账号注销后保留历史数值，名称显示“账号已注销”，不能进入主页。</x:v>
      </x:c>
      <x:c r="E240" s="4" t="str">
        <x:v>整段分支核验未闭合</x:v>
      </x:c>
      <x:c r="F240" s="4" t="str">
        <x:v>USER-0220、USER-0225</x:v>
      </x:c>
      <x:c r="G240" s="4" t="str">
        <x:v>本段剩余子句、条件组合及状态后续影响仍需与独立规则逐项闭合；这是生成覆盖缺口，不是产品决策缺失。</x:v>
      </x:c>
    </x:row>
    <x:row r="241" ht="57" customHeight="1">
      <x:c r="A241" s="4" t="str">
        <x:v>REQ-76353e4dbe44</x:v>
      </x:c>
      <x:c r="B241" s="4" t="str">
        <x:v>首页与发现</x:v>
      </x:c>
      <x:c r="C241" s="4" t="n">
        <x:v>548</x:v>
      </x:c>
      <x:c r="D241" s="4" t="str">
        <x:v>数据范围：所选当日、本周或本月的主播收礼汇总，按字段表中的排名规则最多展示前 30 名。</x:v>
      </x:c>
      <x:c r="E241" s="4" t="str">
        <x:v>整段分支核验未闭合</x:v>
      </x:c>
      <x:c r="F241" s="4" t="str">
        <x:v>USER-0217、USER-0218、USER-0219、USER-0220、USER-0221、USER-0222、USER-0223</x:v>
      </x:c>
      <x:c r="G241" s="4" t="str">
        <x:v>本段剩余子句、条件组合及状态后续影响仍需与独立规则逐项闭合；这是生成覆盖缺口，不是产品决策缺失。</x:v>
      </x:c>
    </x:row>
    <x:row r="242" ht="44" customHeight="1">
      <x:c r="A242" s="4" t="str">
        <x:v>REQ-f7b4f8b5b63e</x:v>
      </x:c>
      <x:c r="B242" s="4" t="str">
        <x:v>首页与发现</x:v>
      </x:c>
      <x:c r="C242" s="4" t="n">
        <x:v>549</x:v>
      </x:c>
      <x:c r="D242" s="4" t="str">
        <x:v>切换周期 -&gt; 同步更新前三名、列表排名和收礼值。</x:v>
      </x:c>
      <x:c r="E242" s="4" t="str">
        <x:v>整段分支核验未闭合</x:v>
      </x:c>
      <x:c r="F242" s="4" t="str">
        <x:v>USER-0220、USER-0221、USER-0222、USER-0223</x:v>
      </x:c>
      <x:c r="G242" s="4" t="str">
        <x:v>本段剩余子句、条件组合及状态后续影响仍需与独立规则逐项闭合；这是生成覆盖缺口，不是产品决策缺失。</x:v>
      </x:c>
    </x:row>
    <x:row r="243" ht="44" customHeight="1">
      <x:c r="A243" s="4" t="str">
        <x:v>REQ-021f33d6dcb2</x:v>
      </x:c>
      <x:c r="B243" s="4" t="str">
        <x:v>首页与发现</x:v>
      </x:c>
      <x:c r="C243" s="4" t="n">
        <x:v>550</x:v>
      </x:c>
      <x:c r="D243" s="4" t="str">
        <x:v>已登录用户点击主播 -&gt; 进入该主播主页；游客点击 -&gt; 直接跳转登录页。</x:v>
      </x:c>
      <x:c r="E243" s="4" t="str">
        <x:v>整段分支核验未闭合</x:v>
      </x:c>
      <x:c r="F243" s="4" t="str">
        <x:v>USER-0637</x:v>
      </x:c>
      <x:c r="G243" s="4" t="str">
        <x:v>本段剩余子句、条件组合及状态后续影响仍需与独立规则逐项闭合；这是生成覆盖缺口，不是产品决策缺失。</x:v>
      </x:c>
    </x:row>
    <x:row r="244" ht="44" customHeight="1">
      <x:c r="A244" s="4" t="str">
        <x:v>REQ-aa4b9b6bedf2</x:v>
      </x:c>
      <x:c r="B244" s="4" t="str">
        <x:v>首页与发现</x:v>
      </x:c>
      <x:c r="C244" s="4" t="n">
        <x:v>555</x:v>
      </x:c>
      <x:c r="D244" s="4" t="str">
        <x:v>周期：按平台业务时区计算：当日从当天 00:00 开始，本周从周一 00:00 开始，本月从每月 1 日 00:00 开始。</x:v>
      </x:c>
      <x:c r="E244" s="4" t="str">
        <x:v>整段分支核验未闭合</x:v>
      </x:c>
      <x:c r="F244" s="4" t="str">
        <x:v>USER-0233、USER-0234、USER-0235</x:v>
      </x:c>
      <x:c r="G244" s="4" t="str">
        <x:v>本段剩余子句、条件组合及状态后续影响仍需与独立规则逐项闭合；这是生成覆盖缺口，不是产品决策缺失。</x:v>
      </x:c>
    </x:row>
    <x:row r="245" ht="44" customHeight="1">
      <x:c r="A245" s="4" t="str">
        <x:v>REQ-ad3b4b3d5e9b</x:v>
      </x:c>
      <x:c r="B245" s="4" t="str">
        <x:v>首页与发现</x:v>
      </x:c>
      <x:c r="C245" s="4" t="n">
        <x:v>556</x:v>
      </x:c>
      <x:c r="D245" s="4" t="str">
        <x:v>排名：依次按贡献值、财富等级从高到低排序，仍相同时按用户 ID 数字部分从小到大排序；不设并列名次。</x:v>
      </x:c>
      <x:c r="E245" s="4" t="str">
        <x:v>整段分支核验未闭合</x:v>
      </x:c>
      <x:c r="F245" s="4" t="str">
        <x:v>USER-0226、USER-0227、USER-0228、USER-0232</x:v>
      </x:c>
      <x:c r="G245" s="4" t="str">
        <x:v>本段剩余子句、条件组合及状态后续影响仍需与独立规则逐项闭合；这是生成覆盖缺口，不是产品决策缺失。</x:v>
      </x:c>
    </x:row>
    <x:row r="246" ht="44" customHeight="1">
      <x:c r="A246" s="4" t="str">
        <x:v>REQ-3e39503ac52e</x:v>
      </x:c>
      <x:c r="B246" s="4" t="str">
        <x:v>首页与发现</x:v>
      </x:c>
      <x:c r="C246" s="4" t="n">
        <x:v>557</x:v>
      </x:c>
      <x:c r="D246" s="4" t="str">
        <x:v>榜单数量：当日、本周、本月均显示前 30 名；第 30 名与第 31 名贡献值相同时，继续按排名规则确定顺序。</x:v>
      </x:c>
      <x:c r="E246" s="4" t="str">
        <x:v>整段分支核验未闭合</x:v>
      </x:c>
      <x:c r="F246" s="4" t="str">
        <x:v>USER-0229、USER-0230、USER-0231、USER-0232</x:v>
      </x:c>
      <x:c r="G246" s="4" t="str">
        <x:v>本段剩余子句、条件组合及状态后续影响仍需与独立规则逐项闭合；这是生成覆盖缺口，不是产品决策缺失。</x:v>
      </x:c>
    </x:row>
    <x:row r="247" ht="44" customHeight="1">
      <x:c r="A247" s="4" t="str">
        <x:v>REQ-0482ae7ce28b</x:v>
      </x:c>
      <x:c r="B247" s="4" t="str">
        <x:v>首页与发现</x:v>
      </x:c>
      <x:c r="C247" s="4" t="n">
        <x:v>558</x:v>
      </x:c>
      <x:c r="D247" s="4" t="str">
        <x:v>贡献榜统计真实用户的送礼贡献；运营账号是否进入该榜的具体范围另见风险清单。</x:v>
      </x:c>
      <x:c r="E247" s="4" t="str">
        <x:v>尚未建立场景映射</x:v>
      </x:c>
      <x:c r="F247" s="4" t="str"/>
      <x:c r="G247" s="4" t="str">
        <x:v>本轮独立来源库保留该已知条款，但尚未建立可核验的正式场景映射；不是无业务依据，也不转为产品待确认。</x:v>
      </x:c>
    </x:row>
    <x:row r="248" ht="44" customHeight="1">
      <x:c r="A248" s="4" t="str">
        <x:v>REQ-75038c4aca1b</x:v>
      </x:c>
      <x:c r="B248" s="4" t="str">
        <x:v>首页与发现</x:v>
      </x:c>
      <x:c r="C248" s="4" t="n">
        <x:v>559</x:v>
      </x:c>
      <x:c r="D248" s="4" t="str">
        <x:v>用户：展示头像、昵称和财富等级。</x:v>
      </x:c>
      <x:c r="E248" s="4" t="str">
        <x:v>尚未建立场景映射</x:v>
      </x:c>
      <x:c r="F248" s="4" t="str"/>
      <x:c r="G248" s="4" t="str">
        <x:v>本轮独立来源库保留该已知条款，但尚未建立可核验的正式场景映射；不是无业务依据，也不转为产品待确认。</x:v>
      </x:c>
    </x:row>
    <x:row r="249" ht="44" customHeight="1">
      <x:c r="A249" s="4" t="str">
        <x:v>REQ-337ad0065e55</x:v>
      </x:c>
      <x:c r="B249" s="4" t="str">
        <x:v>首页与发现</x:v>
      </x:c>
      <x:c r="C249" s="4" t="n">
        <x:v>560</x:v>
      </x:c>
      <x:c r="D249" s="4" t="str">
        <x:v>贡献值的真实金币部分：周期内用户成功送出的各礼物单价 × 数量之和。幸运礼物按送出价值计算，返奖不冲减贡献值。</x:v>
      </x:c>
      <x:c r="E249" s="4" t="str">
        <x:v>整段分支核验未闭合</x:v>
      </x:c>
      <x:c r="F249" s="4" t="str">
        <x:v>USER-0233、USER-0234、USER-0235、USER-0236</x:v>
      </x:c>
      <x:c r="G249" s="4" t="str">
        <x:v>本段剩余子句、条件组合及状态后续影响仍需与独立规则逐项闭合；这是生成覆盖缺口，不是产品决策缺失。</x:v>
      </x:c>
    </x:row>
    <x:row r="250" ht="44" customHeight="1">
      <x:c r="A250" s="4" t="str">
        <x:v>REQ-338ca0cff70c</x:v>
      </x:c>
      <x:c r="B250" s="4" t="str">
        <x:v>首页与发现</x:v>
      </x:c>
      <x:c r="C250" s="4" t="n">
        <x:v>561</x:v>
      </x:c>
      <x:c r="D250" s="4" t="str">
        <x:v>财富等级最低为 1 级；排名按完整排序结果连续编号。</x:v>
      </x:c>
      <x:c r="E250" s="4" t="str">
        <x:v>整段分支核验未闭合</x:v>
      </x:c>
      <x:c r="F250" s="4" t="str">
        <x:v>USER-0226、USER-0227、USER-0228、USER-0232</x:v>
      </x:c>
      <x:c r="G250" s="4" t="str">
        <x:v>本段剩余子句、条件组合及状态后续影响仍需与独立规则逐项闭合；这是生成覆盖缺口，不是产品决策缺失。</x:v>
      </x:c>
    </x:row>
    <x:row r="251" ht="44" customHeight="1">
      <x:c r="A251" s="4" t="str">
        <x:v>REQ-d78c5211c8a5</x:v>
      </x:c>
      <x:c r="B251" s="4" t="str">
        <x:v>首页与发现</x:v>
      </x:c>
      <x:c r="C251" s="4" t="n">
        <x:v>563</x:v>
      </x:c>
      <x:c r="D251" s="4" t="str">
        <x:v>有效消费冲正后重新计算贡献值和排名；充值退款不撤销已完成送礼。账号注销后保留历史数值，名称显示“账号已注销”，不能进入主页。</x:v>
      </x:c>
      <x:c r="E251" s="4" t="str">
        <x:v>整段分支核验未闭合</x:v>
      </x:c>
      <x:c r="F251" s="4" t="str">
        <x:v>USER-0232、USER-0237</x:v>
      </x:c>
      <x:c r="G251" s="4" t="str">
        <x:v>本段剩余子句、条件组合及状态后续影响仍需与独立规则逐项闭合；这是生成覆盖缺口，不是产品决策缺失。</x:v>
      </x:c>
    </x:row>
    <x:row r="252" ht="57" customHeight="1">
      <x:c r="A252" s="4" t="str">
        <x:v>REQ-fd19f623d02e</x:v>
      </x:c>
      <x:c r="B252" s="4" t="str">
        <x:v>首页与发现</x:v>
      </x:c>
      <x:c r="C252" s="4" t="n">
        <x:v>564</x:v>
      </x:c>
      <x:c r="D252" s="4" t="str">
        <x:v>数据范围：所选当日、本周或本月的用户送礼汇总，按字段表中的排名规则展示前 30 名。</x:v>
      </x:c>
      <x:c r="E252" s="4" t="str">
        <x:v>整段分支核验未闭合</x:v>
      </x:c>
      <x:c r="F252" s="4" t="str">
        <x:v>USER-0229、USER-0230、USER-0231、USER-0232、USER-0233、USER-0234、USER-0235</x:v>
      </x:c>
      <x:c r="G252" s="4" t="str">
        <x:v>本段剩余子句、条件组合及状态后续影响仍需与独立规则逐项闭合；这是生成覆盖缺口，不是产品决策缺失。</x:v>
      </x:c>
    </x:row>
    <x:row r="253" ht="44" customHeight="1">
      <x:c r="A253" s="4" t="str">
        <x:v>REQ-c861a60701cb</x:v>
      </x:c>
      <x:c r="B253" s="4" t="str">
        <x:v>首页与发现</x:v>
      </x:c>
      <x:c r="C253" s="4" t="n">
        <x:v>565</x:v>
      </x:c>
      <x:c r="D253" s="4" t="str">
        <x:v>切换周期 -&gt; 同步更新前三名、列表排名和贡献值。</x:v>
      </x:c>
      <x:c r="E253" s="4" t="str">
        <x:v>整段分支核验未闭合</x:v>
      </x:c>
      <x:c r="F253" s="4" t="str">
        <x:v>USER-0232、USER-0233、USER-0234、USER-0235</x:v>
      </x:c>
      <x:c r="G253" s="4" t="str">
        <x:v>本段剩余子句、条件组合及状态后续影响仍需与独立规则逐项闭合；这是生成覆盖缺口，不是产品决策缺失。</x:v>
      </x:c>
    </x:row>
    <x:row r="254" ht="44" customHeight="1">
      <x:c r="A254" s="4" t="str">
        <x:v>REQ-2a0dc67e1447</x:v>
      </x:c>
      <x:c r="B254" s="4" t="str">
        <x:v>首页与发现</x:v>
      </x:c>
      <x:c r="C254" s="4" t="n">
        <x:v>566</x:v>
      </x:c>
      <x:c r="D254" s="4" t="str">
        <x:v>已登录用户点击用户 -&gt; 进入该用户主页；游客点击 -&gt; 直接跳转登录页。</x:v>
      </x:c>
      <x:c r="E254" s="4" t="str">
        <x:v>整段分支核验未闭合</x:v>
      </x:c>
      <x:c r="F254" s="4" t="str">
        <x:v>USER-0638</x:v>
      </x:c>
      <x:c r="G254" s="4" t="str">
        <x:v>本段剩余子句、条件组合及状态后续影响仍需与独立规则逐项闭合；这是生成覆盖缺口，不是产品决策缺失。</x:v>
      </x:c>
    </x:row>
    <x:row r="255" ht="44" customHeight="1">
      <x:c r="A255" s="4" t="str">
        <x:v>REQ-c644e17bfb6f</x:v>
      </x:c>
      <x:c r="B255" s="4" t="str">
        <x:v>首页与发现</x:v>
      </x:c>
      <x:c r="C255" s="4" t="n">
        <x:v>571</x:v>
      </x:c>
      <x:c r="D255" s="4" t="str">
        <x:v>搜索关键词：必填，去除首尾空格后不能为空；支持房间号、用户 ID 或用户昵称。</x:v>
      </x:c>
      <x:c r="E255" s="4" t="str">
        <x:v>整段分支核验未闭合</x:v>
      </x:c>
      <x:c r="F255" s="4" t="str">
        <x:v>USER-0238</x:v>
      </x:c>
      <x:c r="G255" s="4" t="str">
        <x:v>本段剩余子句、条件组合及状态后续影响仍需与独立规则逐项闭合；这是生成覆盖缺口，不是产品决策缺失。</x:v>
      </x:c>
    </x:row>
    <x:row r="256" ht="44" customHeight="1">
      <x:c r="A256" s="4" t="str">
        <x:v>REQ-e6e0d7e38a8f</x:v>
      </x:c>
      <x:c r="B256" s="4" t="str">
        <x:v>首页与发现</x:v>
      </x:c>
      <x:c r="C256" s="4" t="n">
        <x:v>572</x:v>
      </x:c>
      <x:c r="D256" s="4" t="str">
        <x:v>搜索历史：展示当前用户最近使用的搜索词，按最近使用倒序，去重后最多保留 10 条；不展示热门搜索词。</x:v>
      </x:c>
      <x:c r="E256" s="4" t="str">
        <x:v>整段分支核验未闭合</x:v>
      </x:c>
      <x:c r="F256" s="4" t="str">
        <x:v>USER-0238、USER-0239、USER-0240、USER-0241</x:v>
      </x:c>
      <x:c r="G256" s="4" t="str">
        <x:v>本段剩余子句、条件组合及状态后续影响仍需与独立规则逐项闭合；这是生成覆盖缺口，不是产品决策缺失。</x:v>
      </x:c>
    </x:row>
    <x:row r="257" ht="44" customHeight="1">
      <x:c r="A257" s="4" t="str">
        <x:v>REQ-da88ffbc47a5</x:v>
      </x:c>
      <x:c r="B257" s="4" t="str">
        <x:v>首页与发现</x:v>
      </x:c>
      <x:c r="C257" s="4" t="n">
        <x:v>573</x:v>
      </x:c>
      <x:c r="D257" s="4" t="str">
        <x:v>搜索历史仅保存在当前用户侧，不随账号跨设备同步。</x:v>
      </x:c>
      <x:c r="E257" s="4" t="str">
        <x:v>整段分支核验未闭合</x:v>
      </x:c>
      <x:c r="F257" s="4" t="str">
        <x:v>USER-0238、USER-0239、USER-0240、USER-0241</x:v>
      </x:c>
      <x:c r="G257" s="4" t="str">
        <x:v>本段剩余子句、条件组合及状态后续影响仍需与独立规则逐项闭合；这是生成覆盖缺口，不是产品决策缺失。</x:v>
      </x:c>
    </x:row>
    <x:row r="258" ht="44" customHeight="1">
      <x:c r="A258" s="4" t="str">
        <x:v>REQ-1206e925fd86</x:v>
      </x:c>
      <x:c r="B258" s="4" t="str">
        <x:v>首页与发现</x:v>
      </x:c>
      <x:c r="C258" s="4" t="n">
        <x:v>574</x:v>
      </x:c>
      <x:c r="D258" s="4" t="str">
        <x:v>提交关键词后写入搜索历史；相同关键词移到首位，不重复新增；超过 10 条时删除最早一条。</x:v>
      </x:c>
      <x:c r="E258" s="4" t="str">
        <x:v>整段分支核验未闭合</x:v>
      </x:c>
      <x:c r="F258" s="4" t="str">
        <x:v>USER-0238、USER-0239、USER-0240、USER-0241</x:v>
      </x:c>
      <x:c r="G258" s="4" t="str">
        <x:v>本段剩余子句、条件组合及状态后续影响仍需与独立规则逐项闭合；这是生成覆盖缺口，不是产品决策缺失。</x:v>
      </x:c>
    </x:row>
    <x:row r="259" ht="44" customHeight="1">
      <x:c r="A259" s="4" t="str">
        <x:v>REQ-4d67a7a6560b</x:v>
      </x:c>
      <x:c r="B259" s="4" t="str">
        <x:v>首页与发现</x:v>
      </x:c>
      <x:c r="C259" s="4" t="n">
        <x:v>575</x:v>
      </x:c>
      <x:c r="D259" s="4" t="str">
        <x:v>数据范围：仅当前用户的搜索历史；按最近使用时间倒序、去重后最多 10 条。</x:v>
      </x:c>
      <x:c r="E259" s="4" t="str">
        <x:v>整段分支核验未闭合</x:v>
      </x:c>
      <x:c r="F259" s="4" t="str">
        <x:v>USER-0238、USER-0239、USER-0240、USER-0241</x:v>
      </x:c>
      <x:c r="G259" s="4" t="str">
        <x:v>本段剩余子句、条件组合及状态后续影响仍需与独立规则逐项闭合；这是生成覆盖缺口，不是产品决策缺失。</x:v>
      </x:c>
    </x:row>
    <x:row r="260" ht="44" customHeight="1">
      <x:c r="A260" s="4" t="str">
        <x:v>REQ-a02e580d25de</x:v>
      </x:c>
      <x:c r="B260" s="4" t="str">
        <x:v>首页与发现</x:v>
      </x:c>
      <x:c r="C260" s="4" t="n">
        <x:v>576</x:v>
      </x:c>
      <x:c r="D260" s="4" t="str">
        <x:v>进入页面 -&gt; 自动聚焦搜索框。</x:v>
      </x:c>
      <x:c r="E260" s="4" t="str">
        <x:v>尚未建立场景映射</x:v>
      </x:c>
      <x:c r="F260" s="4" t="str"/>
      <x:c r="G260" s="4" t="str">
        <x:v>本轮独立来源库保留该已知条款，但尚未建立可核验的正式场景映射；不是无业务依据，也不转为产品待确认。</x:v>
      </x:c>
    </x:row>
    <x:row r="261" ht="44" customHeight="1">
      <x:c r="A261" s="4" t="str">
        <x:v>REQ-a0a19c423e65</x:v>
      </x:c>
      <x:c r="B261" s="4" t="str">
        <x:v>首页与发现</x:v>
      </x:c>
      <x:c r="C261" s="4" t="n">
        <x:v>577</x:v>
      </x:c>
      <x:c r="D261" s="4" t="str">
        <x:v>关键词为空 -&gt; 提示输入，不进入搜索结果页。</x:v>
      </x:c>
      <x:c r="E261" s="4" t="str">
        <x:v>整段分支核验未闭合</x:v>
      </x:c>
      <x:c r="F261" s="4" t="str">
        <x:v>USER-0639</x:v>
      </x:c>
      <x:c r="G261" s="4" t="str">
        <x:v>本段剩余子句、条件组合及状态后续影响仍需与独立规则逐项闭合；这是生成覆盖缺口，不是产品决策缺失。</x:v>
      </x:c>
    </x:row>
    <x:row r="262" ht="44" customHeight="1">
      <x:c r="A262" s="4" t="str">
        <x:v>REQ-51257e5ecd35</x:v>
      </x:c>
      <x:c r="B262" s="4" t="str">
        <x:v>首页与发现</x:v>
      </x:c>
      <x:c r="C262" s="4" t="n">
        <x:v>578</x:v>
      </x:c>
      <x:c r="D262" s="4" t="str">
        <x:v>提交关键词或点击历史词 -&gt; 写入最近使用记录并进入搜索结果页。</x:v>
      </x:c>
      <x:c r="E262" s="4" t="str">
        <x:v>整段分支核验未闭合</x:v>
      </x:c>
      <x:c r="F262" s="4" t="str">
        <x:v>USER-0238、USER-0239、USER-0240、USER-0241</x:v>
      </x:c>
      <x:c r="G262" s="4" t="str">
        <x:v>本段剩余子句、条件组合及状态后续影响仍需与独立规则逐项闭合；这是生成覆盖缺口，不是产品决策缺失。</x:v>
      </x:c>
    </x:row>
    <x:row r="263" ht="44" customHeight="1">
      <x:c r="A263" s="4" t="str">
        <x:v>REQ-2b7db2f77439</x:v>
      </x:c>
      <x:c r="B263" s="4" t="str">
        <x:v>首页与发现</x:v>
      </x:c>
      <x:c r="C263" s="4" t="n">
        <x:v>579</x:v>
      </x:c>
      <x:c r="D263" s="4" t="str">
        <x:v>点击历史词右侧删除 -&gt; 仅删除该条；点击清空全部 -&gt; 删除全部搜索历史并显示空状态。</x:v>
      </x:c>
      <x:c r="E263" s="4" t="str">
        <x:v>整段分支核验未闭合</x:v>
      </x:c>
      <x:c r="F263" s="4" t="str">
        <x:v>USER-0238、USER-0239、USER-0240、USER-0241</x:v>
      </x:c>
      <x:c r="G263" s="4" t="str">
        <x:v>本段剩余子句、条件组合及状态后续影响仍需与独立规则逐项闭合；这是生成覆盖缺口，不是产品决策缺失。</x:v>
      </x:c>
    </x:row>
    <x:row r="264" ht="44" customHeight="1">
      <x:c r="A264" s="4" t="str">
        <x:v>REQ-40e02f89bd30</x:v>
      </x:c>
      <x:c r="B264" s="4" t="str">
        <x:v>首页与发现</x:v>
      </x:c>
      <x:c r="C264" s="4" t="n">
        <x:v>584</x:v>
      </x:c>
      <x:c r="D264" s="4" t="str">
        <x:v>搜索关键词：回填来源页关键词；去除首尾空格后不能为空。</x:v>
      </x:c>
      <x:c r="E264" s="4" t="str">
        <x:v>尚未建立场景映射</x:v>
      </x:c>
      <x:c r="F264" s="4" t="str"/>
      <x:c r="G264" s="4" t="str">
        <x:v>本轮独立来源库保留该已知条款，但尚未建立可核验的正式场景映射；不是无业务依据，也不转为产品待确认。</x:v>
      </x:c>
    </x:row>
    <x:row r="265" ht="44" customHeight="1">
      <x:c r="A265" s="4" t="str">
        <x:v>REQ-2d4beeaefb29</x:v>
      </x:c>
      <x:c r="B265" s="4" t="str">
        <x:v>首页与发现</x:v>
      </x:c>
      <x:c r="C265" s="4" t="n">
        <x:v>585</x:v>
      </x:c>
      <x:c r="D265" s="4" t="str">
        <x:v>用户头像、昵称：展示匹配账号的当前资料。</x:v>
      </x:c>
      <x:c r="E265" s="4" t="str">
        <x:v>尚未建立场景映射</x:v>
      </x:c>
      <x:c r="F265" s="4" t="str"/>
      <x:c r="G265" s="4" t="str">
        <x:v>本轮独立来源库保留该已知条款，但尚未建立可核验的正式场景映射；不是无业务依据，也不转为产品待确认。</x:v>
      </x:c>
    </x:row>
    <x:row r="266" ht="44" customHeight="1">
      <x:c r="A266" s="4" t="str">
        <x:v>REQ-ca0a9c12ec62</x:v>
      </x:c>
      <x:c r="B266" s="4" t="str">
        <x:v>首页与发现</x:v>
      </x:c>
      <x:c r="C266" s="4" t="n">
        <x:v>586</x:v>
      </x:c>
      <x:c r="D266" s="4" t="str">
        <x:v>房间号：账号有主播身份时显示房间号，非主播不显示。</x:v>
      </x:c>
      <x:c r="E266" s="4" t="str">
        <x:v>尚未建立场景映射</x:v>
      </x:c>
      <x:c r="F266" s="4" t="str"/>
      <x:c r="G266" s="4" t="str">
        <x:v>本轮独立来源库保留该已知条款，但尚未建立可核验的正式场景映射；不是无业务依据，也不转为产品待确认。</x:v>
      </x:c>
    </x:row>
    <x:row r="267" ht="44" customHeight="1">
      <x:c r="A267" s="4" t="str">
        <x:v>REQ-071020a0b13a</x:v>
      </x:c>
      <x:c r="B267" s="4" t="str">
        <x:v>首页与发现</x:v>
      </x:c>
      <x:c r="C267" s="4" t="n">
        <x:v>587</x:v>
      </x:c>
      <x:c r="D267" s="4" t="str">
        <x:v>无匹配结果时保留搜索框并展示空状态。</x:v>
      </x:c>
      <x:c r="E267" s="4" t="str">
        <x:v>整段分支核验未闭合</x:v>
      </x:c>
      <x:c r="F267" s="4" t="str">
        <x:v>USER-0640、USER-0641</x:v>
      </x:c>
      <x:c r="G267" s="4" t="str">
        <x:v>本段剩余子句、条件组合及状态后续影响仍需与独立规则逐项闭合；这是生成覆盖缺口，不是产品决策缺失。</x:v>
      </x:c>
    </x:row>
    <x:row r="268" ht="44" customHeight="1">
      <x:c r="A268" s="4" t="str">
        <x:v>REQ-0d5340455b00</x:v>
      </x:c>
      <x:c r="B268" s="4" t="str">
        <x:v>首页与发现</x:v>
      </x:c>
      <x:c r="C268" s="4" t="n">
        <x:v>588</x:v>
      </x:c>
      <x:c r="D268" s="4" t="str">
        <x:v>按账号搜索，每个匹配账号展示一条结果；有主播身份且正在直播时显示「直播中」标记，未开播主播及非主播账号均不显示。</x:v>
      </x:c>
      <x:c r="E268" s="4" t="str">
        <x:v>整段分支核验未闭合</x:v>
      </x:c>
      <x:c r="F268" s="4" t="str">
        <x:v>USER-0242、USER-0243、USER-0244</x:v>
      </x:c>
      <x:c r="G268" s="4" t="str">
        <x:v>本段剩余子句、条件组合及状态后续影响仍需与独立规则逐项闭合；这是生成覆盖缺口，不是产品决策缺失。</x:v>
      </x:c>
    </x:row>
    <x:row r="269" ht="44" customHeight="1">
      <x:c r="A269" s="4" t="str">
        <x:v>REQ-517b2a4a3b1f</x:v>
      </x:c>
      <x:c r="B269" s="4" t="str">
        <x:v>首页与发现</x:v>
      </x:c>
      <x:c r="C269" s="4" t="n">
        <x:v>589</x:v>
      </x:c>
      <x:c r="D269" s="4" t="str">
        <x:v>点击直播中的结果 -&gt; 进入直播间。</x:v>
      </x:c>
      <x:c r="E269" s="4" t="str">
        <x:v>整段分支核验未闭合</x:v>
      </x:c>
      <x:c r="F269" s="4" t="str">
        <x:v>USER-0242、USER-0243、USER-0244、USER-0384</x:v>
      </x:c>
      <x:c r="G269" s="4" t="str">
        <x:v>本段剩余子句、条件组合及状态后续影响仍需与独立规则逐项闭合；这是生成覆盖缺口，不是产品决策缺失。</x:v>
      </x:c>
    </x:row>
    <x:row r="270" ht="44" customHeight="1">
      <x:c r="A270" s="4" t="str">
        <x:v>REQ-77596e9bf81c</x:v>
      </x:c>
      <x:c r="B270" s="4" t="str">
        <x:v>首页与发现</x:v>
      </x:c>
      <x:c r="C270" s="4" t="n">
        <x:v>590</x:v>
      </x:c>
      <x:c r="D270" s="4" t="str">
        <x:v>点击未开播账号 -&gt; 有主播身份进入主播主页，非主播进入用户主页。</x:v>
      </x:c>
      <x:c r="E270" s="4" t="str">
        <x:v>整段分支核验未闭合</x:v>
      </x:c>
      <x:c r="F270" s="4" t="str">
        <x:v>USER-0242、USER-0243、USER-0244</x:v>
      </x:c>
      <x:c r="G270" s="4" t="str">
        <x:v>本段剩余子句、条件组合及状态后续影响仍需与独立规则逐项闭合；这是生成覆盖缺口，不是产品决策缺失。</x:v>
      </x:c>
    </x:row>
    <x:row r="271" ht="44" customHeight="1">
      <x:c r="A271" s="4" t="str">
        <x:v>REQ-dcaeabbc4a86</x:v>
      </x:c>
      <x:c r="B271" s="4" t="str">
        <x:v>首页与发现</x:v>
      </x:c>
      <x:c r="C271" s="4" t="n">
        <x:v>591</x:v>
      </x:c>
      <x:c r="D271" s="4" t="str">
        <x:v>修改关键词并提交 -&gt; 刷新搜索结果。</x:v>
      </x:c>
      <x:c r="E271" s="4" t="str">
        <x:v>尚未建立场景映射</x:v>
      </x:c>
      <x:c r="F271" s="4" t="str"/>
      <x:c r="G271" s="4" t="str">
        <x:v>本轮独立来源库保留该已知条款，但尚未建立可核验的正式场景映射；不是无业务依据，也不转为产品待确认。</x:v>
      </x:c>
    </x:row>
    <x:row r="272" ht="44" customHeight="1">
      <x:c r="A272" s="4" t="str">
        <x:v>REQ-3f2252f33285</x:v>
      </x:c>
      <x:c r="B272" s="4" t="str">
        <x:v>首页与发现</x:v>
      </x:c>
      <x:c r="C272" s="4" t="n">
        <x:v>596</x:v>
      </x:c>
      <x:c r="D272" s="4" t="str">
        <x:v>邀请好友：展示当前活动配置的邀请奖励入口及奖励提示；点击进入邀请好友页。</x:v>
      </x:c>
      <x:c r="E272" s="4" t="str">
        <x:v>尚未建立场景映射</x:v>
      </x:c>
      <x:c r="F272" s="4" t="str"/>
      <x:c r="G272" s="4" t="str">
        <x:v>本轮独立来源库保留该已知条款，但尚未建立可核验的正式场景映射；不是无业务依据，也不转为产品待确认。</x:v>
      </x:c>
    </x:row>
    <x:row r="273" ht="44" customHeight="1">
      <x:c r="A273" s="4" t="str">
        <x:v>REQ-43b7a1560781</x:v>
      </x:c>
      <x:c r="B273" s="4" t="str">
        <x:v>首页与发现</x:v>
      </x:c>
      <x:c r="C273" s="4" t="n">
        <x:v>597</x:v>
      </x:c>
      <x:c r="D273" s="4" t="str">
        <x:v>充值福利：展示当前活动配置的充值赠送金币提示；点击进入充值页。</x:v>
      </x:c>
      <x:c r="E273" s="4" t="str">
        <x:v>尚未建立场景映射</x:v>
      </x:c>
      <x:c r="F273" s="4" t="str"/>
      <x:c r="G273" s="4" t="str">
        <x:v>本轮独立来源库保留该已知条款，但尚未建立可核验的正式场景映射；不是无业务依据，也不转为产品待确认。</x:v>
      </x:c>
    </x:row>
    <x:row r="274" ht="44" customHeight="1">
      <x:c r="A274" s="4" t="str">
        <x:v>REQ-6333241d4b9b</x:v>
      </x:c>
      <x:c r="B274" s="4" t="str">
        <x:v>首页与发现</x:v>
      </x:c>
      <x:c r="C274" s="4" t="n">
        <x:v>598</x:v>
      </x:c>
      <x:c r="D274" s="4" t="str">
        <x:v>连续签到天数：展示当前账号连续手动签到成功的天数；仅登录不增加该数值。</x:v>
      </x:c>
      <x:c r="E274" s="4" t="str">
        <x:v>整段分支核验未闭合</x:v>
      </x:c>
      <x:c r="F274" s="4" t="str">
        <x:v>USER-0245、USER-0246、USER-0247、USER-0248</x:v>
      </x:c>
      <x:c r="G274" s="4" t="str">
        <x:v>本段剩余子句、条件组合及状态后续影响仍需与独立规则逐项闭合；这是生成覆盖缺口，不是产品决策缺失。</x:v>
      </x:c>
    </x:row>
    <x:row r="275" ht="44" customHeight="1">
      <x:c r="A275" s="4" t="str">
        <x:v>REQ-338d84306791</x:v>
      </x:c>
      <x:c r="B275" s="4" t="str">
        <x:v>首页与发现</x:v>
      </x:c>
      <x:c r="C275" s="4" t="n">
        <x:v>599</x:v>
      </x:c>
      <x:c r="D275" s="4" t="str">
        <x:v>签到进度：按连续签到周期展示已签到日、今日和后续签到日；每个日期同时展示对应金币奖励。</x:v>
      </x:c>
      <x:c r="E275" s="4" t="str">
        <x:v>整段分支核验未闭合</x:v>
      </x:c>
      <x:c r="F275" s="4" t="str">
        <x:v>USER-0245、USER-0246、USER-0247、USER-0248</x:v>
      </x:c>
      <x:c r="G275" s="4" t="str">
        <x:v>本段剩余子句、条件组合及状态后续影响仍需与独立规则逐项闭合；这是生成覆盖缺口，不是产品决策缺失。</x:v>
      </x:c>
    </x:row>
    <x:row r="276" ht="44" customHeight="1">
      <x:c r="A276" s="4" t="str">
        <x:v>REQ-bcf3754632ce</x:v>
      </x:c>
      <x:c r="B276" s="4" t="str">
        <x:v>首页与发现</x:v>
      </x:c>
      <x:c r="C276" s="4" t="n">
        <x:v>600</x:v>
      </x:c>
      <x:c r="D276" s="4" t="str">
        <x:v>签到操作状态：今日未签到时显示「签到」；领取成功后显示「已签到」并禁用。</x:v>
      </x:c>
      <x:c r="E276" s="4" t="str">
        <x:v>整段分支核验未闭合</x:v>
      </x:c>
      <x:c r="F276" s="4" t="str">
        <x:v>USER-0245、USER-0246、USER-0247、USER-0689、USER-0690</x:v>
      </x:c>
      <x:c r="G276" s="4" t="str">
        <x:v>本段剩余子句、条件组合及状态后续影响仍需与独立规则逐项闭合；这是生成覆盖缺口，不是产品决策缺失。</x:v>
      </x:c>
    </x:row>
    <x:row r="277" ht="44" customHeight="1">
      <x:c r="A277" s="4" t="str">
        <x:v>REQ-36bf288c0aac</x:v>
      </x:c>
      <x:c r="B277" s="4" t="str">
        <x:v>首页与发现</x:v>
      </x:c>
      <x:c r="C277" s="4" t="n">
        <x:v>601</x:v>
      </x:c>
      <x:c r="D277" s="4" t="str">
        <x:v>任务项：展示后台配置的任务名称、当前进度、目标值、金币奖励和领取状态。</x:v>
      </x:c>
      <x:c r="E277" s="4" t="str">
        <x:v>尚未建立场景映射</x:v>
      </x:c>
      <x:c r="F277" s="4" t="str"/>
      <x:c r="G277" s="4" t="str">
        <x:v>本轮独立来源库保留该已知条款，但尚未建立可核验的正式场景映射；不是无业务依据，也不转为产品待确认。</x:v>
      </x:c>
    </x:row>
    <x:row r="278" ht="44" customHeight="1">
      <x:c r="A278" s="4" t="str">
        <x:v>REQ-68d029516a5c</x:v>
      </x:c>
      <x:c r="B278" s="4" t="str">
        <x:v>首页与发现</x:v>
      </x:c>
      <x:c r="C278" s="4" t="n">
        <x:v>602</x:v>
      </x:c>
      <x:c r="D278" s="4" t="str">
        <x:v>任务操作状态：未完成显示去完成或不可领取提示；完成后显示领取；领取成功后显示已领取。</x:v>
      </x:c>
      <x:c r="E278" s="4" t="str">
        <x:v>整段分支核验未闭合</x:v>
      </x:c>
      <x:c r="F278" s="4" t="str">
        <x:v>USER-0689、USER-0690</x:v>
      </x:c>
      <x:c r="G278" s="4" t="str">
        <x:v>本段剩余子句、条件组合及状态后续影响仍需与独立规则逐项闭合；这是生成覆盖缺口，不是产品决策缺失。</x:v>
      </x:c>
    </x:row>
    <x:row r="279" ht="44" customHeight="1">
      <x:c r="A279" s="4" t="str">
        <x:v>REQ-e29f8734021f</x:v>
      </x:c>
      <x:c r="B279" s="4" t="str">
        <x:v>首页与发现</x:v>
      </x:c>
      <x:c r="C279" s="4" t="n">
        <x:v>603</x:v>
      </x:c>
      <x:c r="D279" s="4" t="str">
        <x:v>点击卡片进入「邀请好友」P009。</x:v>
      </x:c>
      <x:c r="E279" s="4" t="str">
        <x:v>尚未建立场景映射</x:v>
      </x:c>
      <x:c r="F279" s="4" t="str"/>
      <x:c r="G279" s="4" t="str">
        <x:v>本轮独立来源库保留该已知条款，但尚未建立可核验的正式场景映射；不是无业务依据，也不转为产品待确认。</x:v>
      </x:c>
    </x:row>
    <x:row r="280" ht="44" customHeight="1">
      <x:c r="A280" s="4" t="str">
        <x:v>REQ-28f7a6e9b28a</x:v>
      </x:c>
      <x:c r="B280" s="4" t="str">
        <x:v>首页与发现</x:v>
      </x:c>
      <x:c r="C280" s="4" t="n">
        <x:v>604</x:v>
      </x:c>
      <x:c r="D280" s="4" t="str">
        <x:v>卡片「+10」数值取后台配置的每成功邀请 1 位好友可获得的金币奖励。</x:v>
      </x:c>
      <x:c r="E280" s="4" t="str">
        <x:v>整段分支核验未闭合</x:v>
      </x:c>
      <x:c r="F280" s="4" t="str">
        <x:v>USER-0687</x:v>
      </x:c>
      <x:c r="G280" s="4" t="str">
        <x:v>本段剩余子句、条件组合及状态后续影响仍需与独立规则逐项闭合；这是生成覆盖缺口，不是产品决策缺失。</x:v>
      </x:c>
    </x:row>
    <x:row r="281" ht="44" customHeight="1">
      <x:c r="A281" s="4" t="str">
        <x:v>REQ-850b9e1ebe7d</x:v>
      </x:c>
      <x:c r="B281" s="4" t="str">
        <x:v>首页与发现</x:v>
      </x:c>
      <x:c r="C281" s="4" t="n">
        <x:v>605</x:v>
      </x:c>
      <x:c r="D281" s="4" t="str">
        <x:v>点击卡片进入充值页。</x:v>
      </x:c>
      <x:c r="E281" s="4" t="str">
        <x:v>尚未建立场景映射</x:v>
      </x:c>
      <x:c r="F281" s="4" t="str"/>
      <x:c r="G281" s="4" t="str">
        <x:v>本轮独立来源库保留该已知条款，但尚未建立可核验的正式场景映射；不是无业务依据，也不转为产品待确认。</x:v>
      </x:c>
    </x:row>
    <x:row r="282" ht="44" customHeight="1">
      <x:c r="A282" s="4" t="str">
        <x:v>REQ-18d996ff9b5b</x:v>
      </x:c>
      <x:c r="B282" s="4" t="str">
        <x:v>首页与发现</x:v>
      </x:c>
      <x:c r="C282" s="4" t="n">
        <x:v>606</x:v>
      </x:c>
      <x:c r="D282" s="4" t="str">
        <x:v>卡片「+10金币」取套餐中赠送金币最多的数值。</x:v>
      </x:c>
      <x:c r="E282" s="4" t="str">
        <x:v>整段分支核验未闭合</x:v>
      </x:c>
      <x:c r="F282" s="4" t="str">
        <x:v>USER-0688</x:v>
      </x:c>
      <x:c r="G282" s="4" t="str">
        <x:v>本段剩余子句、条件组合及状态后续影响仍需与独立规则逐项闭合；这是生成覆盖缺口，不是产品决策缺失。</x:v>
      </x:c>
    </x:row>
    <x:row r="283" ht="57" customHeight="1">
      <x:c r="A283" s="4" t="str">
        <x:v>REQ-bf6df4adff21</x:v>
      </x:c>
      <x:c r="B283" s="4" t="str">
        <x:v>首页与发现</x:v>
      </x:c>
      <x:c r="C283" s="4" t="n">
        <x:v>607</x:v>
      </x:c>
      <x:c r="D283" s="4" t="str">
        <x:v>每日签到与任务中心统一由管理后台「运营配置 → 任务配置」维护；配置四语名称、启停状态、生效时间、用户动作、统计维度、统计周期及条件对应的金币奖励。</x:v>
      </x:c>
      <x:c r="E283" s="4" t="str">
        <x:v>整段分支核验未闭合</x:v>
      </x:c>
      <x:c r="F283" s="4" t="str">
        <x:v>USER-0245、USER-0246、USER-0247</x:v>
      </x:c>
      <x:c r="G283" s="4" t="str">
        <x:v>本段剩余子句、条件组合及状态后续影响仍需与独立规则逐项闭合；这是生成覆盖缺口，不是产品决策缺失。</x:v>
      </x:c>
    </x:row>
    <x:row r="284" ht="44" customHeight="1">
      <x:c r="A284" s="4" t="str">
        <x:v>REQ-9ef14bed6d45</x:v>
      </x:c>
      <x:c r="B284" s="4" t="str">
        <x:v>首页与发现</x:v>
      </x:c>
      <x:c r="C284" s="4" t="n">
        <x:v>608</x:v>
      </x:c>
      <x:c r="D284" s="4" t="str">
        <x:v>仅启用且处于生效时间内的任务产生新进度；停用不回收已领取奖励。奖励仅为金币，不自动发放。</x:v>
      </x:c>
      <x:c r="E284" s="4" t="str">
        <x:v>尚未建立场景映射</x:v>
      </x:c>
      <x:c r="F284" s="4" t="str"/>
      <x:c r="G284" s="4" t="str">
        <x:v>本轮独立来源库保留该已知条款，但尚未建立可核验的正式场景映射；不是无业务依据，也不转为产品待确认。</x:v>
      </x:c>
    </x:row>
    <x:row r="285" ht="44" customHeight="1">
      <x:c r="A285" s="4" t="str">
        <x:v>REQ-1ad040f36e2f</x:v>
      </x:c>
      <x:c r="B285" s="4" t="str">
        <x:v>首页与发现</x:v>
      </x:c>
      <x:c r="C285" s="4" t="n">
        <x:v>609</x:v>
      </x:c>
      <x:c r="D285" s="4" t="str">
        <x:v>同一任务至少配置一个条件；条件为互不重复的正整数，每个条件对应正整数金币奖励。</x:v>
      </x:c>
      <x:c r="E285" s="4" t="str">
        <x:v>尚未建立场景映射</x:v>
      </x:c>
      <x:c r="F285" s="4" t="str"/>
      <x:c r="G285" s="4" t="str">
        <x:v>本轮独立来源库保留该已知条款，但尚未建立可核验的正式场景映射；不是无业务依据，也不转为产品待确认。</x:v>
      </x:c>
    </x:row>
    <x:row r="286" ht="44" customHeight="1">
      <x:c r="A286" s="4" t="str">
        <x:v>REQ-97320cbd6d67</x:v>
      </x:c>
      <x:c r="B286" s="4" t="str">
        <x:v>首页与发现</x:v>
      </x:c>
      <x:c r="C286" s="4" t="n">
        <x:v>610</x:v>
      </x:c>
      <x:c r="D286" s="4" t="str">
        <x:v>对应后台「登录 App → 连续登录天数」，按「连续第 n 天」配置金币奖励；连续天数以手动签到成功为准，仅登录不计为签到。</x:v>
      </x:c>
      <x:c r="E286" s="4" t="str">
        <x:v>整段分支核验未闭合</x:v>
      </x:c>
      <x:c r="F286" s="4" t="str">
        <x:v>USER-0245、USER-0246、USER-0247、USER-0248</x:v>
      </x:c>
      <x:c r="G286" s="4" t="str">
        <x:v>本段剩余子句、条件组合及状态后续影响仍需与独立规则逐项闭合；这是生成覆盖缺口，不是产品决策缺失。</x:v>
      </x:c>
    </x:row>
    <x:row r="287" ht="44" customHeight="1">
      <x:c r="A287" s="4" t="str">
        <x:v>REQ-ab820593d424</x:v>
      </x:c>
      <x:c r="B287" s="4" t="str">
        <x:v>首页与发现</x:v>
      </x:c>
      <x:c r="C287" s="4" t="n">
        <x:v>611</x:v>
      </x:c>
      <x:c r="D287" s="4" t="str">
        <x:v>页面展示连续签到天数、已签到日、今天及后续金币奖励；各天奖励取当前后台配置，不固定为演示金额。</x:v>
      </x:c>
      <x:c r="E287" s="4" t="str">
        <x:v>整段分支核验未闭合</x:v>
      </x:c>
      <x:c r="F287" s="4" t="str">
        <x:v>USER-0245、USER-0246、USER-0247、USER-0248</x:v>
      </x:c>
      <x:c r="G287" s="4" t="str">
        <x:v>本段剩余子句、条件组合及状态后续影响仍需与独立规则逐项闭合；这是生成覆盖缺口，不是产品决策缺失。</x:v>
      </x:c>
    </x:row>
    <x:row r="288" ht="44" customHeight="1">
      <x:c r="A288" s="4" t="str">
        <x:v>REQ-4d0358d54570</x:v>
      </x:c>
      <x:c r="B288" s="4" t="str">
        <x:v>首页与发现</x:v>
      </x:c>
      <x:c r="C288" s="4" t="n">
        <x:v>612</x:v>
      </x:c>
      <x:c r="D288" s="4" t="str">
        <x:v>点击「签到」成功后才计入连续天数并领取当日金币；提示到账，按钮变为「已签到」并禁用，同一账号同一日不可重复领取。</x:v>
      </x:c>
      <x:c r="E288" s="4" t="str">
        <x:v>整段分支核验未闭合</x:v>
      </x:c>
      <x:c r="F288" s="4" t="str">
        <x:v>USER-0245、USER-0246、USER-0247、USER-0248</x:v>
      </x:c>
      <x:c r="G288" s="4" t="str">
        <x:v>本段剩余子句、条件组合及状态后续影响仍需与独立规则逐项闭合；这是生成覆盖缺口，不是产品决策缺失。</x:v>
      </x:c>
    </x:row>
    <x:row r="289" ht="44" customHeight="1">
      <x:c r="A289" s="4" t="str">
        <x:v>REQ-87b984d32f90</x:v>
      </x:c>
      <x:c r="B289" s="4" t="str">
        <x:v>首页与发现</x:v>
      </x:c>
      <x:c r="C289" s="4" t="n">
        <x:v>613</x:v>
      </x:c>
      <x:c r="D289" s="4" t="str">
        <x:v>当日未手动签到即断签，即使已登录也拿不到当日奖励；次日登录后须重新手动签到，连续天数及奖励从第 1 天重算。</x:v>
      </x:c>
      <x:c r="E289" s="4" t="str">
        <x:v>整段分支核验未闭合</x:v>
      </x:c>
      <x:c r="F289" s="4" t="str">
        <x:v>USER-0245、USER-0246、USER-0247、USER-0248</x:v>
      </x:c>
      <x:c r="G289" s="4" t="str">
        <x:v>本段剩余子句、条件组合及状态后续影响仍需与独立规则逐项闭合；这是生成覆盖缺口，不是产品决策缺失。</x:v>
      </x:c>
    </x:row>
    <x:row r="290" ht="44" customHeight="1">
      <x:c r="A290" s="4" t="str">
        <x:v>REQ-6a839b7cf44a</x:v>
      </x:c>
      <x:c r="B290" s="4" t="str">
        <x:v>首页与发现</x:v>
      </x:c>
      <x:c r="C290" s="4" t="n">
        <x:v>614</x:v>
      </x:c>
      <x:c r="D290" s="4" t="str">
        <x:v>超过后台配置的最高连续天数 n 后，第 n+1 天及以后每天签到均领取第 n 天的奖励，直至断签；不自动循环。</x:v>
      </x:c>
      <x:c r="E290" s="4" t="str">
        <x:v>整段分支核验未闭合</x:v>
      </x:c>
      <x:c r="F290" s="4" t="str">
        <x:v>USER-0245、USER-0246、USER-0247、USER-0248</x:v>
      </x:c>
      <x:c r="G290" s="4" t="str">
        <x:v>本段剩余子句、条件组合及状态后续影响仍需与独立规则逐项闭合；这是生成覆盖缺口，不是产品决策缺失。</x:v>
      </x:c>
    </x:row>
    <x:row r="291" ht="44" customHeight="1">
      <x:c r="A291" s="4" t="str">
        <x:v>REQ-6015ad1aaa2f</x:v>
      </x:c>
      <x:c r="B291" s="4" t="str">
        <x:v>首页与发现</x:v>
      </x:c>
      <x:c r="C291" s="4" t="n">
        <x:v>615</x:v>
      </x:c>
      <x:c r="D291" s="4" t="str">
        <x:v>例如仅配置第 1 天 +20、第 2 天 +30，则连续第 3 天起每天签到均领取 +30；断签后重新签到按第 1 天领取 +20。</x:v>
      </x:c>
      <x:c r="E291" s="4" t="str">
        <x:v>整段分支核验未闭合</x:v>
      </x:c>
      <x:c r="F291" s="4" t="str">
        <x:v>USER-0245、USER-0246、USER-0247、USER-0248</x:v>
      </x:c>
      <x:c r="G291" s="4" t="str">
        <x:v>本段剩余子句、条件组合及状态后续影响仍需与独立规则逐项闭合；这是生成覆盖缺口，不是产品决策缺失。</x:v>
      </x:c>
    </x:row>
    <x:row r="292" ht="57" customHeight="1">
      <x:c r="A292" s="4" t="str">
        <x:v>REQ-a1b71811e1c9</x:v>
      </x:c>
      <x:c r="B292" s="4" t="str">
        <x:v>首页与发现</x:v>
      </x:c>
      <x:c r="C292" s="4" t="n">
        <x:v>616</x:v>
      </x:c>
      <x:c r="D292" s="4" t="str">
        <x:v>任务使用后台预置动作及对应指标，如观看时长、赠礼次数或金币数、分享次数、有效邀请人数；展示名称、目标值、当前进度、金币奖励和领取状态。</x:v>
      </x:c>
      <x:c r="E292" s="4" t="str">
        <x:v>尚未建立场景映射</x:v>
      </x:c>
      <x:c r="F292" s="4" t="str"/>
      <x:c r="G292" s="4" t="str">
        <x:v>本轮独立来源库保留该已知条款，但尚未建立可核验的正式场景映射；不是无业务依据，也不转为产品待确认。</x:v>
      </x:c>
    </x:row>
    <x:row r="293" ht="44" customHeight="1">
      <x:c r="A293" s="4" t="str">
        <x:v>REQ-cf5cb96cec55</x:v>
      </x:c>
      <x:c r="B293" s="4" t="str">
        <x:v>首页与发现</x:v>
      </x:c>
      <x:c r="C293" s="4" t="n">
        <x:v>617</x:v>
      </x:c>
      <x:c r="D293" s="4" t="str">
        <x:v>每日、每周、每月任务在新周期开始时进度归零；无周期任务在任务有效期内持续累计。可选周期以后台对应指标为准。</x:v>
      </x:c>
      <x:c r="E293" s="4" t="str">
        <x:v>整段分支核验未闭合</x:v>
      </x:c>
      <x:c r="F293" s="4" t="str">
        <x:v>USER-0246、USER-0247</x:v>
      </x:c>
      <x:c r="G293" s="4" t="str">
        <x:v>本段剩余子句、条件组合及状态后续影响仍需与独立规则逐项闭合；这是生成覆盖缺口，不是产品决策缺失。</x:v>
      </x:c>
    </x:row>
    <x:row r="294" ht="44" customHeight="1">
      <x:c r="A294" s="4" t="str">
        <x:v>REQ-c1796e8ee348</x:v>
      </x:c>
      <x:c r="B294" s="4" t="str">
        <x:v>首页与发现</x:v>
      </x:c>
      <x:c r="C294" s="4" t="n">
        <x:v>618</x:v>
      </x:c>
      <x:c r="D294" s="4" t="str">
        <x:v>达到条件后可手动领取该档金币；同一账号、同一任务周期内，每个条件独立领取一次。未达成不能领取，已领取不能重复领取。</x:v>
      </x:c>
      <x:c r="E294" s="4" t="str">
        <x:v>整段分支核验未闭合</x:v>
      </x:c>
      <x:c r="F294" s="4" t="str">
        <x:v>USER-0245、USER-0783、USER-0784</x:v>
      </x:c>
      <x:c r="G294" s="4" t="str">
        <x:v>本段剩余子句、条件组合及状态后续影响仍需与独立规则逐项闭合；这是生成覆盖缺口，不是产品决策缺失。</x:v>
      </x:c>
    </x:row>
    <x:row r="295" ht="72" customHeight="1">
      <x:c r="A295" s="4" t="str">
        <x:v>REQ-dcd9abdf8544</x:v>
      </x:c>
      <x:c r="B295" s="4" t="str">
        <x:v>首页与发现</x:v>
      </x:c>
      <x:c r="C295" s="4" t="n">
        <x:v>619</x:v>
      </x:c>
      <x:c r="D295" s="4" t="str">
        <x:v>任务达标获得奖励后，须在获得奖励当天 23:59 之前手动领取；周期任务（每日、每周、每月）和无周期任务均适用，领取有效期不随任务周期延长。逾期奖励失效，不自动发放，也不能补领。领取时须校验有效期，已失效则不发放奖励并提示「奖励已失效」。</x:v>
      </x:c>
      <x:c r="E295" s="4" t="str">
        <x:v>整段分支核验未闭合</x:v>
      </x:c>
      <x:c r="F295" s="4" t="str">
        <x:v>USER-0245、USER-0246、USER-0247</x:v>
      </x:c>
      <x:c r="G295" s="4" t="str">
        <x:v>本段剩余子句、条件组合及状态后续影响仍需与独立规则逐项闭合；这是生成覆盖缺口，不是产品决策缺失。</x:v>
      </x:c>
    </x:row>
    <x:row r="296" ht="44" customHeight="1">
      <x:c r="A296" s="4" t="str">
        <x:v>REQ-4a4228d2744b</x:v>
      </x:c>
      <x:c r="B296" s="4" t="str">
        <x:v>首页与发现</x:v>
      </x:c>
      <x:c r="C296" s="4" t="n">
        <x:v>620</x:v>
      </x:c>
      <x:c r="D296" s="4" t="str">
        <x:v>领取成功后更新领取记录、钱包金币余额及金币流水；重复点击或重试不得重复入账。领取失败时不改为已领取，提示失败并允许重试。</x:v>
      </x:c>
      <x:c r="E296" s="4" t="str">
        <x:v>整段分支核验未闭合</x:v>
      </x:c>
      <x:c r="F296" s="4" t="str">
        <x:v>USER-0689、USER-0690、USER-0691</x:v>
      </x:c>
      <x:c r="G296" s="4" t="str">
        <x:v>本段剩余子句、条件组合及状态后续影响仍需与独立规则逐项闭合；这是生成覆盖缺口，不是产品决策缺失。</x:v>
      </x:c>
    </x:row>
    <x:row r="297" ht="57" customHeight="1">
      <x:c r="A297" s="4" t="str">
        <x:v>REQ-82a825a0e8be</x:v>
      </x:c>
      <x:c r="B297" s="4" t="str">
        <x:v>首页与发现</x:v>
      </x:c>
      <x:c r="C297" s="4" t="n">
        <x:v>621</x:v>
      </x:c>
      <x:c r="D297" s="4" t="str">
        <x:v>当前 P012：观看任务未完成时点击奖励提示「任务尚未完成」；分享入口提示前往直播间分享；已达成的赠礼任务点击奖励后显示「已领取」。</x:v>
      </x:c>
      <x:c r="E297" s="4" t="str">
        <x:v>尚未建立场景映射</x:v>
      </x:c>
      <x:c r="F297" s="4" t="str"/>
      <x:c r="G297" s="4" t="str">
        <x:v>本轮独立来源库保留该已知条款，但尚未建立可核验的正式场景映射；不是无业务依据，也不转为产品待确认。</x:v>
      </x:c>
    </x:row>
    <x:row r="298" ht="57" customHeight="1">
      <x:c r="A298" s="4" t="str">
        <x:v>REQ-ee270bd5644f</x:v>
      </x:c>
      <x:c r="B298" s="4" t="str">
        <x:v>首页与发现</x:v>
      </x:c>
      <x:c r="C298" s="4" t="n">
        <x:v>622</x:v>
      </x:c>
      <x:c r="D298" s="4" t="str">
        <x:v>游客可浏览并进入邀请好友页；签到、领奖和充值操作跳转登录。运营账号可浏览福利一级页，点击其中任意功能入口提示“运营账号无法操作”，不参与签到、任务及领奖。</x:v>
      </x:c>
      <x:c r="E298" s="4" t="str">
        <x:v>整段分支核验未闭合</x:v>
      </x:c>
      <x:c r="F298" s="4" t="str">
        <x:v>USER-0245、USER-0246、USER-0247</x:v>
      </x:c>
      <x:c r="G298" s="4" t="str">
        <x:v>本段剩余子句、条件组合及状态后续影响仍需与独立规则逐项闭合；这是生成覆盖缺口，不是产品决策缺失。</x:v>
      </x:c>
    </x:row>
    <x:row r="299" ht="44" customHeight="1">
      <x:c r="A299" s="4" t="str">
        <x:v>REQ-3c7e1d9db425</x:v>
      </x:c>
      <x:c r="B299" s="4" t="str">
        <x:v>首页与发现</x:v>
      </x:c>
      <x:c r="C299" s="4" t="n">
        <x:v>627</x:v>
      </x:c>
      <x:c r="D299" s="4" t="str">
        <x:v>任务范围：仅展示观看直播 30 分钟、送出任意 1 个礼物、分享 1 个直播间。</x:v>
      </x:c>
      <x:c r="E299" s="4" t="str">
        <x:v>整段分支核验未闭合</x:v>
      </x:c>
      <x:c r="F299" s="4" t="str">
        <x:v>USER-0249、USER-0250、USER-0251</x:v>
      </x:c>
      <x:c r="G299" s="4" t="str">
        <x:v>本段剩余子句、条件组合及状态后续影响仍需与独立规则逐项闭合；这是生成覆盖缺口，不是产品决策缺失。</x:v>
      </x:c>
    </x:row>
    <x:row r="300" ht="44" customHeight="1">
      <x:c r="A300" s="4" t="str">
        <x:v>REQ-c37bf0e509ae</x:v>
      </x:c>
      <x:c r="B300" s="4" t="str">
        <x:v>首页与发现</x:v>
      </x:c>
      <x:c r="C300" s="4" t="n">
        <x:v>628</x:v>
      </x:c>
      <x:c r="D300" s="4" t="str">
        <x:v>任务进度：展示当前值、目标值和完成状态。</x:v>
      </x:c>
      <x:c r="E300" s="4" t="str">
        <x:v>整段分支核验未闭合</x:v>
      </x:c>
      <x:c r="F300" s="4" t="str">
        <x:v>USER-0249、USER-0250、USER-0251</x:v>
      </x:c>
      <x:c r="G300" s="4" t="str">
        <x:v>本段剩余子句、条件组合及状态后续影响仍需与独立规则逐项闭合；这是生成覆盖缺口，不是产品决策缺失。</x:v>
      </x:c>
    </x:row>
    <x:row r="301" ht="44" customHeight="1">
      <x:c r="A301" s="4" t="str">
        <x:v>REQ-139bf5a1451b</x:v>
      </x:c>
      <x:c r="B301" s="4" t="str">
        <x:v>首页与发现</x:v>
      </x:c>
      <x:c r="C301" s="4" t="n">
        <x:v>629</x:v>
      </x:c>
      <x:c r="D301" s="4" t="str">
        <x:v>奖励：展示任务完成后可领取的金币数量。</x:v>
      </x:c>
      <x:c r="E301" s="4" t="str">
        <x:v>整段分支核验未闭合</x:v>
      </x:c>
      <x:c r="F301" s="4" t="str">
        <x:v>USER-0249、USER-0250、USER-0251、USER-0252</x:v>
      </x:c>
      <x:c r="G301" s="4" t="str">
        <x:v>本段剩余子句、条件组合及状态后续影响仍需与独立规则逐项闭合；这是生成覆盖缺口，不是产品决策缺失。</x:v>
      </x:c>
    </x:row>
    <x:row r="302" ht="44" customHeight="1">
      <x:c r="A302" s="4" t="str">
        <x:v>REQ-30377b8c96cd</x:v>
      </x:c>
      <x:c r="B302" s="4" t="str">
        <x:v>首页与发现</x:v>
      </x:c>
      <x:c r="C302" s="4" t="n">
        <x:v>630</x:v>
      </x:c>
      <x:c r="D302" s="4" t="str">
        <x:v>操作状态：包括去完成、领取和已领取。</x:v>
      </x:c>
      <x:c r="E302" s="4" t="str">
        <x:v>整段分支核验未闭合</x:v>
      </x:c>
      <x:c r="F302" s="4" t="str">
        <x:v>USER-0249、USER-0250、USER-0251、USER-0252</x:v>
      </x:c>
      <x:c r="G302" s="4" t="str">
        <x:v>本段剩余子句、条件组合及状态后续影响仍需与独立规则逐项闭合；这是生成覆盖缺口，不是产品决策缺失。</x:v>
      </x:c>
    </x:row>
    <x:row r="303" ht="44" customHeight="1">
      <x:c r="A303" s="4" t="str">
        <x:v>REQ-0d35c6a64bd9</x:v>
      </x:c>
      <x:c r="B303" s="4" t="str">
        <x:v>首页与发现</x:v>
      </x:c>
      <x:c r="C303" s="4" t="n">
        <x:v>631</x:v>
      </x:c>
      <x:c r="D303" s="4" t="str">
        <x:v>页面不展示任务统计和任务分类标题。</x:v>
      </x:c>
      <x:c r="E303" s="4" t="str">
        <x:v>尚未建立场景映射</x:v>
      </x:c>
      <x:c r="F303" s="4" t="str"/>
      <x:c r="G303" s="4" t="str">
        <x:v>本轮独立来源库保留该已知条款，但尚未建立可核验的正式场景映射；不是无业务依据，也不转为产品待确认。</x:v>
      </x:c>
    </x:row>
    <x:row r="304" ht="44" customHeight="1">
      <x:c r="A304" s="4" t="str">
        <x:v>REQ-64027ca93b29</x:v>
      </x:c>
      <x:c r="B304" s="4" t="str">
        <x:v>首页与发现</x:v>
      </x:c>
      <x:c r="C304" s="4" t="n">
        <x:v>632</x:v>
      </x:c>
      <x:c r="D304" s="4" t="str">
        <x:v>每个任务实例仅可领取一次，领取后生成对应资产流水。</x:v>
      </x:c>
      <x:c r="E304" s="4" t="str">
        <x:v>整段分支核验未闭合</x:v>
      </x:c>
      <x:c r="F304" s="4" t="str">
        <x:v>USER-0249、USER-0250、USER-0251、USER-0252</x:v>
      </x:c>
      <x:c r="G304" s="4" t="str">
        <x:v>本段剩余子句、条件组合及状态后续影响仍需与独立规则逐项闭合；这是生成覆盖缺口，不是产品决策缺失。</x:v>
      </x:c>
    </x:row>
    <x:row r="305" ht="44" customHeight="1">
      <x:c r="A305" s="4" t="str">
        <x:v>REQ-3f5f1f726bc3</x:v>
      </x:c>
      <x:c r="B305" s="4" t="str">
        <x:v>首页与发现</x:v>
      </x:c>
      <x:c r="C305" s="4" t="n">
        <x:v>633</x:v>
      </x:c>
      <x:c r="D305" s="4" t="str">
        <x:v>运营账号不可进入本页、做任务或领取任务奖励。</x:v>
      </x:c>
      <x:c r="E305" s="4" t="str">
        <x:v>整段分支核验未闭合</x:v>
      </x:c>
      <x:c r="F305" s="4" t="str">
        <x:v>USER-0249、USER-0250、USER-0251、USER-0252</x:v>
      </x:c>
      <x:c r="G305" s="4" t="str">
        <x:v>本段剩余子句、条件组合及状态后续影响仍需与独立规则逐项闭合；这是生成覆盖缺口，不是产品决策缺失。</x:v>
      </x:c>
    </x:row>
    <x:row r="306" ht="44" customHeight="1">
      <x:c r="A306" s="4" t="str">
        <x:v>REQ-ba1acdb7a8b1</x:v>
      </x:c>
      <x:c r="B306" s="4" t="str">
        <x:v>首页与发现</x:v>
      </x:c>
      <x:c r="C306" s="4" t="n">
        <x:v>634</x:v>
      </x:c>
      <x:c r="D306" s="4" t="str">
        <x:v>数据范围：展示当前任务中心的观看直播、送礼和分享任务；按页面配置顺序排列。</x:v>
      </x:c>
      <x:c r="E306" s="4" t="str">
        <x:v>尚未建立场景映射</x:v>
      </x:c>
      <x:c r="F306" s="4" t="str"/>
      <x:c r="G306" s="4" t="str">
        <x:v>本轮独立来源库保留该已知条款，但尚未建立可核验的正式场景映射；不是无业务依据，也不转为产品待确认。</x:v>
      </x:c>
    </x:row>
    <x:row r="307" ht="44" customHeight="1">
      <x:c r="A307" s="4" t="str">
        <x:v>REQ-29668ff3f5d8</x:v>
      </x:c>
      <x:c r="B307" s="4" t="str">
        <x:v>首页与发现</x:v>
      </x:c>
      <x:c r="C307" s="4" t="n">
        <x:v>635</x:v>
      </x:c>
      <x:c r="D307" s="4" t="str">
        <x:v>点击去完成 -&gt; 进入对应功能或提示前往路径。</x:v>
      </x:c>
      <x:c r="E307" s="4" t="str">
        <x:v>整段分支核验未闭合</x:v>
      </x:c>
      <x:c r="F307" s="4" t="str">
        <x:v>USER-0249、USER-0250、USER-0251</x:v>
      </x:c>
      <x:c r="G307" s="4" t="str">
        <x:v>本段剩余子句、条件组合及状态后续影响仍需与独立规则逐项闭合；这是生成覆盖缺口，不是产品决策缺失。</x:v>
      </x:c>
    </x:row>
    <x:row r="308" ht="44" customHeight="1">
      <x:c r="A308" s="4" t="str">
        <x:v>REQ-9d9b03964763</x:v>
      </x:c>
      <x:c r="B308" s="4" t="str">
        <x:v>首页与发现</x:v>
      </x:c>
      <x:c r="C308" s="4" t="n">
        <x:v>636</x:v>
      </x:c>
      <x:c r="D308" s="4" t="str">
        <x:v>点击领取 -&gt; 发放奖励并切换为已领取；点击已领取 -&gt; 不重复发放。</x:v>
      </x:c>
      <x:c r="E308" s="4" t="str">
        <x:v>整段分支核验未闭合</x:v>
      </x:c>
      <x:c r="F308" s="4" t="str">
        <x:v>USER-0249、USER-0250、USER-0251、USER-0252</x:v>
      </x:c>
      <x:c r="G308" s="4" t="str">
        <x:v>本段剩余子句、条件组合及状态后续影响仍需与独立规则逐项闭合；这是生成覆盖缺口，不是产品决策缺失。</x:v>
      </x:c>
    </x:row>
    <x:row r="309" ht="44" customHeight="1">
      <x:c r="A309" s="4" t="str">
        <x:v>REQ-c3c7d67d479f</x:v>
      </x:c>
      <x:c r="B309" s="4" t="str">
        <x:v>首页与发现</x:v>
      </x:c>
      <x:c r="C309" s="4" t="n">
        <x:v>637</x:v>
      </x:c>
      <x:c r="D309" s="4" t="str">
        <x:v>点击返回 -&gt; 回到充值福利页。</x:v>
      </x:c>
      <x:c r="E309" s="4" t="str">
        <x:v>整段分支核验未闭合</x:v>
      </x:c>
      <x:c r="F309" s="4" t="str">
        <x:v>USER-0385</x:v>
      </x:c>
      <x:c r="G309" s="4" t="str">
        <x:v>本段剩余子句、条件组合及状态后续影响仍需与独立规则逐项闭合；这是生成覆盖缺口，不是产品决策缺失。</x:v>
      </x:c>
    </x:row>
    <x:row r="310" ht="44" customHeight="1">
      <x:c r="A310" s="4" t="str">
        <x:v>REQ-1028b23fcb3c</x:v>
      </x:c>
      <x:c r="B310" s="4" t="str">
        <x:v>首页与发现</x:v>
      </x:c>
      <x:c r="C310" s="4" t="n">
        <x:v>642</x:v>
      </x:c>
      <x:c r="D310" s="4" t="str">
        <x:v>已邀请好友：展示成功邀请的好友人数。</x:v>
      </x:c>
      <x:c r="E310" s="4" t="str">
        <x:v>整段分支核验未闭合</x:v>
      </x:c>
      <x:c r="F310" s="4" t="str">
        <x:v>USER-0482、USER-0483</x:v>
      </x:c>
      <x:c r="G310" s="4" t="str">
        <x:v>本段剩余子句、条件组合及状态后续影响仍需与独立规则逐项闭合；这是生成覆盖缺口，不是产品决策缺失。</x:v>
      </x:c>
    </x:row>
    <x:row r="311" ht="44" customHeight="1">
      <x:c r="A311" s="4" t="str">
        <x:v>REQ-99c9c053820e</x:v>
      </x:c>
      <x:c r="B311" s="4" t="str">
        <x:v>首页与发现</x:v>
      </x:c>
      <x:c r="C311" s="4" t="n">
        <x:v>643</x:v>
      </x:c>
      <x:c r="D311" s="4" t="str">
        <x:v>累计获得金币：展示邀请好友获得的金币合计。</x:v>
      </x:c>
      <x:c r="E311" s="4" t="str">
        <x:v>整段分支核验未闭合</x:v>
      </x:c>
      <x:c r="F311" s="4" t="str">
        <x:v>USER-0482、USER-0483</x:v>
      </x:c>
      <x:c r="G311" s="4" t="str">
        <x:v>本段剩余子句、条件组合及状态后续影响仍需与独立规则逐项闭合；这是生成覆盖缺口，不是产品决策缺失。</x:v>
      </x:c>
    </x:row>
    <x:row r="312" ht="44" customHeight="1">
      <x:c r="A312" s="4" t="str">
        <x:v>REQ-d8079cb13024</x:v>
      </x:c>
      <x:c r="B312" s="4" t="str">
        <x:v>首页与发现</x:v>
      </x:c>
      <x:c r="C312" s="4" t="n">
        <x:v>644</x:v>
      </x:c>
      <x:c r="D312" s="4" t="str">
        <x:v>邀请记录：展示好友昵称和邀请日期。</x:v>
      </x:c>
      <x:c r="E312" s="4" t="str">
        <x:v>整段分支核验未闭合</x:v>
      </x:c>
      <x:c r="F312" s="4" t="str">
        <x:v>USER-0610</x:v>
      </x:c>
      <x:c r="G312" s="4" t="str">
        <x:v>本段剩余子句、条件组合及状态后续影响仍需与独立规则逐项闭合；这是生成覆盖缺口，不是产品决策缺失。</x:v>
      </x:c>
    </x:row>
    <x:row r="313" ht="44" customHeight="1">
      <x:c r="A313" s="4" t="str">
        <x:v>REQ-d2b2aa2425d8</x:v>
      </x:c>
      <x:c r="B313" s="4" t="str">
        <x:v>首页与发现</x:v>
      </x:c>
      <x:c r="C313" s="4" t="n">
        <x:v>645</x:v>
      </x:c>
      <x:c r="D313" s="4" t="str">
        <x:v>每成功邀请 1 位好友，可获得 10 金币。</x:v>
      </x:c>
      <x:c r="E313" s="4" t="str">
        <x:v>整段分支核验未闭合</x:v>
      </x:c>
      <x:c r="F313" s="4" t="str">
        <x:v>USER-0482、USER-0483</x:v>
      </x:c>
      <x:c r="G313" s="4" t="str">
        <x:v>本段剩余子句、条件组合及状态后续影响仍需与独立规则逐项闭合；这是生成覆盖缺口，不是产品决策缺失。</x:v>
      </x:c>
    </x:row>
    <x:row r="314" ht="44" customHeight="1">
      <x:c r="A314" s="4" t="str">
        <x:v>REQ-7ccfa7f59f24</x:v>
      </x:c>
      <x:c r="B314" s="4" t="str">
        <x:v>首页与发现</x:v>
      </x:c>
      <x:c r="C314" s="4" t="n">
        <x:v>646</x:v>
      </x:c>
      <x:c r="D314" s="4" t="str">
        <x:v>累计获得金币 = 成功邀请好友人数 × 10；具体奖励以活动页面展示为准。</x:v>
      </x:c>
      <x:c r="E314" s="4" t="str">
        <x:v>整段分支核验未闭合</x:v>
      </x:c>
      <x:c r="F314" s="4" t="str">
        <x:v>USER-0482、USER-0483</x:v>
      </x:c>
      <x:c r="G314" s="4" t="str">
        <x:v>本段剩余子句、条件组合及状态后续影响仍需与独立规则逐项闭合；这是生成覆盖缺口，不是产品决策缺失。</x:v>
      </x:c>
    </x:row>
    <x:row r="315" ht="44" customHeight="1">
      <x:c r="A315" s="4" t="str">
        <x:v>REQ-abc8e1c873de</x:v>
      </x:c>
      <x:c r="B315" s="4" t="str">
        <x:v>首页与发现</x:v>
      </x:c>
      <x:c r="C315" s="4" t="n">
        <x:v>647</x:v>
      </x:c>
      <x:c r="D315" s="4" t="str">
        <x:v>数据范围：当前账号成功邀请的好友及对应奖励；邀请记录按邀请日期倒序展示并分页。</x:v>
      </x:c>
      <x:c r="E315" s="4" t="str">
        <x:v>整段分支核验未闭合</x:v>
      </x:c>
      <x:c r="F315" s="4" t="str">
        <x:v>USER-0482、USER-0483、USER-0484</x:v>
      </x:c>
      <x:c r="G315" s="4" t="str">
        <x:v>本段剩余子句、条件组合及状态后续影响仍需与独立规则逐项闭合；这是生成覆盖缺口，不是产品决策缺失。</x:v>
      </x:c>
    </x:row>
    <x:row r="316" ht="44" customHeight="1">
      <x:c r="A316" s="4" t="str">
        <x:v>REQ-14266a0a495d</x:v>
      </x:c>
      <x:c r="B316" s="4" t="str">
        <x:v>首页与发现</x:v>
      </x:c>
      <x:c r="C316" s="4" t="n">
        <x:v>648</x:v>
      </x:c>
      <x:c r="D316" s="4" t="str">
        <x:v>切换奖励/邀请记录 -&gt; 展示统计或记录列表。</x:v>
      </x:c>
      <x:c r="E316" s="4" t="str">
        <x:v>尚未建立场景映射</x:v>
      </x:c>
      <x:c r="F316" s="4" t="str"/>
      <x:c r="G316" s="4" t="str">
        <x:v>本轮独立来源库保留该已知条款，但尚未建立可核验的正式场景映射；不是无业务依据，也不转为产品待确认。</x:v>
      </x:c>
    </x:row>
    <x:row r="317" ht="44" customHeight="1">
      <x:c r="A317" s="4" t="str">
        <x:v>REQ-0c5010af8a9d</x:v>
      </x:c>
      <x:c r="B317" s="4" t="str">
        <x:v>首页与发现</x:v>
      </x:c>
      <x:c r="C317" s="4" t="n">
        <x:v>649</x:v>
      </x:c>
      <x:c r="D317" s="4" t="str">
        <x:v>邀请记录超过一页 -&gt; 点击上一页/下一页翻页。</x:v>
      </x:c>
      <x:c r="E317" s="4" t="str">
        <x:v>尚未建立场景映射</x:v>
      </x:c>
      <x:c r="F317" s="4" t="str"/>
      <x:c r="G317" s="4" t="str">
        <x:v>本轮独立来源库保留该已知条款，但尚未建立可核验的正式场景映射；不是无业务依据，也不转为产品待确认。</x:v>
      </x:c>
    </x:row>
    <x:row r="318" ht="44" customHeight="1">
      <x:c r="A318" s="4" t="str">
        <x:v>REQ-790ed0bb1222</x:v>
      </x:c>
      <x:c r="B318" s="4" t="str">
        <x:v>首页与发现</x:v>
      </x:c>
      <x:c r="C318" s="4" t="n">
        <x:v>650</x:v>
      </x:c>
      <x:c r="D318" s="4" t="str">
        <x:v>点击邀请好友 -&gt; 打开复制链接、发送给好友和保存图片选项。</x:v>
      </x:c>
      <x:c r="E318" s="4" t="str">
        <x:v>尚未建立场景映射</x:v>
      </x:c>
      <x:c r="F318" s="4" t="str"/>
      <x:c r="G318" s="4" t="str">
        <x:v>本轮独立来源库保留该已知条款，但尚未建立可核验的正式场景映射；不是无业务依据，也不转为产品待确认。</x:v>
      </x:c>
    </x:row>
    <x:row r="319" ht="44" customHeight="1">
      <x:c r="A319" s="4" t="str">
        <x:v>REQ-9ea66b054fba</x:v>
      </x:c>
      <x:c r="B319" s="4" t="str">
        <x:v>消息与社交</x:v>
      </x:c>
      <x:c r="C319" s="4" t="n">
        <x:v>655</x:v>
      </x:c>
      <x:c r="D319" s="4" t="str">
        <x:v>会话：展示头像、名称、最后一条消息、最后消息时间和未读数。</x:v>
      </x:c>
      <x:c r="E319" s="4" t="str">
        <x:v>尚未建立场景映射</x:v>
      </x:c>
      <x:c r="F319" s="4" t="str"/>
      <x:c r="G319" s="4" t="str">
        <x:v>本轮独立来源库保留该已知条款，但尚未建立可核验的正式场景映射；不是无业务依据，也不转为产品待确认。</x:v>
      </x:c>
    </x:row>
    <x:row r="320" ht="44" customHeight="1">
      <x:c r="A320" s="4" t="str">
        <x:v>REQ-9b2c6b9ae474</x:v>
      </x:c>
      <x:c r="B320" s="4" t="str">
        <x:v>消息与社交</x:v>
      </x:c>
      <x:c r="C320" s="4" t="n">
        <x:v>656</x:v>
      </x:c>
      <x:c r="D320" s="4" t="str">
        <x:v>排序：系统通知、互动通知固定置顶；其余会话按最后消息时间倒序，时间相同时按会话 ID 从大到小排序。</x:v>
      </x:c>
      <x:c r="E320" s="4" t="str">
        <x:v>整段分支核验未闭合</x:v>
      </x:c>
      <x:c r="F320" s="4" t="str">
        <x:v>USER-0669、USER-0759</x:v>
      </x:c>
      <x:c r="G320" s="4" t="str">
        <x:v>本段剩余子句、条件组合及状态后续影响仍需与独立规则逐项闭合；这是生成覆盖缺口，不是产品决策缺失。</x:v>
      </x:c>
    </x:row>
    <x:row r="321" ht="44" customHeight="1">
      <x:c r="A321" s="4" t="str">
        <x:v>REQ-322341a6d597</x:v>
      </x:c>
      <x:c r="B321" s="4" t="str">
        <x:v>消息与社交</x:v>
      </x:c>
      <x:c r="C321" s="4" t="n">
        <x:v>657</x:v>
      </x:c>
      <x:c r="D321" s="4" t="str">
        <x:v>消息分类：包括系统通知、互动通知、私信和粉丝团群聊。</x:v>
      </x:c>
      <x:c r="E321" s="4" t="str">
        <x:v>整段分支核验未闭合</x:v>
      </x:c>
      <x:c r="F321" s="4" t="str">
        <x:v>USER-0275、USER-0276</x:v>
      </x:c>
      <x:c r="G321" s="4" t="str">
        <x:v>本段剩余子句、条件组合及状态后续影响仍需与独立规则逐项闭合；这是生成覆盖缺口，不是产品决策缺失。</x:v>
      </x:c>
    </x:row>
    <x:row r="322" ht="44" customHeight="1">
      <x:c r="A322" s="4" t="str">
        <x:v>REQ-e39bf53173c0</x:v>
      </x:c>
      <x:c r="B322" s="4" t="str">
        <x:v>消息与社交</x:v>
      </x:c>
      <x:c r="C322" s="4" t="n">
        <x:v>658</x:v>
      </x:c>
      <x:c r="D322" s="4" t="str">
        <x:v>系统通知、互动通知固定置顶在顶部，不随最后消息时间参与会话排序；私信和粉丝群分别维护会话。</x:v>
      </x:c>
      <x:c r="E322" s="4" t="str">
        <x:v>整段分支核验未闭合</x:v>
      </x:c>
      <x:c r="F322" s="4" t="str">
        <x:v>USER-0275、USER-0276、USER-0669</x:v>
      </x:c>
      <x:c r="G322" s="4" t="str">
        <x:v>本段剩余子句、条件组合及状态后续影响仍需与独立规则逐项闭合；这是生成覆盖缺口，不是产品决策缺失。</x:v>
      </x:c>
    </x:row>
    <x:row r="323" ht="44" customHeight="1">
      <x:c r="A323" s="4" t="str">
        <x:v>REQ-ee1bffb9a9c7</x:v>
      </x:c>
      <x:c r="B323" s="4" t="str">
        <x:v>消息与社交</x:v>
      </x:c>
      <x:c r="C323" s="4" t="n">
        <x:v>659</x:v>
      </x:c>
      <x:c r="D323" s="4" t="str">
        <x:v>私信发送权限按好友、非好友 3 条上限和拉黑关系校验。</x:v>
      </x:c>
      <x:c r="E323" s="4" t="str">
        <x:v>整段分支核验未闭合</x:v>
      </x:c>
      <x:c r="F323" s="4" t="str">
        <x:v>USER-0275、USER-0276</x:v>
      </x:c>
      <x:c r="G323" s="4" t="str">
        <x:v>本段剩余子句、条件组合及状态后续影响仍需与独立规则逐项闭合；这是生成覆盖缺口，不是产品决策缺失。</x:v>
      </x:c>
    </x:row>
    <x:row r="324" ht="44" customHeight="1">
      <x:c r="A324" s="4" t="str">
        <x:v>REQ-7cbf38d7f635</x:v>
      </x:c>
      <x:c r="B324" s="4" t="str">
        <x:v>消息与社交</x:v>
      </x:c>
      <x:c r="C324" s="4" t="n">
        <x:v>660</x:v>
      </x:c>
      <x:c r="D324" s="4" t="str">
        <x:v>粉丝群仅对有效团籍成员开放；团籍失效后移除对应会话权限。</x:v>
      </x:c>
      <x:c r="E324" s="4" t="str">
        <x:v>尚未建立场景映射</x:v>
      </x:c>
      <x:c r="F324" s="4" t="str"/>
      <x:c r="G324" s="4" t="str">
        <x:v>本轮独立来源库保留该已知条款，但尚未建立可核验的正式场景映射；不是无业务依据，也不转为产品待确认。</x:v>
      </x:c>
    </x:row>
    <x:row r="325" ht="44" customHeight="1">
      <x:c r="A325" s="4" t="str">
        <x:v>REQ-8dfe9d1f36e0</x:v>
      </x:c>
      <x:c r="B325" s="4" t="str">
        <x:v>消息与社交</x:v>
      </x:c>
      <x:c r="C325" s="4" t="n">
        <x:v>661</x:v>
      </x:c>
      <x:c r="D325" s="4" t="str">
        <x:v>数据范围：当前登录账号的私信和有效粉丝团会话；系统通知、互动通知使用独立入口。</x:v>
      </x:c>
      <x:c r="E325" s="4" t="str">
        <x:v>整段分支核验未闭合</x:v>
      </x:c>
      <x:c r="F325" s="4" t="str">
        <x:v>USER-0275、USER-0276</x:v>
      </x:c>
      <x:c r="G325" s="4" t="str">
        <x:v>本段剩余子句、条件组合及状态后续影响仍需与独立规则逐项闭合；这是生成覆盖缺口，不是产品决策缺失。</x:v>
      </x:c>
    </x:row>
    <x:row r="326" ht="44" customHeight="1">
      <x:c r="A326" s="4" t="str">
        <x:v>REQ-0030121a7cb5</x:v>
      </x:c>
      <x:c r="B326" s="4" t="str">
        <x:v>消息与社交</x:v>
      </x:c>
      <x:c r="C326" s="4" t="n">
        <x:v>662</x:v>
      </x:c>
      <x:c r="D326" s="4" t="str">
        <x:v>排序：会话按最后消息时间倒序；时间相同按会话 ID 从大到小排序。</x:v>
      </x:c>
      <x:c r="E326" s="4" t="str">
        <x:v>整段分支核验未闭合</x:v>
      </x:c>
      <x:c r="F326" s="4" t="str">
        <x:v>USER-0670</x:v>
      </x:c>
      <x:c r="G326" s="4" t="str">
        <x:v>本段剩余子句、条件组合及状态后续影响仍需与独立规则逐项闭合；这是生成覆盖缺口，不是产品决策缺失。</x:v>
      </x:c>
    </x:row>
    <x:row r="327" ht="44" customHeight="1">
      <x:c r="A327" s="4" t="str">
        <x:v>REQ-4f52093f9a0d</x:v>
      </x:c>
      <x:c r="B327" s="4" t="str">
        <x:v>消息与社交</x:v>
      </x:c>
      <x:c r="C327" s="4" t="n">
        <x:v>663</x:v>
      </x:c>
      <x:c r="D327" s="4" t="str">
        <x:v>进入会话 -&gt; 清除该会话未读数；收到新消息 -&gt; 更新最后消息、时间、排序和未读数。</x:v>
      </x:c>
      <x:c r="E327" s="4" t="str">
        <x:v>整段分支核验未闭合</x:v>
      </x:c>
      <x:c r="F327" s="4" t="str">
        <x:v>USER-0671、USER-0672、USER-0673、USER-0674</x:v>
      </x:c>
      <x:c r="G327" s="4" t="str">
        <x:v>本段剩余子句、条件组合及状态后续影响仍需与独立规则逐项闭合；这是生成覆盖缺口，不是产品决策缺失。</x:v>
      </x:c>
    </x:row>
    <x:row r="328" ht="44" customHeight="1">
      <x:c r="A328" s="4" t="str">
        <x:v>REQ-3da68feb6dc8</x:v>
      </x:c>
      <x:c r="B328" s="4" t="str">
        <x:v>消息与社交</x:v>
      </x:c>
      <x:c r="C328" s="4" t="n">
        <x:v>668</x:v>
      </x:c>
      <x:c r="D328" s="4" t="str">
        <x:v>通知类型：包括公会关系、主播身份、直播权限和平台系统通知。</x:v>
      </x:c>
      <x:c r="E328" s="4" t="str">
        <x:v>尚未建立场景映射</x:v>
      </x:c>
      <x:c r="F328" s="4" t="str"/>
      <x:c r="G328" s="4" t="str">
        <x:v>本轮独立来源库保留该已知条款，但尚未建立可核验的正式场景映射；不是无业务依据，也不转为产品待确认。</x:v>
      </x:c>
    </x:row>
    <x:row r="329" ht="44" customHeight="1">
      <x:c r="A329" s="4" t="str">
        <x:v>REQ-b815484d7cf5</x:v>
      </x:c>
      <x:c r="B329" s="4" t="str">
        <x:v>消息与社交</x:v>
      </x:c>
      <x:c r="C329" s="4" t="n">
        <x:v>669</x:v>
      </x:c>
      <x:c r="D329" s="4" t="str">
        <x:v>通知时间：按服务端生成时间倒序；时间相同时按通知 ID 从大到小排序。</x:v>
      </x:c>
      <x:c r="E329" s="4" t="str">
        <x:v>尚未建立场景映射</x:v>
      </x:c>
      <x:c r="F329" s="4" t="str"/>
      <x:c r="G329" s="4" t="str">
        <x:v>本轮独立来源库保留该已知条款，但尚未建立可核验的正式场景映射；不是无业务依据，也不转为产品待确认。</x:v>
      </x:c>
    </x:row>
    <x:row r="330" ht="44" customHeight="1">
      <x:c r="A330" s="4" t="str">
        <x:v>REQ-76c920926c62</x:v>
      </x:c>
      <x:c r="B330" s="4" t="str">
        <x:v>消息与社交</x:v>
      </x:c>
      <x:c r="C330" s="4" t="n">
        <x:v>670</x:v>
      </x:c>
      <x:c r="D330" s="4" t="str">
        <x:v>已读状态：首次进入或查看后记为已读。</x:v>
      </x:c>
      <x:c r="E330" s="4" t="str">
        <x:v>尚未建立场景映射</x:v>
      </x:c>
      <x:c r="F330" s="4" t="str"/>
      <x:c r="G330" s="4" t="str">
        <x:v>本轮独立来源库保留该已知条款，但尚未建立可核验的正式场景映射；不是无业务依据，也不转为产品待确认。</x:v>
      </x:c>
    </x:row>
    <x:row r="331" ht="44" customHeight="1">
      <x:c r="A331" s="4" t="str">
        <x:v>REQ-17348b568b27</x:v>
      </x:c>
      <x:c r="B331" s="4" t="str">
        <x:v>消息与社交</x:v>
      </x:c>
      <x:c r="C331" s="4" t="n">
        <x:v>671</x:v>
      </x:c>
      <x:c r="D331" s="4" t="str">
        <x:v>通知内容只读，不提供跳转或业务操作；通知只用于传达结果，不进入私信会话，也不作为身份或权限的最终判断。</x:v>
      </x:c>
      <x:c r="E331" s="4" t="str">
        <x:v>整段分支核验未闭合</x:v>
      </x:c>
      <x:c r="F331" s="4" t="str">
        <x:v>USER-0677</x:v>
      </x:c>
      <x:c r="G331" s="4" t="str">
        <x:v>本段剩余子句、条件组合及状态后续影响仍需与独立规则逐项闭合；这是生成覆盖缺口，不是产品决策缺失。</x:v>
      </x:c>
    </x:row>
    <x:row r="332" ht="44" customHeight="1">
      <x:c r="A332" s="4" t="str">
        <x:v>REQ-de9855455478</x:v>
      </x:c>
      <x:c r="B332" s="4" t="str">
        <x:v>消息与社交</x:v>
      </x:c>
      <x:c r="C332" s="4" t="n">
        <x:v>672</x:v>
      </x:c>
      <x:c r="D332" s="4" t="str">
        <x:v>数据范围：发送给当前账号的系统通知。</x:v>
      </x:c>
      <x:c r="E332" s="4" t="str">
        <x:v>整段分支核验未闭合</x:v>
      </x:c>
      <x:c r="F332" s="4" t="str">
        <x:v>USER-0675、USER-0676</x:v>
      </x:c>
      <x:c r="G332" s="4" t="str">
        <x:v>本段剩余子句、条件组合及状态后续影响仍需与独立规则逐项闭合；这是生成覆盖缺口，不是产品决策缺失。</x:v>
      </x:c>
    </x:row>
    <x:row r="333" ht="44" customHeight="1">
      <x:c r="A333" s="4" t="str">
        <x:v>REQ-593bd42602eb</x:v>
      </x:c>
      <x:c r="B333" s="4" t="str">
        <x:v>消息与社交</x:v>
      </x:c>
      <x:c r="C333" s="4" t="n">
        <x:v>673</x:v>
      </x:c>
      <x:c r="D333" s="4" t="str">
        <x:v>排序：按通知生成时间倒序；时间相同按通知 ID 从大到小排序。</x:v>
      </x:c>
      <x:c r="E333" s="4" t="str">
        <x:v>整段分支核验未闭合</x:v>
      </x:c>
      <x:c r="F333" s="4" t="str">
        <x:v>USER-0678、USER-0760</x:v>
      </x:c>
      <x:c r="G333" s="4" t="str">
        <x:v>本段剩余子句、条件组合及状态后续影响仍需与独立规则逐项闭合；这是生成覆盖缺口，不是产品决策缺失。</x:v>
      </x:c>
    </x:row>
    <x:row r="334" ht="57" customHeight="1">
      <x:c r="A334" s="4" t="str">
        <x:v>REQ-0af0c40e3094</x:v>
      </x:c>
      <x:c r="B334" s="4" t="str">
        <x:v>个人中心</x:v>
      </x:c>
      <x:c r="C334" s="4" t="n">
        <x:v>678</x:v>
      </x:c>
      <x:c r="D334" s="4" t="str">
        <x:v>用户资料：展示当前账号头像、昵称、用户 ID 和财富等级。</x:v>
      </x:c>
      <x:c r="E334" s="4" t="str">
        <x:v>整段分支核验未闭合</x:v>
      </x:c>
      <x:c r="F334" s="4" t="str">
        <x:v>USER-0522、USER-0523、USER-0524、USER-0525、USER-0526、USER-0527、USER-0611、USER-0612、USER-0613</x:v>
      </x:c>
      <x:c r="G334" s="4" t="str">
        <x:v>本段剩余子句、条件组合及状态后续影响仍需与独立规则逐项闭合；这是生成覆盖缺口，不是产品决策缺失。</x:v>
      </x:c>
    </x:row>
    <x:row r="335" ht="44" customHeight="1">
      <x:c r="A335" s="4" t="str">
        <x:v>REQ-375ca5bfa73a</x:v>
      </x:c>
      <x:c r="B335" s="4" t="str">
        <x:v>个人中心</x:v>
      </x:c>
      <x:c r="C335" s="4" t="n">
        <x:v>679</x:v>
      </x:c>
      <x:c r="D335" s="4" t="str">
        <x:v>勋章：在昵称下方展示当前有效且已佩戴的勋章，最多展示 10 枚；不足 10 枚不占位，没有可展示勋章时隐藏该区域。</x:v>
      </x:c>
      <x:c r="E335" s="4" t="str">
        <x:v>整段分支核验未闭合</x:v>
      </x:c>
      <x:c r="F335" s="4" t="str">
        <x:v>USER-0434、USER-0435、USER-0436、USER-0437、USER-0438、USER-0439</x:v>
      </x:c>
      <x:c r="G335" s="4" t="str">
        <x:v>本段剩余子句、条件组合及状态后续影响仍需与独立规则逐项闭合；这是生成覆盖缺口，不是产品决策缺失。</x:v>
      </x:c>
    </x:row>
    <x:row r="336" ht="44" customHeight="1">
      <x:c r="A336" s="4" t="str">
        <x:v>REQ-59d825f4d64b</x:v>
      </x:c>
      <x:c r="B336" s="4" t="str">
        <x:v>个人中心</x:v>
      </x:c>
      <x:c r="C336" s="4" t="n">
        <x:v>680</x:v>
      </x:c>
      <x:c r="D336" s="4" t="str">
        <x:v>社交数据：粉丝数为当前仍关注我的账号数；关注数为我当前仍关注的账号数；好友数为当前有效好友数。</x:v>
      </x:c>
      <x:c r="E336" s="4" t="str">
        <x:v>整段分支核验未闭合</x:v>
      </x:c>
      <x:c r="F336" s="4" t="str">
        <x:v>USER-0434、USER-0435、USER-0436</x:v>
      </x:c>
      <x:c r="G336" s="4" t="str">
        <x:v>本段剩余子句、条件组合及状态后续影响仍需与独立规则逐项闭合；这是生成覆盖缺口，不是产品决策缺失。</x:v>
      </x:c>
    </x:row>
    <x:row r="337" ht="44" customHeight="1">
      <x:c r="A337" s="4" t="str">
        <x:v>REQ-95d55a52be24</x:v>
      </x:c>
      <x:c r="B337" s="4" t="str">
        <x:v>个人中心</x:v>
      </x:c>
      <x:c r="C337" s="4" t="n">
        <x:v>681</x:v>
      </x:c>
      <x:c r="D337" s="4" t="str">
        <x:v>金币余额：展示当前账号可用金币；负余额时不可消费。</x:v>
      </x:c>
      <x:c r="E337" s="4" t="str">
        <x:v>整段分支核验未闭合</x:v>
      </x:c>
      <x:c r="F337" s="4" t="str">
        <x:v>USER-0397</x:v>
      </x:c>
      <x:c r="G337" s="4" t="str">
        <x:v>本段剩余子句、条件组合及状态后续影响仍需与独立规则逐项闭合；这是生成覆盖缺口，不是产品决策缺失。</x:v>
      </x:c>
    </x:row>
    <x:row r="338" ht="44" customHeight="1">
      <x:c r="A338" s="4" t="str">
        <x:v>REQ-3da3ec958323</x:v>
      </x:c>
      <x:c r="B338" s="4" t="str">
        <x:v>个人中心</x:v>
      </x:c>
      <x:c r="C338" s="4" t="n">
        <x:v>682</x:v>
      </x:c>
      <x:c r="D338" s="4" t="str">
        <x:v>用户和主播共用同一账号、个人资料、社交关系和金币资产。</x:v>
      </x:c>
      <x:c r="E338" s="4" t="str">
        <x:v>尚未建立场景映射</x:v>
      </x:c>
      <x:c r="F338" s="4" t="str"/>
      <x:c r="G338" s="4" t="str">
        <x:v>本轮独立来源库保留该已知条款，但尚未建立可核验的正式场景映射；不是无业务依据，也不转为产品待确认。</x:v>
      </x:c>
    </x:row>
    <x:row r="339" ht="44" customHeight="1">
      <x:c r="A339" s="4" t="str">
        <x:v>REQ-9f3b94844a96</x:v>
      </x:c>
      <x:c r="B339" s="4" t="str">
        <x:v>个人中心</x:v>
      </x:c>
      <x:c r="C339" s="4" t="n">
        <x:v>683</x:v>
      </x:c>
      <x:c r="D339" s="4" t="str">
        <x:v>未获得主播身份时进入主播申请流程；获得主播身份后仍须校验直播权限才能开播。</x:v>
      </x:c>
      <x:c r="E339" s="4" t="str">
        <x:v>尚未建立场景映射</x:v>
      </x:c>
      <x:c r="F339" s="4" t="str"/>
      <x:c r="G339" s="4" t="str">
        <x:v>本轮独立来源库保留该已知条款，但尚未建立可核验的正式场景映射；不是无业务依据，也不转为产品待确认。</x:v>
      </x:c>
    </x:row>
    <x:row r="340" ht="57" customHeight="1">
      <x:c r="A340" s="4" t="str">
        <x:v>REQ-a638e46b1a6a</x:v>
      </x:c>
      <x:c r="B340" s="4" t="str">
        <x:v>个人中心</x:v>
      </x:c>
      <x:c r="C340" s="4" t="n">
        <x:v>684</x:v>
      </x:c>
      <x:c r="D340" s="4" t="str">
        <x:v>进入社交数据 -&gt; 打开对应关系列表；点击好友数 -&gt; 进入好友列表 P043；点击粉丝数 -&gt; 进入粉丝列表 P045；进入主播中心 -&gt; 按主播身份和权限展示申请或主播工具；充值 -&gt; 进入充值流程。</x:v>
      </x:c>
      <x:c r="E340" s="4" t="str">
        <x:v>整段分支核验未闭合</x:v>
      </x:c>
      <x:c r="F340" s="4" t="str">
        <x:v>USER-0386、USER-0387、USER-0434、USER-0435、USER-0436、USER-0442</x:v>
      </x:c>
      <x:c r="G340" s="4" t="str">
        <x:v>本段剩余子句、条件组合及状态后续影响仍需与独立规则逐项闭合；这是生成覆盖缺口，不是产品决策缺失。</x:v>
      </x:c>
    </x:row>
    <x:row r="341" ht="44" customHeight="1">
      <x:c r="A341" s="4" t="str">
        <x:v>REQ-556ed1b3015d</x:v>
      </x:c>
      <x:c r="B341" s="4" t="str">
        <x:v>个人中心</x:v>
      </x:c>
      <x:c r="C341" s="4" t="n">
        <x:v>685</x:v>
      </x:c>
      <x:c r="D341" s="4" t="str">
        <x:v>入口：功能说明；权限判断</x:v>
      </x:c>
      <x:c r="E341" s="4" t="str">
        <x:v>尚未建立场景映射</x:v>
      </x:c>
      <x:c r="F341" s="4" t="str"/>
      <x:c r="G341" s="4" t="str">
        <x:v>本轮独立来源库保留该已知条款，但尚未建立可核验的正式场景映射；不是无业务依据，也不转为产品待确认。</x:v>
      </x:c>
    </x:row>
    <x:row r="342" ht="44" customHeight="1">
      <x:c r="A342" s="4" t="str">
        <x:v>REQ-d36d1a894d3a</x:v>
      </x:c>
      <x:c r="B342" s="4" t="str">
        <x:v>个人中心</x:v>
      </x:c>
      <x:c r="C342" s="4" t="n">
        <x:v>686</x:v>
      </x:c>
      <x:c r="D342" s="4" t="str">
        <x:v>编辑资料：修改头像、昵称等个人资料。；登录用户可用。</x:v>
      </x:c>
      <x:c r="E342" s="4" t="str">
        <x:v>整段分支核验未闭合</x:v>
      </x:c>
      <x:c r="F342" s="4" t="str">
        <x:v>USER-0440</x:v>
      </x:c>
      <x:c r="G342" s="4" t="str">
        <x:v>本段剩余子句、条件组合及状态后续影响仍需与独立规则逐项闭合；这是生成覆盖缺口，不是产品决策缺失。</x:v>
      </x:c>
    </x:row>
    <x:row r="343" ht="44" customHeight="1">
      <x:c r="A343" s="4" t="str">
        <x:v>REQ-1f89377126bd</x:v>
      </x:c>
      <x:c r="B343" s="4" t="str">
        <x:v>个人中心</x:v>
      </x:c>
      <x:c r="C343" s="4" t="n">
        <x:v>687</x:v>
      </x:c>
      <x:c r="D343" s="4" t="str">
        <x:v>设置：管理账号、通知和隐私设置。；登录用户可用。</x:v>
      </x:c>
      <x:c r="E343" s="4" t="str">
        <x:v>整段分支核验未闭合</x:v>
      </x:c>
      <x:c r="F343" s="4" t="str">
        <x:v>USER-0441</x:v>
      </x:c>
      <x:c r="G343" s="4" t="str">
        <x:v>本段剩余子句、条件组合及状态后续影响仍需与独立规则逐项闭合；这是生成覆盖缺口，不是产品决策缺失。</x:v>
      </x:c>
    </x:row>
    <x:row r="344" ht="57" customHeight="1">
      <x:c r="A344" s="4" t="str">
        <x:v>REQ-12a79d7f6b5e</x:v>
      </x:c>
      <x:c r="B344" s="4" t="str">
        <x:v>个人中心</x:v>
      </x:c>
      <x:c r="C344" s="4" t="n">
        <x:v>688</x:v>
      </x:c>
      <x:c r="D344" s="4" t="str">
        <x:v>充值：进入充值流程购买金币。；登录用户可用；受支付渠道限制。</x:v>
      </x:c>
      <x:c r="E344" s="4" t="str">
        <x:v>整段分支核验未闭合</x:v>
      </x:c>
      <x:c r="F344" s="4" t="str">
        <x:v>USER-0442、USER-0449、USER-0450、USER-0451、USER-0452、USER-0453、USER-0454、USER-0455</x:v>
      </x:c>
      <x:c r="G344" s="4" t="str">
        <x:v>本段剩余子句、条件组合及状态后续影响仍需与独立规则逐项闭合；这是生成覆盖缺口，不是产品决策缺失。</x:v>
      </x:c>
    </x:row>
    <x:row r="345" ht="44" customHeight="1">
      <x:c r="A345" s="4" t="str">
        <x:v>REQ-4c86f5e6f24c</x:v>
      </x:c>
      <x:c r="B345" s="4" t="str">
        <x:v>个人中心</x:v>
      </x:c>
      <x:c r="C345" s="4" t="n">
        <x:v>689</x:v>
      </x:c>
      <x:c r="D345" s="4" t="str">
        <x:v>我的装扮：查看和佩戴头像框、聊天气泡、勋章。；登录用户可用。</x:v>
      </x:c>
      <x:c r="E345" s="4" t="str">
        <x:v>整段分支核验未闭合</x:v>
      </x:c>
      <x:c r="F345" s="4" t="str">
        <x:v>USER-0437、USER-0438、USER-0439、USER-0443</x:v>
      </x:c>
      <x:c r="G345" s="4" t="str">
        <x:v>本段剩余子句、条件组合及状态后续影响仍需与独立规则逐项闭合；这是生成覆盖缺口，不是产品决策缺失。</x:v>
      </x:c>
    </x:row>
    <x:row r="346" ht="44" customHeight="1">
      <x:c r="A346" s="4" t="str">
        <x:v>REQ-011cb5115ed5</x:v>
      </x:c>
      <x:c r="B346" s="4" t="str">
        <x:v>个人中心</x:v>
      </x:c>
      <x:c r="C346" s="4" t="n">
        <x:v>690</x:v>
      </x:c>
      <x:c r="D346" s="4" t="str">
        <x:v>粉丝团：查看已加入的主播粉丝团。；登录用户可用。</x:v>
      </x:c>
      <x:c r="E346" s="4" t="str">
        <x:v>整段分支核验未闭合</x:v>
      </x:c>
      <x:c r="F346" s="4" t="str">
        <x:v>USER-0444</x:v>
      </x:c>
      <x:c r="G346" s="4" t="str">
        <x:v>本段剩余子句、条件组合及状态后续影响仍需与独立规则逐项闭合；这是生成覆盖缺口，不是产品决策缺失。</x:v>
      </x:c>
    </x:row>
    <x:row r="347" ht="44" customHeight="1">
      <x:c r="A347" s="4" t="str">
        <x:v>REQ-21f616b62d75</x:v>
      </x:c>
      <x:c r="B347" s="4" t="str">
        <x:v>个人中心</x:v>
      </x:c>
      <x:c r="C347" s="4" t="n">
        <x:v>691</x:v>
      </x:c>
      <x:c r="D347" s="4" t="str">
        <x:v>邀请奖励：查看邀请规则并邀请好友。；登录用户可用。</x:v>
      </x:c>
      <x:c r="E347" s="4" t="str">
        <x:v>整段分支核验未闭合</x:v>
      </x:c>
      <x:c r="F347" s="4" t="str">
        <x:v>USER-0445</x:v>
      </x:c>
      <x:c r="G347" s="4" t="str">
        <x:v>本段剩余子句、条件组合及状态后续影响仍需与独立规则逐项闭合；这是生成覆盖缺口，不是产品决策缺失。</x:v>
      </x:c>
    </x:row>
    <x:row r="348" ht="57" customHeight="1">
      <x:c r="A348" s="4" t="str">
        <x:v>REQ-e6f7cdd9a68b</x:v>
      </x:c>
      <x:c r="B348" s="4" t="str">
        <x:v>个人中心</x:v>
      </x:c>
      <x:c r="C348" s="4" t="n">
        <x:v>692</x:v>
      </x:c>
      <x:c r="D348" s="4" t="str">
        <x:v>开始直播：未具备主播身份时进入申请成为主播 P014-1；已具备主播身份时直接进入开播设置还是先进入主播中心，原说明两种说法并存，见 PENDING-profile-live-entry。</x:v>
      </x:c>
      <x:c r="E348" s="4" t="str">
        <x:v>整段分支核验未闭合</x:v>
      </x:c>
      <x:c r="F348" s="4" t="str">
        <x:v>USER-0441</x:v>
      </x:c>
      <x:c r="G348" s="4" t="str">
        <x:v>来源同时包含尚未决定的业务范围，见对应问题。</x:v>
      </x:c>
    </x:row>
    <x:row r="349" ht="44" customHeight="1">
      <x:c r="A349" s="4" t="str">
        <x:v>REQ-67663823ae82</x:v>
      </x:c>
      <x:c r="B349" s="4" t="str">
        <x:v>个人中心</x:v>
      </x:c>
      <x:c r="C349" s="4" t="n">
        <x:v>693</x:v>
      </x:c>
      <x:c r="D349" s="4" t="str">
        <x:v>主播中心：查看主播数据和主播工具。；已具备主播身份进入主播中心，否则进入申请流程，页面：申请成为主播 P014-1。</x:v>
      </x:c>
      <x:c r="E349" s="4" t="str">
        <x:v>尚未建立场景映射</x:v>
      </x:c>
      <x:c r="F349" s="4" t="str"/>
      <x:c r="G349" s="4" t="str">
        <x:v>本轮独立来源库保留该已知条款，但尚未建立可核验的正式场景映射；不是无业务依据，也不转为产品待确认。</x:v>
      </x:c>
    </x:row>
    <x:row r="350" ht="44" customHeight="1">
      <x:c r="A350" s="4" t="str">
        <x:v>REQ-0e6ef4d24cf8</x:v>
      </x:c>
      <x:c r="B350" s="4" t="str">
        <x:v>个人中心</x:v>
      </x:c>
      <x:c r="C350" s="4" t="n">
        <x:v>694</x:v>
      </x:c>
      <x:c r="D350" s="4" t="str">
        <x:v>公会中心：进入公会申请和关系页面。；登录用户可用；申请、管理操作按公会关系判断。</x:v>
      </x:c>
      <x:c r="E350" s="4" t="str">
        <x:v>整段分支核验未闭合</x:v>
      </x:c>
      <x:c r="F350" s="4" t="str">
        <x:v>USER-0446</x:v>
      </x:c>
      <x:c r="G350" s="4" t="str">
        <x:v>本段剩余子句、条件组合及状态后续影响仍需与独立规则逐项闭合；这是生成覆盖缺口，不是产品决策缺失。</x:v>
      </x:c>
    </x:row>
    <x:row r="351" ht="44" customHeight="1">
      <x:c r="A351" s="4" t="str">
        <x:v>REQ-7b14e4db972c</x:v>
      </x:c>
      <x:c r="B351" s="4" t="str">
        <x:v>个人中心</x:v>
      </x:c>
      <x:c r="C351" s="4" t="n">
        <x:v>695</x:v>
      </x:c>
      <x:c r="D351" s="4" t="str">
        <x:v>黑名单：查看和管理已拉黑账号。；登录用户可用。</x:v>
      </x:c>
      <x:c r="E351" s="4" t="str">
        <x:v>整段分支核验未闭合</x:v>
      </x:c>
      <x:c r="F351" s="4" t="str">
        <x:v>USER-0447</x:v>
      </x:c>
      <x:c r="G351" s="4" t="str">
        <x:v>本段剩余子句、条件组合及状态后续影响仍需与独立规则逐项闭合；这是生成覆盖缺口，不是产品决策缺失。</x:v>
      </x:c>
    </x:row>
    <x:row r="352" ht="44" customHeight="1">
      <x:c r="A352" s="4" t="str">
        <x:v>REQ-436b5410bae5</x:v>
      </x:c>
      <x:c r="B352" s="4" t="str">
        <x:v>个人中心</x:v>
      </x:c>
      <x:c r="C352" s="4" t="n">
        <x:v>696</x:v>
      </x:c>
      <x:c r="D352" s="4" t="str">
        <x:v>联系客服：进入客服联系方式页面。；登录用户可用。</x:v>
      </x:c>
      <x:c r="E352" s="4" t="str">
        <x:v>整段分支核验未闭合</x:v>
      </x:c>
      <x:c r="F352" s="4" t="str">
        <x:v>USER-0448</x:v>
      </x:c>
      <x:c r="G352" s="4" t="str">
        <x:v>本段剩余子句、条件组合及状态后续影响仍需与独立规则逐项闭合；这是生成覆盖缺口，不是产品决策缺失。</x:v>
      </x:c>
    </x:row>
    <x:row r="353" ht="44" customHeight="1">
      <x:c r="A353" s="4" t="str">
        <x:v>REQ-46c79377c746</x:v>
      </x:c>
      <x:c r="B353" s="4" t="str">
        <x:v>个人中心</x:v>
      </x:c>
      <x:c r="C353" s="4" t="n">
        <x:v>701</x:v>
      </x:c>
      <x:c r="D353" s="4" t="str">
        <x:v>WhatsApp：展示运营配置的官方客服 WhatsApp 号码。</x:v>
      </x:c>
      <x:c r="E353" s="4" t="str">
        <x:v>整段分支核验未闭合</x:v>
      </x:c>
      <x:c r="F353" s="4" t="str">
        <x:v>USER-0456</x:v>
      </x:c>
      <x:c r="G353" s="4" t="str">
        <x:v>本段剩余子句、条件组合及状态后续影响仍需与独立规则逐项闭合；这是生成覆盖缺口，不是产品决策缺失。</x:v>
      </x:c>
    </x:row>
    <x:row r="354" ht="44" customHeight="1">
      <x:c r="A354" s="4" t="str">
        <x:v>REQ-fa4258fa09ce</x:v>
      </x:c>
      <x:c r="B354" s="4" t="str">
        <x:v>个人中心</x:v>
      </x:c>
      <x:c r="C354" s="4" t="n">
        <x:v>702</x:v>
      </x:c>
      <x:c r="D354" s="4" t="str">
        <x:v>官方客服邮箱：展示运营配置的官方客服邮箱。</x:v>
      </x:c>
      <x:c r="E354" s="4" t="str">
        <x:v>整段分支核验未闭合</x:v>
      </x:c>
      <x:c r="F354" s="4" t="str">
        <x:v>USER-0459</x:v>
      </x:c>
      <x:c r="G354" s="4" t="str">
        <x:v>本段剩余子句、条件组合及状态后续影响仍需与独立规则逐项闭合；这是生成覆盖缺口，不是产品决策缺失。</x:v>
      </x:c>
    </x:row>
    <x:row r="355" ht="44" customHeight="1">
      <x:c r="A355" s="4" t="str">
        <x:v>REQ-af4c270dc656</x:v>
      </x:c>
      <x:c r="B355" s="4" t="str">
        <x:v>个人中心</x:v>
      </x:c>
      <x:c r="C355" s="4" t="n">
        <x:v>703</x:v>
      </x:c>
      <x:c r="D355" s="4" t="str">
        <x:v>联系方式由运营统一配置；配置变更后更新页面展示内容。</x:v>
      </x:c>
      <x:c r="E355" s="4" t="str">
        <x:v>尚未建立场景映射</x:v>
      </x:c>
      <x:c r="F355" s="4" t="str"/>
      <x:c r="G355" s="4" t="str">
        <x:v>本轮独立来源库保留该已知条款，但尚未建立可核验的正式场景映射；不是无业务依据，也不转为产品待确认。</x:v>
      </x:c>
    </x:row>
    <x:row r="356" ht="44" customHeight="1">
      <x:c r="A356" s="4" t="str">
        <x:v>REQ-35c830c03f70</x:v>
      </x:c>
      <x:c r="B356" s="4" t="str">
        <x:v>个人中心</x:v>
      </x:c>
      <x:c r="C356" s="4" t="n">
        <x:v>704</x:v>
      </x:c>
      <x:c r="D356" s="4" t="str">
        <x:v>点击 WhatsApp 或官方客服邮箱 -&gt; 复制对应内容，并提示“已复制”。</x:v>
      </x:c>
      <x:c r="E356" s="4" t="str">
        <x:v>整段分支核验未闭合</x:v>
      </x:c>
      <x:c r="F356" s="4" t="str">
        <x:v>USER-0456、USER-0457、USER-0458、USER-0459、USER-0460、USER-0461</x:v>
      </x:c>
      <x:c r="G356" s="4" t="str">
        <x:v>本段剩余子句、条件组合及状态后续影响仍需与独立规则逐项闭合；这是生成覆盖缺口，不是产品决策缺失。</x:v>
      </x:c>
    </x:row>
    <x:row r="357" ht="44" customHeight="1">
      <x:c r="A357" s="4" t="str">
        <x:v>REQ-971575bcd0ea</x:v>
      </x:c>
      <x:c r="B357" s="4" t="str">
        <x:v>消息与社交</x:v>
      </x:c>
      <x:c r="C357" s="4" t="n">
        <x:v>709</x:v>
      </x:c>
      <x:c r="D357" s="4" t="str">
        <x:v>搜索关键词：按用户名模糊筛选，忽略大小写；空值展示全部粉丝。</x:v>
      </x:c>
      <x:c r="E357" s="4" t="str">
        <x:v>整段分支核验未闭合</x:v>
      </x:c>
      <x:c r="F357" s="4" t="str">
        <x:v>USER-0786、USER-0787、USER-0788</x:v>
      </x:c>
      <x:c r="G357" s="4" t="str">
        <x:v>本段剩余子句、条件组合及状态后续影响仍需与独立规则逐项闭合；这是生成覆盖缺口，不是产品决策缺失。</x:v>
      </x:c>
    </x:row>
    <x:row r="358" ht="44" customHeight="1">
      <x:c r="A358" s="4" t="str">
        <x:v>REQ-06781424f98c</x:v>
      </x:c>
      <x:c r="B358" s="4" t="str">
        <x:v>消息与社交</x:v>
      </x:c>
      <x:c r="C358" s="4" t="n">
        <x:v>710</x:v>
      </x:c>
      <x:c r="D358" s="4" t="str">
        <x:v>粉丝头像 / 昵称：展示当前仍关注我的账号资料。</x:v>
      </x:c>
      <x:c r="E358" s="4" t="str">
        <x:v>整段分支核验未闭合</x:v>
      </x:c>
      <x:c r="F358" s="4" t="str">
        <x:v>USER-0614</x:v>
      </x:c>
      <x:c r="G358" s="4" t="str">
        <x:v>本段剩余子句、条件组合及状态后续影响仍需与独立规则逐项闭合；这是生成覆盖缺口，不是产品决策缺失。</x:v>
      </x:c>
    </x:row>
    <x:row r="359" ht="44" customHeight="1">
      <x:c r="A359" s="4" t="str">
        <x:v>REQ-06f48abd9575</x:v>
      </x:c>
      <x:c r="B359" s="4" t="str">
        <x:v>消息与社交</x:v>
      </x:c>
      <x:c r="C359" s="4" t="n">
        <x:v>711</x:v>
      </x:c>
      <x:c r="D359" s="4" t="str">
        <x:v>等级：展示该账号的财富等级。</x:v>
      </x:c>
      <x:c r="E359" s="4" t="str">
        <x:v>尚未建立场景映射</x:v>
      </x:c>
      <x:c r="F359" s="4" t="str"/>
      <x:c r="G359" s="4" t="str">
        <x:v>本轮独立来源库保留该已知条款，但尚未建立可核验的正式场景映射；不是无业务依据，也不转为产品待确认。</x:v>
      </x:c>
    </x:row>
    <x:row r="360" ht="44" customHeight="1">
      <x:c r="A360" s="4" t="str">
        <x:v>REQ-0a573c5787e8</x:v>
      </x:c>
      <x:c r="B360" s="4" t="str">
        <x:v>消息与社交</x:v>
      </x:c>
      <x:c r="C360" s="4" t="n">
        <x:v>712</x:v>
      </x:c>
      <x:c r="D360" s="4" t="str">
        <x:v>勋章：展示该账号当前显示的勋章。</x:v>
      </x:c>
      <x:c r="E360" s="4" t="str">
        <x:v>尚未建立场景映射</x:v>
      </x:c>
      <x:c r="F360" s="4" t="str"/>
      <x:c r="G360" s="4" t="str">
        <x:v>本轮独立来源库保留该已知条款，但尚未建立可核验的正式场景映射；不是无业务依据，也不转为产品待确认。</x:v>
      </x:c>
    </x:row>
    <x:row r="361" ht="44" customHeight="1">
      <x:c r="A361" s="4" t="str">
        <x:v>REQ-65d4e3a6786a</x:v>
      </x:c>
      <x:c r="B361" s="4" t="str">
        <x:v>消息与社交</x:v>
      </x:c>
      <x:c r="C361" s="4" t="n">
        <x:v>713</x:v>
      </x:c>
      <x:c r="D361" s="4" t="str">
        <x:v>展示当前仍关注我的账号；粉丝关系与好友关系分别维护，取消关注后从列表移除。</x:v>
      </x:c>
      <x:c r="E361" s="4" t="str">
        <x:v>尚未建立场景映射</x:v>
      </x:c>
      <x:c r="F361" s="4" t="str"/>
      <x:c r="G361" s="4" t="str">
        <x:v>本轮独立来源库保留该已知条款，但尚未建立可核验的正式场景映射；不是无业务依据，也不转为产品待确认。</x:v>
      </x:c>
    </x:row>
    <x:row r="362" ht="44" customHeight="1">
      <x:c r="A362" s="4" t="str">
        <x:v>REQ-bd3781ae9b8f</x:v>
      </x:c>
      <x:c r="B362" s="4" t="str">
        <x:v>消息与社交</x:v>
      </x:c>
      <x:c r="C362" s="4" t="n">
        <x:v>714</x:v>
      </x:c>
      <x:c r="D362" s="4" t="str">
        <x:v>搜索不改变结果的相对顺序。</x:v>
      </x:c>
      <x:c r="E362" s="4" t="str">
        <x:v>整段分支核验未闭合</x:v>
      </x:c>
      <x:c r="F362" s="4" t="str">
        <x:v>USER-0644</x:v>
      </x:c>
      <x:c r="G362" s="4" t="str">
        <x:v>本段剩余子句、条件组合及状态后续影响仍需与独立规则逐项闭合；这是生成覆盖缺口，不是产品决策缺失。</x:v>
      </x:c>
    </x:row>
    <x:row r="363" ht="44" customHeight="1">
      <x:c r="A363" s="4" t="str">
        <x:v>REQ-a59769f33803</x:v>
      </x:c>
      <x:c r="B363" s="4" t="str">
        <x:v>消息与社交</x:v>
      </x:c>
      <x:c r="C363" s="4" t="n">
        <x:v>715</x:v>
      </x:c>
      <x:c r="D363" s="4" t="str">
        <x:v>输入用户名 -&gt; 实时模糊筛选；无匹配时显示空态。点击头像 -&gt; 进入对应用户或主播主页。</x:v>
      </x:c>
      <x:c r="E363" s="4" t="str">
        <x:v>整段分支核验未闭合</x:v>
      </x:c>
      <x:c r="F363" s="4" t="str">
        <x:v>USER-0642、USER-0643</x:v>
      </x:c>
      <x:c r="G363" s="4" t="str">
        <x:v>本段剩余子句、条件组合及状态后续影响仍需与独立规则逐项闭合；这是生成覆盖缺口，不是产品决策缺失。</x:v>
      </x:c>
    </x:row>
    <x:row r="364" ht="44" customHeight="1">
      <x:c r="A364" s="4" t="str">
        <x:v>REQ-6b2cbb975486</x:v>
      </x:c>
      <x:c r="B364" s="4" t="str">
        <x:v>个人中心</x:v>
      </x:c>
      <x:c r="C364" s="4" t="n">
        <x:v>720</x:v>
      </x:c>
      <x:c r="D364" s="4" t="str">
        <x:v>搜索关键词：按用户名模糊筛选，忽略大小写；空值展示全部关注。</x:v>
      </x:c>
      <x:c r="E364" s="4" t="str">
        <x:v>整段分支核验未闭合</x:v>
      </x:c>
      <x:c r="F364" s="4" t="str">
        <x:v>USER-0789、USER-0790、USER-0791</x:v>
      </x:c>
      <x:c r="G364" s="4" t="str">
        <x:v>本段剩余子句、条件组合及状态后续影响仍需与独立规则逐项闭合；这是生成覆盖缺口，不是产品决策缺失。</x:v>
      </x:c>
    </x:row>
    <x:row r="365" ht="44" customHeight="1">
      <x:c r="A365" s="4" t="str">
        <x:v>REQ-0d78c93a8230</x:v>
      </x:c>
      <x:c r="B365" s="4" t="str">
        <x:v>个人中心</x:v>
      </x:c>
      <x:c r="C365" s="4" t="n">
        <x:v>721</x:v>
      </x:c>
      <x:c r="D365" s="4" t="str">
        <x:v>关注账号：展示头像、昵称及当前开播状态。</x:v>
      </x:c>
      <x:c r="E365" s="4" t="str">
        <x:v>尚未建立场景映射</x:v>
      </x:c>
      <x:c r="F365" s="4" t="str"/>
      <x:c r="G365" s="4" t="str">
        <x:v>本轮独立来源库保留该已知条款，但尚未建立可核验的正式场景映射；不是无业务依据，也不转为产品待确认。</x:v>
      </x:c>
    </x:row>
    <x:row r="366" ht="44" customHeight="1">
      <x:c r="A366" s="4" t="str">
        <x:v>REQ-6c3299222bc1</x:v>
      </x:c>
      <x:c r="B366" s="4" t="str">
        <x:v>个人中心</x:v>
      </x:c>
      <x:c r="C366" s="4" t="n">
        <x:v>722</x:v>
      </x:c>
      <x:c r="D366" s="4" t="str">
        <x:v>开播状态：关联当前有效直播场次，场次结束后立即更新。</x:v>
      </x:c>
      <x:c r="E366" s="4" t="str">
        <x:v>整段分支核验未闭合</x:v>
      </x:c>
      <x:c r="F366" s="4" t="str">
        <x:v>USER-0646</x:v>
      </x:c>
      <x:c r="G366" s="4" t="str">
        <x:v>本段剩余子句、条件组合及状态后续影响仍需与独立规则逐项闭合；这是生成覆盖缺口，不是产品决策缺失。</x:v>
      </x:c>
    </x:row>
    <x:row r="367" ht="44" customHeight="1">
      <x:c r="A367" s="4" t="str">
        <x:v>REQ-623dea81d02d</x:v>
      </x:c>
      <x:c r="B367" s="4" t="str">
        <x:v>个人中心</x:v>
      </x:c>
      <x:c r="C367" s="4" t="n">
        <x:v>723</x:v>
      </x:c>
      <x:c r="D367" s="4" t="str">
        <x:v>仅展示当前有效关注关系；取消关注或拉黑后立即移出。</x:v>
      </x:c>
      <x:c r="E367" s="4" t="str">
        <x:v>整段分支核验未闭合</x:v>
      </x:c>
      <x:c r="F367" s="4" t="str">
        <x:v>USER-0646、USER-0651</x:v>
      </x:c>
      <x:c r="G367" s="4" t="str">
        <x:v>本段剩余子句、条件组合及状态后续影响仍需与独立规则逐项闭合；这是生成覆盖缺口，不是产品决策缺失。</x:v>
      </x:c>
    </x:row>
    <x:row r="368" ht="44" customHeight="1">
      <x:c r="A368" s="4" t="str">
        <x:v>REQ-b18d9ab21ef7</x:v>
      </x:c>
      <x:c r="B368" s="4" t="str">
        <x:v>个人中心</x:v>
      </x:c>
      <x:c r="C368" s="4" t="n">
        <x:v>724</x:v>
      </x:c>
      <x:c r="D368" s="4" t="str">
        <x:v>按关注时间倒序排列，最新关注排在最前。</x:v>
      </x:c>
      <x:c r="E368" s="4" t="str">
        <x:v>整段分支核验未闭合</x:v>
      </x:c>
      <x:c r="F368" s="4" t="str">
        <x:v>USER-0647、USER-0761</x:v>
      </x:c>
      <x:c r="G368" s="4" t="str">
        <x:v>本段剩余子句、条件组合及状态后续影响仍需与独立规则逐项闭合；这是生成覆盖缺口，不是产品决策缺失。</x:v>
      </x:c>
    </x:row>
    <x:row r="369" ht="44" customHeight="1">
      <x:c r="A369" s="4" t="str">
        <x:v>REQ-72beab840243</x:v>
      </x:c>
      <x:c r="B369" s="4" t="str">
        <x:v>个人中心</x:v>
      </x:c>
      <x:c r="C369" s="4" t="n">
        <x:v>725</x:v>
      </x:c>
      <x:c r="D369" s="4" t="str">
        <x:v>输入用户名 -&gt; 实时模糊筛选；无匹配时显示空态。开播主播 -&gt; 按房间准入规则进入直播间；点击头像 -&gt; 进入对应主页。</x:v>
      </x:c>
      <x:c r="E369" s="4" t="str">
        <x:v>整段分支核验未闭合</x:v>
      </x:c>
      <x:c r="F369" s="4" t="str">
        <x:v>USER-0645、USER-0646</x:v>
      </x:c>
      <x:c r="G369" s="4" t="str">
        <x:v>本段剩余子句、条件组合及状态后续影响仍需与独立规则逐项闭合；这是生成覆盖缺口，不是产品决策缺失。</x:v>
      </x:c>
    </x:row>
    <x:row r="370" ht="44" customHeight="1">
      <x:c r="A370" s="4" t="str">
        <x:v>REQ-82444db2b0ad</x:v>
      </x:c>
      <x:c r="B370" s="4" t="str">
        <x:v>个人中心</x:v>
      </x:c>
      <x:c r="C370" s="4" t="n">
        <x:v>730</x:v>
      </x:c>
      <x:c r="D370" s="4" t="str">
        <x:v>当前头像 / 勋章：展示当前账号头像及已佩戴勋章。</x:v>
      </x:c>
      <x:c r="E370" s="4" t="str">
        <x:v>尚未建立场景映射</x:v>
      </x:c>
      <x:c r="F370" s="4" t="str"/>
      <x:c r="G370" s="4" t="str">
        <x:v>本轮独立来源库保留该已知条款，但尚未建立可核验的正式场景映射；不是无业务依据，也不转为产品待确认。</x:v>
      </x:c>
    </x:row>
    <x:row r="371" ht="44" customHeight="1">
      <x:c r="A371" s="4" t="str">
        <x:v>REQ-315592591f20</x:v>
      </x:c>
      <x:c r="B371" s="4" t="str">
        <x:v>个人中心</x:v>
      </x:c>
      <x:c r="C371" s="4" t="n">
        <x:v>731</x:v>
      </x:c>
      <x:c r="D371" s="4" t="str">
        <x:v>页面分类：已拥有、装扮商城。</x:v>
      </x:c>
      <x:c r="E371" s="4" t="str">
        <x:v>尚未建立场景映射</x:v>
      </x:c>
      <x:c r="F371" s="4" t="str"/>
      <x:c r="G371" s="4" t="str">
        <x:v>本轮独立来源库保留该已知条款，但尚未建立可核验的正式场景映射；不是无业务依据，也不转为产品待确认。</x:v>
      </x:c>
    </x:row>
    <x:row r="372" ht="57" customHeight="1">
      <x:c r="A372" s="4" t="str">
        <x:v>REQ-7ec007a72525</x:v>
      </x:c>
      <x:c r="B372" s="4" t="str">
        <x:v>个人中心</x:v>
      </x:c>
      <x:c r="C372" s="4" t="n">
        <x:v>732</x:v>
      </x:c>
      <x:c r="D372" s="4" t="str">
        <x:v>已拥有分类：按头像框、聊天气泡、勋章三个 Tab 展示；卡片沿用各装扮原有展示样式，当前分类内每行展示 2 个道具。点击卡片直接佩戴或卸下，不跳转新页面。</x:v>
      </x:c>
      <x:c r="E372" s="4" t="str">
        <x:v>尚未建立场景映射</x:v>
      </x:c>
      <x:c r="F372" s="4" t="str"/>
      <x:c r="G372" s="4" t="str">
        <x:v>本轮独立来源库保留该已知条款，但尚未建立可核验的正式场景映射；不是无业务依据，也不转为产品待确认。</x:v>
      </x:c>
    </x:row>
    <x:row r="373" ht="44" customHeight="1">
      <x:c r="A373" s="4" t="str">
        <x:v>REQ-d0c6e46cb920</x:v>
      </x:c>
      <x:c r="B373" s="4" t="str">
        <x:v>个人中心</x:v>
      </x:c>
      <x:c r="C373" s="4" t="n">
        <x:v>733</x:v>
      </x:c>
      <x:c r="D373" s="4" t="str">
        <x:v>勋章佩戴数量：勋章 Tab 显示“勋章数量/5”，如“勋章3/5”；列表下方不重复显示佩戴数量。</x:v>
      </x:c>
      <x:c r="E373" s="4" t="str">
        <x:v>整段分支核验未闭合</x:v>
      </x:c>
      <x:c r="F373" s="4" t="str">
        <x:v>USER-0464、USER-0465</x:v>
      </x:c>
      <x:c r="G373" s="4" t="str">
        <x:v>本段剩余子句、条件组合及状态后续影响仍需与独立规则逐项闭合；这是生成覆盖缺口，不是产品决策缺失。</x:v>
      </x:c>
    </x:row>
    <x:row r="374" ht="57" customHeight="1">
      <x:c r="A374" s="4" t="str">
        <x:v>REQ-9c8849c7f7ca</x:v>
      </x:c>
      <x:c r="B374" s="4" t="str">
        <x:v>个人中心</x:v>
      </x:c>
      <x:c r="C374" s="4" t="n">
        <x:v>734</x:v>
      </x:c>
      <x:c r="D374" s="4" t="str">
        <x:v>商城商品：展示装扮效果、名称、可佩戴期限值和金币价格；页面不显示期限字段名，限时格式为 DD/MM/YYYY-DD/MM/YYYY；已购买商品显示“已获得”。</x:v>
      </x:c>
      <x:c r="E374" s="4" t="str">
        <x:v>整段分支核验未闭合</x:v>
      </x:c>
      <x:c r="F374" s="4" t="str">
        <x:v>USER-0415、USER-0635</x:v>
      </x:c>
      <x:c r="G374" s="4" t="str">
        <x:v>本段剩余子句、条件组合及状态后续影响仍需与独立规则逐项闭合；这是生成覆盖缺口，不是产品决策缺失。</x:v>
      </x:c>
    </x:row>
    <x:row r="375" ht="44" customHeight="1">
      <x:c r="A375" s="4" t="str">
        <x:v>REQ-121c9aebf014</x:v>
      </x:c>
      <x:c r="B375" s="4" t="str">
        <x:v>个人中心</x:v>
      </x:c>
      <x:c r="C375" s="4" t="n">
        <x:v>735</x:v>
      </x:c>
      <x:c r="D375" s="4" t="str">
        <x:v>道具可来自金币购买、任务、活动或平台发放；上下架只控制能否获得。</x:v>
      </x:c>
      <x:c r="E375" s="4" t="str">
        <x:v>整段分支核验未闭合</x:v>
      </x:c>
      <x:c r="F375" s="4" t="str">
        <x:v>USER-0635</x:v>
      </x:c>
      <x:c r="G375" s="4" t="str">
        <x:v>本段剩余子句、条件组合及状态后续影响仍需与独立规则逐项闭合；这是生成覆盖缺口，不是产品决策缺失。</x:v>
      </x:c>
    </x:row>
    <x:row r="376" ht="44" customHeight="1">
      <x:c r="A376" s="4" t="str">
        <x:v>REQ-7228b94a5deb</x:v>
      </x:c>
      <x:c r="B376" s="4" t="str">
        <x:v>个人中心</x:v>
      </x:c>
      <x:c r="C376" s="4" t="n">
        <x:v>736</x:v>
      </x:c>
      <x:c r="D376" s="4" t="str">
        <x:v>用户已持有道具可在后台配置的可佩戴期限内使用；结束日期为不限时，道具可永久佩戴。</x:v>
      </x:c>
      <x:c r="E376" s="4" t="str">
        <x:v>整段分支核验未闭合</x:v>
      </x:c>
      <x:c r="F376" s="4" t="str">
        <x:v>USER-0415</x:v>
      </x:c>
      <x:c r="G376" s="4" t="str">
        <x:v>本段剩余子句、条件组合及状态后续影响仍需与独立规则逐项闭合；这是生成覆盖缺口，不是产品决策缺失。</x:v>
      </x:c>
    </x:row>
    <x:row r="377" ht="44" customHeight="1">
      <x:c r="A377" s="4" t="str">
        <x:v>REQ-a634bce5f1b9</x:v>
      </x:c>
      <x:c r="B377" s="4" t="str">
        <x:v>个人中心</x:v>
      </x:c>
      <x:c r="C377" s="4" t="n">
        <x:v>737</x:v>
      </x:c>
      <x:c r="D377" s="4" t="str">
        <x:v>有结束日期的道具过期后不可佩戴，并在用户端显示“已过期”。</x:v>
      </x:c>
      <x:c r="E377" s="4" t="str">
        <x:v>整段分支核验未闭合</x:v>
      </x:c>
      <x:c r="F377" s="4" t="str">
        <x:v>USER-0466、USER-0467</x:v>
      </x:c>
      <x:c r="G377" s="4" t="str">
        <x:v>本段剩余子句、条件组合及状态后续影响仍需与独立规则逐项闭合；这是生成覆盖缺口，不是产品决策缺失。</x:v>
      </x:c>
    </x:row>
    <x:row r="378" ht="44" customHeight="1">
      <x:c r="A378" s="4" t="str">
        <x:v>REQ-d8055d299140</x:v>
      </x:c>
      <x:c r="B378" s="4" t="str">
        <x:v>个人中心</x:v>
      </x:c>
      <x:c r="C378" s="4" t="n">
        <x:v>738</x:v>
      </x:c>
      <x:c r="D378" s="4" t="str">
        <x:v>仅后台标记为允许购买且已上架的道具进入商城；身份、等级和活动专属勋章不可购买。</x:v>
      </x:c>
      <x:c r="E378" s="4" t="str">
        <x:v>尚未建立场景映射</x:v>
      </x:c>
      <x:c r="F378" s="4" t="str"/>
      <x:c r="G378" s="4" t="str">
        <x:v>本轮独立来源库保留该已知条款，但尚未建立可核验的正式场景映射；不是无业务依据，也不转为产品待确认。</x:v>
      </x:c>
    </x:row>
    <x:row r="379" ht="44" customHeight="1">
      <x:c r="A379" s="4" t="str">
        <x:v>REQ-3a34cf10d98f</x:v>
      </x:c>
      <x:c r="B379" s="4" t="str">
        <x:v>个人中心</x:v>
      </x:c>
      <x:c r="C379" s="4" t="n">
        <x:v>739</x:v>
      </x:c>
      <x:c r="D379" s="4" t="str">
        <x:v>永久和限时道具已拥有后均不可重复购买；购买成功不可退款。</x:v>
      </x:c>
      <x:c r="E379" s="4" t="str">
        <x:v>尚未建立场景映射</x:v>
      </x:c>
      <x:c r="F379" s="4" t="str"/>
      <x:c r="G379" s="4" t="str">
        <x:v>本轮独立来源库保留该已知条款，但尚未建立可核验的正式场景映射；不是无业务依据，也不转为产品待确认。</x:v>
      </x:c>
    </x:row>
    <x:row r="380" ht="44" customHeight="1">
      <x:c r="A380" s="4" t="str">
        <x:v>REQ-56f699ab014d</x:v>
      </x:c>
      <x:c r="B380" s="4" t="str">
        <x:v>个人中心</x:v>
      </x:c>
      <x:c r="C380" s="4" t="n">
        <x:v>740</x:v>
      </x:c>
      <x:c r="D380" s="4" t="str">
        <x:v>运营账号点击我的装扮入口提示“运营账号无法操作”，不得进入查看、佩戴或购买流程；虚拟金币仅可赠送普通礼物和定制礼物。</x:v>
      </x:c>
      <x:c r="E380" s="4" t="str">
        <x:v>尚未建立场景映射</x:v>
      </x:c>
      <x:c r="F380" s="4" t="str"/>
      <x:c r="G380" s="4" t="str">
        <x:v>本轮独立来源库保留该已知条款，但尚未建立可核验的正式场景映射；不是无业务依据，也不转为产品待确认。</x:v>
      </x:c>
    </x:row>
    <x:row r="381" ht="57" customHeight="1">
      <x:c r="A381" s="4" t="str">
        <x:v>REQ-135008fb4450</x:v>
      </x:c>
      <x:c r="B381" s="4" t="str">
        <x:v>个人中心</x:v>
      </x:c>
      <x:c r="C381" s="4" t="n">
        <x:v>741</x:v>
      </x:c>
      <x:c r="D381" s="4" t="str">
        <x:v>头像框和聊天气泡同类最多佩戴 1 个，新佩戴会自动卸下旧道具；勋章最多同时佩戴 5 枚。已拥有列表按已佩戴、未佩戴、已失效排列，同一状态内按获得时间倒序排列。</x:v>
      </x:c>
      <x:c r="E381" s="4" t="str">
        <x:v>整段分支核验未闭合</x:v>
      </x:c>
      <x:c r="F381" s="4" t="str">
        <x:v>USER-0462、USER-0463、USER-0464、USER-0465、USER-0468、USER-0469、USER-0762</x:v>
      </x:c>
      <x:c r="G381" s="4" t="str">
        <x:v>本段剩余子句、条件组合及状态后续影响仍需与独立规则逐项闭合；这是生成覆盖缺口，不是产品决策缺失。</x:v>
      </x:c>
    </x:row>
    <x:row r="382" ht="147" customHeight="1">
      <x:c r="A382" s="4" t="str">
        <x:v>REQ-971eafce429b</x:v>
      </x:c>
      <x:c r="B382" s="4" t="str">
        <x:v>个人中心</x:v>
      </x:c>
      <x:c r="C382" s="4" t="n">
        <x:v>742</x:v>
      </x:c>
      <x:c r="D382" s="4" t="str">
        <x:v>已拥有卡片 -&gt; 直接佩戴或卸下并刷新状态，不跳转新页面；失效道具不可点击。勋章达到 5 枚后，需先卸下一枚。购买 -&gt; 打开购买弹窗。金币充足时依次展示装扮预览、道具名称及期限、金币价格和操作按钮，不显示标题及分隔线，价格不显示字段名；按钮为“取消”和“购买”。购买成功 -&gt; 弹窗显示“购买成功”及“继续购买”“去佩戴”按钮；继续购买关闭弹窗并停留商城，去佩戴返回“我的装扮-已拥有”并自动切换至对应装扮分类。金币不足时仅显示“金币余额（金币图标 + 当前余额）不足，请先充值”及“取消”“去充值”按钮，不显示装扮、价格和“金币不足”标题。实际购买状态根据用户实时金币余额判断。</x:v>
      </x:c>
      <x:c r="E382" s="4" t="str">
        <x:v>整段分支核验未闭合</x:v>
      </x:c>
      <x:c r="F382" s="4" t="str">
        <x:v>USER-0415</x:v>
      </x:c>
      <x:c r="G382" s="4" t="str">
        <x:v>本段剩余子句、条件组合及状态后续影响仍需与独立规则逐项闭合；这是生成覆盖缺口，不是产品决策缺失。</x:v>
      </x:c>
    </x:row>
    <x:row r="383" ht="44" customHeight="1">
      <x:c r="A383" s="4" t="str">
        <x:v>REQ-964e0be5b065</x:v>
      </x:c>
      <x:c r="B383" s="4" t="str">
        <x:v>个人中心</x:v>
      </x:c>
      <x:c r="C383" s="4" t="n">
        <x:v>746</x:v>
      </x:c>
      <x:c r="D383" s="4" t="str">
        <x:v>商城按头像框、聊天气泡、勋章分类，展示名称、可佩戴期限和金币价格；已购买商品显示“已获得”。</x:v>
      </x:c>
      <x:c r="E383" s="4" t="str">
        <x:v>整段分支核验未闭合</x:v>
      </x:c>
      <x:c r="F383" s="4" t="str">
        <x:v>USER-0472、USER-0473</x:v>
      </x:c>
      <x:c r="G383" s="4" t="str">
        <x:v>本段剩余子句、条件组合及状态后续影响仍需与独立规则逐项闭合；这是生成覆盖缺口，不是产品决策缺失。</x:v>
      </x:c>
    </x:row>
    <x:row r="384" ht="44" customHeight="1">
      <x:c r="A384" s="4" t="str">
        <x:v>REQ-d2faa5ffb1d6</x:v>
      </x:c>
      <x:c r="B384" s="4" t="str">
        <x:v>个人中心</x:v>
      </x:c>
      <x:c r="C384" s="4" t="n">
        <x:v>747</x:v>
      </x:c>
      <x:c r="D384" s="4" t="str">
        <x:v>仅展示允许购买且已上架的商品；已拥有商品不可重复购买。运营账号不可使用虚拟金币购买装扮，不展示购买入口。</x:v>
      </x:c>
      <x:c r="E384" s="4" t="str">
        <x:v>整段分支核验未闭合</x:v>
      </x:c>
      <x:c r="F384" s="4" t="str">
        <x:v>USER-0470、USER-0471、USER-0472、USER-0473</x:v>
      </x:c>
      <x:c r="G384" s="4" t="str">
        <x:v>本段剩余子句、条件组合及状态后续影响仍需与独立规则逐项闭合；这是生成覆盖缺口，不是产品决策缺失。</x:v>
      </x:c>
    </x:row>
    <x:row r="385" ht="87" customHeight="1">
      <x:c r="A385" s="4" t="str">
        <x:v>REQ-3399ecc6c459</x:v>
      </x:c>
      <x:c r="B385" s="4" t="str">
        <x:v>个人中心</x:v>
      </x:c>
      <x:c r="C385" s="4" t="n">
        <x:v>751</x:v>
      </x:c>
      <x:c r="D385" s="4" t="str">
        <x:v>运营账号不进入本流程。普通用户取消 -&gt; 关闭弹窗且不购买；购买 -&gt; 再次校验商品状态、真实金币余额和持有状态，校验通过后扣款并加入已拥有。成功后弹窗显示“购买成功”及“继续购买”“去佩戴”按钮；继续购买关闭弹窗并停留商城，去佩戴返回“我的装扮-已拥有”并自动切换至对应装扮分类。</x:v>
      </x:c>
      <x:c r="E385" s="4" t="str">
        <x:v>整段分支核验未闭合</x:v>
      </x:c>
      <x:c r="F385" s="4" t="str">
        <x:v>USER-0474、USER-0475、USER-0476、USER-0477、USER-0478、USER-0479、USER-0480、USER-0481</x:v>
      </x:c>
      <x:c r="G385" s="4" t="str">
        <x:v>本段剩余子句、条件组合及状态后续影响仍需与独立规则逐项闭合；这是生成覆盖缺口，不是产品决策缺失。</x:v>
      </x:c>
    </x:row>
    <x:row r="386" ht="44" customHeight="1">
      <x:c r="A386" s="4" t="str">
        <x:v>REQ-61c8fdb4de84</x:v>
      </x:c>
      <x:c r="B386" s="4" t="str">
        <x:v>个人中心</x:v>
      </x:c>
      <x:c r="C386" s="4" t="n">
        <x:v>755</x:v>
      </x:c>
      <x:c r="D386" s="4" t="str">
        <x:v>仅适用于普通用户。真实金币不足 -&gt; 不生成购买记录；去充值 -&gt; 进入充值页。运营账号不进入装扮购买或充值流程。</x:v>
      </x:c>
      <x:c r="E386" s="4" t="str">
        <x:v>整段分支核验未闭合</x:v>
      </x:c>
      <x:c r="F386" s="4" t="str">
        <x:v>USER-0754</x:v>
      </x:c>
      <x:c r="G386" s="4" t="str">
        <x:v>本段剩余子句、条件组合及状态后续影响仍需与独立规则逐项闭合；这是生成覆盖缺口，不是产品决策缺失。</x:v>
      </x:c>
    </x:row>
    <x:row r="387" ht="44" customHeight="1">
      <x:c r="A387" s="4" t="str">
        <x:v>REQ-57159bd6dcea</x:v>
      </x:c>
      <x:c r="B387" s="4" t="str">
        <x:v>直播</x:v>
      </x:c>
      <x:c r="C387" s="4" t="n">
        <x:v>759</x:v>
      </x:c>
      <x:c r="D387" s="4" t="str">
        <x:v>直播场次：每次开播生成唯一场次，关联主题、封面、分类和房型。</x:v>
      </x:c>
      <x:c r="E387" s="4" t="str">
        <x:v>整段分支核验未闭合</x:v>
      </x:c>
      <x:c r="F387" s="4" t="str">
        <x:v>USER-0338</x:v>
      </x:c>
      <x:c r="G387" s="4" t="str">
        <x:v>本段剩余子句、条件组合及状态后续影响仍需与独立规则逐项闭合；这是生成覆盖缺口，不是产品决策缺失。</x:v>
      </x:c>
    </x:row>
    <x:row r="388" ht="44" customHeight="1">
      <x:c r="A388" s="4" t="str">
        <x:v>REQ-f17ba9344db0</x:v>
      </x:c>
      <x:c r="B388" s="4" t="str">
        <x:v>直播</x:v>
      </x:c>
      <x:c r="C388" s="4" t="n">
        <x:v>760</x:v>
      </x:c>
      <x:c r="D388" s="4" t="str">
        <x:v>主播：展示主播账号、主播等级、财富等级和关系状态。</x:v>
      </x:c>
      <x:c r="E388" s="4" t="str">
        <x:v>整段分支核验未闭合</x:v>
      </x:c>
      <x:c r="F388" s="4" t="str">
        <x:v>USER-0277、USER-0278</x:v>
      </x:c>
      <x:c r="G388" s="4" t="str">
        <x:v>本段剩余子句、条件组合及状态后续影响仍需与独立规则逐项闭合；这是生成覆盖缺口，不是产品决策缺失。</x:v>
      </x:c>
    </x:row>
    <x:row r="389" ht="44" customHeight="1">
      <x:c r="A389" s="4" t="str">
        <x:v>REQ-74f873405346</x:v>
      </x:c>
      <x:c r="B389" s="4" t="str">
        <x:v>直播</x:v>
      </x:c>
      <x:c r="C389" s="4" t="n">
        <x:v>761</x:v>
      </x:c>
      <x:c r="D389" s="4" t="str">
        <x:v>在线人数：当前场次实时在线用户数。</x:v>
      </x:c>
      <x:c r="E389" s="4" t="str">
        <x:v>整段分支核验未闭合</x:v>
      </x:c>
      <x:c r="F389" s="4" t="str">
        <x:v>USER-0338</x:v>
      </x:c>
      <x:c r="G389" s="4" t="str">
        <x:v>本段剩余子句、条件组合及状态后续影响仍需与独立规则逐项闭合；这是生成覆盖缺口，不是产品决策缺失。</x:v>
      </x:c>
    </x:row>
    <x:row r="390" ht="44" customHeight="1">
      <x:c r="A390" s="4" t="str">
        <x:v>REQ-4b70e3647a61</x:v>
      </x:c>
      <x:c r="B390" s="4" t="str">
        <x:v>直播</x:v>
      </x:c>
      <x:c r="C390" s="4" t="n">
        <x:v>762</x:v>
      </x:c>
      <x:c r="D390" s="4" t="str">
        <x:v>本场贡献的真实金币部分：当前场次内成功送出的各礼物单价 × 数量之和；幸运礼物返奖不冲减本场贡献。</x:v>
      </x:c>
      <x:c r="E390" s="4" t="str">
        <x:v>整段分支核验未闭合</x:v>
      </x:c>
      <x:c r="F390" s="4" t="str">
        <x:v>USER-0338</x:v>
      </x:c>
      <x:c r="G390" s="4" t="str">
        <x:v>本段剩余子句、条件组合及状态后续影响仍需与独立规则逐项闭合；这是生成覆盖缺口，不是产品决策缺失。</x:v>
      </x:c>
    </x:row>
    <x:row r="391" ht="44" customHeight="1">
      <x:c r="A391" s="4" t="str">
        <x:v>REQ-b51596deb199</x:v>
      </x:c>
      <x:c r="B391" s="4" t="str">
        <x:v>直播</x:v>
      </x:c>
      <x:c r="C391" s="4" t="n">
        <x:v>763</x:v>
      </x:c>
      <x:c r="D391" s="4" t="str">
        <x:v>公屏消息：展示系统、评论、进房和礼物消息，按服务端时间排序。</x:v>
      </x:c>
      <x:c r="E391" s="4" t="str">
        <x:v>尚未建立场景映射</x:v>
      </x:c>
      <x:c r="F391" s="4" t="str"/>
      <x:c r="G391" s="4" t="str">
        <x:v>本轮独立来源库保留该已知条款，但尚未建立可核验的正式场景映射；不是无业务依据，也不转为产品待确认。</x:v>
      </x:c>
    </x:row>
    <x:row r="392" ht="72" customHeight="1">
      <x:c r="A392" s="4" t="str">
        <x:v>REQ-13cdd1512b85</x:v>
      </x:c>
      <x:c r="B392" s="4" t="str">
        <x:v>直播</x:v>
      </x:c>
      <x:c r="C392" s="4" t="n">
        <x:v>764</x:v>
      </x:c>
      <x:c r="D392" s="4" t="str">
        <x:v>普通用户的账号封禁、双方账号拉黑和本场踢出优先于粉丝团成员、密码和门票准入规则；命中任一限制时不能进入。</x:v>
      </x:c>
      <x:c r="E392" s="4" t="str">
        <x:v>整段分支核验未闭合</x:v>
      </x:c>
      <x:c r="F392" s="4" t="str">
        <x:v>USER-0277、USER-0278、USER-0333、USER-0334、USER-0335、USER-0336、USER-0337、USER-0338、USER-0339、USER-0340、USER-0341、USER-0342</x:v>
      </x:c>
      <x:c r="G392" s="4" t="str">
        <x:v>本段剩余子句、条件组合及状态后续影响仍需与独立规则逐项闭合；这是生成覆盖缺口，不是产品决策缺失。</x:v>
      </x:c>
    </x:row>
    <x:row r="393" ht="72" customHeight="1">
      <x:c r="A393" s="4" t="str">
        <x:v>REQ-af9fad486413</x:v>
      </x:c>
      <x:c r="B393" s="4" t="str">
        <x:v>直播</x:v>
      </x:c>
      <x:c r="C393" s="4" t="n">
        <x:v>765</x:v>
      </x:c>
      <x:c r="D393" s="4" t="str">
        <x:v>巡房人员从有效巡房任务进入时，以本次巡房会话身份绕过主播黑名单、本场踢出、粉丝团成员、密码和门票限制；不改变原账号关系、粉丝团身份或门票状态。</x:v>
      </x:c>
      <x:c r="E393" s="4" t="str">
        <x:v>整段分支核验未闭合</x:v>
      </x:c>
      <x:c r="F393" s="4" t="str">
        <x:v>USER-0277、USER-0278、USER-0333、USER-0334、USER-0335、USER-0336、USER-0337、USER-0338、USER-0339、USER-0340、USER-0341、USER-0342</x:v>
      </x:c>
      <x:c r="G393" s="4" t="str">
        <x:v>本段剩余子句、条件组合及状态后续影响仍需与独立规则逐项闭合；这是生成覆盖缺口，不是产品决策缺失。</x:v>
      </x:c>
    </x:row>
    <x:row r="394" ht="44" customHeight="1">
      <x:c r="A394" s="4" t="str">
        <x:v>REQ-b93f80b008ba</x:v>
      </x:c>
      <x:c r="B394" s="4" t="str">
        <x:v>直播</x:v>
      </x:c>
      <x:c r="C394" s="4" t="n">
        <x:v>766</x:v>
      </x:c>
      <x:c r="D394" s="4" t="str">
        <x:v>巡房会话期间，主播和房管不能将巡房人员拉黑或踢出；巡房结束后恢复普通用户规则。平台封禁或巡房权限失效仍不可进入。</x:v>
      </x:c>
      <x:c r="E394" s="4" t="str">
        <x:v>整段分支核验未闭合</x:v>
      </x:c>
      <x:c r="F394" s="4" t="str">
        <x:v>USER-0277、USER-0278、USER-0337</x:v>
      </x:c>
      <x:c r="G394" s="4" t="str">
        <x:v>本段剩余子句、条件组合及状态后续影响仍需与独立规则逐项闭合；这是生成覆盖缺口，不是产品决策缺失。</x:v>
      </x:c>
    </x:row>
    <x:row r="395" ht="57" customHeight="1">
      <x:c r="A395" s="4" t="str">
        <x:v>REQ-376b8a19b5d1</x:v>
      </x:c>
      <x:c r="B395" s="4" t="str">
        <x:v>直播</x:v>
      </x:c>
      <x:c r="C395" s="4" t="n">
        <x:v>767</x:v>
      </x:c>
      <x:c r="D395" s="4" t="str">
        <x:v>门票仅对当前场次有效，同场重复进入不收费；场次结束或被踢出后失效且不退款。运营账号进入门票房免票，不生成门票订单，不扣减虚拟金币。</x:v>
      </x:c>
      <x:c r="E395" s="4" t="str">
        <x:v>整段分支核验未闭合</x:v>
      </x:c>
      <x:c r="F395" s="4" t="str">
        <x:v>USER-0333、USER-0334、USER-0335、USER-0336、USER-0337、USER-0338、USER-0343、USER-0344</x:v>
      </x:c>
      <x:c r="G395" s="4" t="str">
        <x:v>本段剩余子句、条件组合及状态后续影响仍需与独立规则逐项闭合；这是生成覆盖缺口，不是产品决策缺失。</x:v>
      </x:c>
    </x:row>
    <x:row r="396" ht="44" customHeight="1">
      <x:c r="A396" s="4" t="str">
        <x:v>REQ-4db2b3820871</x:v>
      </x:c>
      <x:c r="B396" s="4" t="str">
        <x:v>直播</x:v>
      </x:c>
      <x:c r="C396" s="4" t="n">
        <x:v>768</x:v>
      </x:c>
      <x:c r="D396" s="4" t="str">
        <x:v>禁言仅限制当前场次公屏发言；踢出后本场不可重进；两种状态均在下一场恢复。</x:v>
      </x:c>
      <x:c r="E396" s="4" t="str">
        <x:v>整段分支核验未闭合</x:v>
      </x:c>
      <x:c r="F396" s="4" t="str">
        <x:v>USER-0337、USER-0338</x:v>
      </x:c>
      <x:c r="G396" s="4" t="str">
        <x:v>本段剩余子句、条件组合及状态后续影响仍需与独立规则逐项闭合；这是生成覆盖缺口，不是产品决策缺失。</x:v>
      </x:c>
    </x:row>
    <x:row r="397" ht="44" customHeight="1">
      <x:c r="A397" s="4" t="str">
        <x:v>REQ-917c1f13f2fe</x:v>
      </x:c>
      <x:c r="B397" s="4" t="str">
        <x:v>直播</x:v>
      </x:c>
      <x:c r="C397" s="4" t="n">
        <x:v>769</x:v>
      </x:c>
      <x:c r="D397" s="4" t="str">
        <x:v>成员限制仅在进房时校验；已在房内的非成员不退出，离开后再次进入时拦截。成员仍需输入密码，运营账号可绕过限制。</x:v>
      </x:c>
      <x:c r="E397" s="4" t="str">
        <x:v>整段分支核验未闭合</x:v>
      </x:c>
      <x:c r="F397" s="4" t="str">
        <x:v>USER-0339、USER-0340、USER-0341、USER-0342、USER-0343、USER-0344</x:v>
      </x:c>
      <x:c r="G397" s="4" t="str">
        <x:v>本段剩余子句、条件组合及状态后续影响仍需与独立规则逐项闭合；这是生成覆盖缺口，不是产品决策缺失。</x:v>
      </x:c>
    </x:row>
    <x:row r="398" ht="44" customHeight="1">
      <x:c r="A398" s="4" t="str">
        <x:v>REQ-da24c55c1f7b</x:v>
      </x:c>
      <x:c r="B398" s="4" t="str">
        <x:v>直播</x:v>
      </x:c>
      <x:c r="C398" s="4" t="n">
        <x:v>770</x:v>
      </x:c>
      <x:c r="D398" s="4" t="str">
        <x:v>幸运礼物每个礼物独立开奖；实际消费 = 投入金币 - 返奖金币。x1、x10、x100 的长期平均返还比例分别为 96%、97%、98%。</x:v>
      </x:c>
      <x:c r="E398" s="4" t="str">
        <x:v>尚未建立场景映射</x:v>
      </x:c>
      <x:c r="F398" s="4" t="str"/>
      <x:c r="G398" s="4" t="str">
        <x:v>本轮独立来源库保留该已知条款，但尚未建立可核验的正式场景映射；不是无业务依据，也不转为产品待确认。</x:v>
      </x:c>
    </x:row>
    <x:row r="399" ht="44" customHeight="1">
      <x:c r="A399" s="4" t="str">
        <x:v>REQ-f747b49f63f3</x:v>
      </x:c>
      <x:c r="B399" s="4" t="str">
        <x:v>直播</x:v>
      </x:c>
      <x:c r="C399" s="4" t="n">
        <x:v>771</x:v>
      </x:c>
      <x:c r="D399" s="4" t="str">
        <x:v>进入普通房 -&gt; 直接展示直播内容，不显示封面遮挡或操作弹窗。</x:v>
      </x:c>
      <x:c r="E399" s="4" t="str">
        <x:v>尚未建立场景映射</x:v>
      </x:c>
      <x:c r="F399" s="4" t="str"/>
      <x:c r="G399" s="4" t="str">
        <x:v>本轮独立来源库保留该已知条款，但尚未建立可核验的正式场景映射；不是无业务依据，也不转为产品待确认。</x:v>
      </x:c>
    </x:row>
    <x:row r="400" ht="87" customHeight="1">
      <x:c r="A400" s="4" t="str">
        <x:v>REQ-8db6c2c015b3</x:v>
      </x:c>
      <x:c r="B400" s="4" t="str">
        <x:v>直播</x:v>
      </x:c>
      <x:c r="C400" s="4" t="n">
        <x:v>772</x:v>
      </x:c>
      <x:c r="D400" s="4" t="str">
        <x:v>普通用户进入密码房或门票房 -&gt; 由全屏封面和毛玻璃遮挡直播内容，页面中央显示对应准入弹窗；密码房开启粉丝团成员限制时，非成员先显示访问受限，成员才显示密码输入。运营账号进入门票房免票。</x:v>
      </x:c>
      <x:c r="E400" s="4" t="str">
        <x:v>整段分支核验未闭合</x:v>
      </x:c>
      <x:c r="F400" s="4" t="str">
        <x:v>USER-0277、USER-0278、USER-0333、USER-0334、USER-0335、USER-0336、USER-0337、USER-0338、USER-0339、USER-0340、USER-0341、USER-0342、USER-0343、USER-0344</x:v>
      </x:c>
      <x:c r="G400" s="4" t="str">
        <x:v>本段剩余子句、条件组合及状态后续影响仍需与独立规则逐项闭合；这是生成覆盖缺口，不是产品决策缺失。</x:v>
      </x:c>
    </x:row>
    <x:row r="401" ht="44" customHeight="1">
      <x:c r="A401" s="4" t="str">
        <x:v>REQ-b74f97b0fa2e</x:v>
      </x:c>
      <x:c r="B401" s="4" t="str">
        <x:v>直播</x:v>
      </x:c>
      <x:c r="C401" s="4" t="n">
        <x:v>773</x:v>
      </x:c>
      <x:c r="D401" s="4" t="str">
        <x:v>命中双方拉黑、本场踢出或非粉丝团成员限制 -&gt; 显示访问受限拦截；点击“返回”回到来源页，无来源时返回首页。</x:v>
      </x:c>
      <x:c r="E401" s="4" t="str">
        <x:v>整段分支核验未闭合</x:v>
      </x:c>
      <x:c r="F401" s="4" t="str">
        <x:v>USER-0277、USER-0278、USER-0337、USER-0341、USER-0342</x:v>
      </x:c>
      <x:c r="G401" s="4" t="str">
        <x:v>本段剩余子句、条件组合及状态后续影响仍需与独立规则逐项闭合；这是生成覆盖缺口，不是产品决策缺失。</x:v>
      </x:c>
    </x:row>
    <x:row r="402" ht="57" customHeight="1">
      <x:c r="A402" s="4" t="str">
        <x:v>REQ-0e71e110e899</x:v>
      </x:c>
      <x:c r="B402" s="4" t="str">
        <x:v>直播</x:v>
      </x:c>
      <x:c r="C402" s="4" t="n">
        <x:v>774</x:v>
      </x:c>
      <x:c r="D402" s="4" t="str">
        <x:v>巡房任务进入 -&gt; 不显示访问拦截，正常展示直播并显示“巡房中”；主播或房管端不展示对该巡房人员的拉黑、踢出操作，服务端同时拒绝相关请求。</x:v>
      </x:c>
      <x:c r="E402" s="4" t="str">
        <x:v>整段分支核验未闭合</x:v>
      </x:c>
      <x:c r="F402" s="4" t="str">
        <x:v>USER-0277、USER-0278、USER-0337</x:v>
      </x:c>
      <x:c r="G402" s="4" t="str">
        <x:v>本段剩余子句、条件组合及状态后续影响仍需与独立规则逐项闭合；这是生成覆盖缺口，不是产品决策缺失。</x:v>
      </x:c>
    </x:row>
    <x:row r="403" ht="44" customHeight="1">
      <x:c r="A403" s="4" t="str">
        <x:v>REQ-76b2ce8de4d4</x:v>
      </x:c>
      <x:c r="B403" s="4" t="str">
        <x:v>直播</x:v>
      </x:c>
      <x:c r="C403" s="4" t="n">
        <x:v>775</x:v>
      </x:c>
      <x:c r="D403" s="4" t="str">
        <x:v>举报直播 -&gt; 仅直播中生成当前场次举报工单；举报用户 -&gt; 生成账号举报工单。</x:v>
      </x:c>
      <x:c r="E403" s="4" t="str">
        <x:v>整段分支核验未闭合</x:v>
      </x:c>
      <x:c r="F403" s="4" t="str">
        <x:v>USER-0338</x:v>
      </x:c>
      <x:c r="G403" s="4" t="str">
        <x:v>本段剩余子句、条件组合及状态后续影响仍需与独立规则逐项闭合；这是生成覆盖缺口，不是产品决策缺失。</x:v>
      </x:c>
    </x:row>
    <x:row r="404" ht="44" customHeight="1">
      <x:c r="A404" s="4" t="str">
        <x:v>REQ-e79b6832166d</x:v>
      </x:c>
      <x:c r="B404" s="4" t="str">
        <x:v>直播</x:v>
      </x:c>
      <x:c r="C404" s="4" t="n">
        <x:v>776</x:v>
      </x:c>
      <x:c r="D404" s="4" t="str">
        <x:v>清屏 -&gt; 仅清除当前设备上的公屏显示，不删除服务端消息记录。</x:v>
      </x:c>
      <x:c r="E404" s="4" t="str">
        <x:v>尚未建立场景映射</x:v>
      </x:c>
      <x:c r="F404" s="4" t="str"/>
      <x:c r="G404" s="4" t="str">
        <x:v>本轮独立来源库保留该已知条款，但尚未建立可核验的正式场景映射；不是无业务依据，也不转为产品待确认。</x:v>
      </x:c>
    </x:row>
    <x:row r="405" ht="44" customHeight="1">
      <x:c r="A405" s="4" t="str">
        <x:v>REQ-5cd0945cbfbd</x:v>
      </x:c>
      <x:c r="B405" s="4" t="str">
        <x:v>直播</x:v>
      </x:c>
      <x:c r="C405" s="4" t="n">
        <x:v>780</x:v>
      </x:c>
      <x:c r="D405" s="4" t="str">
        <x:v>举报原因：必填，单选；选项由平台配置。</x:v>
      </x:c>
      <x:c r="E405" s="4" t="str">
        <x:v>整段分支核验未闭合</x:v>
      </x:c>
      <x:c r="F405" s="4" t="str">
        <x:v>USER-0405、USER-0406、USER-0407、USER-0408、USER-0409</x:v>
      </x:c>
      <x:c r="G405" s="4" t="str">
        <x:v>本段剩余子句、条件组合及状态后续影响仍需与独立规则逐项闭合；这是生成覆盖缺口，不是产品决策缺失。</x:v>
      </x:c>
    </x:row>
    <x:row r="406" ht="44" customHeight="1">
      <x:c r="A406" s="4" t="str">
        <x:v>REQ-627cf0c2bdde</x:v>
      </x:c>
      <x:c r="B406" s="4" t="str">
        <x:v>直播</x:v>
      </x:c>
      <x:c r="C406" s="4" t="n">
        <x:v>781</x:v>
      </x:c>
      <x:c r="D406" s="4" t="str">
        <x:v>补充说明：选填，最多 200 个字符。</x:v>
      </x:c>
      <x:c r="E406" s="4" t="str">
        <x:v>尚未建立场景映射</x:v>
      </x:c>
      <x:c r="F406" s="4" t="str"/>
      <x:c r="G406" s="4" t="str">
        <x:v>本轮独立来源库保留该已知条款，但尚未建立可核验的正式场景映射；不是无业务依据，也不转为产品待确认。</x:v>
      </x:c>
    </x:row>
    <x:row r="407" ht="44" customHeight="1">
      <x:c r="A407" s="4" t="str">
        <x:v>REQ-70c22d54cfec</x:v>
      </x:c>
      <x:c r="B407" s="4" t="str">
        <x:v>直播</x:v>
      </x:c>
      <x:c r="C407" s="4" t="n">
        <x:v>782</x:v>
      </x:c>
      <x:c r="D407" s="4" t="str">
        <x:v>仅直播中可举报当前场次；场次结束后未处理的直播举报失效。</x:v>
      </x:c>
      <x:c r="E407" s="4" t="str">
        <x:v>整段分支核验未闭合</x:v>
      </x:c>
      <x:c r="F407" s="4" t="str">
        <x:v>USER-0405、USER-0406、USER-0407、USER-0408、USER-0409</x:v>
      </x:c>
      <x:c r="G407" s="4" t="str">
        <x:v>本段剩余子句、条件组合及状态后续影响仍需与独立规则逐项闭合；这是生成覆盖缺口，不是产品决策缺失。</x:v>
      </x:c>
    </x:row>
    <x:row r="408" ht="44" customHeight="1">
      <x:c r="A408" s="4" t="str">
        <x:v>REQ-34dd77b1a73d</x:v>
      </x:c>
      <x:c r="B408" s="4" t="str">
        <x:v>直播</x:v>
      </x:c>
      <x:c r="C408" s="4" t="n">
        <x:v>783</x:v>
      </x:c>
      <x:c r="D408" s="4" t="str">
        <x:v>举报类型包括色情低俗、涉及宗教政治、暴恐血腥、未成年人有害、其他。</x:v>
      </x:c>
      <x:c r="E408" s="4" t="str">
        <x:v>整段分支核验未闭合</x:v>
      </x:c>
      <x:c r="F408" s="4" t="str">
        <x:v>USER-0405、USER-0406、USER-0407、USER-0408、USER-0409</x:v>
      </x:c>
      <x:c r="G408" s="4" t="str">
        <x:v>本段剩余子句、条件组合及状态后续影响仍需与独立规则逐项闭合；这是生成覆盖缺口，不是产品决策缺失。</x:v>
      </x:c>
    </x:row>
    <x:row r="409" ht="44" customHeight="1">
      <x:c r="A409" s="4" t="str">
        <x:v>REQ-c35cc339a6a2</x:v>
      </x:c>
      <x:c r="B409" s="4" t="str">
        <x:v>直播</x:v>
      </x:c>
      <x:c r="C409" s="4" t="n">
        <x:v>784</x:v>
      </x:c>
      <x:c r="D409" s="4" t="str">
        <x:v>未选择举报原因 -&gt; 提交按钮不可用。</x:v>
      </x:c>
      <x:c r="E409" s="4" t="str">
        <x:v>整段分支核验未闭合</x:v>
      </x:c>
      <x:c r="F409" s="4" t="str">
        <x:v>USER-0405、USER-0406、USER-0407、USER-0408、USER-0409</x:v>
      </x:c>
      <x:c r="G409" s="4" t="str">
        <x:v>本段剩余子句、条件组合及状态后续影响仍需与独立规则逐项闭合；这是生成覆盖缺口，不是产品决策缺失。</x:v>
      </x:c>
    </x:row>
    <x:row r="410" ht="44" customHeight="1">
      <x:c r="A410" s="4" t="str">
        <x:v>REQ-70ff17b1f30a</x:v>
      </x:c>
      <x:c r="B410" s="4" t="str">
        <x:v>直播</x:v>
      </x:c>
      <x:c r="C410" s="4" t="n">
        <x:v>785</x:v>
      </x:c>
      <x:c r="D410" s="4" t="str">
        <x:v>提交成功 -&gt; 生成直播场次举报工单并返回直播间。</x:v>
      </x:c>
      <x:c r="E410" s="4" t="str">
        <x:v>整段分支核验未闭合</x:v>
      </x:c>
      <x:c r="F410" s="4" t="str">
        <x:v>USER-0405、USER-0406、USER-0407、USER-0408、USER-0409</x:v>
      </x:c>
      <x:c r="G410" s="4" t="str">
        <x:v>本段剩余子句、条件组合及状态后续影响仍需与独立规则逐项闭合；这是生成覆盖缺口，不是产品决策缺失。</x:v>
      </x:c>
    </x:row>
    <x:row r="411" ht="44" customHeight="1">
      <x:c r="A411" s="4" t="str">
        <x:v>REQ-8dc817ffb01f</x:v>
      </x:c>
      <x:c r="B411" s="4" t="str">
        <x:v>直播</x:v>
      </x:c>
      <x:c r="C411" s="4" t="n">
        <x:v>789</x:v>
      </x:c>
      <x:c r="D411" s="4" t="str">
        <x:v>举报原因：必填，单选；选项由平台配置。</x:v>
      </x:c>
      <x:c r="E411" s="4" t="str">
        <x:v>整段分支核验未闭合</x:v>
      </x:c>
      <x:c r="F411" s="4" t="str">
        <x:v>USER-0410、USER-0411、USER-0412、USER-0413、USER-0414</x:v>
      </x:c>
      <x:c r="G411" s="4" t="str">
        <x:v>本段剩余子句、条件组合及状态后续影响仍需与独立规则逐项闭合；这是生成覆盖缺口，不是产品决策缺失。</x:v>
      </x:c>
    </x:row>
    <x:row r="412" ht="44" customHeight="1">
      <x:c r="A412" s="4" t="str">
        <x:v>REQ-cd5a56a9a6ac</x:v>
      </x:c>
      <x:c r="B412" s="4" t="str">
        <x:v>直播</x:v>
      </x:c>
      <x:c r="C412" s="4" t="n">
        <x:v>790</x:v>
      </x:c>
      <x:c r="D412" s="4" t="str">
        <x:v>补充说明：选填，最多 200 个字符。</x:v>
      </x:c>
      <x:c r="E412" s="4" t="str">
        <x:v>尚未建立场景映射</x:v>
      </x:c>
      <x:c r="F412" s="4" t="str"/>
      <x:c r="G412" s="4" t="str">
        <x:v>本轮独立来源库保留该已知条款，但尚未建立可核验的正式场景映射；不是无业务依据，也不转为产品待确认。</x:v>
      </x:c>
    </x:row>
    <x:row r="413" ht="44" customHeight="1">
      <x:c r="A413" s="4" t="str">
        <x:v>REQ-8c322038d82f</x:v>
      </x:c>
      <x:c r="B413" s="4" t="str">
        <x:v>直播</x:v>
      </x:c>
      <x:c r="C413" s="4" t="n">
        <x:v>791</x:v>
      </x:c>
      <x:c r="D413" s="4" t="str">
        <x:v>举报对象为当前账号；举报类型包括色情低俗、涉及宗教政治、暴恐血腥、未成年人有害、其他。</x:v>
      </x:c>
      <x:c r="E413" s="4" t="str">
        <x:v>整段分支核验未闭合</x:v>
      </x:c>
      <x:c r="F413" s="4" t="str">
        <x:v>USER-0410、USER-0411、USER-0412、USER-0413、USER-0414</x:v>
      </x:c>
      <x:c r="G413" s="4" t="str">
        <x:v>本段剩余子句、条件组合及状态后续影响仍需与独立规则逐项闭合；这是生成覆盖缺口，不是产品决策缺失。</x:v>
      </x:c>
    </x:row>
    <x:row r="414" ht="44" customHeight="1">
      <x:c r="A414" s="4" t="str">
        <x:v>REQ-cec4572b7621</x:v>
      </x:c>
      <x:c r="B414" s="4" t="str">
        <x:v>直播</x:v>
      </x:c>
      <x:c r="C414" s="4" t="n">
        <x:v>792</x:v>
      </x:c>
      <x:c r="D414" s="4" t="str">
        <x:v>未选择举报原因 -&gt; 提交按钮不可用。</x:v>
      </x:c>
      <x:c r="E414" s="4" t="str">
        <x:v>整段分支核验未闭合</x:v>
      </x:c>
      <x:c r="F414" s="4" t="str">
        <x:v>USER-0410、USER-0411、USER-0412、USER-0413、USER-0414</x:v>
      </x:c>
      <x:c r="G414" s="4" t="str">
        <x:v>本段剩余子句、条件组合及状态后续影响仍需与独立规则逐项闭合；这是生成覆盖缺口，不是产品决策缺失。</x:v>
      </x:c>
    </x:row>
    <x:row r="415" ht="44" customHeight="1">
      <x:c r="A415" s="4" t="str">
        <x:v>REQ-a9bb248fbeab</x:v>
      </x:c>
      <x:c r="B415" s="4" t="str">
        <x:v>直播</x:v>
      </x:c>
      <x:c r="C415" s="4" t="n">
        <x:v>793</x:v>
      </x:c>
      <x:c r="D415" s="4" t="str">
        <x:v>提交成功 -&gt; 生成账号举报工单并返回来源页。</x:v>
      </x:c>
      <x:c r="E415" s="4" t="str">
        <x:v>整段分支核验未闭合</x:v>
      </x:c>
      <x:c r="F415" s="4" t="str">
        <x:v>USER-0410、USER-0411、USER-0412、USER-0413、USER-0414</x:v>
      </x:c>
      <x:c r="G415" s="4" t="str">
        <x:v>本段剩余子句、条件组合及状态后续影响仍需与独立规则逐项闭合；这是生成覆盖缺口，不是产品决策缺失。</x:v>
      </x:c>
    </x:row>
    <x:row r="416" ht="44" customHeight="1">
      <x:c r="A416" s="4" t="str">
        <x:v>REQ-9676a9ade1da</x:v>
      </x:c>
      <x:c r="B416" s="4" t="str">
        <x:v>直播</x:v>
      </x:c>
      <x:c r="C416" s="4" t="n">
        <x:v>797</x:v>
      </x:c>
      <x:c r="D416" s="4" t="str">
        <x:v>房间 ID：主播固定直播间标识；每次开播另生成直播场次。</x:v>
      </x:c>
      <x:c r="E416" s="4" t="str">
        <x:v>整段分支核验未闭合</x:v>
      </x:c>
      <x:c r="F416" s="4" t="str">
        <x:v>USER-0401、USER-0402、USER-0403、USER-0404</x:v>
      </x:c>
      <x:c r="G416" s="4" t="str">
        <x:v>本段剩余子句、条件组合及状态后续影响仍需与独立规则逐项闭合；这是生成覆盖缺口，不是产品决策缺失。</x:v>
      </x:c>
    </x:row>
    <x:row r="417" ht="44" customHeight="1">
      <x:c r="A417" s="4" t="str">
        <x:v>REQ-b10ded34886b</x:v>
      </x:c>
      <x:c r="B417" s="4" t="str">
        <x:v>直播</x:v>
      </x:c>
      <x:c r="C417" s="4" t="n">
        <x:v>798</x:v>
      </x:c>
      <x:c r="D417" s="4" t="str">
        <x:v>在线人数：当前场次实时在线用户数。</x:v>
      </x:c>
      <x:c r="E417" s="4" t="str">
        <x:v>尚未建立场景映射</x:v>
      </x:c>
      <x:c r="F417" s="4" t="str"/>
      <x:c r="G417" s="4" t="str">
        <x:v>本轮独立来源库保留该已知条款，但尚未建立可核验的正式场景映射；不是无业务依据，也不转为产品待确认。</x:v>
      </x:c>
    </x:row>
    <x:row r="418" ht="44" customHeight="1">
      <x:c r="A418" s="4" t="str">
        <x:v>REQ-42ac3281734a</x:v>
      </x:c>
      <x:c r="B418" s="4" t="str">
        <x:v>直播</x:v>
      </x:c>
      <x:c r="C418" s="4" t="n">
        <x:v>799</x:v>
      </x:c>
      <x:c r="D418" s="4" t="str">
        <x:v>本场贡献的真实金币部分：当前场次内成功送出的各礼物单价 × 数量之和；幸运礼物返奖不冲减本场贡献。</x:v>
      </x:c>
      <x:c r="E418" s="4" t="str">
        <x:v>尚未建立场景映射</x:v>
      </x:c>
      <x:c r="F418" s="4" t="str"/>
      <x:c r="G418" s="4" t="str">
        <x:v>本轮独立来源库保留该已知条款，但尚未建立可核验的正式场景映射；不是无业务依据，也不转为产品待确认。</x:v>
      </x:c>
    </x:row>
    <x:row r="419" ht="44" customHeight="1">
      <x:c r="A419" s="4" t="str">
        <x:v>REQ-2a8f3fad0f15</x:v>
      </x:c>
      <x:c r="B419" s="4" t="str">
        <x:v>直播</x:v>
      </x:c>
      <x:c r="C419" s="4" t="n">
        <x:v>800</x:v>
      </x:c>
      <x:c r="D419" s="4" t="str">
        <x:v>待处理连麦邀请：展示当前仍有效的邀请数量。</x:v>
      </x:c>
      <x:c r="E419" s="4" t="str">
        <x:v>尚未建立场景映射</x:v>
      </x:c>
      <x:c r="F419" s="4" t="str"/>
      <x:c r="G419" s="4" t="str">
        <x:v>本轮独立来源库保留该已知条款，但尚未建立可核验的正式场景映射；不是无业务依据，也不转为产品待确认。</x:v>
      </x:c>
    </x:row>
    <x:row r="420" ht="44" customHeight="1">
      <x:c r="A420" s="4" t="str">
        <x:v>REQ-7ba223129156</x:v>
      </x:c>
      <x:c r="B420" s="4" t="str">
        <x:v>直播</x:v>
      </x:c>
      <x:c r="C420" s="4" t="n">
        <x:v>801</x:v>
      </x:c>
      <x:c r="D420" s="4" t="str">
        <x:v>公屏消息：展示评论、进房、礼物和系统消息；被屏蔽单条消息从当前公屏移除。</x:v>
      </x:c>
      <x:c r="E420" s="4" t="str">
        <x:v>整段分支核验未闭合</x:v>
      </x:c>
      <x:c r="F420" s="4" t="str">
        <x:v>USER-0350、USER-0351</x:v>
      </x:c>
      <x:c r="G420" s="4" t="str">
        <x:v>本段剩余子句、条件组合及状态后续影响仍需与独立规则逐项闭合；这是生成覆盖缺口，不是产品决策缺失。</x:v>
      </x:c>
    </x:row>
    <x:row r="421" ht="44" customHeight="1">
      <x:c r="A421" s="4" t="str">
        <x:v>REQ-5ebd79b1bbf8</x:v>
      </x:c>
      <x:c r="B421" s="4" t="str">
        <x:v>直播</x:v>
      </x:c>
      <x:c r="C421" s="4" t="n">
        <x:v>802</x:v>
      </x:c>
      <x:c r="D421" s="4" t="str">
        <x:v>平台或公会关闭直播权限 -&gt; 立即结束当前场次；历史消息、消费、处置和收益记录保留。</x:v>
      </x:c>
      <x:c r="E421" s="4" t="str">
        <x:v>整段分支核验未闭合</x:v>
      </x:c>
      <x:c r="F421" s="4" t="str">
        <x:v>USER-0022、USER-0399、USER-0401、USER-0402、USER-0403、USER-0404</x:v>
      </x:c>
      <x:c r="G421" s="4" t="str">
        <x:v>本段剩余子句、条件组合及状态后续影响仍需与独立规则逐项闭合；这是生成覆盖缺口，不是产品决策缺失。</x:v>
      </x:c>
    </x:row>
    <x:row r="422" ht="44" customHeight="1">
      <x:c r="A422" s="4" t="str">
        <x:v>REQ-a19d6b159f0b</x:v>
      </x:c>
      <x:c r="B422" s="4" t="str">
        <x:v>直播</x:v>
      </x:c>
      <x:c r="C422" s="4" t="n">
        <x:v>803</x:v>
      </x:c>
      <x:c r="D422" s="4" t="str">
        <x:v>房管最多 3 人，授权长期有效；主播可取消房管、禁言、踢出或屏蔽单条评论。</x:v>
      </x:c>
      <x:c r="E422" s="4" t="str">
        <x:v>整段分支核验未闭合</x:v>
      </x:c>
      <x:c r="F422" s="4" t="str">
        <x:v>USER-0350、USER-0351</x:v>
      </x:c>
      <x:c r="G422" s="4" t="str">
        <x:v>本段剩余子句、条件组合及状态后续影响仍需与独立规则逐项闭合；这是生成覆盖缺口，不是产品决策缺失。</x:v>
      </x:c>
    </x:row>
    <x:row r="423" ht="44" customHeight="1">
      <x:c r="A423" s="4" t="str">
        <x:v>REQ-683b4064d1ec</x:v>
      </x:c>
      <x:c r="B423" s="4" t="str">
        <x:v>直播</x:v>
      </x:c>
      <x:c r="C423" s="4" t="n">
        <x:v>804</x:v>
      </x:c>
      <x:c r="D423" s="4" t="str">
        <x:v>禁言和恢复发言仅作用于当前场次；踢出后用户本场不可重进。</x:v>
      </x:c>
      <x:c r="E423" s="4" t="str">
        <x:v>整段分支核验未闭合</x:v>
      </x:c>
      <x:c r="F423" s="4" t="str">
        <x:v>USER-0350、USER-0351</x:v>
      </x:c>
      <x:c r="G423" s="4" t="str">
        <x:v>本段剩余子句、条件组合及状态后续影响仍需与独立规则逐项闭合；这是生成覆盖缺口，不是产品决策缺失。</x:v>
      </x:c>
    </x:row>
    <x:row r="424" ht="44" customHeight="1">
      <x:c r="A424" s="4" t="str">
        <x:v>REQ-dd74c6de0e69</x:v>
      </x:c>
      <x:c r="B424" s="4" t="str">
        <x:v>直播</x:v>
      </x:c>
      <x:c r="C424" s="4" t="n">
        <x:v>805</x:v>
      </x:c>
      <x:c r="D424" s="4" t="str">
        <x:v>仅普通房支持两位主播连麦；双方须在播、未连麦且无账号拉黑关系。任一方结束直播 -&gt; 邀请和连麦失效。</x:v>
      </x:c>
      <x:c r="E424" s="4" t="str">
        <x:v>整段分支核验未闭合</x:v>
      </x:c>
      <x:c r="F424" s="4" t="str">
        <x:v>USER-0022、USER-0399、USER-0401、USER-0402、USER-0403、USER-0404</x:v>
      </x:c>
      <x:c r="G424" s="4" t="str">
        <x:v>本段剩余子句、条件组合及状态后续影响仍需与独立规则逐项闭合；这是生成覆盖缺口，不是产品决策缺失。</x:v>
      </x:c>
    </x:row>
    <x:row r="425" ht="44" customHeight="1">
      <x:c r="A425" s="4" t="str">
        <x:v>REQ-a23c71d1add5</x:v>
      </x:c>
      <x:c r="B425" s="4" t="str">
        <x:v>直播</x:v>
      </x:c>
      <x:c r="C425" s="4" t="n">
        <x:v>806</x:v>
      </x:c>
      <x:c r="D425" s="4" t="str">
        <x:v>新连麦邀请 -&gt; 更新待处理数量；提示停留 4 秒，期间新增邀请只更新当前提示。</x:v>
      </x:c>
      <x:c r="E425" s="4" t="str">
        <x:v>尚未建立场景映射</x:v>
      </x:c>
      <x:c r="F425" s="4" t="str"/>
      <x:c r="G425" s="4" t="str">
        <x:v>本轮独立来源库保留该已知条款，但尚未建立可核验的正式场景映射；不是无业务依据，也不转为产品待确认。</x:v>
      </x:c>
    </x:row>
    <x:row r="426" ht="57" customHeight="1">
      <x:c r="A426" s="4" t="str">
        <x:v>REQ-5d70e4b3fe67</x:v>
      </x:c>
      <x:c r="B426" s="4" t="str">
        <x:v>直播</x:v>
      </x:c>
      <x:c r="C426" s="4" t="n">
        <x:v>807</x:v>
      </x:c>
      <x:c r="D426" s="4" t="str">
        <x:v>设置或取消房管、禁言或恢复发言、踢出用户、结束直播 -&gt; 二次确认后执行；房管达到 3 人时保留入口，点击提示“已达3人上限”。</x:v>
      </x:c>
      <x:c r="E426" s="4" t="str">
        <x:v>整段分支核验未闭合</x:v>
      </x:c>
      <x:c r="F426" s="4" t="str">
        <x:v>USER-0022、USER-0350、USER-0351、USER-0399、USER-0401、USER-0402、USER-0403、USER-0404</x:v>
      </x:c>
      <x:c r="G426" s="4" t="str">
        <x:v>本段剩余子句、条件组合及状态后续影响仍需与独立规则逐项闭合；这是生成覆盖缺口，不是产品决策缺失。</x:v>
      </x:c>
    </x:row>
    <x:row r="427" ht="44" customHeight="1">
      <x:c r="A427" s="4" t="str">
        <x:v>REQ-70272cb84275</x:v>
      </x:c>
      <x:c r="B427" s="4" t="str">
        <x:v>直播</x:v>
      </x:c>
      <x:c r="C427" s="4" t="n">
        <x:v>808</x:v>
      </x:c>
      <x:c r="D427" s="4" t="str">
        <x:v>屏蔽评论 -&gt; 仅移除被选中的单条公屏消息。</x:v>
      </x:c>
      <x:c r="E427" s="4" t="str">
        <x:v>整段分支核验未闭合</x:v>
      </x:c>
      <x:c r="F427" s="4" t="str">
        <x:v>USER-0350、USER-0351</x:v>
      </x:c>
      <x:c r="G427" s="4" t="str">
        <x:v>本段剩余子句、条件组合及状态后续影响仍需与独立规则逐项闭合；这是生成覆盖缺口，不是产品决策缺失。</x:v>
      </x:c>
    </x:row>
    <x:row r="428" ht="44" customHeight="1">
      <x:c r="A428" s="4" t="str">
        <x:v>REQ-cb8c3a1edd82</x:v>
      </x:c>
      <x:c r="B428" s="4" t="str">
        <x:v>直播</x:v>
      </x:c>
      <x:c r="C428" s="4" t="n">
        <x:v>809</x:v>
      </x:c>
      <x:c r="D428" s="4" t="str">
        <x:v>清屏 -&gt; 仅清除当前主播设备上的公屏显示。</x:v>
      </x:c>
      <x:c r="E428" s="4" t="str">
        <x:v>尚未建立场景映射</x:v>
      </x:c>
      <x:c r="F428" s="4" t="str"/>
      <x:c r="G428" s="4" t="str">
        <x:v>本轮独立来源库保留该已知条款，但尚未建立可核验的正式场景映射；不是无业务依据，也不转为产品待确认。</x:v>
      </x:c>
    </x:row>
    <x:row r="429" ht="44" customHeight="1">
      <x:c r="A429" s="4" t="str">
        <x:v>REQ-b6277a0d35dd</x:v>
      </x:c>
      <x:c r="B429" s="4" t="str">
        <x:v>直播</x:v>
      </x:c>
      <x:c r="C429" s="4" t="n">
        <x:v>813</x:v>
      </x:c>
      <x:c r="D429" s="4" t="str">
        <x:v>房间密码：必填，必须为 4-12 个数字，归属当前直播场次。</x:v>
      </x:c>
      <x:c r="E429" s="4" t="str">
        <x:v>尚未建立场景映射</x:v>
      </x:c>
      <x:c r="F429" s="4" t="str"/>
      <x:c r="G429" s="4" t="str">
        <x:v>本轮独立来源库保留该已知条款，但尚未建立可核验的正式场景映射；不是无业务依据，也不转为产品待确认。</x:v>
      </x:c>
    </x:row>
    <x:row r="430" ht="57" customHeight="1">
      <x:c r="A430" s="4" t="str">
        <x:v>REQ-c94dec07483e</x:v>
      </x:c>
      <x:c r="B430" s="4" t="str">
        <x:v>直播</x:v>
      </x:c>
      <x:c r="C430" s="4" t="n">
        <x:v>814</x:v>
      </x:c>
      <x:c r="D430" s="4" t="str">
        <x:v>本场贡献榜：依次按贡献值、粉丝等级、财富等级从高到低排序，仍相同时按用户 ID 数字部分从小到大排序；完整排序后显示前 99 名，不设并列名次。</x:v>
      </x:c>
      <x:c r="E430" s="4" t="str">
        <x:v>尚未建立场景映射</x:v>
      </x:c>
      <x:c r="F430" s="4" t="str"/>
      <x:c r="G430" s="4" t="str">
        <x:v>本轮独立来源库保留该已知条款，但尚未建立可核验的正式场景映射；不是无业务依据，也不转为产品待确认。</x:v>
      </x:c>
    </x:row>
    <x:row r="431" ht="57" customHeight="1">
      <x:c r="A431" s="4" t="str">
        <x:v>REQ-72bac391175c</x:v>
      </x:c>
      <x:c r="B431" s="4" t="str">
        <x:v>直播</x:v>
      </x:c>
      <x:c r="C431" s="4" t="n">
        <x:v>815</x:v>
      </x:c>
      <x:c r="D431" s="4" t="str">
        <x:v>在线观众排序：按贡献时依次比较贡献值、粉丝等级、财富等级、用户 ID；按停留时长时依次比较停留时长、贡献值、粉丝等级、财富等级、用户 ID。数值从高到低，ID 从小到大。</x:v>
      </x:c>
      <x:c r="E431" s="4" t="str">
        <x:v>尚未建立场景映射</x:v>
      </x:c>
      <x:c r="F431" s="4" t="str"/>
      <x:c r="G431" s="4" t="str">
        <x:v>本轮独立来源库保留该已知条款，但尚未建立可核验的正式场景映射；不是无业务依据，也不转为产品待确认。</x:v>
      </x:c>
    </x:row>
    <x:row r="432" ht="44" customHeight="1">
      <x:c r="A432" s="4" t="str">
        <x:v>REQ-1983325e1d0c</x:v>
      </x:c>
      <x:c r="B432" s="4" t="str">
        <x:v>直播</x:v>
      </x:c>
      <x:c r="C432" s="4" t="n">
        <x:v>816</x:v>
      </x:c>
      <x:c r="D432" s="4" t="str">
        <x:v>用户输入当前有效密码后才可进入；账号封禁、拉黑或本场踢出仍优先拦截。</x:v>
      </x:c>
      <x:c r="E432" s="4" t="str">
        <x:v>尚未建立场景映射</x:v>
      </x:c>
      <x:c r="F432" s="4" t="str"/>
      <x:c r="G432" s="4" t="str">
        <x:v>本轮独立来源库保留该已知条款，但尚未建立可核验的正式场景映射；不是无业务依据，也不转为产品待确认。</x:v>
      </x:c>
    </x:row>
    <x:row r="433" ht="44" customHeight="1">
      <x:c r="A433" s="4" t="str">
        <x:v>REQ-12c9166afbcd</x:v>
      </x:c>
      <x:c r="B433" s="4" t="str">
        <x:v>直播</x:v>
      </x:c>
      <x:c r="C433" s="4" t="n">
        <x:v>817</x:v>
      </x:c>
      <x:c r="D433" s="4" t="str">
        <x:v>密码房不支持连麦。</x:v>
      </x:c>
      <x:c r="E433" s="4" t="str">
        <x:v>整段分支核验未闭合</x:v>
      </x:c>
      <x:c r="F433" s="4" t="str">
        <x:v>USER-0697</x:v>
      </x:c>
      <x:c r="G433" s="4" t="str">
        <x:v>本段剩余子句、条件组合及状态后续影响仍需与独立规则逐项闭合；这是生成覆盖缺口，不是产品决策缺失。</x:v>
      </x:c>
    </x:row>
    <x:row r="434" ht="44" customHeight="1">
      <x:c r="A434" s="4" t="str">
        <x:v>REQ-8a690c62169c</x:v>
      </x:c>
      <x:c r="B434" s="4" t="str">
        <x:v>直播</x:v>
      </x:c>
      <x:c r="C434" s="4" t="n">
        <x:v>818</x:v>
      </x:c>
      <x:c r="D434" s="4" t="str">
        <x:v>主播修改密码后，已通过旧密码验证的在线用户不强制退出；用户退出后再次进入，必须输入新密码。</x:v>
      </x:c>
      <x:c r="E434" s="4" t="str">
        <x:v>尚未建立场景映射</x:v>
      </x:c>
      <x:c r="F434" s="4" t="str"/>
      <x:c r="G434" s="4" t="str">
        <x:v>本轮独立来源库保留该已知条款，但尚未建立可核验的正式场景映射；不是无业务依据，也不转为产品待确认。</x:v>
      </x:c>
    </x:row>
    <x:row r="435" ht="57" customHeight="1">
      <x:c r="A435" s="4" t="str">
        <x:v>REQ-26f99f94541b</x:v>
      </x:c>
      <x:c r="B435" s="4" t="str">
        <x:v>直播</x:v>
      </x:c>
      <x:c r="C435" s="4" t="n">
        <x:v>819</x:v>
      </x:c>
      <x:c r="D435" s="4" t="str">
        <x:v>排序所需等级缺失时按 0 级处理；有效消费冲正后重新计算贡献值和排名。账号注销后保留历史贡献，名称显示“账号已注销”，不能进入主页。充值退款不撤销已完成消费。</x:v>
      </x:c>
      <x:c r="E435" s="4" t="str">
        <x:v>尚未建立场景映射</x:v>
      </x:c>
      <x:c r="F435" s="4" t="str"/>
      <x:c r="G435" s="4" t="str">
        <x:v>本轮独立来源库保留该已知条款，但尚未建立可核验的正式场景映射；不是无业务依据，也不转为产品待确认。</x:v>
      </x:c>
    </x:row>
    <x:row r="436" ht="57" customHeight="1">
      <x:c r="A436" s="4" t="str">
        <x:v>REQ-6bfb13242954</x:v>
      </x:c>
      <x:c r="B436" s="4" t="str">
        <x:v>直播</x:v>
      </x:c>
      <x:c r="C436" s="4" t="n">
        <x:v>820</x:v>
      </x:c>
      <x:c r="D436" s="4" t="str">
        <x:v>修改密码 -&gt; 仅接受 4-12 个数字；不符合时保留输入并提示“密码必须是4-12个数字”；校验通过后更新本场有效密码。转发 -&gt; 选择粉丝群或好友并确认；结束直播 -&gt; 二次确认后关闭本场。</x:v>
      </x:c>
      <x:c r="E436" s="4" t="str">
        <x:v>尚未建立场景映射</x:v>
      </x:c>
      <x:c r="F436" s="4" t="str"/>
      <x:c r="G436" s="4" t="str">
        <x:v>本轮独立来源库保留该已知条款，但尚未建立可核验的正式场景映射；不是无业务依据，也不转为产品待确认。</x:v>
      </x:c>
    </x:row>
    <x:row r="437" ht="44" customHeight="1">
      <x:c r="A437" s="4" t="str">
        <x:v>REQ-1c00ca749351</x:v>
      </x:c>
      <x:c r="B437" s="4" t="str">
        <x:v>直播</x:v>
      </x:c>
      <x:c r="C437" s="4" t="n">
        <x:v>824</x:v>
      </x:c>
      <x:c r="D437" s="4" t="str">
        <x:v>连麦主播：固定展示当前两位主播的账号和直播画面。</x:v>
      </x:c>
      <x:c r="E437" s="4" t="str">
        <x:v>整段分支核验未闭合</x:v>
      </x:c>
      <x:c r="F437" s="4" t="str">
        <x:v>USER-0368</x:v>
      </x:c>
      <x:c r="G437" s="4" t="str">
        <x:v>本段剩余子句、条件组合及状态后续影响仍需与独立规则逐项闭合；这是生成覆盖缺口，不是产品决策缺失。</x:v>
      </x:c>
    </x:row>
    <x:row r="438" ht="44" customHeight="1">
      <x:c r="A438" s="4" t="str">
        <x:v>REQ-c6f9368faf6c</x:v>
      </x:c>
      <x:c r="B438" s="4" t="str">
        <x:v>直播</x:v>
      </x:c>
      <x:c r="C438" s="4" t="n">
        <x:v>825</x:v>
      </x:c>
      <x:c r="D438" s="4" t="str">
        <x:v>连麦状态：双方在播且连接有效时为连麦中。</x:v>
      </x:c>
      <x:c r="E438" s="4" t="str">
        <x:v>整段分支核验未闭合</x:v>
      </x:c>
      <x:c r="F438" s="4" t="str">
        <x:v>USER-0368</x:v>
      </x:c>
      <x:c r="G438" s="4" t="str">
        <x:v>本段剩余子句、条件组合及状态后续影响仍需与独立规则逐项闭合；这是生成覆盖缺口，不是产品决策缺失。</x:v>
      </x:c>
    </x:row>
    <x:row r="439" ht="44" customHeight="1">
      <x:c r="A439" s="4" t="str">
        <x:v>REQ-2d333ddec570</x:v>
      </x:c>
      <x:c r="B439" s="4" t="str">
        <x:v>直播</x:v>
      </x:c>
      <x:c r="C439" s="4" t="n">
        <x:v>826</x:v>
      </x:c>
      <x:c r="D439" s="4" t="str">
        <x:v>本场数据：双方直播场次的观众、消息和收益分别累计，不合并账务。</x:v>
      </x:c>
      <x:c r="E439" s="4" t="str">
        <x:v>尚未建立场景映射</x:v>
      </x:c>
      <x:c r="F439" s="4" t="str"/>
      <x:c r="G439" s="4" t="str">
        <x:v>本轮独立来源库保留该已知条款，但尚未建立可核验的正式场景映射；不是无业务依据，也不转为产品待确认。</x:v>
      </x:c>
    </x:row>
    <x:row r="440" ht="57" customHeight="1">
      <x:c r="A440" s="4" t="str">
        <x:v>REQ-461d464f7160</x:v>
      </x:c>
      <x:c r="B440" s="4" t="str">
        <x:v>直播</x:v>
      </x:c>
      <x:c r="C440" s="4" t="n">
        <x:v>827</x:v>
      </x:c>
      <x:c r="D440" s="4" t="str">
        <x:v>本场贡献榜：依次按贡献值、粉丝等级、财富等级从高到低排序，仍相同时按用户 ID 数字部分从小到大排序；完整排序后显示前 99 名，不设并列名次。</x:v>
      </x:c>
      <x:c r="E440" s="4" t="str">
        <x:v>尚未建立场景映射</x:v>
      </x:c>
      <x:c r="F440" s="4" t="str"/>
      <x:c r="G440" s="4" t="str">
        <x:v>本轮独立来源库保留该已知条款，但尚未建立可核验的正式场景映射；不是无业务依据，也不转为产品待确认。</x:v>
      </x:c>
    </x:row>
    <x:row r="441" ht="57" customHeight="1">
      <x:c r="A441" s="4" t="str">
        <x:v>REQ-3e8170f29339</x:v>
      </x:c>
      <x:c r="B441" s="4" t="str">
        <x:v>直播</x:v>
      </x:c>
      <x:c r="C441" s="4" t="n">
        <x:v>828</x:v>
      </x:c>
      <x:c r="D441" s="4" t="str">
        <x:v>在线观众排序：按贡献时依次比较贡献值、粉丝等级、财富等级、用户 ID；按停留时长时依次比较停留时长、贡献值、粉丝等级、财富等级、用户 ID。数值从高到低，ID 从小到大。</x:v>
      </x:c>
      <x:c r="E441" s="4" t="str">
        <x:v>尚未建立场景映射</x:v>
      </x:c>
      <x:c r="F441" s="4" t="str"/>
      <x:c r="G441" s="4" t="str">
        <x:v>本轮独立来源库保留该已知条款，但尚未建立可核验的正式场景映射；不是无业务依据，也不转为产品待确认。</x:v>
      </x:c>
    </x:row>
    <x:row r="442" ht="44" customHeight="1">
      <x:c r="A442" s="4" t="str">
        <x:v>REQ-563e5bc0aaf7</x:v>
      </x:c>
      <x:c r="B442" s="4" t="str">
        <x:v>直播</x:v>
      </x:c>
      <x:c r="C442" s="4" t="n">
        <x:v>829</x:v>
      </x:c>
      <x:c r="D442" s="4" t="str">
        <x:v>仅普通房支持两位主播连麦；不支持观众上麦、三人及以上连线。</x:v>
      </x:c>
      <x:c r="E442" s="4" t="str">
        <x:v>整段分支核验未闭合</x:v>
      </x:c>
      <x:c r="F442" s="4" t="str">
        <x:v>USER-0368</x:v>
      </x:c>
      <x:c r="G442" s="4" t="str">
        <x:v>本段剩余子句、条件组合及状态后续影响仍需与独立规则逐项闭合；这是生成覆盖缺口，不是产品决策缺失。</x:v>
      </x:c>
    </x:row>
    <x:row r="443" ht="44" customHeight="1">
      <x:c r="A443" s="4" t="str">
        <x:v>REQ-cbb251726985</x:v>
      </x:c>
      <x:c r="B443" s="4" t="str">
        <x:v>直播</x:v>
      </x:c>
      <x:c r="C443" s="4" t="n">
        <x:v>830</x:v>
      </x:c>
      <x:c r="D443" s="4" t="str">
        <x:v>任一方结束直播 -&gt; 连麦立即结束，另一方直播继续。</x:v>
      </x:c>
      <x:c r="E443" s="4" t="str">
        <x:v>整段分支核验未闭合</x:v>
      </x:c>
      <x:c r="F443" s="4" t="str">
        <x:v>USER-0368</x:v>
      </x:c>
      <x:c r="G443" s="4" t="str">
        <x:v>本段剩余子句、条件组合及状态后续影响仍需与独立规则逐项闭合；这是生成覆盖缺口，不是产品决策缺失。</x:v>
      </x:c>
    </x:row>
    <x:row r="444" ht="57" customHeight="1">
      <x:c r="A444" s="4" t="str">
        <x:v>REQ-b7bee2c7134c</x:v>
      </x:c>
      <x:c r="B444" s="4" t="str">
        <x:v>直播</x:v>
      </x:c>
      <x:c r="C444" s="4" t="n">
        <x:v>831</x:v>
      </x:c>
      <x:c r="D444" s="4" t="str">
        <x:v>排序所需等级缺失时按 0 级处理；有效消费冲正后重新计算贡献值和排名。账号注销后保留历史贡献，名称显示“账号已注销”，不能进入主页。充值退款不撤销已完成消费。</x:v>
      </x:c>
      <x:c r="E444" s="4" t="str">
        <x:v>尚未建立场景映射</x:v>
      </x:c>
      <x:c r="F444" s="4" t="str"/>
      <x:c r="G444" s="4" t="str">
        <x:v>本轮独立来源库保留该已知条款，但尚未建立可核验的正式场景映射；不是无业务依据，也不转为产品待确认。</x:v>
      </x:c>
    </x:row>
    <x:row r="445" ht="44" customHeight="1">
      <x:c r="A445" s="4" t="str">
        <x:v>REQ-724f42aad9ee</x:v>
      </x:c>
      <x:c r="B445" s="4" t="str">
        <x:v>直播</x:v>
      </x:c>
      <x:c r="C445" s="4" t="n">
        <x:v>832</x:v>
      </x:c>
      <x:c r="D445" s="4" t="str">
        <x:v>退出连麦确认 -&gt; 双方退出连麦，各自直播继续；取消 -&gt; 保持连麦。</x:v>
      </x:c>
      <x:c r="E445" s="4" t="str">
        <x:v>整段分支核验未闭合</x:v>
      </x:c>
      <x:c r="F445" s="4" t="str">
        <x:v>USER-0368</x:v>
      </x:c>
      <x:c r="G445" s="4" t="str">
        <x:v>本段剩余子句、条件组合及状态后续影响仍需与独立规则逐项闭合；这是生成覆盖缺口，不是产品决策缺失。</x:v>
      </x:c>
    </x:row>
    <x:row r="446" ht="44" customHeight="1">
      <x:c r="A446" s="4" t="str">
        <x:v>REQ-744c9b682e12</x:v>
      </x:c>
      <x:c r="B446" s="4" t="str">
        <x:v>直播</x:v>
      </x:c>
      <x:c r="C446" s="4" t="n">
        <x:v>836</x:v>
      </x:c>
      <x:c r="D446" s="4" t="str">
        <x:v>主播头像 / 名称：展示当前已结束直播场次对应主播的头像和名称。</x:v>
      </x:c>
      <x:c r="E446" s="4" t="str">
        <x:v>整段分支核验未闭合</x:v>
      </x:c>
      <x:c r="F446" s="4" t="str">
        <x:v>USER-0535、USER-0537、USER-0538、USER-0539、USER-0615</x:v>
      </x:c>
      <x:c r="G446" s="4" t="str">
        <x:v>本段剩余子句、条件组合及状态后续影响仍需与独立规则逐项闭合；这是生成覆盖缺口，不是产品决策缺失。</x:v>
      </x:c>
    </x:row>
    <x:row r="447" ht="44" customHeight="1">
      <x:c r="A447" s="4" t="str">
        <x:v>REQ-087186b73746</x:v>
      </x:c>
      <x:c r="B447" s="4" t="str">
        <x:v>直播</x:v>
      </x:c>
      <x:c r="C447" s="4" t="n">
        <x:v>837</x:v>
      </x:c>
      <x:c r="D447" s="4" t="str">
        <x:v>直播结束状态：展示“主播名称 的直播已结束”，表示当前场次已关闭。</x:v>
      </x:c>
      <x:c r="E447" s="4" t="str">
        <x:v>整段分支核验未闭合</x:v>
      </x:c>
      <x:c r="F447" s="4" t="str">
        <x:v>USER-0535、USER-0537、USER-0538、USER-0539</x:v>
      </x:c>
      <x:c r="G447" s="4" t="str">
        <x:v>本段剩余子句、条件组合及状态后续影响仍需与独立规则逐项闭合；这是生成覆盖缺口，不是产品决策缺失。</x:v>
      </x:c>
    </x:row>
    <x:row r="448" ht="44" customHeight="1">
      <x:c r="A448" s="4" t="str">
        <x:v>REQ-d96cf6926bbb</x:v>
      </x:c>
      <x:c r="B448" s="4" t="str">
        <x:v>直播</x:v>
      </x:c>
      <x:c r="C448" s="4" t="n">
        <x:v>838</x:v>
      </x:c>
      <x:c r="D448" s="4" t="str">
        <x:v>结束提示：展示“主播正在整理本场内容”；仅为结束后的页面提示，不代表新场次已创建。</x:v>
      </x:c>
      <x:c r="E448" s="4" t="str">
        <x:v>整段分支核验未闭合</x:v>
      </x:c>
      <x:c r="F448" s="4" t="str">
        <x:v>USER-0535、USER-0537、USER-0538、USER-0539</x:v>
      </x:c>
      <x:c r="G448" s="4" t="str">
        <x:v>本段剩余子句、条件组合及状态后续影响仍需与独立规则逐项闭合；这是生成覆盖缺口，不是产品决策缺失。</x:v>
      </x:c>
    </x:row>
    <x:row r="449" ht="44" customHeight="1">
      <x:c r="A449" s="4" t="str">
        <x:v>REQ-093bf5df7b3b</x:v>
      </x:c>
      <x:c r="B449" s="4" t="str">
        <x:v>直播</x:v>
      </x:c>
      <x:c r="C449" s="4" t="n">
        <x:v>839</x:v>
      </x:c>
      <x:c r="D449" s="4" t="str">
        <x:v>返回首页：离开结束页并回到直播广场。</x:v>
      </x:c>
      <x:c r="E449" s="4" t="str">
        <x:v>整段分支核验未闭合</x:v>
      </x:c>
      <x:c r="F449" s="4" t="str">
        <x:v>USER-0535、USER-0537、USER-0538、USER-0539</x:v>
      </x:c>
      <x:c r="G449" s="4" t="str">
        <x:v>本段剩余子句、条件组合及状态后续影响仍需与独立规则逐项闭合；这是生成覆盖缺口，不是产品决策缺失。</x:v>
      </x:c>
    </x:row>
    <x:row r="450" ht="44" customHeight="1">
      <x:c r="A450" s="4" t="str">
        <x:v>REQ-c26340580604</x:v>
      </x:c>
      <x:c r="B450" s="4" t="str">
        <x:v>直播</x:v>
      </x:c>
      <x:c r="C450" s="4" t="n">
        <x:v>840</x:v>
      </x:c>
      <x:c r="D450" s="4" t="str">
        <x:v>当前直播场次已关闭，不能继续观看、评论、送礼或进入连麦。</x:v>
      </x:c>
      <x:c r="E450" s="4" t="str">
        <x:v>整段分支核验未闭合</x:v>
      </x:c>
      <x:c r="F450" s="4" t="str">
        <x:v>USER-0535、USER-0537、USER-0538、USER-0539</x:v>
      </x:c>
      <x:c r="G450" s="4" t="str">
        <x:v>本段剩余子句、条件组合及状态后续影响仍需与独立规则逐项闭合；这是生成覆盖缺口，不是产品决策缺失。</x:v>
      </x:c>
    </x:row>
    <x:row r="451" ht="44" customHeight="1">
      <x:c r="A451" s="4" t="str">
        <x:v>REQ-671e67c30c1e</x:v>
      </x:c>
      <x:c r="B451" s="4" t="str">
        <x:v>直播</x:v>
      </x:c>
      <x:c r="C451" s="4" t="n">
        <x:v>841</x:v>
      </x:c>
      <x:c r="D451" s="4" t="str">
        <x:v>本场门票、密码验证和踢出/禁言状态同时失效；历史消费记录保留。</x:v>
      </x:c>
      <x:c r="E451" s="4" t="str">
        <x:v>尚未建立场景映射</x:v>
      </x:c>
      <x:c r="F451" s="4" t="str"/>
      <x:c r="G451" s="4" t="str">
        <x:v>本轮独立来源库保留该已知条款，但尚未建立可核验的正式场景映射；不是无业务依据，也不转为产品待确认。</x:v>
      </x:c>
    </x:row>
    <x:row r="452" ht="44" customHeight="1">
      <x:c r="A452" s="4" t="str">
        <x:v>REQ-294c9aea7171</x:v>
      </x:c>
      <x:c r="B452" s="4" t="str">
        <x:v>直播</x:v>
      </x:c>
      <x:c r="C452" s="4" t="n">
        <x:v>842</x:v>
      </x:c>
      <x:c r="D452" s="4" t="str">
        <x:v>主播再次开播会创建新场次，须重新执行对应准入校验。</x:v>
      </x:c>
      <x:c r="E452" s="4" t="str">
        <x:v>整段分支核验未闭合</x:v>
      </x:c>
      <x:c r="F452" s="4" t="str">
        <x:v>USER-0535</x:v>
      </x:c>
      <x:c r="G452" s="4" t="str">
        <x:v>本段剩余子句、条件组合及状态后续影响仍需与独立规则逐项闭合；这是生成覆盖缺口，不是产品决策缺失。</x:v>
      </x:c>
    </x:row>
    <x:row r="453" ht="44" customHeight="1">
      <x:c r="A453" s="4" t="str">
        <x:v>REQ-c6340ce7c243</x:v>
      </x:c>
      <x:c r="B453" s="4" t="str">
        <x:v>直播</x:v>
      </x:c>
      <x:c r="C453" s="4" t="n">
        <x:v>843</x:v>
      </x:c>
      <x:c r="D453" s="4" t="str">
        <x:v>返回首页 -&gt; 离开结束页；重复打开已结束房间 -&gt; 仍进入当前结束状态，不进入新场次。</x:v>
      </x:c>
      <x:c r="E453" s="4" t="str">
        <x:v>整段分支核验未闭合</x:v>
      </x:c>
      <x:c r="F453" s="4" t="str">
        <x:v>USER-0535、USER-0537、USER-0538、USER-0539</x:v>
      </x:c>
      <x:c r="G453" s="4" t="str">
        <x:v>本段剩余子句、条件组合及状态后续影响仍需与独立规则逐项闭合；这是生成覆盖缺口，不是产品决策缺失。</x:v>
      </x:c>
    </x:row>
    <x:row r="454" ht="44" customHeight="1">
      <x:c r="A454" s="4" t="str">
        <x:v>REQ-f0b59fd6afb1</x:v>
      </x:c>
      <x:c r="B454" s="4" t="str">
        <x:v>直播</x:v>
      </x:c>
      <x:c r="C454" s="4" t="n">
        <x:v>847</x:v>
      </x:c>
      <x:c r="D454" s="4" t="str">
        <x:v>直播时长：当前场次从开始到结束的有效直播时长。</x:v>
      </x:c>
      <x:c r="E454" s="4" t="str">
        <x:v>整段分支核验未闭合</x:v>
      </x:c>
      <x:c r="F454" s="4" t="str">
        <x:v>USER-0536</x:v>
      </x:c>
      <x:c r="G454" s="4" t="str">
        <x:v>本段剩余子句、条件组合及状态后续影响仍需与独立规则逐项闭合；这是生成覆盖缺口，不是产品决策缺失。</x:v>
      </x:c>
    </x:row>
    <x:row r="455" ht="44" customHeight="1">
      <x:c r="A455" s="4" t="str">
        <x:v>REQ-67e8fc5109d4</x:v>
      </x:c>
      <x:c r="B455" s="4" t="str">
        <x:v>直播</x:v>
      </x:c>
      <x:c r="C455" s="4" t="n">
        <x:v>848</x:v>
      </x:c>
      <x:c r="D455" s="4" t="str">
        <x:v>观看人数：当前场次累计进入人次。</x:v>
      </x:c>
      <x:c r="E455" s="4" t="str">
        <x:v>整段分支核验未闭合</x:v>
      </x:c>
      <x:c r="F455" s="4" t="str">
        <x:v>USER-0536</x:v>
      </x:c>
      <x:c r="G455" s="4" t="str">
        <x:v>本段剩余子句、条件组合及状态后续影响仍需与独立规则逐项闭合；这是生成覆盖缺口，不是产品决策缺失。</x:v>
      </x:c>
    </x:row>
    <x:row r="456" ht="57" customHeight="1">
      <x:c r="A456" s="4" t="str">
        <x:v>REQ-cbc60c5d616f</x:v>
      </x:c>
      <x:c r="B456" s="4" t="str">
        <x:v>直播</x:v>
      </x:c>
      <x:c r="C456" s="4" t="n">
        <x:v>849</x:v>
      </x:c>
      <x:c r="D456" s="4" t="str">
        <x:v>本场收益：普通/定制礼物收益 + 门票收益 + 幸运礼物收益；幸运礼物收益 = 送出价值 × 后台比例，默认 1%，返奖不影响。虚拟金币、失败或撤销消费不计入。</x:v>
      </x:c>
      <x:c r="E456" s="4" t="str">
        <x:v>整段分支核验未闭合</x:v>
      </x:c>
      <x:c r="F456" s="4" t="str">
        <x:v>USER-0769</x:v>
      </x:c>
      <x:c r="G456" s="4" t="str">
        <x:v>本段剩余子句、条件组合及状态后续影响仍需与独立规则逐项闭合；这是生成覆盖缺口，不是产品决策缺失。</x:v>
      </x:c>
    </x:row>
    <x:row r="457" ht="44" customHeight="1">
      <x:c r="A457" s="4" t="str">
        <x:v>REQ-26c90db50167</x:v>
      </x:c>
      <x:c r="B457" s="4" t="str">
        <x:v>直播</x:v>
      </x:c>
      <x:c r="C457" s="4" t="n">
        <x:v>850</x:v>
      </x:c>
      <x:c r="D457" s="4" t="str">
        <x:v>结束后关闭当前场次；历史消息、消费、处置和收益记录保留，下一次开播创建新场次。</x:v>
      </x:c>
      <x:c r="E457" s="4" t="str">
        <x:v>整段分支核验未闭合</x:v>
      </x:c>
      <x:c r="F457" s="4" t="str">
        <x:v>USER-0401、USER-0402、USER-0403、USER-0404、USER-0536</x:v>
      </x:c>
      <x:c r="G457" s="4" t="str">
        <x:v>本段剩余子句、条件组合及状态后续影响仍需与独立规则逐项闭合；这是生成覆盖缺口，不是产品决策缺失。</x:v>
      </x:c>
    </x:row>
    <x:row r="458" ht="44" customHeight="1">
      <x:c r="A458" s="4" t="str">
        <x:v>REQ-fd0617a068c8</x:v>
      </x:c>
      <x:c r="B458" s="4" t="str">
        <x:v>直播</x:v>
      </x:c>
      <x:c r="C458" s="4" t="n">
        <x:v>851</x:v>
      </x:c>
      <x:c r="D458" s="4" t="str">
        <x:v>查看直播数据 -&gt; 进入当前场次或汇总数据；返回主播中心 -&gt; 离开结束页。</x:v>
      </x:c>
      <x:c r="E458" s="4" t="str">
        <x:v>整段分支核验未闭合</x:v>
      </x:c>
      <x:c r="F458" s="4" t="str">
        <x:v>USER-0536</x:v>
      </x:c>
      <x:c r="G458" s="4" t="str">
        <x:v>本段剩余子句、条件组合及状态后续影响仍需与独立规则逐项闭合；这是生成覆盖缺口，不是产品决策缺失。</x:v>
      </x:c>
    </x:row>
    <x:row r="459" ht="44" customHeight="1">
      <x:c r="A459" s="4" t="str">
        <x:v>REQ-1f98d757e221</x:v>
      </x:c>
      <x:c r="B459" s="4" t="str">
        <x:v>消息与社交</x:v>
      </x:c>
      <x:c r="C459" s="4" t="n">
        <x:v>856</x:v>
      </x:c>
      <x:c r="D459" s="4" t="str">
        <x:v>搜索关键词：按用户名模糊筛选，忽略大小写；空值展示全部好友。</x:v>
      </x:c>
      <x:c r="E459" s="4" t="str">
        <x:v>整段分支核验未闭合</x:v>
      </x:c>
      <x:c r="F459" s="4" t="str">
        <x:v>USER-0792、USER-0793、USER-0794</x:v>
      </x:c>
      <x:c r="G459" s="4" t="str">
        <x:v>本段剩余子句、条件组合及状态后续影响仍需与独立规则逐项闭合；这是生成覆盖缺口，不是产品决策缺失。</x:v>
      </x:c>
    </x:row>
    <x:row r="460" ht="44" customHeight="1">
      <x:c r="A460" s="4" t="str">
        <x:v>REQ-e2045547464c</x:v>
      </x:c>
      <x:c r="B460" s="4" t="str">
        <x:v>消息与社交</x:v>
      </x:c>
      <x:c r="C460" s="4" t="n">
        <x:v>857</x:v>
      </x:c>
      <x:c r="D460" s="4" t="str">
        <x:v>好友头像 / 昵称：展示当前有效好友的账号资料。</x:v>
      </x:c>
      <x:c r="E460" s="4" t="str">
        <x:v>整段分支核验未闭合</x:v>
      </x:c>
      <x:c r="F460" s="4" t="str">
        <x:v>USER-0616、USER-0649</x:v>
      </x:c>
      <x:c r="G460" s="4" t="str">
        <x:v>本段剩余子句、条件组合及状态后续影响仍需与独立规则逐项闭合；这是生成覆盖缺口，不是产品决策缺失。</x:v>
      </x:c>
    </x:row>
    <x:row r="461" ht="44" customHeight="1">
      <x:c r="A461" s="4" t="str">
        <x:v>REQ-ee2d7fae7437</x:v>
      </x:c>
      <x:c r="B461" s="4" t="str">
        <x:v>消息与社交</x:v>
      </x:c>
      <x:c r="C461" s="4" t="n">
        <x:v>858</x:v>
      </x:c>
      <x:c r="D461" s="4" t="str">
        <x:v>等级：展示该好友的财富等级。</x:v>
      </x:c>
      <x:c r="E461" s="4" t="str">
        <x:v>尚未建立场景映射</x:v>
      </x:c>
      <x:c r="F461" s="4" t="str"/>
      <x:c r="G461" s="4" t="str">
        <x:v>本轮独立来源库保留该已知条款，但尚未建立可核验的正式场景映射；不是无业务依据，也不转为产品待确认。</x:v>
      </x:c>
    </x:row>
    <x:row r="462" ht="44" customHeight="1">
      <x:c r="A462" s="4" t="str">
        <x:v>REQ-256b60dc5e1d</x:v>
      </x:c>
      <x:c r="B462" s="4" t="str">
        <x:v>消息与社交</x:v>
      </x:c>
      <x:c r="C462" s="4" t="n">
        <x:v>859</x:v>
      </x:c>
      <x:c r="D462" s="4" t="str">
        <x:v>勋章：展示该好友当前显示的勋章。</x:v>
      </x:c>
      <x:c r="E462" s="4" t="str">
        <x:v>尚未建立场景映射</x:v>
      </x:c>
      <x:c r="F462" s="4" t="str"/>
      <x:c r="G462" s="4" t="str">
        <x:v>本轮独立来源库保留该已知条款，但尚未建立可核验的正式场景映射；不是无业务依据，也不转为产品待确认。</x:v>
      </x:c>
    </x:row>
    <x:row r="463" ht="44" customHeight="1">
      <x:c r="A463" s="4" t="str">
        <x:v>REQ-5080a485f149</x:v>
      </x:c>
      <x:c r="B463" s="4" t="str">
        <x:v>消息与社交</x:v>
      </x:c>
      <x:c r="C463" s="4" t="n">
        <x:v>860</x:v>
      </x:c>
      <x:c r="D463" s="4" t="str">
        <x:v>接受好友申请后双方进入好友列表；重复申请不生成新记录。</x:v>
      </x:c>
      <x:c r="E463" s="4" t="str">
        <x:v>尚未建立场景映射</x:v>
      </x:c>
      <x:c r="F463" s="4" t="str"/>
      <x:c r="G463" s="4" t="str">
        <x:v>本轮独立来源库保留该已知条款，但尚未建立可核验的正式场景映射；不是无业务依据，也不转为产品待确认。</x:v>
      </x:c>
    </x:row>
    <x:row r="464" ht="44" customHeight="1">
      <x:c r="A464" s="4" t="str">
        <x:v>REQ-a500e6f13be3</x:v>
      </x:c>
      <x:c r="B464" s="4" t="str">
        <x:v>消息与社交</x:v>
      </x:c>
      <x:c r="C464" s="4" t="n">
        <x:v>861</x:v>
      </x:c>
      <x:c r="D464" s="4" t="str">
        <x:v>删除好友或任一方拉黑 -&gt; 立即从双方列表移除；取消拉黑不自动恢复。</x:v>
      </x:c>
      <x:c r="E464" s="4" t="str">
        <x:v>整段分支核验未闭合</x:v>
      </x:c>
      <x:c r="F464" s="4" t="str">
        <x:v>USER-0652</x:v>
      </x:c>
      <x:c r="G464" s="4" t="str">
        <x:v>本段剩余子句、条件组合及状态后续影响仍需与独立规则逐项闭合；这是生成覆盖缺口，不是产品决策缺失。</x:v>
      </x:c>
    </x:row>
    <x:row r="465" ht="44" customHeight="1">
      <x:c r="A465" s="4" t="str">
        <x:v>REQ-8676bba0cff0</x:v>
      </x:c>
      <x:c r="B465" s="4" t="str">
        <x:v>消息与社交</x:v>
      </x:c>
      <x:c r="C465" s="4" t="n">
        <x:v>862</x:v>
      </x:c>
      <x:c r="D465" s="4" t="str">
        <x:v>好友关系与关注关系分别维护。</x:v>
      </x:c>
      <x:c r="E465" s="4" t="str">
        <x:v>整段分支核验未闭合</x:v>
      </x:c>
      <x:c r="F465" s="4" t="str">
        <x:v>USER-0653</x:v>
      </x:c>
      <x:c r="G465" s="4" t="str">
        <x:v>本段剩余子句、条件组合及状态后续影响仍需与独立规则逐项闭合；这是生成覆盖缺口，不是产品决策缺失。</x:v>
      </x:c>
    </x:row>
    <x:row r="466" ht="44" customHeight="1">
      <x:c r="A466" s="4" t="str">
        <x:v>REQ-9149cae5b26b</x:v>
      </x:c>
      <x:c r="B466" s="4" t="str">
        <x:v>消息与社交</x:v>
      </x:c>
      <x:c r="C466" s="4" t="n">
        <x:v>863</x:v>
      </x:c>
      <x:c r="D466" s="4" t="str">
        <x:v>数据范围：当前账号仍有效的双向好友关系；搜索仅匹配这些好友。</x:v>
      </x:c>
      <x:c r="E466" s="4" t="str">
        <x:v>整段分支核验未闭合</x:v>
      </x:c>
      <x:c r="F466" s="4" t="str">
        <x:v>USER-0649</x:v>
      </x:c>
      <x:c r="G466" s="4" t="str">
        <x:v>本段剩余子句、条件组合及状态后续影响仍需与独立规则逐项闭合；这是生成覆盖缺口，不是产品决策缺失。</x:v>
      </x:c>
    </x:row>
    <x:row r="467" ht="44" customHeight="1">
      <x:c r="A467" s="4" t="str">
        <x:v>REQ-a41619271db7</x:v>
      </x:c>
      <x:c r="B467" s="4" t="str">
        <x:v>消息与社交</x:v>
      </x:c>
      <x:c r="C467" s="4" t="n">
        <x:v>864</x:v>
      </x:c>
      <x:c r="D467" s="4" t="str">
        <x:v>搜索不改变结果的相对顺序。</x:v>
      </x:c>
      <x:c r="E467" s="4" t="str">
        <x:v>整段分支核验未闭合</x:v>
      </x:c>
      <x:c r="F467" s="4" t="str">
        <x:v>USER-0650</x:v>
      </x:c>
      <x:c r="G467" s="4" t="str">
        <x:v>本段剩余子句、条件组合及状态后续影响仍需与独立规则逐项闭合；这是生成覆盖缺口，不是产品决策缺失。</x:v>
      </x:c>
    </x:row>
    <x:row r="468" ht="44" customHeight="1">
      <x:c r="A468" s="4" t="str">
        <x:v>REQ-7adf09e79860</x:v>
      </x:c>
      <x:c r="B468" s="4" t="str">
        <x:v>消息与社交</x:v>
      </x:c>
      <x:c r="C468" s="4" t="n">
        <x:v>865</x:v>
      </x:c>
      <x:c r="D468" s="4" t="str">
        <x:v>输入用户名 -&gt; 实时模糊筛选；无匹配时展示空状态。</x:v>
      </x:c>
      <x:c r="E468" s="4" t="str">
        <x:v>整段分支核验未闭合</x:v>
      </x:c>
      <x:c r="F468" s="4" t="str">
        <x:v>USER-0648、USER-0649</x:v>
      </x:c>
      <x:c r="G468" s="4" t="str">
        <x:v>本段剩余子句、条件组合及状态后续影响仍需与独立规则逐项闭合；这是生成覆盖缺口，不是产品决策缺失。</x:v>
      </x:c>
    </x:row>
    <x:row r="469" ht="44" customHeight="1">
      <x:c r="A469" s="4" t="str">
        <x:v>REQ-0e0a9d37b9cd</x:v>
      </x:c>
      <x:c r="B469" s="4" t="str">
        <x:v>消息与社交</x:v>
      </x:c>
      <x:c r="C469" s="4" t="n">
        <x:v>866</x:v>
      </x:c>
      <x:c r="D469" s="4" t="str">
        <x:v>点击好友整行（头像、昵称、等级、勋章或行内空白）-&gt; 进入对方主页；主播进入主播主页，普通用户进入用户主页。</x:v>
      </x:c>
      <x:c r="E469" s="4" t="str">
        <x:v>整段分支核验未闭合</x:v>
      </x:c>
      <x:c r="F469" s="4" t="str">
        <x:v>USER-0654、USER-0655、USER-0656、USER-0657</x:v>
      </x:c>
      <x:c r="G469" s="4" t="str">
        <x:v>本段剩余子句、条件组合及状态后续影响仍需与独立规则逐项闭合；这是生成覆盖缺口，不是产品决策缺失。</x:v>
      </x:c>
    </x:row>
    <x:row r="470" ht="44" customHeight="1">
      <x:c r="A470" s="4" t="str">
        <x:v>REQ-6a0e0397b14c</x:v>
      </x:c>
      <x:c r="B470" s="4" t="str">
        <x:v>消息与社交</x:v>
      </x:c>
      <x:c r="C470" s="4" t="n">
        <x:v>867</x:v>
      </x:c>
      <x:c r="D470" s="4" t="str">
        <x:v>点击返回 -&gt; 进入消息中心。</x:v>
      </x:c>
      <x:c r="E470" s="4" t="str">
        <x:v>整段分支核验未闭合</x:v>
      </x:c>
      <x:c r="F470" s="4" t="str">
        <x:v>USER-0388</x:v>
      </x:c>
      <x:c r="G470" s="4" t="str">
        <x:v>本段剩余子句、条件组合及状态后续影响仍需与独立规则逐项闭合；这是生成覆盖缺口，不是产品决策缺失。</x:v>
      </x:c>
    </x:row>
    <x:row r="471" ht="44" customHeight="1">
      <x:c r="A471" s="4" t="str">
        <x:v>REQ-fa316e8ebde9</x:v>
      </x:c>
      <x:c r="B471" s="4" t="str">
        <x:v>消息与社交</x:v>
      </x:c>
      <x:c r="C471" s="4" t="n">
        <x:v>872</x:v>
      </x:c>
      <x:c r="D471" s="4" t="str">
        <x:v>通知类型：包括新增关注、好友申请、好友申请通过和拒绝。</x:v>
      </x:c>
      <x:c r="E471" s="4" t="str">
        <x:v>整段分支核验未闭合</x:v>
      </x:c>
      <x:c r="F471" s="4" t="str">
        <x:v>USER-0254、USER-0255、USER-0775</x:v>
      </x:c>
      <x:c r="G471" s="4" t="str">
        <x:v>本段剩余子句、条件组合及状态后续影响仍需与独立规则逐项闭合；这是生成覆盖缺口，不是产品决策缺失。</x:v>
      </x:c>
    </x:row>
    <x:row r="472" ht="44" customHeight="1">
      <x:c r="A472" s="4" t="str">
        <x:v>REQ-6638d0f48f9f</x:v>
      </x:c>
      <x:c r="B472" s="4" t="str">
        <x:v>消息与社交</x:v>
      </x:c>
      <x:c r="C472" s="4" t="n">
        <x:v>873</x:v>
      </x:c>
      <x:c r="D472" s="4" t="str">
        <x:v>处理状态：好友申请可为待处理、已同意、已拒绝或已失效。</x:v>
      </x:c>
      <x:c r="E472" s="4" t="str">
        <x:v>整段分支核验未闭合</x:v>
      </x:c>
      <x:c r="F472" s="4" t="str">
        <x:v>USER-0254、USER-0255、USER-0775</x:v>
      </x:c>
      <x:c r="G472" s="4" t="str">
        <x:v>本段剩余子句、条件组合及状态后续影响仍需与独立规则逐项闭合；这是生成覆盖缺口，不是产品决策缺失。</x:v>
      </x:c>
    </x:row>
    <x:row r="473" ht="44" customHeight="1">
      <x:c r="A473" s="4" t="str">
        <x:v>REQ-ac7acaac8831</x:v>
      </x:c>
      <x:c r="B473" s="4" t="str">
        <x:v>消息与社交</x:v>
      </x:c>
      <x:c r="C473" s="4" t="n">
        <x:v>874</x:v>
      </x:c>
      <x:c r="D473" s="4" t="str">
        <x:v>发生时间：按服务端时间倒序；时间相同时按通知 ID 从大到小排序。</x:v>
      </x:c>
      <x:c r="E473" s="4" t="str">
        <x:v>尚未建立场景映射</x:v>
      </x:c>
      <x:c r="F473" s="4" t="str"/>
      <x:c r="G473" s="4" t="str">
        <x:v>本轮独立来源库保留该已知条款，但尚未建立可核验的正式场景映射；不是无业务依据，也不转为产品待确认。</x:v>
      </x:c>
    </x:row>
    <x:row r="474" ht="44" customHeight="1">
      <x:c r="A474" s="4" t="str">
        <x:v>REQ-039d749c962c</x:v>
      </x:c>
      <x:c r="B474" s="4" t="str">
        <x:v>消息与社交</x:v>
      </x:c>
      <x:c r="C474" s="4" t="n">
        <x:v>875</x:v>
      </x:c>
      <x:c r="D474" s="4" t="str">
        <x:v>同一申请双方存在待处理记录时不可重复发送。</x:v>
      </x:c>
      <x:c r="E474" s="4" t="str">
        <x:v>整段分支核验未闭合</x:v>
      </x:c>
      <x:c r="F474" s="4" t="str">
        <x:v>USER-0254、USER-0255、USER-0775</x:v>
      </x:c>
      <x:c r="G474" s="4" t="str">
        <x:v>本段剩余子句、条件组合及状态后续影响仍需与独立规则逐项闭合；这是生成覆盖缺口，不是产品决策缺失。</x:v>
      </x:c>
    </x:row>
    <x:row r="475" ht="44" customHeight="1">
      <x:c r="A475" s="4" t="str">
        <x:v>REQ-d3143269edb7</x:v>
      </x:c>
      <x:c r="B475" s="4" t="str">
        <x:v>消息与社交</x:v>
      </x:c>
      <x:c r="C475" s="4" t="n">
        <x:v>876</x:v>
      </x:c>
      <x:c r="D475" s="4" t="str">
        <x:v>同意 -&gt; 建立好友关系；拒绝 -&gt; 不建立关系；任一方拉黑 -&gt; 待处理申请失效。</x:v>
      </x:c>
      <x:c r="E475" s="4" t="str">
        <x:v>整段分支核验未闭合</x:v>
      </x:c>
      <x:c r="F475" s="4" t="str">
        <x:v>USER-0254、USER-0255、USER-0775</x:v>
      </x:c>
      <x:c r="G475" s="4" t="str">
        <x:v>本段剩余子句、条件组合及状态后续影响仍需与独立规则逐项闭合；这是生成覆盖缺口，不是产品决策缺失。</x:v>
      </x:c>
    </x:row>
    <x:row r="476" ht="44" customHeight="1">
      <x:c r="A476" s="4" t="str">
        <x:v>REQ-c2c029b3b74b</x:v>
      </x:c>
      <x:c r="B476" s="4" t="str">
        <x:v>消息与社交</x:v>
      </x:c>
      <x:c r="C476" s="4" t="n">
        <x:v>877</x:v>
      </x:c>
      <x:c r="D476" s="4" t="str">
        <x:v>数据范围：与当前账号相关的关注和好友申请通知。</x:v>
      </x:c>
      <x:c r="E476" s="4" t="str">
        <x:v>整段分支核验未闭合</x:v>
      </x:c>
      <x:c r="F476" s="4" t="str">
        <x:v>USER-0254、USER-0255、USER-0775</x:v>
      </x:c>
      <x:c r="G476" s="4" t="str">
        <x:v>本段剩余子句、条件组合及状态后续影响仍需与独立规则逐项闭合；这是生成覆盖缺口，不是产品决策缺失。</x:v>
      </x:c>
    </x:row>
    <x:row r="477" ht="44" customHeight="1">
      <x:c r="A477" s="4" t="str">
        <x:v>REQ-d209e483b9a4</x:v>
      </x:c>
      <x:c r="B477" s="4" t="str">
        <x:v>消息与社交</x:v>
      </x:c>
      <x:c r="C477" s="4" t="n">
        <x:v>878</x:v>
      </x:c>
      <x:c r="D477" s="4" t="str">
        <x:v>排序：按发生时间倒序；时间相同按通知 ID 从大到小排序。</x:v>
      </x:c>
      <x:c r="E477" s="4" t="str">
        <x:v>整段分支核验未闭合</x:v>
      </x:c>
      <x:c r="F477" s="4" t="str">
        <x:v>USER-0679、USER-0763</x:v>
      </x:c>
      <x:c r="G477" s="4" t="str">
        <x:v>本段剩余子句、条件组合及状态后续影响仍需与独立规则逐项闭合；这是生成覆盖缺口，不是产品决策缺失。</x:v>
      </x:c>
    </x:row>
    <x:row r="478" ht="44" customHeight="1">
      <x:c r="A478" s="4" t="str">
        <x:v>REQ-d8329a9997bf</x:v>
      </x:c>
      <x:c r="B478" s="4" t="str">
        <x:v>消息与社交</x:v>
      </x:c>
      <x:c r="C478" s="4" t="n">
        <x:v>879</x:v>
      </x:c>
      <x:c r="D478" s="4" t="str">
        <x:v>同意或拒绝成功 -&gt; 当前通知更新为处理结果且按钮不可重复点击；点击头像 -&gt; 进入对应用户或主播主页。</x:v>
      </x:c>
      <x:c r="E478" s="4" t="str">
        <x:v>整段分支核验未闭合</x:v>
      </x:c>
      <x:c r="F478" s="4" t="str">
        <x:v>USER-0254、USER-0255</x:v>
      </x:c>
      <x:c r="G478" s="4" t="str">
        <x:v>本段剩余子句、条件组合及状态后续影响仍需与独立规则逐项闭合；这是生成覆盖缺口，不是产品决策缺失。</x:v>
      </x:c>
    </x:row>
    <x:row r="479" ht="44" customHeight="1">
      <x:c r="A479" s="4" t="str">
        <x:v>REQ-3dd405057a47</x:v>
      </x:c>
      <x:c r="B479" s="4" t="str">
        <x:v>消息与社交</x:v>
      </x:c>
      <x:c r="C479" s="4" t="n">
        <x:v>880</x:v>
      </x:c>
      <x:c r="D479" s="4" t="str">
        <x:v>已失效的好友申请仅展示状态，不展示同意、拒绝按钮。</x:v>
      </x:c>
      <x:c r="E479" s="4" t="str">
        <x:v>整段分支核验未闭合</x:v>
      </x:c>
      <x:c r="F479" s="4" t="str">
        <x:v>USER-0254、USER-0255、USER-0775</x:v>
      </x:c>
      <x:c r="G479" s="4" t="str">
        <x:v>本段剩余子句、条件组合及状态后续影响仍需与独立规则逐项闭合；这是生成覆盖缺口，不是产品决策缺失。</x:v>
      </x:c>
    </x:row>
    <x:row r="480" ht="44" customHeight="1">
      <x:c r="A480" s="4" t="str">
        <x:v>REQ-19ead9a24c54</x:v>
      </x:c>
      <x:c r="B480" s="4" t="str">
        <x:v>消息与社交</x:v>
      </x:c>
      <x:c r="C480" s="4" t="n">
        <x:v>885</x:v>
      </x:c>
      <x:c r="D480" s="4" t="str">
        <x:v>消息：支持文本、图片和语音，按服务端发送时间正序；时间相同时按消息 ID 从小到大排序。</x:v>
      </x:c>
      <x:c r="E480" s="4" t="str">
        <x:v>整段分支核验未闭合</x:v>
      </x:c>
      <x:c r="F480" s="4" t="str">
        <x:v>USER-0264、USER-0265、USER-0266</x:v>
      </x:c>
      <x:c r="G480" s="4" t="str">
        <x:v>本段剩余子句、条件组合及状态后续影响仍需与独立规则逐项闭合；这是生成覆盖缺口，不是产品决策缺失。</x:v>
      </x:c>
    </x:row>
    <x:row r="481" ht="44" customHeight="1">
      <x:c r="A481" s="4" t="str">
        <x:v>REQ-4fd122fd97bf</x:v>
      </x:c>
      <x:c r="B481" s="4" t="str">
        <x:v>消息与社交</x:v>
      </x:c>
      <x:c r="C481" s="4" t="n">
        <x:v>886</x:v>
      </x:c>
      <x:c r="D481" s="4" t="str">
        <x:v>已读状态：对方进入会话后更新已读状态。</x:v>
      </x:c>
      <x:c r="E481" s="4" t="str">
        <x:v>整段分支核验未闭合</x:v>
      </x:c>
      <x:c r="F481" s="4" t="str">
        <x:v>USER-0785</x:v>
      </x:c>
      <x:c r="G481" s="4" t="str">
        <x:v>本段剩余子句、条件组合及状态后续影响仍需与独立规则逐项闭合；这是生成覆盖缺口，不是产品决策缺失。</x:v>
      </x:c>
    </x:row>
    <x:row r="482" ht="57" customHeight="1">
      <x:c r="A482" s="4" t="str">
        <x:v>REQ-ef2dad69af57</x:v>
      </x:c>
      <x:c r="B482" s="4" t="str">
        <x:v>消息与社交</x:v>
      </x:c>
      <x:c r="C482" s="4" t="n">
        <x:v>887</x:v>
      </x:c>
      <x:c r="D482" s="4" t="str">
        <x:v>好友之间可持续私信；非好友一方最多主动发送 3 条消息。双方各自独立计数，即 A→B 最多 3 条、B→A 最多 3 条。</x:v>
      </x:c>
      <x:c r="E482" s="4" t="str">
        <x:v>整段分支核验未闭合</x:v>
      </x:c>
      <x:c r="F482" s="4" t="str">
        <x:v>USER-0256、USER-0257、USER-0258、USER-0259、USER-0260、USER-0261、USER-0263、USER-0264、USER-0265、USER-0266</x:v>
      </x:c>
      <x:c r="G482" s="4" t="str">
        <x:v>本段剩余子句、条件组合及状态后续影响仍需与独立规则逐项闭合；这是生成覆盖缺口，不是产品决策缺失。</x:v>
      </x:c>
    </x:row>
    <x:row r="483" ht="44" customHeight="1">
      <x:c r="A483" s="4" t="str">
        <x:v>REQ-e8e4f8364d4b</x:v>
      </x:c>
      <x:c r="B483" s="4" t="str">
        <x:v>消息与社交</x:v>
      </x:c>
      <x:c r="C483" s="4" t="n">
        <x:v>888</x:v>
      </x:c>
      <x:c r="D483" s="4" t="str">
        <x:v>任一方拉黑后，无法发送消息。见视图-拉黑关系</x:v>
      </x:c>
      <x:c r="E483" s="4" t="str">
        <x:v>整段分支核验未闭合</x:v>
      </x:c>
      <x:c r="F483" s="4" t="str">
        <x:v>USER-0264、USER-0265、USER-0266</x:v>
      </x:c>
      <x:c r="G483" s="4" t="str">
        <x:v>本段剩余子句、条件组合及状态后续影响仍需与独立规则逐项闭合；这是生成覆盖缺口，不是产品决策缺失。</x:v>
      </x:c>
    </x:row>
    <x:row r="484" ht="57" customHeight="1">
      <x:c r="A484" s="4" t="str">
        <x:v>REQ-8c837cf03a1e</x:v>
      </x:c>
      <x:c r="B484" s="4" t="str">
        <x:v>消息与社交</x:v>
      </x:c>
      <x:c r="C484" s="4" t="n">
        <x:v>889</x:v>
      </x:c>
      <x:c r="D484" s="4" t="str">
        <x:v>删除好友会解除好友关系并清空双方聊天记录。</x:v>
      </x:c>
      <x:c r="E484" s="4" t="str">
        <x:v>整段分支核验未闭合</x:v>
      </x:c>
      <x:c r="F484" s="4" t="str">
        <x:v>USER-0256、USER-0257、USER-0258、USER-0259、USER-0260、USER-0261、USER-0263</x:v>
      </x:c>
      <x:c r="G484" s="4" t="str">
        <x:v>本段剩余子句、条件组合及状态后续影响仍需与独立规则逐项闭合；这是生成覆盖缺口，不是产品决策缺失。</x:v>
      </x:c>
    </x:row>
    <x:row r="485" ht="57" customHeight="1">
      <x:c r="A485" s="4" t="str">
        <x:v>REQ-ed062e4d11db</x:v>
      </x:c>
      <x:c r="B485" s="4" t="str">
        <x:v>消息与社交</x:v>
      </x:c>
      <x:c r="C485" s="4" t="n">
        <x:v>890</x:v>
      </x:c>
      <x:c r="D485" s="4" t="str">
        <x:v>同页视图-拉黑关系：在当前会话发送文本、语音或图片后，消息右侧显示红色“❕”，下方显示“消息发送失败，对方拒收”；拒收不计入成功发送条数。</x:v>
      </x:c>
      <x:c r="E485" s="4" t="str">
        <x:v>整段分支核验未闭合</x:v>
      </x:c>
      <x:c r="F485" s="4" t="str">
        <x:v>USER-0262、USER-0264、USER-0265、USER-0266</x:v>
      </x:c>
      <x:c r="G485" s="4" t="str">
        <x:v>本段剩余子句、条件组合及状态后续影响仍需与独立规则逐项闭合；这是生成覆盖缺口，不是产品决策缺失。</x:v>
      </x:c>
    </x:row>
    <x:row r="486" ht="44" customHeight="1">
      <x:c r="A486" s="4" t="str">
        <x:v>REQ-4cc48aacf17c</x:v>
      </x:c>
      <x:c r="B486" s="4" t="str">
        <x:v>消息与社交</x:v>
      </x:c>
      <x:c r="C486" s="4" t="n">
        <x:v>891</x:v>
      </x:c>
      <x:c r="D486" s="4" t="str">
        <x:v>数据范围：当前账号与所选对象的单聊记录。</x:v>
      </x:c>
      <x:c r="E486" s="4" t="str">
        <x:v>尚未建立场景映射</x:v>
      </x:c>
      <x:c r="F486" s="4" t="str"/>
      <x:c r="G486" s="4" t="str">
        <x:v>本轮独立来源库保留该已知条款，但尚未建立可核验的正式场景映射；不是无业务依据，也不转为产品待确认。</x:v>
      </x:c>
    </x:row>
    <x:row r="487" ht="44" customHeight="1">
      <x:c r="A487" s="4" t="str">
        <x:v>REQ-0d1b839dbefd</x:v>
      </x:c>
      <x:c r="B487" s="4" t="str">
        <x:v>消息与社交</x:v>
      </x:c>
      <x:c r="C487" s="4" t="n">
        <x:v>892</x:v>
      </x:c>
      <x:c r="D487" s="4" t="str">
        <x:v>排序：消息按服务端发送时间正序；时间相同按消息 ID 从小到大排序。</x:v>
      </x:c>
      <x:c r="E487" s="4" t="str">
        <x:v>整段分支核验未闭合</x:v>
      </x:c>
      <x:c r="F487" s="4" t="str">
        <x:v>USER-0264、USER-0265、USER-0266</x:v>
      </x:c>
      <x:c r="G487" s="4" t="str">
        <x:v>本段剩余子句、条件组合及状态后续影响仍需与独立规则逐项闭合；这是生成覆盖缺口，不是产品决策缺失。</x:v>
      </x:c>
    </x:row>
    <x:row r="488" ht="72" customHeight="1">
      <x:c r="A488" s="4" t="str">
        <x:v>REQ-631a31f6df90</x:v>
      </x:c>
      <x:c r="B488" s="4" t="str">
        <x:v>消息与社交</x:v>
      </x:c>
      <x:c r="C488" s="4" t="n">
        <x:v>893</x:v>
      </x:c>
      <x:c r="D488" s="4" t="str">
        <x:v>发送成功 -&gt; 消息写入会话并更新消息中心；非好友发送满 3 条后继续发送 -&gt; 不生成消息并提示“非好友最多发送三条”；发送失败 -&gt; 显示失败图标并保留消息内容，点击失败图标重试。</x:v>
      </x:c>
      <x:c r="E488" s="4" t="str">
        <x:v>整段分支核验未闭合</x:v>
      </x:c>
      <x:c r="F488" s="4" t="str">
        <x:v>USER-0256、USER-0257、USER-0258、USER-0259、USER-0260、USER-0261、USER-0262、USER-0263、USER-0264、USER-0265、USER-0266</x:v>
      </x:c>
      <x:c r="G488" s="4" t="str">
        <x:v>本段剩余子句、条件组合及状态后续影响仍需与独立规则逐项闭合；这是生成覆盖缺口，不是产品决策缺失。</x:v>
      </x:c>
    </x:row>
    <x:row r="489" ht="44" customHeight="1">
      <x:c r="A489" s="4" t="str">
        <x:v>REQ-a4f295aca996</x:v>
      </x:c>
      <x:c r="B489" s="4" t="str">
        <x:v>消息与社交</x:v>
      </x:c>
      <x:c r="C489" s="4" t="n">
        <x:v>898</x:v>
      </x:c>
      <x:c r="D489" s="4" t="str">
        <x:v>群消息：展示发送人、身份标签、内容和发送时间。</x:v>
      </x:c>
      <x:c r="E489" s="4" t="str">
        <x:v>尚未建立场景映射</x:v>
      </x:c>
      <x:c r="F489" s="4" t="str"/>
      <x:c r="G489" s="4" t="str">
        <x:v>本轮独立来源库保留该已知条款，但尚未建立可核验的正式场景映射；不是无业务依据，也不转为产品待确认。</x:v>
      </x:c>
    </x:row>
    <x:row r="490" ht="44" customHeight="1">
      <x:c r="A490" s="4" t="str">
        <x:v>REQ-b5c027940215</x:v>
      </x:c>
      <x:c r="B490" s="4" t="str">
        <x:v>消息与社交</x:v>
      </x:c>
      <x:c r="C490" s="4" t="n">
        <x:v>899</x:v>
      </x:c>
      <x:c r="D490" s="4" t="str">
        <x:v>直播卡片：保存对应直播场次 ID、封面、主题和直播状态。</x:v>
      </x:c>
      <x:c r="E490" s="4" t="str">
        <x:v>尚未建立场景映射</x:v>
      </x:c>
      <x:c r="F490" s="4" t="str"/>
      <x:c r="G490" s="4" t="str">
        <x:v>本轮独立来源库保留该已知条款，但尚未建立可核验的正式场景映射；不是无业务依据，也不转为产品待确认。</x:v>
      </x:c>
    </x:row>
    <x:row r="491" ht="44" customHeight="1">
      <x:c r="A491" s="4" t="str">
        <x:v>REQ-f64015dd42d4</x:v>
      </x:c>
      <x:c r="B491" s="4" t="str">
        <x:v>消息与社交</x:v>
      </x:c>
      <x:c r="C491" s="4" t="n">
        <x:v>900</x:v>
      </x:c>
      <x:c r="D491" s="4" t="str">
        <x:v>发言状态：按有效团籍、单人禁言、全员禁言和平台限制计算。</x:v>
      </x:c>
      <x:c r="E491" s="4" t="str">
        <x:v>整段分支核验未闭合</x:v>
      </x:c>
      <x:c r="F491" s="4" t="str">
        <x:v>USER-0291、USER-0292、USER-0293、USER-0294、USER-0295、USER-0296</x:v>
      </x:c>
      <x:c r="G491" s="4" t="str">
        <x:v>本段剩余子句、条件组合及状态后续影响仍需与独立规则逐项闭合；这是生成覆盖缺口，不是产品决策缺失。</x:v>
      </x:c>
    </x:row>
    <x:row r="492" ht="44" customHeight="1">
      <x:c r="A492" s="4" t="str">
        <x:v>REQ-56ec777b9716</x:v>
      </x:c>
      <x:c r="B492" s="4" t="str">
        <x:v>消息与社交</x:v>
      </x:c>
      <x:c r="C492" s="4" t="n">
        <x:v>901</x:v>
      </x:c>
      <x:c r="D492" s="4" t="str">
        <x:v>仅有效团籍成员可查看和发送群消息。</x:v>
      </x:c>
      <x:c r="E492" s="4" t="str">
        <x:v>尚未建立场景映射</x:v>
      </x:c>
      <x:c r="F492" s="4" t="str"/>
      <x:c r="G492" s="4" t="str">
        <x:v>本轮独立来源库保留该已知条款，但尚未建立可核验的正式场景映射；不是无业务依据，也不转为产品待确认。</x:v>
      </x:c>
    </x:row>
    <x:row r="493" ht="44" customHeight="1">
      <x:c r="A493" s="4" t="str">
        <x:v>REQ-76011ad6260c</x:v>
      </x:c>
      <x:c r="B493" s="4" t="str">
        <x:v>消息与社交</x:v>
      </x:c>
      <x:c r="C493" s="4" t="n">
        <x:v>902</x:v>
      </x:c>
      <x:c r="D493" s="4" t="str">
        <x:v>退出、被移出或拉黑主播后立即失去群聊权限，历史消息不再开放。</x:v>
      </x:c>
      <x:c r="E493" s="4" t="str">
        <x:v>尚未建立场景映射</x:v>
      </x:c>
      <x:c r="F493" s="4" t="str"/>
      <x:c r="G493" s="4" t="str">
        <x:v>本轮独立来源库保留该已知条款，但尚未建立可核验的正式场景映射；不是无业务依据，也不转为产品待确认。</x:v>
      </x:c>
    </x:row>
    <x:row r="494" ht="44" customHeight="1">
      <x:c r="A494" s="4" t="str">
        <x:v>REQ-87cc31b3e391</x:v>
      </x:c>
      <x:c r="B494" s="4" t="str">
        <x:v>消息与社交</x:v>
      </x:c>
      <x:c r="C494" s="4" t="n">
        <x:v>903</x:v>
      </x:c>
      <x:c r="D494" s="4" t="str">
        <x:v>直播卡片关联具体场次，不自动跳转至主播后续新场次。</x:v>
      </x:c>
      <x:c r="E494" s="4" t="str">
        <x:v>整段分支核验未闭合</x:v>
      </x:c>
      <x:c r="F494" s="4" t="str">
        <x:v>USER-0682</x:v>
      </x:c>
      <x:c r="G494" s="4" t="str">
        <x:v>本段剩余子句、条件组合及状态后续影响仍需与独立规则逐项闭合；这是生成覆盖缺口，不是产品决策缺失。</x:v>
      </x:c>
    </x:row>
    <x:row r="495" ht="44" customHeight="1">
      <x:c r="A495" s="4" t="str">
        <x:v>REQ-afe2b82a1204</x:v>
      </x:c>
      <x:c r="B495" s="4" t="str">
        <x:v>消息与社交</x:v>
      </x:c>
      <x:c r="C495" s="4" t="n">
        <x:v>904</x:v>
      </x:c>
      <x:c r="D495" s="4" t="str">
        <x:v>数据范围：当前粉丝群内、当前账号有权限查看的消息。</x:v>
      </x:c>
      <x:c r="E495" s="4" t="str">
        <x:v>尚未建立场景映射</x:v>
      </x:c>
      <x:c r="F495" s="4" t="str"/>
      <x:c r="G495" s="4" t="str">
        <x:v>本轮独立来源库保留该已知条款，但尚未建立可核验的正式场景映射；不是无业务依据，也不转为产品待确认。</x:v>
      </x:c>
    </x:row>
    <x:row r="496" ht="44" customHeight="1">
      <x:c r="A496" s="4" t="str">
        <x:v>REQ-844c798f0cd0</x:v>
      </x:c>
      <x:c r="B496" s="4" t="str">
        <x:v>消息与社交</x:v>
      </x:c>
      <x:c r="C496" s="4" t="n">
        <x:v>905</x:v>
      </x:c>
      <x:c r="D496" s="4" t="str">
        <x:v>排序：聊天消息按发送时间从早到晚展示。</x:v>
      </x:c>
      <x:c r="E496" s="4" t="str">
        <x:v>整段分支核验未闭合</x:v>
      </x:c>
      <x:c r="F496" s="4" t="str">
        <x:v>USER-0683</x:v>
      </x:c>
      <x:c r="G496" s="4" t="str">
        <x:v>本段剩余子句、条件组合及状态后续影响仍需与独立规则逐项闭合；这是生成覆盖缺口，不是产品决策缺失。</x:v>
      </x:c>
    </x:row>
    <x:row r="497" ht="72" customHeight="1">
      <x:c r="A497" s="4" t="str">
        <x:v>REQ-394bc92e0b45</x:v>
      </x:c>
      <x:c r="B497" s="4" t="str">
        <x:v>消息与社交</x:v>
      </x:c>
      <x:c r="C497" s="4" t="n">
        <x:v>906</x:v>
      </x:c>
      <x:c r="D497" s="4" t="str">
        <x:v>发送成功 -&gt; 写入群消息并更新会话摘要；点击直播中卡片 -&gt; 按房间规则进入；场次已结束 -&gt; 提示直播已结束。同页“视图-用户被禁言”中，输入框显示“当前被禁言”且不可输入或发送；点击语音、图片、表情均 Toast 提示“当前被禁言”，不打开对应功能。</x:v>
      </x:c>
      <x:c r="E497" s="4" t="str">
        <x:v>整段分支核验未闭合</x:v>
      </x:c>
      <x:c r="F497" s="4" t="str">
        <x:v>USER-0291、USER-0292、USER-0293、USER-0294、USER-0295、USER-0296</x:v>
      </x:c>
      <x:c r="G497" s="4" t="str">
        <x:v>本段剩余子句、条件组合及状态后续影响仍需与独立规则逐项闭合；这是生成覆盖缺口，不是产品决策缺失。</x:v>
      </x:c>
    </x:row>
    <x:row r="498" ht="44" customHeight="1">
      <x:c r="A498" s="4" t="str">
        <x:v>REQ-be7d000d156f</x:v>
      </x:c>
      <x:c r="B498" s="4" t="str">
        <x:v>消息与社交</x:v>
      </x:c>
      <x:c r="C498" s="4" t="n">
        <x:v>911</x:v>
      </x:c>
      <x:c r="D498" s="4" t="str">
        <x:v>群公告：展示当前粉丝群的公告内容。</x:v>
      </x:c>
      <x:c r="E498" s="4" t="str">
        <x:v>尚未建立场景映射</x:v>
      </x:c>
      <x:c r="F498" s="4" t="str"/>
      <x:c r="G498" s="4" t="str">
        <x:v>本轮独立来源库保留该已知条款，但尚未建立可核验的正式场景映射；不是无业务依据，也不转为产品待确认。</x:v>
      </x:c>
    </x:row>
    <x:row r="499" ht="44" customHeight="1">
      <x:c r="A499" s="4" t="str">
        <x:v>REQ-afbde3ae27a9</x:v>
      </x:c>
      <x:c r="B499" s="4" t="str">
        <x:v>消息与社交</x:v>
      </x:c>
      <x:c r="C499" s="4" t="n">
        <x:v>912</x:v>
      </x:c>
      <x:c r="D499" s="4" t="str">
        <x:v>群消息免打扰：当前账号对此群的通知开关，不影响消息接收。</x:v>
      </x:c>
      <x:c r="E499" s="4" t="str">
        <x:v>整段分支核验未闭合</x:v>
      </x:c>
      <x:c r="F499" s="4" t="str">
        <x:v>USER-0795</x:v>
      </x:c>
      <x:c r="G499" s="4" t="str">
        <x:v>本段剩余子句、条件组合及状态后续影响仍需与独立规则逐项闭合；这是生成覆盖缺口，不是产品决策缺失。</x:v>
      </x:c>
    </x:row>
    <x:row r="500" ht="44" customHeight="1">
      <x:c r="A500" s="4" t="str">
        <x:v>REQ-26afc3a3ec61</x:v>
      </x:c>
      <x:c r="B500" s="4" t="str">
        <x:v>消息与社交</x:v>
      </x:c>
      <x:c r="C500" s="4" t="n">
        <x:v>913</x:v>
      </x:c>
      <x:c r="D500" s="4" t="str">
        <x:v>普通成员只能查看群资料、消息免打扰和退出粉丝团，不具备成员管理权限。</x:v>
      </x:c>
      <x:c r="E500" s="4" t="str">
        <x:v>整段分支核验未闭合</x:v>
      </x:c>
      <x:c r="F500" s="4" t="str">
        <x:v>USER-0289、USER-0290</x:v>
      </x:c>
      <x:c r="G500" s="4" t="str">
        <x:v>本段剩余子句、条件组合及状态后续影响仍需与独立规则逐项闭合；这是生成覆盖缺口，不是产品决策缺失。</x:v>
      </x:c>
    </x:row>
    <x:row r="501" ht="44" customHeight="1">
      <x:c r="A501" s="4" t="str">
        <x:v>REQ-8bf7930dbac7</x:v>
      </x:c>
      <x:c r="B501" s="4" t="str">
        <x:v>消息与社交</x:v>
      </x:c>
      <x:c r="C501" s="4" t="n">
        <x:v>914</x:v>
      </x:c>
      <x:c r="D501" s="4" t="str">
        <x:v>群内发言按有效团籍、单人禁言、全员禁言和平台限制计算。</x:v>
      </x:c>
      <x:c r="E501" s="4" t="str">
        <x:v>尚未建立场景映射</x:v>
      </x:c>
      <x:c r="F501" s="4" t="str"/>
      <x:c r="G501" s="4" t="str">
        <x:v>本轮独立来源库保留该已知条款，但尚未建立可核验的正式场景映射；不是无业务依据，也不转为产品待确认。</x:v>
      </x:c>
    </x:row>
    <x:row r="502" ht="44" customHeight="1">
      <x:c r="A502" s="4" t="str">
        <x:v>REQ-a0492a84dfb6</x:v>
      </x:c>
      <x:c r="B502" s="4" t="str">
        <x:v>消息与社交</x:v>
      </x:c>
      <x:c r="C502" s="4" t="n">
        <x:v>915</x:v>
      </x:c>
      <x:c r="D502" s="4" t="str">
        <x:v>主动退出 -&gt; 团籍和群籍同时解除，粉丝等级与亲密度清零；关注关系不受影响。</x:v>
      </x:c>
      <x:c r="E502" s="4" t="str">
        <x:v>整段分支核验未闭合</x:v>
      </x:c>
      <x:c r="F502" s="4" t="str">
        <x:v>USER-0289、USER-0290</x:v>
      </x:c>
      <x:c r="G502" s="4" t="str">
        <x:v>本段剩余子句、条件组合及状态后续影响仍需与独立规则逐项闭合；这是生成覆盖缺口，不是产品决策缺失。</x:v>
      </x:c>
    </x:row>
    <x:row r="503" ht="44" customHeight="1">
      <x:c r="A503" s="4" t="str">
        <x:v>REQ-43a003d8c23f</x:v>
      </x:c>
      <x:c r="B503" s="4" t="str">
        <x:v>消息与社交</x:v>
      </x:c>
      <x:c r="C503" s="4" t="n">
        <x:v>916</x:v>
      </x:c>
      <x:c r="D503" s="4" t="str">
        <x:v>退出粉丝团 -&gt; 二次确认后离开群聊并返回消息中心；消息免打扰只关闭通知，不影响消息接收。</x:v>
      </x:c>
      <x:c r="E503" s="4" t="str">
        <x:v>整段分支核验未闭合</x:v>
      </x:c>
      <x:c r="F503" s="4" t="str">
        <x:v>USER-0289、USER-0290、USER-0795</x:v>
      </x:c>
      <x:c r="G503" s="4" t="str">
        <x:v>本段剩余子句、条件组合及状态后续影响仍需与独立规则逐项闭合；这是生成覆盖缺口，不是产品决策缺失。</x:v>
      </x:c>
    </x:row>
    <x:row r="504" ht="44" customHeight="1">
      <x:c r="A504" s="4" t="str">
        <x:v>REQ-b01c59425713</x:v>
      </x:c>
      <x:c r="B504" s="4" t="str">
        <x:v>消息与社交</x:v>
      </x:c>
      <x:c r="C504" s="4" t="n">
        <x:v>921</x:v>
      </x:c>
      <x:c r="D504" s="4" t="str">
        <x:v>群公告：展示当前粉丝群的公告内容，群主可编辑，最多 200 字符。</x:v>
      </x:c>
      <x:c r="E504" s="4" t="str">
        <x:v>整段分支核验未闭合</x:v>
      </x:c>
      <x:c r="F504" s="4" t="str">
        <x:v>USER-0297、USER-0298、USER-0299、USER-0300、USER-0301</x:v>
      </x:c>
      <x:c r="G504" s="4" t="str">
        <x:v>本段剩余子句、条件组合及状态后续影响仍需与独立规则逐项闭合；这是生成覆盖缺口，不是产品决策缺失。</x:v>
      </x:c>
    </x:row>
    <x:row r="505" ht="44" customHeight="1">
      <x:c r="A505" s="4" t="str">
        <x:v>REQ-75b4379e9eab</x:v>
      </x:c>
      <x:c r="B505" s="4" t="str">
        <x:v>消息与社交</x:v>
      </x:c>
      <x:c r="C505" s="4" t="n">
        <x:v>922</x:v>
      </x:c>
      <x:c r="D505" s="4" t="str">
        <x:v>群消息免打扰：当前账号对此群的通知开关，不影响其他成员。</x:v>
      </x:c>
      <x:c r="E505" s="4" t="str">
        <x:v>尚未建立场景映射</x:v>
      </x:c>
      <x:c r="F505" s="4" t="str"/>
      <x:c r="G505" s="4" t="str">
        <x:v>本轮独立来源库保留该已知条款，但尚未建立可核验的正式场景映射；不是无业务依据，也不转为产品待确认。</x:v>
      </x:c>
    </x:row>
    <x:row r="506" ht="44" customHeight="1">
      <x:c r="A506" s="4" t="str">
        <x:v>REQ-ad1c58c7a863</x:v>
      </x:c>
      <x:c r="B506" s="4" t="str">
        <x:v>消息与社交</x:v>
      </x:c>
      <x:c r="C506" s="4" t="n">
        <x:v>923</x:v>
      </x:c>
      <x:c r="D506" s="4" t="str">
        <x:v>数据范围：当前主播所属粉丝群的群公告和个人通知设置；仅所属主播可编辑公告、进入成员管理。</x:v>
      </x:c>
      <x:c r="E506" s="4" t="str">
        <x:v>整段分支核验未闭合</x:v>
      </x:c>
      <x:c r="F506" s="4" t="str">
        <x:v>USER-0297、USER-0298、USER-0299、USER-0300、USER-0301</x:v>
      </x:c>
      <x:c r="G506" s="4" t="str">
        <x:v>本段剩余子句、条件组合及状态后续影响仍需与独立规则逐项闭合；这是生成覆盖缺口，不是产品决策缺失。</x:v>
      </x:c>
    </x:row>
    <x:row r="507" ht="44" customHeight="1">
      <x:c r="A507" s="4" t="str">
        <x:v>REQ-ed73a73d0917</x:v>
      </x:c>
      <x:c r="B507" s="4" t="str">
        <x:v>消息与社交</x:v>
      </x:c>
      <x:c r="C507" s="4" t="n">
        <x:v>924</x:v>
      </x:c>
      <x:c r="D507" s="4" t="str">
        <x:v>免打扰只影响当前账号对此群的通知，不影响消息接收或其他成员。</x:v>
      </x:c>
      <x:c r="E507" s="4" t="str">
        <x:v>整段分支核验未闭合</x:v>
      </x:c>
      <x:c r="F507" s="4" t="str">
        <x:v>USER-0796</x:v>
      </x:c>
      <x:c r="G507" s="4" t="str">
        <x:v>本段剩余子句、条件组合及状态后续影响仍需与独立规则逐项闭合；这是生成覆盖缺口，不是产品决策缺失。</x:v>
      </x:c>
    </x:row>
    <x:row r="508" ht="57" customHeight="1">
      <x:c r="A508" s="4" t="str">
        <x:v>REQ-68d6b7d8d78b</x:v>
      </x:c>
      <x:c r="B508" s="4" t="str">
        <x:v>消息与社交</x:v>
      </x:c>
      <x:c r="C508" s="4" t="n">
        <x:v>925</x:v>
      </x:c>
      <x:c r="D508" s="4" t="str">
        <x:v>编辑公告 -&gt; 弹窗回填当前公告，支持换行并显示字符计数，最多输入 200 字符；空白内容不可保存。保存后关闭弹窗并更新公告，群成员查看更新后的内容；取消或关闭不保存修改。</x:v>
      </x:c>
      <x:c r="E508" s="4" t="str">
        <x:v>整段分支核验未闭合</x:v>
      </x:c>
      <x:c r="F508" s="4" t="str">
        <x:v>USER-0297、USER-0298、USER-0299、USER-0300、USER-0301</x:v>
      </x:c>
      <x:c r="G508" s="4" t="str">
        <x:v>本段剩余子句、条件组合及状态后续影响仍需与独立规则逐项闭合；这是生成覆盖缺口，不是产品决策缺失。</x:v>
      </x:c>
    </x:row>
    <x:row r="509" ht="44" customHeight="1">
      <x:c r="A509" s="4" t="str">
        <x:v>REQ-036c0e60df9f</x:v>
      </x:c>
      <x:c r="B509" s="4" t="str">
        <x:v>消息与社交</x:v>
      </x:c>
      <x:c r="C509" s="4" t="n">
        <x:v>926</x:v>
      </x:c>
      <x:c r="D509" s="4" t="str">
        <x:v>切换群消息免打扰 -&gt; 更新当前账号对此群的通知设置。</x:v>
      </x:c>
      <x:c r="E509" s="4" t="str">
        <x:v>尚未建立场景映射</x:v>
      </x:c>
      <x:c r="F509" s="4" t="str"/>
      <x:c r="G509" s="4" t="str">
        <x:v>本轮独立来源库保留该已知条款，但尚未建立可核验的正式场景映射；不是无业务依据，也不转为产品待确认。</x:v>
      </x:c>
    </x:row>
    <x:row r="510" ht="44" customHeight="1">
      <x:c r="A510" s="4" t="str">
        <x:v>REQ-46ecbad6fafe</x:v>
      </x:c>
      <x:c r="B510" s="4" t="str">
        <x:v>消息与社交</x:v>
      </x:c>
      <x:c r="C510" s="4" t="n">
        <x:v>927</x:v>
      </x:c>
      <x:c r="D510" s="4" t="str">
        <x:v>点击群成员管理 -&gt; 进入粉丝团成员页，执行禁言或移除等操作。</x:v>
      </x:c>
      <x:c r="E510" s="4" t="str">
        <x:v>尚未建立场景映射</x:v>
      </x:c>
      <x:c r="F510" s="4" t="str"/>
      <x:c r="G510" s="4" t="str">
        <x:v>本轮独立来源库保留该已知条款，但尚未建立可核验的正式场景映射；不是无业务依据，也不转为产品待确认。</x:v>
      </x:c>
    </x:row>
    <x:row r="511" ht="44" customHeight="1">
      <x:c r="A511" s="4" t="str">
        <x:v>REQ-bdc5b10ed889</x:v>
      </x:c>
      <x:c r="B511" s="4" t="str">
        <x:v>消息与社交</x:v>
      </x:c>
      <x:c r="C511" s="4" t="n">
        <x:v>928</x:v>
      </x:c>
      <x:c r="D511" s="4" t="str">
        <x:v>返回进入粉丝群聊天页。</x:v>
      </x:c>
      <x:c r="E511" s="4" t="str">
        <x:v>尚未建立场景映射</x:v>
      </x:c>
      <x:c r="F511" s="4" t="str"/>
      <x:c r="G511" s="4" t="str">
        <x:v>本轮独立来源库保留该已知条款，但尚未建立可核验的正式场景映射；不是无业务依据，也不转为产品待确认。</x:v>
      </x:c>
    </x:row>
    <x:row r="512" ht="44" customHeight="1">
      <x:c r="A512" s="4" t="str">
        <x:v>REQ-0fea8101aff7</x:v>
      </x:c>
      <x:c r="B512" s="4" t="str">
        <x:v>消息与社交</x:v>
      </x:c>
      <x:c r="C512" s="4" t="n">
        <x:v>933</x:v>
      </x:c>
      <x:c r="D512" s="4" t="str">
        <x:v>聊天对象：展示当前私信对象的头像、昵称、等级与勋章。</x:v>
      </x:c>
      <x:c r="E512" s="4" t="str">
        <x:v>尚未建立场景映射</x:v>
      </x:c>
      <x:c r="F512" s="4" t="str"/>
      <x:c r="G512" s="4" t="str">
        <x:v>本轮独立来源库保留该已知条款，但尚未建立可核验的正式场景映射；不是无业务依据，也不转为产品待确认。</x:v>
      </x:c>
    </x:row>
    <x:row r="513" ht="44" customHeight="1">
      <x:c r="A513" s="4" t="str">
        <x:v>REQ-c2ec1fe35a84</x:v>
      </x:c>
      <x:c r="B513" s="4" t="str">
        <x:v>消息与社交</x:v>
      </x:c>
      <x:c r="C513" s="4" t="n">
        <x:v>934</x:v>
      </x:c>
      <x:c r="D513" s="4" t="str">
        <x:v>消息免打扰：控制该单聊通知，不影响消息收发。</x:v>
      </x:c>
      <x:c r="E513" s="4" t="str">
        <x:v>整段分支核验未闭合</x:v>
      </x:c>
      <x:c r="F513" s="4" t="str">
        <x:v>USER-0267</x:v>
      </x:c>
      <x:c r="G513" s="4" t="str">
        <x:v>本段剩余子句、条件组合及状态后续影响仍需与独立规则逐项闭合；这是生成覆盖缺口，不是产品决策缺失。</x:v>
      </x:c>
    </x:row>
    <x:row r="514" ht="44" customHeight="1">
      <x:c r="A514" s="4" t="str">
        <x:v>REQ-5541ba5cbdc0</x:v>
      </x:c>
      <x:c r="B514" s="4" t="str">
        <x:v>消息与社交</x:v>
      </x:c>
      <x:c r="C514" s="4" t="n">
        <x:v>935</x:v>
      </x:c>
      <x:c r="D514" s="4" t="str">
        <x:v>消息免打扰仅关闭该单聊的消息通知，不影响消息收发。</x:v>
      </x:c>
      <x:c r="E514" s="4" t="str">
        <x:v>整段分支核验未闭合</x:v>
      </x:c>
      <x:c r="F514" s="4" t="str">
        <x:v>USER-0267</x:v>
      </x:c>
      <x:c r="G514" s="4" t="str">
        <x:v>本段剩余子句、条件组合及状态后续影响仍需与独立规则逐项闭合；这是生成覆盖缺口，不是产品决策缺失。</x:v>
      </x:c>
    </x:row>
    <x:row r="515" ht="72" customHeight="1">
      <x:c r="A515" s="4" t="str">
        <x:v>REQ-9ebb6e575423</x:v>
      </x:c>
      <x:c r="B515" s="4" t="str">
        <x:v>消息与社交</x:v>
      </x:c>
      <x:c r="C515" s="4" t="n">
        <x:v>936</x:v>
      </x:c>
      <x:c r="D515" s="4" t="str">
        <x:v>拉黑后双方不能搜索、关注、申请好友、私信或进入对方主持的直播间。</x:v>
      </x:c>
      <x:c r="E515" s="4" t="str">
        <x:v>整段分支核验未闭合</x:v>
      </x:c>
      <x:c r="F515" s="4" t="str">
        <x:v>USER-0268、USER-0269、USER-0270、USER-0271、USER-0272、USER-0273、USER-0274、USER-0275、USER-0276、USER-0277、USER-0278、USER-0279、USER-0280</x:v>
      </x:c>
      <x:c r="G515" s="4" t="str">
        <x:v>本段剩余子句、条件组合及状态后续影响仍需与独立规则逐项闭合；这是生成覆盖缺口，不是产品决策缺失。</x:v>
      </x:c>
    </x:row>
    <x:row r="516" ht="72" customHeight="1">
      <x:c r="A516" s="4" t="str">
        <x:v>REQ-75dd5551e443</x:v>
      </x:c>
      <x:c r="B516" s="4" t="str">
        <x:v>消息与社交</x:v>
      </x:c>
      <x:c r="C516" s="4" t="n">
        <x:v>937</x:v>
      </x:c>
      <x:c r="D516" s="4" t="str">
        <x:v>拉黑会解除双方关注、好友和加入对方粉丝团的关系，使待处理好友申请失效，并删除双方私信会话和聊天记录；取消拉黑后不恢复。</x:v>
      </x:c>
      <x:c r="E516" s="4" t="str">
        <x:v>整段分支核验未闭合</x:v>
      </x:c>
      <x:c r="F516" s="4" t="str">
        <x:v>USER-0268、USER-0269、USER-0270、USER-0271、USER-0272、USER-0273、USER-0274、USER-0275、USER-0276、USER-0277、USER-0278、USER-0279、USER-0280</x:v>
      </x:c>
      <x:c r="G516" s="4" t="str">
        <x:v>本段剩余子句、条件组合及状态后续影响仍需与独立规则逐项闭合；这是生成覆盖缺口，不是产品决策缺失。</x:v>
      </x:c>
    </x:row>
    <x:row r="517" ht="44" customHeight="1">
      <x:c r="A517" s="4" t="str">
        <x:v>REQ-fd903e6b2ca7</x:v>
      </x:c>
      <x:c r="B517" s="4" t="str">
        <x:v>消息与社交</x:v>
      </x:c>
      <x:c r="C517" s="4" t="n">
        <x:v>938</x:v>
      </x:c>
      <x:c r="D517" s="4" t="str">
        <x:v>拉黑 -&gt; 显示确认弹窗；确认后执行并删除当前会话，取消不改变关系。举报 -&gt; 进入当前账号的举报流程。</x:v>
      </x:c>
      <x:c r="E517" s="4" t="str">
        <x:v>整段分支核验未闭合</x:v>
      </x:c>
      <x:c r="F517" s="4" t="str">
        <x:v>USER-0268</x:v>
      </x:c>
      <x:c r="G517" s="4" t="str">
        <x:v>本段剩余子句、条件组合及状态后续影响仍需与独立规则逐项闭合；这是生成覆盖缺口，不是产品决策缺失。</x:v>
      </x:c>
    </x:row>
    <x:row r="518" ht="44" customHeight="1">
      <x:c r="A518" s="4" t="str">
        <x:v>REQ-c126763bb274</x:v>
      </x:c>
      <x:c r="B518" s="4" t="str">
        <x:v>个人中心</x:v>
      </x:c>
      <x:c r="C518" s="4" t="n">
        <x:v>943</x:v>
      </x:c>
      <x:c r="D518" s="4" t="str">
        <x:v>黑名单用户：展示头像和昵称。</x:v>
      </x:c>
      <x:c r="E518" s="4" t="str">
        <x:v>尚未建立场景映射</x:v>
      </x:c>
      <x:c r="F518" s="4" t="str"/>
      <x:c r="G518" s="4" t="str">
        <x:v>本轮独立来源库保留该已知条款，但尚未建立可核验的正式场景映射；不是无业务依据，也不转为产品待确认。</x:v>
      </x:c>
    </x:row>
    <x:row r="519" ht="44" customHeight="1">
      <x:c r="A519" s="4" t="str">
        <x:v>REQ-000792392af7</x:v>
      </x:c>
      <x:c r="B519" s="4" t="str">
        <x:v>个人中心</x:v>
      </x:c>
      <x:c r="C519" s="4" t="n">
        <x:v>944</x:v>
      </x:c>
      <x:c r="D519" s="4" t="str">
        <x:v>A 拉黑 B 后生成 A→B 的拉黑记录，B 进入 A 的黑名单；限制双向生效。若 B 另行拉黑 A，则两条记录分别取消。</x:v>
      </x:c>
      <x:c r="E519" s="4" t="str">
        <x:v>整段分支核验未闭合</x:v>
      </x:c>
      <x:c r="F519" s="4" t="str">
        <x:v>USER-0281、USER-0282</x:v>
      </x:c>
      <x:c r="G519" s="4" t="str">
        <x:v>本段剩余子句、条件组合及状态后续影响仍需与独立规则逐项闭合；这是生成覆盖缺口，不是产品决策缺失。</x:v>
      </x:c>
    </x:row>
    <x:row r="520" ht="44" customHeight="1">
      <x:c r="A520" s="4" t="str">
        <x:v>REQ-16cfbeeea18a</x:v>
      </x:c>
      <x:c r="B520" s="4" t="str">
        <x:v>个人中心</x:v>
      </x:c>
      <x:c r="C520" s="4" t="n">
        <x:v>945</x:v>
      </x:c>
      <x:c r="D520" s="4" t="str">
        <x:v>拉黑后双向解除关注和好友关系，使待处理好友申请失效；双方加入对方粉丝团的关系和已有房管关系同步解除，粉丝团即对应粉丝群。</x:v>
      </x:c>
      <x:c r="E520" s="4" t="str">
        <x:v>尚未建立场景映射</x:v>
      </x:c>
      <x:c r="F520" s="4" t="str"/>
      <x:c r="G520" s="4" t="str">
        <x:v>本轮独立来源库保留该已知条款，但尚未建立可核验的正式场景映射；不是无业务依据，也不转为产品待确认。</x:v>
      </x:c>
    </x:row>
    <x:row r="521" ht="44" customHeight="1">
      <x:c r="A521" s="4" t="str">
        <x:v>REQ-143d6ffe8ceb</x:v>
      </x:c>
      <x:c r="B521" s="4" t="str">
        <x:v>个人中心</x:v>
      </x:c>
      <x:c r="C521" s="4" t="n">
        <x:v>946</x:v>
      </x:c>
      <x:c r="D521" s="4" t="str">
        <x:v>好友关系解除后，双方会话从私信列表删除并清空聊天记录。</x:v>
      </x:c>
      <x:c r="E521" s="4" t="str">
        <x:v>尚未建立场景映射</x:v>
      </x:c>
      <x:c r="F521" s="4" t="str"/>
      <x:c r="G521" s="4" t="str">
        <x:v>本轮独立来源库保留该已知条款，但尚未建立可核验的正式场景映射；不是无业务依据，也不转为产品待确认。</x:v>
      </x:c>
    </x:row>
    <x:row r="522" ht="44" customHeight="1">
      <x:c r="A522" s="4" t="str">
        <x:v>REQ-87fde6cd3083</x:v>
      </x:c>
      <x:c r="B522" s="4" t="str">
        <x:v>个人中心</x:v>
      </x:c>
      <x:c r="C522" s="4" t="n">
        <x:v>947</x:v>
      </x:c>
      <x:c r="D522" s="4" t="str">
        <x:v>拉黑期间双方不能搜索、关注、申请好友或私信；首页、分类、搜索和推荐不展示对方的直播间卡片。</x:v>
      </x:c>
      <x:c r="E522" s="4" t="str">
        <x:v>尚未建立场景映射</x:v>
      </x:c>
      <x:c r="F522" s="4" t="str"/>
      <x:c r="G522" s="4" t="str">
        <x:v>本轮独立来源库保留该已知条款，但尚未建立可核验的正式场景映射；不是无业务依据，也不转为产品待确认。</x:v>
      </x:c>
    </x:row>
    <x:row r="523" ht="44" customHeight="1">
      <x:c r="A523" s="4" t="str">
        <x:v>REQ-8f59e22685d3</x:v>
      </x:c>
      <x:c r="B523" s="4" t="str">
        <x:v>个人中心</x:v>
      </x:c>
      <x:c r="C523" s="4" t="n">
        <x:v>948</x:v>
      </x:c>
      <x:c r="D523" s="4" t="str">
        <x:v>双方不能进入对方主持的直播间；主播拉黑直播间内的对方时，对方立即退出。</x:v>
      </x:c>
      <x:c r="E523" s="4" t="str">
        <x:v>尚未建立场景映射</x:v>
      </x:c>
      <x:c r="F523" s="4" t="str"/>
      <x:c r="G523" s="4" t="str">
        <x:v>本轮独立来源库保留该已知条款，但尚未建立可核验的正式场景映射；不是无业务依据，也不转为产品待确认。</x:v>
      </x:c>
    </x:row>
    <x:row r="524" ht="44" customHeight="1">
      <x:c r="A524" s="4" t="str">
        <x:v>REQ-c67850bd3fe7</x:v>
      </x:c>
      <x:c r="B524" s="4" t="str">
        <x:v>个人中心</x:v>
      </x:c>
      <x:c r="C524" s="4" t="n">
        <x:v>949</x:v>
      </x:c>
      <x:c r="D524" s="4" t="str">
        <x:v>双方处于同一第三方直播间时，不能查看对方主页或 @ 对方；处于同一第三方粉丝团时，不能点击查看对方主页。</x:v>
      </x:c>
      <x:c r="E524" s="4" t="str">
        <x:v>尚未建立场景映射</x:v>
      </x:c>
      <x:c r="F524" s="4" t="str"/>
      <x:c r="G524" s="4" t="str">
        <x:v>本轮独立来源库保留该已知条款，但尚未建立可核验的正式场景映射；不是无业务依据，也不转为产品待确认。</x:v>
      </x:c>
    </x:row>
    <x:row r="525" ht="44" customHeight="1">
      <x:c r="A525" s="4" t="str">
        <x:v>REQ-f5e511bd4cd3</x:v>
      </x:c>
      <x:c r="B525" s="4" t="str">
        <x:v>个人中心</x:v>
      </x:c>
      <x:c r="C525" s="4" t="n">
        <x:v>950</x:v>
      </x:c>
      <x:c r="D525" s="4" t="str">
        <x:v>取消拉黑仅解除当前拉黑记录，不恢复关注、好友、好友申请、粉丝团、房管、会话和聊天记录。</x:v>
      </x:c>
      <x:c r="E525" s="4" t="str">
        <x:v>整段分支核验未闭合</x:v>
      </x:c>
      <x:c r="F525" s="4" t="str">
        <x:v>USER-0281、USER-0282</x:v>
      </x:c>
      <x:c r="G525" s="4" t="str">
        <x:v>本段剩余子句、条件组合及状态后续影响仍需与独立规则逐项闭合；这是生成覆盖缺口，不是产品决策缺失。</x:v>
      </x:c>
    </x:row>
    <x:row r="526" ht="44" customHeight="1">
      <x:c r="A526" s="4" t="str">
        <x:v>REQ-dc74156d7b15</x:v>
      </x:c>
      <x:c r="B526" s="4" t="str">
        <x:v>个人中心</x:v>
      </x:c>
      <x:c r="C526" s="4" t="n">
        <x:v>951</x:v>
      </x:c>
      <x:c r="D526" s="4" t="str">
        <x:v>平台管理员和有效巡房会话不受普通黑名单准入限制；巡房结束后恢复限制，原拉黑记录不删除。</x:v>
      </x:c>
      <x:c r="E526" s="4" t="str">
        <x:v>整段分支核验未闭合</x:v>
      </x:c>
      <x:c r="F526" s="4" t="str">
        <x:v>USER-0281、USER-0282</x:v>
      </x:c>
      <x:c r="G526" s="4" t="str">
        <x:v>本段剩余子句、条件组合及状态后续影响仍需与独立规则逐项闭合；这是生成覆盖缺口，不是产品决策缺失。</x:v>
      </x:c>
    </x:row>
    <x:row r="527" ht="44" customHeight="1">
      <x:c r="A527" s="4" t="str">
        <x:v>REQ-d8cf5577aee7</x:v>
      </x:c>
      <x:c r="B527" s="4" t="str">
        <x:v>个人中心</x:v>
      </x:c>
      <x:c r="C527" s="4" t="n">
        <x:v>952</x:v>
      </x:c>
      <x:c r="D527" s="4" t="str">
        <x:v>数据范围：当前账号主动拉黑且尚未解除的账号，不列出仅拉黑了当前用户的账号。</x:v>
      </x:c>
      <x:c r="E527" s="4" t="str">
        <x:v>整段分支核验未闭合</x:v>
      </x:c>
      <x:c r="F527" s="4" t="str">
        <x:v>USER-0658、USER-0659</x:v>
      </x:c>
      <x:c r="G527" s="4" t="str">
        <x:v>本段剩余子句、条件组合及状态后续影响仍需与独立规则逐项闭合；这是生成覆盖缺口，不是产品决策缺失。</x:v>
      </x:c>
    </x:row>
    <x:row r="528" ht="44" customHeight="1">
      <x:c r="A528" s="4" t="str">
        <x:v>REQ-f47128bb78d9</x:v>
      </x:c>
      <x:c r="B528" s="4" t="str">
        <x:v>个人中心</x:v>
      </x:c>
      <x:c r="C528" s="4" t="n">
        <x:v>953</x:v>
      </x:c>
      <x:c r="D528" s="4" t="str">
        <x:v>按拉黑时间倒序排列，最新操作排在最前。</x:v>
      </x:c>
      <x:c r="E528" s="4" t="str">
        <x:v>整段分支核验未闭合</x:v>
      </x:c>
      <x:c r="F528" s="4" t="str">
        <x:v>USER-0764</x:v>
      </x:c>
      <x:c r="G528" s="4" t="str">
        <x:v>本段剩余子句、条件组合及状态后续影响仍需与独立规则逐项闭合；这是生成覆盖缺口，不是产品决策缺失。</x:v>
      </x:c>
    </x:row>
    <x:row r="529" ht="44" customHeight="1">
      <x:c r="A529" s="4" t="str">
        <x:v>REQ-6d27692459f2</x:v>
      </x:c>
      <x:c r="B529" s="4" t="str">
        <x:v>个人中心</x:v>
      </x:c>
      <x:c r="C529" s="4" t="n">
        <x:v>954</x:v>
      </x:c>
      <x:c r="D529" s="4" t="str">
        <x:v>从用户主页、主播主页或聊天设置点击拉黑 -&gt; 显示确认弹窗；确认后执行并同步清理关系、会话和聊天记录，取消不改变状态。</x:v>
      </x:c>
      <x:c r="E529" s="4" t="str">
        <x:v>整段分支核验未闭合</x:v>
      </x:c>
      <x:c r="F529" s="4" t="str">
        <x:v>USER-0281、USER-0282</x:v>
      </x:c>
      <x:c r="G529" s="4" t="str">
        <x:v>本段剩余子句、条件组合及状态后续影响仍需与独立规则逐项闭合；这是生成覆盖缺口，不是产品决策缺失。</x:v>
      </x:c>
    </x:row>
    <x:row r="530" ht="44" customHeight="1">
      <x:c r="A530" s="4" t="str">
        <x:v>REQ-11ba82bb2413</x:v>
      </x:c>
      <x:c r="B530" s="4" t="str">
        <x:v>个人中心</x:v>
      </x:c>
      <x:c r="C530" s="4" t="n">
        <x:v>955</x:v>
      </x:c>
      <x:c r="D530" s="4" t="str">
        <x:v>取消拉黑 -&gt; 二次确认后从列表移除；请求失败 -&gt; 保持原状态并提示“请求失败”。</x:v>
      </x:c>
      <x:c r="E530" s="4" t="str">
        <x:v>整段分支核验未闭合</x:v>
      </x:c>
      <x:c r="F530" s="4" t="str">
        <x:v>USER-0281、USER-0282</x:v>
      </x:c>
      <x:c r="G530" s="4" t="str">
        <x:v>本段剩余子句、条件组合及状态后续影响仍需与独立规则逐项闭合；这是生成覆盖缺口，不是产品决策缺失。</x:v>
      </x:c>
    </x:row>
    <x:row r="531" ht="44" customHeight="1">
      <x:c r="A531" s="4" t="str">
        <x:v>REQ-e52d5f8a66cb</x:v>
      </x:c>
      <x:c r="B531" s="4" t="str">
        <x:v>公会管理</x:v>
      </x:c>
      <x:c r="C531" s="4" t="n">
        <x:v>960</x:v>
      </x:c>
      <x:c r="D531" s="4" t="str">
        <x:v>banner 图：后台配置。</x:v>
      </x:c>
      <x:c r="E531" s="4" t="str">
        <x:v>尚未建立场景映射</x:v>
      </x:c>
      <x:c r="F531" s="4" t="str"/>
      <x:c r="G531" s="4" t="str">
        <x:v>本轮独立来源库保留该已知条款，但尚未建立可核验的正式场景映射；不是无业务依据，也不转为产品待确认。</x:v>
      </x:c>
    </x:row>
    <x:row r="532" ht="44" customHeight="1">
      <x:c r="A532" s="4" t="str">
        <x:v>REQ-7b0a49843766</x:v>
      </x:c>
      <x:c r="B532" s="4" t="str">
        <x:v>公会管理</x:v>
      </x:c>
      <x:c r="C532" s="4" t="n">
        <x:v>961</x:v>
      </x:c>
      <x:c r="D532" s="4" t="str">
        <x:v>搜索关键词：按公会名称或 ID 模糊匹配；空值展示本页配置范围内全部公会。</x:v>
      </x:c>
      <x:c r="E532" s="4" t="str">
        <x:v>尚未建立场景映射</x:v>
      </x:c>
      <x:c r="F532" s="4" t="str"/>
      <x:c r="G532" s="4" t="str">
        <x:v>本轮独立来源库保留该已知条款，但尚未建立可核验的正式场景映射；不是无业务依据，也不转为产品待确认。</x:v>
      </x:c>
    </x:row>
    <x:row r="533" ht="44" customHeight="1">
      <x:c r="A533" s="4" t="str">
        <x:v>REQ-c5c08a29841c</x:v>
      </x:c>
      <x:c r="B533" s="4" t="str">
        <x:v>公会管理</x:v>
      </x:c>
      <x:c r="C533" s="4" t="n">
        <x:v>962</x:v>
      </x:c>
      <x:c r="D533" s="4" t="str">
        <x:v>公会头像 / 名称 / ID：展示公会当前头像、名称和唯一标识。</x:v>
      </x:c>
      <x:c r="E533" s="4" t="str">
        <x:v>整段分支核验未闭合</x:v>
      </x:c>
      <x:c r="F533" s="4" t="str">
        <x:v>USER-0617、USER-0618</x:v>
      </x:c>
      <x:c r="G533" s="4" t="str">
        <x:v>本段剩余子句、条件组合及状态后续影响仍需与独立规则逐项闭合；这是生成覆盖缺口，不是产品决策缺失。</x:v>
      </x:c>
    </x:row>
    <x:row r="534" ht="44" customHeight="1">
      <x:c r="A534" s="4" t="str">
        <x:v>REQ-814c02fd6d93</x:v>
      </x:c>
      <x:c r="B534" s="4" t="str">
        <x:v>公会管理</x:v>
      </x:c>
      <x:c r="C534" s="4" t="n">
        <x:v>963</x:v>
      </x:c>
      <x:c r="D534" s="4" t="str">
        <x:v>公会简介：展示公会简介；超出单行的部分省略。</x:v>
      </x:c>
      <x:c r="E534" s="4" t="str">
        <x:v>尚未建立场景映射</x:v>
      </x:c>
      <x:c r="F534" s="4" t="str"/>
      <x:c r="G534" s="4" t="str">
        <x:v>本轮独立来源库保留该已知条款，但尚未建立可核验的正式场景映射；不是无业务依据，也不转为产品待确认。</x:v>
      </x:c>
    </x:row>
    <x:row r="535" ht="44" customHeight="1">
      <x:c r="A535" s="4" t="str">
        <x:v>REQ-a2f9d5efc6bf</x:v>
      </x:c>
      <x:c r="B535" s="4" t="str">
        <x:v>公会管理</x:v>
      </x:c>
      <x:c r="C535" s="4" t="n">
        <x:v>964</x:v>
      </x:c>
      <x:c r="D535" s="4" t="str">
        <x:v>主播人数：展示该公会的主播人数。</x:v>
      </x:c>
      <x:c r="E535" s="4" t="str">
        <x:v>尚未建立场景映射</x:v>
      </x:c>
      <x:c r="F535" s="4" t="str"/>
      <x:c r="G535" s="4" t="str">
        <x:v>本轮独立来源库保留该已知条款，但尚未建立可核验的正式场景映射；不是无业务依据，也不转为产品待确认。</x:v>
      </x:c>
    </x:row>
    <x:row r="536" ht="44" customHeight="1">
      <x:c r="A536" s="4" t="str">
        <x:v>REQ-1e84c6b05730</x:v>
      </x:c>
      <x:c r="B536" s="4" t="str">
        <x:v>公会管理</x:v>
      </x:c>
      <x:c r="C536" s="4" t="n">
        <x:v>965</x:v>
      </x:c>
      <x:c r="D536" s="4" t="str">
        <x:v>申请状态：申请、申请中或已入会；可用性遵循申请限制。</x:v>
      </x:c>
      <x:c r="E536" s="4" t="str">
        <x:v>尚未建立场景映射</x:v>
      </x:c>
      <x:c r="F536" s="4" t="str"/>
      <x:c r="G536" s="4" t="str">
        <x:v>本轮独立来源库保留该已知条款，但尚未建立可核验的正式场景映射；不是无业务依据，也不转为产品待确认。</x:v>
      </x:c>
    </x:row>
    <x:row r="537" ht="44" customHeight="1">
      <x:c r="A537" s="4" t="str">
        <x:v>REQ-0128eccb6fcd</x:v>
      </x:c>
      <x:c r="B537" s="4" t="str">
        <x:v>公会管理</x:v>
      </x:c>
      <x:c r="C537" s="4" t="n">
        <x:v>966</x:v>
      </x:c>
      <x:c r="D537" s="4" t="str">
        <x:v>数据范围：展示平台后台配置为本页展示的公会；停用公会不展示、不可被搜索。公会数量不固定为 5 条。</x:v>
      </x:c>
      <x:c r="E537" s="4" t="str">
        <x:v>整段分支核验未闭合</x:v>
      </x:c>
      <x:c r="F537" s="4" t="str">
        <x:v>USER-0505</x:v>
      </x:c>
      <x:c r="G537" s="4" t="str">
        <x:v>本段剩余子句、条件组合及状态后续影响仍需与独立规则逐项闭合；这是生成覆盖缺口，不是产品决策缺失。</x:v>
      </x:c>
    </x:row>
    <x:row r="538" ht="44" customHeight="1">
      <x:c r="A538" s="4" t="str">
        <x:v>REQ-331d58f28877</x:v>
      </x:c>
      <x:c r="B538" s="4" t="str">
        <x:v>公会管理</x:v>
      </x:c>
      <x:c r="C538" s="4" t="n">
        <x:v>967</x:v>
      </x:c>
      <x:c r="D538" s="4" t="str">
        <x:v>排序：沿用后台配置列表的顺序；搜索结果保持原有顺序，不按名称、ID 或主播人数重新排序。</x:v>
      </x:c>
      <x:c r="E538" s="4" t="str">
        <x:v>整段分支核验未闭合</x:v>
      </x:c>
      <x:c r="F538" s="4" t="str">
        <x:v>USER-0506</x:v>
      </x:c>
      <x:c r="G538" s="4" t="str">
        <x:v>本段剩余子句、条件组合及状态后续影响仍需与独立规则逐项闭合；这是生成覆盖缺口，不是产品决策缺失。</x:v>
      </x:c>
    </x:row>
    <x:row r="539" ht="44" customHeight="1">
      <x:c r="A539" s="4" t="str">
        <x:v>REQ-0715b12323ee</x:v>
      </x:c>
      <x:c r="B539" s="4" t="str">
        <x:v>公会管理</x:v>
      </x:c>
      <x:c r="C539" s="4" t="n">
        <x:v>968</x:v>
      </x:c>
      <x:c r="D539" s="4" t="str">
        <x:v>搜索范围：在上述公会范围内按名称或 ID 模糊匹配；关键词为空时展示全部，包含已加入或申请中的公会。</x:v>
      </x:c>
      <x:c r="E539" s="4" t="str">
        <x:v>尚未建立场景映射</x:v>
      </x:c>
      <x:c r="F539" s="4" t="str"/>
      <x:c r="G539" s="4" t="str">
        <x:v>本轮独立来源库保留该已知条款，但尚未建立可核验的正式场景映射；不是无业务依据，也不转为产品待确认。</x:v>
      </x:c>
    </x:row>
    <x:row r="540" ht="44" customHeight="1">
      <x:c r="A540" s="4" t="str">
        <x:v>REQ-df508ec6eaf4</x:v>
      </x:c>
      <x:c r="B540" s="4" t="str">
        <x:v>公会管理</x:v>
      </x:c>
      <x:c r="C540" s="4" t="n">
        <x:v>969</x:v>
      </x:c>
      <x:c r="D540" s="4" t="str">
        <x:v>已加入公会或存在处理中入会申请时，不可再次申请其他公会。</x:v>
      </x:c>
      <x:c r="E540" s="4" t="str">
        <x:v>整段分支核验未闭合</x:v>
      </x:c>
      <x:c r="F540" s="4" t="str">
        <x:v>USER-0507、USER-0508</x:v>
      </x:c>
      <x:c r="G540" s="4" t="str">
        <x:v>本段剩余子句、条件组合及状态后续影响仍需与独立规则逐项闭合；这是生成覆盖缺口，不是产品决策缺失。</x:v>
      </x:c>
    </x:row>
    <x:row r="541" ht="44" customHeight="1">
      <x:c r="A541" s="4" t="str">
        <x:v>REQ-77184f7c489f</x:v>
      </x:c>
      <x:c r="B541" s="4" t="str">
        <x:v>公会管理</x:v>
      </x:c>
      <x:c r="C541" s="4" t="n">
        <x:v>970</x:v>
      </x:c>
      <x:c r="D541" s="4" t="str">
        <x:v>输入公会名称或 ID -&gt; 实时筛选；点击搜索或按 Enter 结果一致；无匹配时展示空状态。</x:v>
      </x:c>
      <x:c r="E541" s="4" t="str">
        <x:v>尚未建立场景映射</x:v>
      </x:c>
      <x:c r="F541" s="4" t="str"/>
      <x:c r="G541" s="4" t="str">
        <x:v>本轮独立来源库保留该已知条款，但尚未建立可核验的正式场景映射；不是无业务依据，也不转为产品待确认。</x:v>
      </x:c>
    </x:row>
    <x:row r="542" ht="44" customHeight="1">
      <x:c r="A542" s="4" t="str">
        <x:v>REQ-0c2c04b1a8b2</x:v>
      </x:c>
      <x:c r="B542" s="4" t="str">
        <x:v>公会管理</x:v>
      </x:c>
      <x:c r="C542" s="4" t="n">
        <x:v>971</x:v>
      </x:c>
      <x:c r="D542" s="4" t="str">
        <x:v>点击“申请” -&gt; 携带所选公会进入填写申请单 P030-1；点击“我的” -&gt; 进入我的公会 P032，查看公会关系和申请记录。</x:v>
      </x:c>
      <x:c r="E542" s="4" t="str">
        <x:v>尚未建立场景映射</x:v>
      </x:c>
      <x:c r="F542" s="4" t="str"/>
      <x:c r="G542" s="4" t="str">
        <x:v>本轮独立来源库保留该已知条款，但尚未建立可核验的正式场景映射；不是无业务依据，也不转为产品待确认。</x:v>
      </x:c>
    </x:row>
    <x:row r="543" ht="44" customHeight="1">
      <x:c r="A543" s="4" t="str">
        <x:v>REQ-8e4e01d78b49</x:v>
      </x:c>
      <x:c r="B543" s="4" t="str">
        <x:v>公会管理</x:v>
      </x:c>
      <x:c r="C543" s="4" t="n">
        <x:v>972</x:v>
      </x:c>
      <x:c r="D543" s="4" t="str">
        <x:v>已加入公会或存在处理中入会申请时，申请按钮置灰，不可点击。</x:v>
      </x:c>
      <x:c r="E543" s="4" t="str">
        <x:v>整段分支核验未闭合</x:v>
      </x:c>
      <x:c r="F543" s="4" t="str">
        <x:v>USER-0507、USER-0508</x:v>
      </x:c>
      <x:c r="G543" s="4" t="str">
        <x:v>本段剩余子句、条件组合及状态后续影响仍需与独立规则逐项闭合；这是生成覆盖缺口，不是产品决策缺失。</x:v>
      </x:c>
    </x:row>
    <x:row r="544" ht="44" customHeight="1">
      <x:c r="A544" s="4" t="str">
        <x:v>REQ-5ee3b6f134aa</x:v>
      </x:c>
      <x:c r="B544" s="4" t="str">
        <x:v>公会管理</x:v>
      </x:c>
      <x:c r="C544" s="4" t="n">
        <x:v>977</x:v>
      </x:c>
      <x:c r="D544" s="4" t="str">
        <x:v>申请公会：来源于公会选择页，展示所选公会名称。</x:v>
      </x:c>
      <x:c r="E544" s="4" t="str">
        <x:v>尚未建立场景映射</x:v>
      </x:c>
      <x:c r="F544" s="4" t="str"/>
      <x:c r="G544" s="4" t="str">
        <x:v>本轮独立来源库保留该已知条款，但尚未建立可核验的正式场景映射；不是无业务依据，也不转为产品待确认。</x:v>
      </x:c>
    </x:row>
    <x:row r="545" ht="44" customHeight="1">
      <x:c r="A545" s="4" t="str">
        <x:v>REQ-ceba4c98a7af</x:v>
      </x:c>
      <x:c r="B545" s="4" t="str">
        <x:v>公会管理</x:v>
      </x:c>
      <x:c r="C545" s="4" t="n">
        <x:v>978</x:v>
      </x:c>
      <x:c r="D545" s="4" t="str">
        <x:v>姓名：必填，去除首尾空格后不能为空。</x:v>
      </x:c>
      <x:c r="E545" s="4" t="str">
        <x:v>整段分支核验未闭合</x:v>
      </x:c>
      <x:c r="F545" s="4" t="str">
        <x:v>USER-0001</x:v>
      </x:c>
      <x:c r="G545" s="4" t="str">
        <x:v>本段剩余子句、条件组合及状态后续影响仍需与独立规则逐项闭合；这是生成覆盖缺口，不是产品决策缺失。</x:v>
      </x:c>
    </x:row>
    <x:row r="546" ht="44" customHeight="1">
      <x:c r="A546" s="4" t="str">
        <x:v>REQ-346431dc118a</x:v>
      </x:c>
      <x:c r="B546" s="4" t="str">
        <x:v>公会管理</x:v>
      </x:c>
      <x:c r="C546" s="4" t="n">
        <x:v>979</x:v>
      </x:c>
      <x:c r="D546" s="4" t="str">
        <x:v>电话：必填，使用 +62 印尼手机号。</x:v>
      </x:c>
      <x:c r="E546" s="4" t="str">
        <x:v>整段分支核验未闭合</x:v>
      </x:c>
      <x:c r="F546" s="4" t="str">
        <x:v>USER-0001</x:v>
      </x:c>
      <x:c r="G546" s="4" t="str">
        <x:v>本段剩余子句、条件组合及状态后续影响仍需与独立规则逐项闭合；这是生成覆盖缺口，不是产品决策缺失。</x:v>
      </x:c>
    </x:row>
    <x:row r="547" ht="44" customHeight="1">
      <x:c r="A547" s="4" t="str">
        <x:v>REQ-90b7bc82b314</x:v>
      </x:c>
      <x:c r="B547" s="4" t="str">
        <x:v>公会管理</x:v>
      </x:c>
      <x:c r="C547" s="4" t="n">
        <x:v>980</x:v>
      </x:c>
      <x:c r="D547" s="4" t="str">
        <x:v>本人照片：必填，仅上传图片。</x:v>
      </x:c>
      <x:c r="E547" s="4" t="str">
        <x:v>整段分支核验未闭合</x:v>
      </x:c>
      <x:c r="F547" s="4" t="str">
        <x:v>USER-0001、USER-0510</x:v>
      </x:c>
      <x:c r="G547" s="4" t="str">
        <x:v>本段剩余子句、条件组合及状态后续影响仍需与独立规则逐项闭合；这是生成覆盖缺口，不是产品决策缺失。</x:v>
      </x:c>
    </x:row>
    <x:row r="548" ht="44" customHeight="1">
      <x:c r="A548" s="4" t="str">
        <x:v>REQ-79d0bf462da2</x:v>
      </x:c>
      <x:c r="B548" s="4" t="str">
        <x:v>公会管理</x:v>
      </x:c>
      <x:c r="C548" s="4" t="n">
        <x:v>981</x:v>
      </x:c>
      <x:c r="D548" s="4" t="str">
        <x:v>证件类型：必选，使用单选框选择 KTP（印尼居民身份证）或 SIM（印尼驾驶证），默认选择 KTP。</x:v>
      </x:c>
      <x:c r="E548" s="4" t="str">
        <x:v>整段分支核验未闭合</x:v>
      </x:c>
      <x:c r="F548" s="4" t="str">
        <x:v>USER-0509、USER-0510</x:v>
      </x:c>
      <x:c r="G548" s="4" t="str">
        <x:v>本段剩余子句、条件组合及状态后续影响仍需与独立规则逐项闭合；这是生成覆盖缺口，不是产品决策缺失。</x:v>
      </x:c>
    </x:row>
    <x:row r="549" ht="44" customHeight="1">
      <x:c r="A549" s="4" t="str">
        <x:v>REQ-eea2fc98ca34</x:v>
      </x:c>
      <x:c r="B549" s="4" t="str">
        <x:v>公会管理</x:v>
      </x:c>
      <x:c r="C549" s="4" t="n">
        <x:v>982</x:v>
      </x:c>
      <x:c r="D549" s="4" t="str">
        <x:v>证件照片：正面、反面均必填，仅上传与所选证件类型对应的图片。</x:v>
      </x:c>
      <x:c r="E549" s="4" t="str">
        <x:v>整段分支核验未闭合</x:v>
      </x:c>
      <x:c r="F549" s="4" t="str">
        <x:v>USER-0001、USER-0510</x:v>
      </x:c>
      <x:c r="G549" s="4" t="str">
        <x:v>本段剩余子句、条件组合及状态后续影响仍需与独立规则逐项闭合；这是生成覆盖缺口，不是产品决策缺失。</x:v>
      </x:c>
    </x:row>
    <x:row r="550" ht="44" customHeight="1">
      <x:c r="A550" s="4" t="str">
        <x:v>REQ-133749c488a4</x:v>
      </x:c>
      <x:c r="B550" s="4" t="str">
        <x:v>公会管理</x:v>
      </x:c>
      <x:c r="C550" s="4" t="n">
        <x:v>983</x:v>
      </x:c>
      <x:c r="D550" s="4" t="str">
        <x:v>数据范围：本次选择公会及当前用户填写的申请资料。</x:v>
      </x:c>
      <x:c r="E550" s="4" t="str">
        <x:v>尚未建立场景映射</x:v>
      </x:c>
      <x:c r="F550" s="4" t="str"/>
      <x:c r="G550" s="4" t="str">
        <x:v>本轮独立来源库保留该已知条款，但尚未建立可核验的正式场景映射；不是无业务依据，也不转为产品待确认。</x:v>
      </x:c>
    </x:row>
    <x:row r="551" ht="44" customHeight="1">
      <x:c r="A551" s="4" t="str">
        <x:v>REQ-6d8fea947ce0</x:v>
      </x:c>
      <x:c r="B551" s="4" t="str">
        <x:v>公会管理</x:v>
      </x:c>
      <x:c r="C551" s="4" t="n">
        <x:v>984</x:v>
      </x:c>
      <x:c r="D551" s="4" t="str">
        <x:v>同一用户只能存在一笔处理中入会申请，且只能加入一个公会。</x:v>
      </x:c>
      <x:c r="E551" s="4" t="str">
        <x:v>整段分支核验未闭合</x:v>
      </x:c>
      <x:c r="F551" s="4" t="str">
        <x:v>USER-0002、USER-0003</x:v>
      </x:c>
      <x:c r="G551" s="4" t="str">
        <x:v>本段剩余子句、条件组合及状态后续影响仍需与独立规则逐项闭合；这是生成覆盖缺口，不是产品决策缺失。</x:v>
      </x:c>
    </x:row>
    <x:row r="552" ht="44" customHeight="1">
      <x:c r="A552" s="4" t="str">
        <x:v>REQ-ba11a1e6ab77</x:v>
      </x:c>
      <x:c r="B552" s="4" t="str">
        <x:v>公会管理</x:v>
      </x:c>
      <x:c r="C552" s="4" t="n">
        <x:v>985</x:v>
      </x:c>
      <x:c r="D552" s="4" t="str">
        <x:v>提交后进入公会审核；公会同意后自动进入平台审核，无需用户重复提交。</x:v>
      </x:c>
      <x:c r="E552" s="4" t="str">
        <x:v>整段分支核验未闭合</x:v>
      </x:c>
      <x:c r="F552" s="4" t="str">
        <x:v>USER-0001、USER-0002、USER-0003、USER-0007、USER-0009</x:v>
      </x:c>
      <x:c r="G552" s="4" t="str">
        <x:v>本段剩余子句、条件组合及状态后续影响仍需与独立规则逐项闭合；这是生成覆盖缺口，不是产品决策缺失。</x:v>
      </x:c>
    </x:row>
    <x:row r="553" ht="44" customHeight="1">
      <x:c r="A553" s="4" t="str">
        <x:v>REQ-462242468d38</x:v>
      </x:c>
      <x:c r="B553" s="4" t="str">
        <x:v>公会管理</x:v>
      </x:c>
      <x:c r="C553" s="4" t="n">
        <x:v>986</x:v>
      </x:c>
      <x:c r="D553" s="4" t="str">
        <x:v>公会或平台驳回后，本次入会申请作废；用户可以重新选择公会并提交新申请，重新经过公会初审和平台终审。</x:v>
      </x:c>
      <x:c r="E553" s="4" t="str">
        <x:v>整段分支核验未闭合</x:v>
      </x:c>
      <x:c r="F553" s="4" t="str">
        <x:v>USER-0001、USER-0002、USER-0003、USER-0007、USER-0009</x:v>
      </x:c>
      <x:c r="G553" s="4" t="str">
        <x:v>本段剩余子句、条件组合及状态后续影响仍需与独立规则逐项闭合；这是生成覆盖缺口，不是产品决策缺失。</x:v>
      </x:c>
    </x:row>
    <x:row r="554" ht="57" customHeight="1">
      <x:c r="A554" s="4" t="str">
        <x:v>REQ-fff97e38fbb4</x:v>
      </x:c>
      <x:c r="B554" s="4" t="str">
        <x:v>公会管理</x:v>
      </x:c>
      <x:c r="C554" s="4" t="n">
        <x:v>987</x:v>
      </x:c>
      <x:c r="D554" s="4" t="str">
        <x:v>任一必填项未完成 -&gt; 提交按钮不可用；切换证件类型 -&gt; 清空已上传的证件正面和反面照片，需要重新上传。</x:v>
      </x:c>
      <x:c r="E554" s="4" t="str">
        <x:v>整段分支核验未闭合</x:v>
      </x:c>
      <x:c r="F554" s="4" t="str">
        <x:v>USER-0001、USER-0002、USER-0003、USER-0007、USER-0009、USER-0510、USER-0510</x:v>
      </x:c>
      <x:c r="G554" s="4" t="str">
        <x:v>本段剩余子句、条件组合及状态后续影响仍需与独立规则逐项闭合；这是生成覆盖缺口，不是产品决策缺失。</x:v>
      </x:c>
    </x:row>
    <x:row r="555" ht="44" customHeight="1">
      <x:c r="A555" s="4" t="str">
        <x:v>REQ-d2fbf9922c0b</x:v>
      </x:c>
      <x:c r="B555" s="4" t="str">
        <x:v>公会管理</x:v>
      </x:c>
      <x:c r="C555" s="4" t="n">
        <x:v>988</x:v>
      </x:c>
      <x:c r="D555" s="4" t="str">
        <x:v>提交成功 -&gt; 生成处理中申请并进入公会详情。</x:v>
      </x:c>
      <x:c r="E555" s="4" t="str">
        <x:v>整段分支核验未闭合</x:v>
      </x:c>
      <x:c r="F555" s="4" t="str">
        <x:v>USER-0001、USER-0002、USER-0003、USER-0007、USER-0009</x:v>
      </x:c>
      <x:c r="G555" s="4" t="str">
        <x:v>本段剩余子句、条件组合及状态后续影响仍需与独立规则逐项闭合；这是生成覆盖缺口，不是产品决策缺失。</x:v>
      </x:c>
    </x:row>
    <x:row r="556" ht="44" customHeight="1">
      <x:c r="A556" s="4" t="str">
        <x:v>REQ-f78668563215</x:v>
      </x:c>
      <x:c r="B556" s="4" t="str">
        <x:v>公会管理</x:v>
      </x:c>
      <x:c r="C556" s="4" t="n">
        <x:v>989</x:v>
      </x:c>
      <x:c r="D556" s="4" t="str">
        <x:v>点击更换公会 -&gt; 返回公会选择页。</x:v>
      </x:c>
      <x:c r="E556" s="4" t="str">
        <x:v>整段分支核验未闭合</x:v>
      </x:c>
      <x:c r="F556" s="4" t="str">
        <x:v>USER-0389</x:v>
      </x:c>
      <x:c r="G556" s="4" t="str">
        <x:v>本段剩余子句、条件组合及状态后续影响仍需与独立规则逐项闭合；这是生成覆盖缺口，不是产品决策缺失。</x:v>
      </x:c>
    </x:row>
    <x:row r="557" ht="44" customHeight="1">
      <x:c r="A557" s="4" t="str">
        <x:v>REQ-d72906c23271</x:v>
      </x:c>
      <x:c r="B557" s="4" t="str">
        <x:v>公会管理</x:v>
      </x:c>
      <x:c r="C557" s="4" t="n">
        <x:v>994</x:v>
      </x:c>
      <x:c r="D557" s="4" t="str">
        <x:v>公会头像：展示对应公会的头像。</x:v>
      </x:c>
      <x:c r="E557" s="4" t="str">
        <x:v>整段分支核验未闭合</x:v>
      </x:c>
      <x:c r="F557" s="4" t="str">
        <x:v>USER-0005、USER-0400</x:v>
      </x:c>
      <x:c r="G557" s="4" t="str">
        <x:v>本段剩余子句、条件组合及状态后续影响仍需与独立规则逐项闭合；这是生成覆盖缺口，不是产品决策缺失。</x:v>
      </x:c>
    </x:row>
    <x:row r="558" ht="44" customHeight="1">
      <x:c r="A558" s="4" t="str">
        <x:v>REQ-a928c89adce3</x:v>
      </x:c>
      <x:c r="B558" s="4" t="str">
        <x:v>公会管理</x:v>
      </x:c>
      <x:c r="C558" s="4" t="n">
        <x:v>995</x:v>
      </x:c>
      <x:c r="D558" s="4" t="str">
        <x:v>公会名称：展示对应公会的当前名称。</x:v>
      </x:c>
      <x:c r="E558" s="4" t="str">
        <x:v>整段分支核验未闭合</x:v>
      </x:c>
      <x:c r="F558" s="4" t="str">
        <x:v>USER-0005、USER-0011、USER-0012、USER-0400、USER-0619</x:v>
      </x:c>
      <x:c r="G558" s="4" t="str">
        <x:v>本段剩余子句、条件组合及状态后续影响仍需与独立规则逐项闭合；这是生成覆盖缺口，不是产品决策缺失。</x:v>
      </x:c>
    </x:row>
    <x:row r="559" ht="44" customHeight="1">
      <x:c r="A559" s="4" t="str">
        <x:v>REQ-d51b9931ad53</x:v>
      </x:c>
      <x:c r="B559" s="4" t="str">
        <x:v>公会管理</x:v>
      </x:c>
      <x:c r="C559" s="4" t="n">
        <x:v>996</x:v>
      </x:c>
      <x:c r="D559" s="4" t="str">
        <x:v>公会 ID：公会的唯一标识。</x:v>
      </x:c>
      <x:c r="E559" s="4" t="str">
        <x:v>整段分支核验未闭合</x:v>
      </x:c>
      <x:c r="F559" s="4" t="str">
        <x:v>USER-0005、USER-0400、USER-0620</x:v>
      </x:c>
      <x:c r="G559" s="4" t="str">
        <x:v>本段剩余子句、条件组合及状态后续影响仍需与独立规则逐项闭合；这是生成覆盖缺口，不是产品决策缺失。</x:v>
      </x:c>
    </x:row>
    <x:row r="560" ht="57" customHeight="1">
      <x:c r="A560" s="4" t="str">
        <x:v>REQ-a12fc7f0f101</x:v>
      </x:c>
      <x:c r="B560" s="4" t="str">
        <x:v>公会管理</x:v>
      </x:c>
      <x:c r="C560" s="4" t="n">
        <x:v>997</x:v>
      </x:c>
      <x:c r="D560" s="4" t="str">
        <x:v>关系状态：展示当前账号与该公会的关系状态：申请中、已加入、已驳回或已退出。</x:v>
      </x:c>
      <x:c r="E560" s="4" t="str">
        <x:v>整段分支核验未闭合</x:v>
      </x:c>
      <x:c r="F560" s="4" t="str">
        <x:v>USER-0004、USER-0005、USER-0006、USER-0008、USER-0011、USER-0012、USER-0400</x:v>
      </x:c>
      <x:c r="G560" s="4" t="str">
        <x:v>本段剩余子句、条件组合及状态后续影响仍需与独立规则逐项闭合；这是生成覆盖缺口，不是产品决策缺失。</x:v>
      </x:c>
    </x:row>
    <x:row r="561" ht="44" customHeight="1">
      <x:c r="A561" s="4" t="str">
        <x:v>REQ-79ac284bd1ea</x:v>
      </x:c>
      <x:c r="B561" s="4" t="str">
        <x:v>公会管理</x:v>
      </x:c>
      <x:c r="C561" s="4" t="n">
        <x:v>998</x:v>
      </x:c>
      <x:c r="D561" s="4" t="str">
        <x:v>数据范围：仅展示当前账号申请过的公会，包含申请中、已加入、申请被驳回及已退出的公会；历史记录不会因驳回或退出而移除。</x:v>
      </x:c>
      <x:c r="E561" s="4" t="str">
        <x:v>整段分支核验未闭合</x:v>
      </x:c>
      <x:c r="F561" s="4" t="str">
        <x:v>USER-0005、USER-0006、USER-0008、USER-0011、USER-0012、USER-0400</x:v>
      </x:c>
      <x:c r="G561" s="4" t="str">
        <x:v>本段剩余子句、条件组合及状态后续影响仍需与独立规则逐项闭合；这是生成覆盖缺口，不是产品决策缺失。</x:v>
      </x:c>
    </x:row>
    <x:row r="562" ht="44" customHeight="1">
      <x:c r="A562" s="4" t="str">
        <x:v>REQ-3a4e7948c61c</x:v>
      </x:c>
      <x:c r="B562" s="4" t="str">
        <x:v>公会管理</x:v>
      </x:c>
      <x:c r="C562" s="4" t="n">
        <x:v>999</x:v>
      </x:c>
      <x:c r="D562" s="4" t="str">
        <x:v>展示单位：同一公会只展示一张卡片，多次入会、退出申请归入该公会详情。</x:v>
      </x:c>
      <x:c r="E562" s="4" t="str">
        <x:v>整段分支核验未闭合</x:v>
      </x:c>
      <x:c r="F562" s="4" t="str">
        <x:v>USER-0005、USER-0011、USER-0012、USER-0400</x:v>
      </x:c>
      <x:c r="G562" s="4" t="str">
        <x:v>本段剩余子句、条件组合及状态后续影响仍需与独立规则逐项闭合；这是生成覆盖缺口，不是产品决策缺失。</x:v>
      </x:c>
    </x:row>
    <x:row r="563" ht="44" customHeight="1">
      <x:c r="A563" s="4" t="str">
        <x:v>REQ-33be2218af0e</x:v>
      </x:c>
      <x:c r="B563" s="4" t="str">
        <x:v>公会管理</x:v>
      </x:c>
      <x:c r="C563" s="4" t="n">
        <x:v>1000</x:v>
      </x:c>
      <x:c r="D563" s="4" t="str">
        <x:v>排序：按每个公会最近一次入会或退出申请的提交时间倒序排列，最近提交的在前。</x:v>
      </x:c>
      <x:c r="E563" s="4" t="str">
        <x:v>整段分支核验未闭合</x:v>
      </x:c>
      <x:c r="F563" s="4" t="str">
        <x:v>USER-0005、USER-0011、USER-0012、USER-0400</x:v>
      </x:c>
      <x:c r="G563" s="4" t="str">
        <x:v>本段剩余子句、条件组合及状态后续影响仍需与独立规则逐项闭合；这是生成覆盖缺口，不是产品决策缺失。</x:v>
      </x:c>
    </x:row>
    <x:row r="564" ht="57" customHeight="1">
      <x:c r="A564" s="4" t="str">
        <x:v>REQ-a8135e417055</x:v>
      </x:c>
      <x:c r="B564" s="4" t="str">
        <x:v>公会管理</x:v>
      </x:c>
      <x:c r="C564" s="4" t="n">
        <x:v>1001</x:v>
      </x:c>
      <x:c r="D564" s="4" t="str">
        <x:v>卡片展示当前公会关系状态；单笔申请的审核结果在详情中查看。退出申请被驳回时，仍保留已加入关系。</x:v>
      </x:c>
      <x:c r="E564" s="4" t="str">
        <x:v>整段分支核验未闭合</x:v>
      </x:c>
      <x:c r="F564" s="4" t="str">
        <x:v>USER-0004、USER-0005、USER-0006、USER-0008、USER-0011、USER-0012、USER-0400</x:v>
      </x:c>
      <x:c r="G564" s="4" t="str">
        <x:v>本段剩余子句、条件组合及状态后续影响仍需与独立规则逐项闭合；这是生成覆盖缺口，不是产品决策缺失。</x:v>
      </x:c>
    </x:row>
    <x:row r="565" ht="44" customHeight="1">
      <x:c r="A565" s="4" t="str">
        <x:v>REQ-8d7f1a453117</x:v>
      </x:c>
      <x:c r="B565" s="4" t="str">
        <x:v>公会管理</x:v>
      </x:c>
      <x:c r="C565" s="4" t="n">
        <x:v>1002</x:v>
      </x:c>
      <x:c r="D565" s="4" t="str">
        <x:v>点击公会卡片 -&gt; 进入对应公会详情 P032-3，查看公会关系及申请时间轴。</x:v>
      </x:c>
      <x:c r="E565" s="4" t="str">
        <x:v>整段分支核验未闭合</x:v>
      </x:c>
      <x:c r="F565" s="4" t="str">
        <x:v>USER-0005、USER-0011、USER-0012、USER-0400</x:v>
      </x:c>
      <x:c r="G565" s="4" t="str">
        <x:v>本段剩余子句、条件组合及状态后续影响仍需与独立规则逐项闭合；这是生成覆盖缺口，不是产品决策缺失。</x:v>
      </x:c>
    </x:row>
    <x:row r="566" ht="44" customHeight="1">
      <x:c r="A566" s="4" t="str">
        <x:v>REQ-22354e754881</x:v>
      </x:c>
      <x:c r="B566" s="4" t="str">
        <x:v>公会管理</x:v>
      </x:c>
      <x:c r="C566" s="4" t="n">
        <x:v>1007</x:v>
      </x:c>
      <x:c r="D566" s="4" t="str">
        <x:v>公会头像 / 名称 / ID：展示所选公会的当前资料。</x:v>
      </x:c>
      <x:c r="E566" s="4" t="str">
        <x:v>整段分支核验未闭合</x:v>
      </x:c>
      <x:c r="F566" s="4" t="str">
        <x:v>USER-0621、USER-0622</x:v>
      </x:c>
      <x:c r="G566" s="4" t="str">
        <x:v>本段剩余子句、条件组合及状态后续影响仍需与独立规则逐项闭合；这是生成覆盖缺口，不是产品决策缺失。</x:v>
      </x:c>
    </x:row>
    <x:row r="567" ht="44" customHeight="1">
      <x:c r="A567" s="4" t="str">
        <x:v>REQ-047b25f77d5e</x:v>
      </x:c>
      <x:c r="B567" s="4" t="str">
        <x:v>公会管理</x:v>
      </x:c>
      <x:c r="C567" s="4" t="n">
        <x:v>1008</x:v>
      </x:c>
      <x:c r="D567" s="4" t="str">
        <x:v>关系状态：当前账号与该公会的关系，不等同于单笔申请状态。</x:v>
      </x:c>
      <x:c r="E567" s="4" t="str">
        <x:v>尚未建立场景映射</x:v>
      </x:c>
      <x:c r="F567" s="4" t="str"/>
      <x:c r="G567" s="4" t="str">
        <x:v>本轮独立来源库保留该已知条款，但尚未建立可核验的正式场景映射；不是无业务依据，也不转为产品待确认。</x:v>
      </x:c>
    </x:row>
    <x:row r="568" ht="44" customHeight="1">
      <x:c r="A568" s="4" t="str">
        <x:v>REQ-d8e60bd1bed0</x:v>
      </x:c>
      <x:c r="B568" s="4" t="str">
        <x:v>公会管理</x:v>
      </x:c>
      <x:c r="C568" s="4" t="n">
        <x:v>1009</x:v>
      </x:c>
      <x:c r="D568" s="4" t="str">
        <x:v>申请类型 / 状态：每条时间轴卡片展示加入或退出申请及其处理状态。</x:v>
      </x:c>
      <x:c r="E568" s="4" t="str">
        <x:v>尚未建立场景映射</x:v>
      </x:c>
      <x:c r="F568" s="4" t="str"/>
      <x:c r="G568" s="4" t="str">
        <x:v>本轮独立来源库保留该已知条款，但尚未建立可核验的正式场景映射；不是无业务依据，也不转为产品待确认。</x:v>
      </x:c>
    </x:row>
    <x:row r="569" ht="44" customHeight="1">
      <x:c r="A569" s="4" t="str">
        <x:v>REQ-6bdfad279b7f</x:v>
      </x:c>
      <x:c r="B569" s="4" t="str">
        <x:v>公会管理</x:v>
      </x:c>
      <x:c r="C569" s="4" t="n">
        <x:v>1010</x:v>
      </x:c>
      <x:c r="D569" s="4" t="str">
        <x:v>提交时间：展示对应申请的提交时间，用于时间轴排序。</x:v>
      </x:c>
      <x:c r="E569" s="4" t="str">
        <x:v>整段分支核验未闭合</x:v>
      </x:c>
      <x:c r="F569" s="4" t="str">
        <x:v>USER-0623</x:v>
      </x:c>
      <x:c r="G569" s="4" t="str">
        <x:v>本段剩余子句、条件组合及状态后续影响仍需与独立规则逐项闭合；这是生成覆盖缺口，不是产品决策缺失。</x:v>
      </x:c>
    </x:row>
    <x:row r="570" ht="44" customHeight="1">
      <x:c r="A570" s="4" t="str">
        <x:v>REQ-80ea107f9655</x:v>
      </x:c>
      <x:c r="B570" s="4" t="str">
        <x:v>公会管理</x:v>
      </x:c>
      <x:c r="C570" s="4" t="n">
        <x:v>1011</x:v>
      </x:c>
      <x:c r="D570" s="4" t="str">
        <x:v>处理时间：已处理且有处理时间时展示。</x:v>
      </x:c>
      <x:c r="E570" s="4" t="str">
        <x:v>尚未建立场景映射</x:v>
      </x:c>
      <x:c r="F570" s="4" t="str"/>
      <x:c r="G570" s="4" t="str">
        <x:v>本轮独立来源库保留该已知条款，但尚未建立可核验的正式场景映射；不是无业务依据，也不转为产品待确认。</x:v>
      </x:c>
    </x:row>
    <x:row r="571" ht="44" customHeight="1">
      <x:c r="A571" s="4" t="str">
        <x:v>REQ-7eee852b271d</x:v>
      </x:c>
      <x:c r="B571" s="4" t="str">
        <x:v>公会管理</x:v>
      </x:c>
      <x:c r="C571" s="4" t="n">
        <x:v>1012</x:v>
      </x:c>
      <x:c r="D571" s="4" t="str">
        <x:v>申请：展示该笔申请填写的原因；无内容时隐藏。</x:v>
      </x:c>
      <x:c r="E571" s="4" t="str">
        <x:v>尚未建立场景映射</x:v>
      </x:c>
      <x:c r="F571" s="4" t="str"/>
      <x:c r="G571" s="4" t="str">
        <x:v>本轮独立来源库保留该已知条款，但尚未建立可核验的正式场景映射；不是无业务依据，也不转为产品待确认。</x:v>
      </x:c>
    </x:row>
    <x:row r="572" ht="44" customHeight="1">
      <x:c r="A572" s="4" t="str">
        <x:v>REQ-d571945c611c</x:v>
      </x:c>
      <x:c r="B572" s="4" t="str">
        <x:v>公会管理</x:v>
      </x:c>
      <x:c r="C572" s="4" t="n">
        <x:v>1013</x:v>
      </x:c>
      <x:c r="D572" s="4" t="str">
        <x:v>驳回：申请被驳回且有驳回原因时展示。</x:v>
      </x:c>
      <x:c r="E572" s="4" t="str">
        <x:v>尚未建立场景映射</x:v>
      </x:c>
      <x:c r="F572" s="4" t="str"/>
      <x:c r="G572" s="4" t="str">
        <x:v>本轮独立来源库保留该已知条款，但尚未建立可核验的正式场景映射；不是无业务依据，也不转为产品待确认。</x:v>
      </x:c>
    </x:row>
    <x:row r="573" ht="44" customHeight="1">
      <x:c r="A573" s="4" t="str">
        <x:v>REQ-5185e0770bd0</x:v>
      </x:c>
      <x:c r="B573" s="4" t="str">
        <x:v>公会管理</x:v>
      </x:c>
      <x:c r="C573" s="4" t="n">
        <x:v>1014</x:v>
      </x:c>
      <x:c r="D573" s="4" t="str">
        <x:v>姓名 / 电话：展开加入申请单的申请资料后，展示该笔申请提交时填写的姓名与电话，只读。</x:v>
      </x:c>
      <x:c r="E573" s="4" t="str">
        <x:v>整段分支核验未闭合</x:v>
      </x:c>
      <x:c r="F573" s="4" t="str">
        <x:v>USER-0624、USER-0625</x:v>
      </x:c>
      <x:c r="G573" s="4" t="str">
        <x:v>本段剩余子句、条件组合及状态后续影响仍需与独立规则逐项闭合；这是生成覆盖缺口，不是产品决策缺失。</x:v>
      </x:c>
    </x:row>
    <x:row r="574" ht="44" customHeight="1">
      <x:c r="A574" s="4" t="str">
        <x:v>REQ-e98a2fb0de41</x:v>
      </x:c>
      <x:c r="B574" s="4" t="str">
        <x:v>公会管理</x:v>
      </x:c>
      <x:c r="C574" s="4" t="n">
        <x:v>1015</x:v>
      </x:c>
      <x:c r="D574" s="4" t="str">
        <x:v>本人照片：展示本次申请提交的本人照片材料。</x:v>
      </x:c>
      <x:c r="E574" s="4" t="str">
        <x:v>尚未建立场景映射</x:v>
      </x:c>
      <x:c r="F574" s="4" t="str"/>
      <x:c r="G574" s="4" t="str">
        <x:v>本轮独立来源库保留该已知条款，但尚未建立可核验的正式场景映射；不是无业务依据，也不转为产品待确认。</x:v>
      </x:c>
    </x:row>
    <x:row r="575" ht="44" customHeight="1">
      <x:c r="A575" s="4" t="str">
        <x:v>REQ-818ba2c4fd10</x:v>
      </x:c>
      <x:c r="B575" s="4" t="str">
        <x:v>公会管理</x:v>
      </x:c>
      <x:c r="C575" s="4" t="n">
        <x:v>1016</x:v>
      </x:c>
      <x:c r="D575" s="4" t="str">
        <x:v>证件类型 / 正反面照片：展示申请时选择的 KTP 或 SIM 及对应正反面材料，只读。</x:v>
      </x:c>
      <x:c r="E575" s="4" t="str">
        <x:v>尚未建立场景映射</x:v>
      </x:c>
      <x:c r="F575" s="4" t="str"/>
      <x:c r="G575" s="4" t="str">
        <x:v>本轮独立来源库保留该已知条款，但尚未建立可核验的正式场景映射；不是无业务依据，也不转为产品待确认。</x:v>
      </x:c>
    </x:row>
    <x:row r="576" ht="44" customHeight="1">
      <x:c r="A576" s="4" t="str">
        <x:v>REQ-4197133d59b2</x:v>
      </x:c>
      <x:c r="B576" s="4" t="str">
        <x:v>公会管理</x:v>
      </x:c>
      <x:c r="C576" s="4" t="n">
        <x:v>1017</x:v>
      </x:c>
      <x:c r="D576" s="4" t="str">
        <x:v>数据范围：当前账号与所选公会的关系及全部入会、退出申请。</x:v>
      </x:c>
      <x:c r="E576" s="4" t="str">
        <x:v>尚未建立场景映射</x:v>
      </x:c>
      <x:c r="F576" s="4" t="str"/>
      <x:c r="G576" s="4" t="str">
        <x:v>本轮独立来源库保留该已知条款，但尚未建立可核验的正式场景映射；不是无业务依据，也不转为产品待确认。</x:v>
      </x:c>
    </x:row>
    <x:row r="577" ht="44" customHeight="1">
      <x:c r="A577" s="4" t="str">
        <x:v>REQ-e30d8cd28d76</x:v>
      </x:c>
      <x:c r="B577" s="4" t="str">
        <x:v>公会管理</x:v>
      </x:c>
      <x:c r="C577" s="4" t="n">
        <x:v>1018</x:v>
      </x:c>
      <x:c r="D577" s="4" t="str">
        <x:v>排序：申请时间轴按提交时间倒序展示。最新排最前。</x:v>
      </x:c>
      <x:c r="E577" s="4" t="str">
        <x:v>整段分支核验未闭合</x:v>
      </x:c>
      <x:c r="F577" s="4" t="str">
        <x:v>USER-0511、USER-0765</x:v>
      </x:c>
      <x:c r="G577" s="4" t="str">
        <x:v>本段剩余子句、条件组合及状态后续影响仍需与独立规则逐项闭合；这是生成覆盖缺口，不是产品决策缺失。</x:v>
      </x:c>
    </x:row>
    <x:row r="578" ht="44" customHeight="1">
      <x:c r="A578" s="4" t="str">
        <x:v>REQ-6d5c72562ae0</x:v>
      </x:c>
      <x:c r="B578" s="4" t="str">
        <x:v>公会管理</x:v>
      </x:c>
      <x:c r="C578" s="4" t="n">
        <x:v>1019</x:v>
      </x:c>
      <x:c r="D578" s="4" t="str">
        <x:v>公会与平台依次审核；公会通过后自动进入平台审核，无需用户再次提交。</x:v>
      </x:c>
      <x:c r="E578" s="4" t="str">
        <x:v>尚未建立场景映射</x:v>
      </x:c>
      <x:c r="F578" s="4" t="str"/>
      <x:c r="G578" s="4" t="str">
        <x:v>本轮独立来源库保留该已知条款，但尚未建立可核验的正式场景映射；不是无业务依据，也不转为产品待确认。</x:v>
      </x:c>
    </x:row>
    <x:row r="579" ht="44" customHeight="1">
      <x:c r="A579" s="4" t="str">
        <x:v>REQ-3a03d55b07cd</x:v>
      </x:c>
      <x:c r="B579" s="4" t="str">
        <x:v>公会管理</x:v>
      </x:c>
      <x:c r="C579" s="4" t="n">
        <x:v>1020</x:v>
      </x:c>
      <x:c r="D579" s="4" t="str">
        <x:v>退会通过或被公会移除 -&gt; 退出公会并失去主播身份；直播权限同步失效。</x:v>
      </x:c>
      <x:c r="E579" s="4" t="str">
        <x:v>尚未建立场景映射</x:v>
      </x:c>
      <x:c r="F579" s="4" t="str"/>
      <x:c r="G579" s="4" t="str">
        <x:v>本轮独立来源库保留该已知条款，但尚未建立可核验的正式场景映射；不是无业务依据，也不转为产品待确认。</x:v>
      </x:c>
    </x:row>
    <x:row r="580" ht="57" customHeight="1">
      <x:c r="A580" s="4" t="str">
        <x:v>REQ-be4abada9332</x:v>
      </x:c>
      <x:c r="B580" s="4" t="str">
        <x:v>公会管理</x:v>
      </x:c>
      <x:c r="C580" s="4" t="n">
        <x:v>1021</x:v>
      </x:c>
      <x:c r="D580" s="4" t="str">
        <x:v>同页提供入会申请中、已加入、入会已驳回、退会申请中、退会已驳回、已退出六个视图。退会申请中或被驳回时，公会关系仍为已加入；退会通过后才变为已退出。</x:v>
      </x:c>
      <x:c r="E580" s="4" t="str">
        <x:v>尚未建立场景映射</x:v>
      </x:c>
      <x:c r="F580" s="4" t="str"/>
      <x:c r="G580" s="4" t="str">
        <x:v>本轮独立来源库保留该已知条款，但尚未建立可核验的正式场景映射；不是无业务依据，也不转为产品待确认。</x:v>
      </x:c>
    </x:row>
    <x:row r="581" ht="57" customHeight="1">
      <x:c r="A581" s="4" t="str">
        <x:v>REQ-bf5340d9ebc8</x:v>
      </x:c>
      <x:c r="B581" s="4" t="str">
        <x:v>公会管理</x:v>
      </x:c>
      <x:c r="C581" s="4" t="n">
        <x:v>1022</x:v>
      </x:c>
      <x:c r="D581" s="4" t="str">
        <x:v>所有视图中的加入申请单均保留该笔申请的资料快照，不受审核状态或当前公会关系影响；资料只读，不随个人资料后续变更。图片以材料占位展示，不显示文件名。</x:v>
      </x:c>
      <x:c r="E581" s="4" t="str">
        <x:v>整段分支核验未闭合</x:v>
      </x:c>
      <x:c r="F581" s="4" t="str">
        <x:v>USER-0513、USER-0514、USER-0515、USER-0516、USER-0517、USER-0518</x:v>
      </x:c>
      <x:c r="G581" s="4" t="str">
        <x:v>本段剩余子句、条件组合及状态后续影响仍需与独立规则逐项闭合；这是生成覆盖缺口，不是产品决策缺失。</x:v>
      </x:c>
    </x:row>
    <x:row r="582" ht="44" customHeight="1">
      <x:c r="A582" s="4" t="str">
        <x:v>REQ-3f511ec12906</x:v>
      </x:c>
      <x:c r="B582" s="4" t="str">
        <x:v>公会管理</x:v>
      </x:c>
      <x:c r="C582" s="4" t="n">
        <x:v>1023</x:v>
      </x:c>
      <x:c r="D582" s="4" t="str">
        <x:v>已加入且无处理中退会申请 -&gt; 展示“申请退出”，点击进入退出申请页；其他状态不展示该入口。</x:v>
      </x:c>
      <x:c r="E582" s="4" t="str">
        <x:v>整段分支核验未闭合</x:v>
      </x:c>
      <x:c r="F582" s="4" t="str">
        <x:v>USER-0519、USER-0520、USER-0521</x:v>
      </x:c>
      <x:c r="G582" s="4" t="str">
        <x:v>本段剩余子句、条件组合及状态后续影响仍需与独立规则逐项闭合；这是生成覆盖缺口，不是产品决策缺失。</x:v>
      </x:c>
    </x:row>
    <x:row r="583" ht="44" customHeight="1">
      <x:c r="A583" s="4" t="str">
        <x:v>REQ-14e3be4a1844</x:v>
      </x:c>
      <x:c r="B583" s="4" t="str">
        <x:v>公会管理</x:v>
      </x:c>
      <x:c r="C583" s="4" t="n">
        <x:v>1024</x:v>
      </x:c>
      <x:c r="D583" s="4" t="str">
        <x:v>点击返回 -&gt; 进入我的公会 P032。</x:v>
      </x:c>
      <x:c r="E583" s="4" t="str">
        <x:v>整段分支核验未闭合</x:v>
      </x:c>
      <x:c r="F583" s="4" t="str">
        <x:v>USER-0390</x:v>
      </x:c>
      <x:c r="G583" s="4" t="str">
        <x:v>本段剩余子句、条件组合及状态后续影响仍需与独立规则逐项闭合；这是生成覆盖缺口，不是产品决策缺失。</x:v>
      </x:c>
    </x:row>
    <x:row r="584" ht="44" customHeight="1">
      <x:c r="A584" s="4" t="str">
        <x:v>REQ-e8b8a4fe440a</x:v>
      </x:c>
      <x:c r="B584" s="4" t="str">
        <x:v>公会管理</x:v>
      </x:c>
      <x:c r="C584" s="4" t="n">
        <x:v>1025</x:v>
      </x:c>
      <x:c r="D584" s="4" t="str">
        <x:v>每张加入申请单的申请资料默认收起；点击“申请资料”展开，再次点击收起，各申请单独立控制。</x:v>
      </x:c>
      <x:c r="E584" s="4" t="str">
        <x:v>整段分支核验未闭合</x:v>
      </x:c>
      <x:c r="F584" s="4" t="str">
        <x:v>USER-0512</x:v>
      </x:c>
      <x:c r="G584" s="4" t="str">
        <x:v>本段剩余子句、条件组合及状态后续影响仍需与独立规则逐项闭合；这是生成覆盖缺口，不是产品决策缺失。</x:v>
      </x:c>
    </x:row>
    <x:row r="585" ht="44" customHeight="1">
      <x:c r="A585" s="4" t="str">
        <x:v>REQ-4adce05cbed3</x:v>
      </x:c>
      <x:c r="B585" s="4" t="str">
        <x:v>公会管理</x:v>
      </x:c>
      <x:c r="C585" s="4" t="n">
        <x:v>1030</x:v>
      </x:c>
      <x:c r="D585" s="4" t="str">
        <x:v>当前公会：来源于当前有效公会关系，只读。</x:v>
      </x:c>
      <x:c r="E585" s="4" t="str">
        <x:v>尚未建立场景映射</x:v>
      </x:c>
      <x:c r="F585" s="4" t="str"/>
      <x:c r="G585" s="4" t="str">
        <x:v>本轮独立来源库保留该已知条款，但尚未建立可核验的正式场景映射；不是无业务依据，也不转为产品待确认。</x:v>
      </x:c>
    </x:row>
    <x:row r="586" ht="44" customHeight="1">
      <x:c r="A586" s="4" t="str">
        <x:v>REQ-02d8a01510f8</x:v>
      </x:c>
      <x:c r="B586" s="4" t="str">
        <x:v>公会管理</x:v>
      </x:c>
      <x:c r="C586" s="4" t="n">
        <x:v>1031</x:v>
      </x:c>
      <x:c r="D586" s="4" t="str">
        <x:v>退会原因：必填，去除首尾空格后不能为空。</x:v>
      </x:c>
      <x:c r="E586" s="4" t="str">
        <x:v>整段分支核验未闭合</x:v>
      </x:c>
      <x:c r="F586" s="4" t="str">
        <x:v>USER-0010</x:v>
      </x:c>
      <x:c r="G586" s="4" t="str">
        <x:v>本段剩余子句、条件组合及状态后续影响仍需与独立规则逐项闭合；这是生成覆盖缺口，不是产品决策缺失。</x:v>
      </x:c>
    </x:row>
    <x:row r="587" ht="44" customHeight="1">
      <x:c r="A587" s="4" t="str">
        <x:v>REQ-63e0747ae182</x:v>
      </x:c>
      <x:c r="B587" s="4" t="str">
        <x:v>公会管理</x:v>
      </x:c>
      <x:c r="C587" s="4" t="n">
        <x:v>1032</x:v>
      </x:c>
      <x:c r="D587" s="4" t="str">
        <x:v>同一时间只能存在一笔处理中退会申请。</x:v>
      </x:c>
      <x:c r="E587" s="4" t="str">
        <x:v>尚未建立场景映射</x:v>
      </x:c>
      <x:c r="F587" s="4" t="str"/>
      <x:c r="G587" s="4" t="str">
        <x:v>本轮独立来源库保留该已知条款，但尚未建立可核验的正式场景映射；不是无业务依据，也不转为产品待确认。</x:v>
      </x:c>
    </x:row>
    <x:row r="588" ht="44" customHeight="1">
      <x:c r="A588" s="4" t="str">
        <x:v>REQ-07eddabd29bb</x:v>
      </x:c>
      <x:c r="B588" s="4" t="str">
        <x:v>公会管理</x:v>
      </x:c>
      <x:c r="C588" s="4" t="n">
        <x:v>1033</x:v>
      </x:c>
      <x:c r="D588" s="4" t="str">
        <x:v>公会驳回 -&gt; 保留公会关系和主播身份，可重新提交。</x:v>
      </x:c>
      <x:c r="E588" s="4" t="str">
        <x:v>整段分支核验未闭合</x:v>
      </x:c>
      <x:c r="F588" s="4" t="str">
        <x:v>USER-0010</x:v>
      </x:c>
      <x:c r="G588" s="4" t="str">
        <x:v>本段剩余子句、条件组合及状态后续影响仍需与独立规则逐项闭合；这是生成覆盖缺口，不是产品决策缺失。</x:v>
      </x:c>
    </x:row>
    <x:row r="589" ht="72" customHeight="1">
      <x:c r="A589" s="4" t="str">
        <x:v>REQ-187659c2dddc</x:v>
      </x:c>
      <x:c r="B589" s="4" t="str">
        <x:v>公会管理</x:v>
      </x:c>
      <x:c r="C589" s="4" t="n">
        <x:v>1034</x:v>
      </x:c>
      <x:c r="D589" s="4" t="str">
        <x:v>退会申请通过或被公会移出 -&gt; 立即结束当前直播、退出公会并失去主播身份；主播创建的粉丝团立即解散，所有成员的团籍和群聊权限解除，粉丝等级和亲密度清零。以后重新认证成为主播时，需重新创建粉丝团。</x:v>
      </x:c>
      <x:c r="E589" s="4" t="str">
        <x:v>尚未建立场景映射</x:v>
      </x:c>
      <x:c r="F589" s="4" t="str"/>
      <x:c r="G589" s="4" t="str">
        <x:v>本轮独立来源库保留该已知条款，但尚未建立可核验的正式场景映射；不是无业务依据，也不转为产品待确认。</x:v>
      </x:c>
    </x:row>
    <x:row r="590" ht="44" customHeight="1">
      <x:c r="A590" s="4" t="str">
        <x:v>REQ-f73c1b223eaa</x:v>
      </x:c>
      <x:c r="B590" s="4" t="str">
        <x:v>公会管理</x:v>
      </x:c>
      <x:c r="C590" s="4" t="n">
        <x:v>1035</x:v>
      </x:c>
      <x:c r="D590" s="4" t="str">
        <x:v>数据范围：当前账号已加入的公会及本次退出原因；不得为其他用户或无关系公会提交退出。</x:v>
      </x:c>
      <x:c r="E590" s="4" t="str">
        <x:v>整段分支核验未闭合</x:v>
      </x:c>
      <x:c r="F590" s="4" t="str">
        <x:v>USER-0010</x:v>
      </x:c>
      <x:c r="G590" s="4" t="str">
        <x:v>本段剩余子句、条件组合及状态后续影响仍需与独立规则逐项闭合；这是生成覆盖缺口，不是产品决策缺失。</x:v>
      </x:c>
    </x:row>
    <x:row r="591" ht="44" customHeight="1">
      <x:c r="A591" s="4" t="str">
        <x:v>REQ-fd33dcc75cb2</x:v>
      </x:c>
      <x:c r="B591" s="4" t="str">
        <x:v>公会管理</x:v>
      </x:c>
      <x:c r="C591" s="4" t="n">
        <x:v>1036</x:v>
      </x:c>
      <x:c r="D591" s="4" t="str">
        <x:v>退会原因为空 -&gt; 提交按钮不可用；填写有效原因后按钮可用；提交成功 -&gt; 生成处理中申请。</x:v>
      </x:c>
      <x:c r="E591" s="4" t="str">
        <x:v>整段分支核验未闭合</x:v>
      </x:c>
      <x:c r="F591" s="4" t="str">
        <x:v>USER-0010</x:v>
      </x:c>
      <x:c r="G591" s="4" t="str">
        <x:v>本段剩余子句、条件组合及状态后续影响仍需与独立规则逐项闭合；这是生成覆盖缺口，不是产品决策缺失。</x:v>
      </x:c>
    </x:row>
    <x:row r="592" ht="44" customHeight="1">
      <x:c r="A592" s="4" t="str">
        <x:v>REQ-2d3dd2a1a9fc</x:v>
      </x:c>
      <x:c r="B592" s="4" t="str">
        <x:v>消息与社交</x:v>
      </x:c>
      <x:c r="C592" s="4" t="n">
        <x:v>1041</x:v>
      </x:c>
      <x:c r="D592" s="4" t="str">
        <x:v>用户资料：展示头像、昵称、用户 ID、签名和有效装扮。</x:v>
      </x:c>
      <x:c r="E592" s="4" t="str">
        <x:v>整段分支核验未闭合</x:v>
      </x:c>
      <x:c r="F592" s="4" t="str">
        <x:v>USER-0626、USER-0627、USER-0628</x:v>
      </x:c>
      <x:c r="G592" s="4" t="str">
        <x:v>本段剩余子句、条件组合及状态后续影响仍需与独立规则逐项闭合；这是生成覆盖缺口，不是产品决策缺失。</x:v>
      </x:c>
    </x:row>
    <x:row r="593" ht="44" customHeight="1">
      <x:c r="A593" s="4" t="str">
        <x:v>REQ-5abada83e2e9</x:v>
      </x:c>
      <x:c r="B593" s="4" t="str">
        <x:v>消息与社交</x:v>
      </x:c>
      <x:c r="C593" s="4" t="n">
        <x:v>1042</x:v>
      </x:c>
      <x:c r="D593" s="4" t="str">
        <x:v>粉丝/关注：粉丝数为当前仍关注该用户的账号数；关注数为该用户当前仍关注的账号数。</x:v>
      </x:c>
      <x:c r="E593" s="4" t="str">
        <x:v>整段分支核验未闭合</x:v>
      </x:c>
      <x:c r="F593" s="4" t="str">
        <x:v>USER-0253</x:v>
      </x:c>
      <x:c r="G593" s="4" t="str">
        <x:v>本段剩余子句、条件组合及状态后续影响仍需与独立规则逐项闭合；这是生成覆盖缺口，不是产品决策缺失。</x:v>
      </x:c>
    </x:row>
    <x:row r="594" ht="44" customHeight="1">
      <x:c r="A594" s="4" t="str">
        <x:v>REQ-98fbb4078051</x:v>
      </x:c>
      <x:c r="B594" s="4" t="str">
        <x:v>消息与社交</x:v>
      </x:c>
      <x:c r="C594" s="4" t="n">
        <x:v>1043</x:v>
      </x:c>
      <x:c r="D594" s="4" t="str">
        <x:v>送出：累计成功赠送的有效礼物消费。</x:v>
      </x:c>
      <x:c r="E594" s="4" t="str">
        <x:v>尚未建立场景映射</x:v>
      </x:c>
      <x:c r="F594" s="4" t="str"/>
      <x:c r="G594" s="4" t="str">
        <x:v>本轮独立来源库保留该已知条款，但尚未建立可核验的正式场景映射；不是无业务依据，也不转为产品待确认。</x:v>
      </x:c>
    </x:row>
    <x:row r="595" ht="44" customHeight="1">
      <x:c r="A595" s="4" t="str">
        <x:v>REQ-92eca975cc39</x:v>
      </x:c>
      <x:c r="B595" s="4" t="str">
        <x:v>消息与社交</x:v>
      </x:c>
      <x:c r="C595" s="4" t="n">
        <x:v>1044</x:v>
      </x:c>
      <x:c r="D595" s="4" t="str">
        <x:v>关系状态：分别展示关注、好友和拉黑状态。</x:v>
      </x:c>
      <x:c r="E595" s="4" t="str">
        <x:v>整段分支核验未闭合</x:v>
      </x:c>
      <x:c r="F595" s="4" t="str">
        <x:v>USER-0253</x:v>
      </x:c>
      <x:c r="G595" s="4" t="str">
        <x:v>本段剩余子句、条件组合及状态后续影响仍需与独立规则逐项闭合；这是生成覆盖缺口，不是产品决策缺失。</x:v>
      </x:c>
    </x:row>
    <x:row r="596" ht="44" customHeight="1">
      <x:c r="A596" s="4" t="str">
        <x:v>REQ-9b8279d86ad4</x:v>
      </x:c>
      <x:c r="B596" s="4" t="str">
        <x:v>消息与社交</x:v>
      </x:c>
      <x:c r="C596" s="4" t="n">
        <x:v>1045</x:v>
      </x:c>
      <x:c r="D596" s="4" t="str">
        <x:v>粉丝数为关注该用户的账号数；关注数为该用户关注的账号数；送出为累计成功赠送的礼物价值。</x:v>
      </x:c>
      <x:c r="E596" s="4" t="str">
        <x:v>整段分支核验未闭合</x:v>
      </x:c>
      <x:c r="F596" s="4" t="str">
        <x:v>USER-0253</x:v>
      </x:c>
      <x:c r="G596" s="4" t="str">
        <x:v>本段剩余子句、条件组合及状态后续影响仍需与独立规则逐项闭合；这是生成覆盖缺口，不是产品决策缺失。</x:v>
      </x:c>
    </x:row>
    <x:row r="597" ht="44" customHeight="1">
      <x:c r="A597" s="4" t="str">
        <x:v>REQ-5273bfbbbf60</x:v>
      </x:c>
      <x:c r="B597" s="4" t="str">
        <x:v>消息与社交</x:v>
      </x:c>
      <x:c r="C597" s="4" t="n">
        <x:v>1046</x:v>
      </x:c>
      <x:c r="D597" s="4" t="str">
        <x:v>关注关系与好友关系分别维护。</x:v>
      </x:c>
      <x:c r="E597" s="4" t="str">
        <x:v>整段分支核验未闭合</x:v>
      </x:c>
      <x:c r="F597" s="4" t="str">
        <x:v>USER-0253</x:v>
      </x:c>
      <x:c r="G597" s="4" t="str">
        <x:v>本段剩余子句、条件组合及状态后续影响仍需与独立规则逐项闭合；这是生成覆盖缺口，不是产品决策缺失。</x:v>
      </x:c>
    </x:row>
    <x:row r="598" ht="44" customHeight="1">
      <x:c r="A598" s="4" t="str">
        <x:v>REQ-64c43dff585c</x:v>
      </x:c>
      <x:c r="B598" s="4" t="str">
        <x:v>消息与社交</x:v>
      </x:c>
      <x:c r="C598" s="4" t="n">
        <x:v>1047</x:v>
      </x:c>
      <x:c r="D598" s="4" t="str">
        <x:v>拉黑后解除双方关注、好友和加入对方粉丝团的关系，待处理好友申请失效，并删除双方私信会话和聊天记录；取消拉黑后不恢复。</x:v>
      </x:c>
      <x:c r="E598" s="4" t="str">
        <x:v>整段分支核验未闭合</x:v>
      </x:c>
      <x:c r="F598" s="4" t="str">
        <x:v>USER-0253</x:v>
      </x:c>
      <x:c r="G598" s="4" t="str">
        <x:v>本段剩余子句、条件组合及状态后续影响仍需与独立规则逐项闭合；这是生成覆盖缺口，不是产品决策缺失。</x:v>
      </x:c>
    </x:row>
    <x:row r="599" ht="44" customHeight="1">
      <x:c r="A599" s="4" t="str">
        <x:v>REQ-59e385cd850a</x:v>
      </x:c>
      <x:c r="B599" s="4" t="str">
        <x:v>消息与社交</x:v>
      </x:c>
      <x:c r="C599" s="4" t="n">
        <x:v>1048</x:v>
      </x:c>
      <x:c r="D599" s="4" t="str">
        <x:v>数据范围：当前查看对象的资料、社交统计和已加入粉丝团；</x:v>
      </x:c>
      <x:c r="E599" s="4" t="str">
        <x:v>尚未建立场景映射</x:v>
      </x:c>
      <x:c r="F599" s="4" t="str"/>
      <x:c r="G599" s="4" t="str">
        <x:v>本轮独立来源库保留该已知条款，但尚未建立可核验的正式场景映射；不是无业务依据，也不转为产品待确认。</x:v>
      </x:c>
    </x:row>
    <x:row r="600" ht="44" customHeight="1">
      <x:c r="A600" s="4" t="str">
        <x:v>REQ-96e662bf62f9</x:v>
      </x:c>
      <x:c r="B600" s="4" t="str">
        <x:v>消息与社交</x:v>
      </x:c>
      <x:c r="C600" s="4" t="n">
        <x:v>1049</x:v>
      </x:c>
      <x:c r="D600" s="4" t="str">
        <x:v>关注或取消关注成功 -&gt; 同步更新关系状态和计数。</x:v>
      </x:c>
      <x:c r="E600" s="4" t="str">
        <x:v>整段分支核验未闭合</x:v>
      </x:c>
      <x:c r="F600" s="4" t="str">
        <x:v>USER-0253</x:v>
      </x:c>
      <x:c r="G600" s="4" t="str">
        <x:v>本段剩余子句、条件组合及状态后续影响仍需与独立规则逐项闭合；这是生成覆盖缺口，不是产品决策缺失。</x:v>
      </x:c>
    </x:row>
    <x:row r="601" ht="44" customHeight="1">
      <x:c r="A601" s="4" t="str">
        <x:v>REQ-b90f85aeaa35</x:v>
      </x:c>
      <x:c r="B601" s="4" t="str">
        <x:v>消息与社交</x:v>
      </x:c>
      <x:c r="C601" s="4" t="n">
        <x:v>1050</x:v>
      </x:c>
      <x:c r="D601" s="4" t="str">
        <x:v>删除好友确认 -&gt; 解除好友关系并清空双方聊天记录。</x:v>
      </x:c>
      <x:c r="E601" s="4" t="str">
        <x:v>尚未建立场景映射</x:v>
      </x:c>
      <x:c r="F601" s="4" t="str"/>
      <x:c r="G601" s="4" t="str">
        <x:v>本轮独立来源库保留该已知条款，但尚未建立可核验的正式场景映射；不是无业务依据，也不转为产品待确认。</x:v>
      </x:c>
    </x:row>
    <x:row r="602" ht="44" customHeight="1">
      <x:c r="A602" s="4" t="str">
        <x:v>REQ-57fef5d354d0</x:v>
      </x:c>
      <x:c r="B602" s="4" t="str">
        <x:v>消息与社交</x:v>
      </x:c>
      <x:c r="C602" s="4" t="n">
        <x:v>1051</x:v>
      </x:c>
      <x:c r="D602" s="4" t="str">
        <x:v>拉黑 -&gt; 显示确认弹窗；确认后执行并切换为拉黑状态，取消不改变关系。</x:v>
      </x:c>
      <x:c r="E602" s="4" t="str">
        <x:v>尚未建立场景映射</x:v>
      </x:c>
      <x:c r="F602" s="4" t="str"/>
      <x:c r="G602" s="4" t="str">
        <x:v>本轮独立来源库保留该已知条款，但尚未建立可核验的正式场景映射；不是无业务依据，也不转为产品待确认。</x:v>
      </x:c>
    </x:row>
    <x:row r="603" ht="44" customHeight="1">
      <x:c r="A603" s="4" t="str">
        <x:v>REQ-c41f05eeea81</x:v>
      </x:c>
      <x:c r="B603" s="4" t="str">
        <x:v>消息与社交</x:v>
      </x:c>
      <x:c r="C603" s="4" t="n">
        <x:v>1056</x:v>
      </x:c>
      <x:c r="D603" s="4" t="str">
        <x:v>主播资料：展示账号资料、主播等级、财富等级和当前开播状态。</x:v>
      </x:c>
      <x:c r="E603" s="4" t="str">
        <x:v>尚未建立场景映射</x:v>
      </x:c>
      <x:c r="F603" s="4" t="str"/>
      <x:c r="G603" s="4" t="str">
        <x:v>本轮独立来源库保留该已知条款，但尚未建立可核验的正式场景映射；不是无业务依据，也不转为产品待确认。</x:v>
      </x:c>
    </x:row>
    <x:row r="604" ht="44" customHeight="1">
      <x:c r="A604" s="4" t="str">
        <x:v>REQ-879aeceedc7c</x:v>
      </x:c>
      <x:c r="B604" s="4" t="str">
        <x:v>消息与社交</x:v>
      </x:c>
      <x:c r="C604" s="4" t="n">
        <x:v>1057</x:v>
      </x:c>
      <x:c r="D604" s="4" t="str">
        <x:v>粉丝/关注/观众：粉丝数为当前仍关注该主播的账号数；关注数为该主播当前仍关注的账号数；观众按历史直播场次累计。</x:v>
      </x:c>
      <x:c r="E604" s="4" t="str">
        <x:v>尚未建立场景映射</x:v>
      </x:c>
      <x:c r="F604" s="4" t="str"/>
      <x:c r="G604" s="4" t="str">
        <x:v>本轮独立来源库保留该已知条款，但尚未建立可核验的正式场景映射；不是无业务依据，也不转为产品待确认。</x:v>
      </x:c>
    </x:row>
    <x:row r="605" ht="44" customHeight="1">
      <x:c r="A605" s="4" t="str">
        <x:v>REQ-71c9dec335e9</x:v>
      </x:c>
      <x:c r="B605" s="4" t="str">
        <x:v>消息与社交</x:v>
      </x:c>
      <x:c r="C605" s="4" t="n">
        <x:v>1058</x:v>
      </x:c>
      <x:c r="D605" s="4" t="str">
        <x:v>礼物展馆：展示已收礼物种类数和历史成功收到数量。</x:v>
      </x:c>
      <x:c r="E605" s="4" t="str">
        <x:v>尚未建立场景映射</x:v>
      </x:c>
      <x:c r="F605" s="4" t="str"/>
      <x:c r="G605" s="4" t="str">
        <x:v>本轮独立来源库保留该已知条款，但尚未建立可核验的正式场景映射；不是无业务依据，也不转为产品待确认。</x:v>
      </x:c>
    </x:row>
    <x:row r="606" ht="44" customHeight="1">
      <x:c r="A606" s="4" t="str">
        <x:v>REQ-523864988163</x:v>
      </x:c>
      <x:c r="B606" s="4" t="str">
        <x:v>消息与社交</x:v>
      </x:c>
      <x:c r="C606" s="4" t="n">
        <x:v>1059</x:v>
      </x:c>
      <x:c r="D606" s="4" t="str">
        <x:v>粉丝团：展示团名称、等级、成员数及当前用户团籍。</x:v>
      </x:c>
      <x:c r="E606" s="4" t="str">
        <x:v>尚未建立场景映射</x:v>
      </x:c>
      <x:c r="F606" s="4" t="str"/>
      <x:c r="G606" s="4" t="str">
        <x:v>本轮独立来源库保留该已知条款，但尚未建立可核验的正式场景映射；不是无业务依据，也不转为产品待确认。</x:v>
      </x:c>
    </x:row>
    <x:row r="607" ht="44" customHeight="1">
      <x:c r="A607" s="4" t="str">
        <x:v>REQ-572f18705840</x:v>
      </x:c>
      <x:c r="B607" s="4" t="str">
        <x:v>消息与社交</x:v>
      </x:c>
      <x:c r="C607" s="4" t="n">
        <x:v>1060</x:v>
      </x:c>
      <x:c r="D607" s="4" t="str">
        <x:v>关系状态：分别展示关注、好友、拉黑和私信权限。</x:v>
      </x:c>
      <x:c r="E607" s="4" t="str">
        <x:v>尚未建立场景映射</x:v>
      </x:c>
      <x:c r="F607" s="4" t="str"/>
      <x:c r="G607" s="4" t="str">
        <x:v>本轮独立来源库保留该已知条款，但尚未建立可核验的正式场景映射；不是无业务依据，也不转为产品待确认。</x:v>
      </x:c>
    </x:row>
    <x:row r="608" ht="44" customHeight="1">
      <x:c r="A608" s="4" t="str">
        <x:v>REQ-0db6b2327cfc</x:v>
      </x:c>
      <x:c r="B608" s="4" t="str">
        <x:v>消息与社交</x:v>
      </x:c>
      <x:c r="C608" s="4" t="n">
        <x:v>1061</x:v>
      </x:c>
      <x:c r="D608" s="4" t="str">
        <x:v>主播等级与财富等级分别计算，不共用等级值；等级门槛由平台配置。</x:v>
      </x:c>
      <x:c r="E608" s="4" t="str">
        <x:v>尚未建立场景映射</x:v>
      </x:c>
      <x:c r="F608" s="4" t="str"/>
      <x:c r="G608" s="4" t="str">
        <x:v>本轮独立来源库保留该已知条款，但尚未建立可核验的正式场景映射；不是无业务依据，也不转为产品待确认。</x:v>
      </x:c>
    </x:row>
    <x:row r="609" ht="44" customHeight="1">
      <x:c r="A609" s="4" t="str">
        <x:v>REQ-9636ec52b474</x:v>
      </x:c>
      <x:c r="B609" s="4" t="str">
        <x:v>消息与社交</x:v>
      </x:c>
      <x:c r="C609" s="4" t="n">
        <x:v>1062</x:v>
      </x:c>
      <x:c r="D609" s="4" t="str">
        <x:v>直播中才提供当前直播场次入口。</x:v>
      </x:c>
      <x:c r="E609" s="4" t="str">
        <x:v>整段分支核验未闭合</x:v>
      </x:c>
      <x:c r="F609" s="4" t="str">
        <x:v>USER-0752</x:v>
      </x:c>
      <x:c r="G609" s="4" t="str">
        <x:v>本段剩余子句、条件组合及状态后续影响仍需与独立规则逐项闭合；这是生成覆盖缺口，不是产品决策缺失。</x:v>
      </x:c>
    </x:row>
    <x:row r="610" ht="44" customHeight="1">
      <x:c r="A610" s="4" t="str">
        <x:v>REQ-28a73c937bba</x:v>
      </x:c>
      <x:c r="B610" s="4" t="str">
        <x:v>消息与社交</x:v>
      </x:c>
      <x:c r="C610" s="4" t="n">
        <x:v>1063</x:v>
      </x:c>
      <x:c r="D610" s="4" t="str">
        <x:v>拉黑后解除双方关注、好友和加入对方粉丝团的关系，删除双方私信会话和聊天记录，且不能进入该主播直播间；取消拉黑后不恢复。</x:v>
      </x:c>
      <x:c r="E610" s="4" t="str">
        <x:v>尚未建立场景映射</x:v>
      </x:c>
      <x:c r="F610" s="4" t="str"/>
      <x:c r="G610" s="4" t="str">
        <x:v>本轮独立来源库保留该已知条款，但尚未建立可核验的正式场景映射；不是无业务依据，也不转为产品待确认。</x:v>
      </x:c>
    </x:row>
    <x:row r="611" ht="44" customHeight="1">
      <x:c r="A611" s="4" t="str">
        <x:v>REQ-1edf549c22f7</x:v>
      </x:c>
      <x:c r="B611" s="4" t="str">
        <x:v>消息与社交</x:v>
      </x:c>
      <x:c r="C611" s="4" t="n">
        <x:v>1064</x:v>
      </x:c>
      <x:c r="D611" s="4" t="str">
        <x:v>粉丝团团籍和群籍同步；退出或被移出后等级与亲密度清零。</x:v>
      </x:c>
      <x:c r="E611" s="4" t="str">
        <x:v>尚未建立场景映射</x:v>
      </x:c>
      <x:c r="F611" s="4" t="str"/>
      <x:c r="G611" s="4" t="str">
        <x:v>本轮独立来源库保留该已知条款，但尚未建立可核验的正式场景映射；不是无业务依据，也不转为产品待确认。</x:v>
      </x:c>
    </x:row>
    <x:row r="612" ht="44" customHeight="1">
      <x:c r="A612" s="4" t="str">
        <x:v>REQ-8262ce34db52</x:v>
      </x:c>
      <x:c r="B612" s="4" t="str">
        <x:v>消息与社交</x:v>
      </x:c>
      <x:c r="C612" s="4" t="n">
        <x:v>1065</x:v>
      </x:c>
      <x:c r="D612" s="4" t="str">
        <x:v>运营账号不能加入粉丝团，不展示加入入口。</x:v>
      </x:c>
      <x:c r="E612" s="4" t="str">
        <x:v>整段分支核验未闭合</x:v>
      </x:c>
      <x:c r="F612" s="4" t="str">
        <x:v>USER-0753</x:v>
      </x:c>
      <x:c r="G612" s="4" t="str">
        <x:v>本段剩余子句、条件组合及状态后续影响仍需与独立规则逐项闭合；这是生成覆盖缺口，不是产品决策缺失。</x:v>
      </x:c>
    </x:row>
    <x:row r="613" ht="44" customHeight="1">
      <x:c r="A613" s="4" t="str">
        <x:v>REQ-5de8b3f2a4a8</x:v>
      </x:c>
      <x:c r="B613" s="4" t="str">
        <x:v>消息与社交</x:v>
      </x:c>
      <x:c r="C613" s="4" t="n">
        <x:v>1066</x:v>
      </x:c>
      <x:c r="D613" s="4" t="str">
        <x:v>数据范围：当前查看主播的资料、历史统计和当前直播状态；不会汇总其他主播数据。</x:v>
      </x:c>
      <x:c r="E613" s="4" t="str">
        <x:v>尚未建立场景映射</x:v>
      </x:c>
      <x:c r="F613" s="4" t="str"/>
      <x:c r="G613" s="4" t="str">
        <x:v>本轮独立来源库保留该已知条款，但尚未建立可核验的正式场景映射；不是无业务依据，也不转为产品待确认。</x:v>
      </x:c>
    </x:row>
    <x:row r="614" ht="44" customHeight="1">
      <x:c r="A614" s="4" t="str">
        <x:v>REQ-94ebe8120ba8</x:v>
      </x:c>
      <x:c r="B614" s="4" t="str">
        <x:v>消息与社交</x:v>
      </x:c>
      <x:c r="C614" s="4" t="n">
        <x:v>1067</x:v>
      </x:c>
      <x:c r="D614" s="4" t="str">
        <x:v>普通用户已加入粉丝团 -&gt; 进入贡献榜；未加入 -&gt; 打开加入粉丝团视图；运营账号不展示加入入口。</x:v>
      </x:c>
      <x:c r="E614" s="4" t="str">
        <x:v>整段分支核验未闭合</x:v>
      </x:c>
      <x:c r="F614" s="4" t="str">
        <x:v>USER-0753</x:v>
      </x:c>
      <x:c r="G614" s="4" t="str">
        <x:v>本段剩余子句、条件组合及状态后续影响仍需与独立规则逐项闭合；这是生成覆盖缺口，不是产品决策缺失。</x:v>
      </x:c>
    </x:row>
    <x:row r="615" ht="44" customHeight="1">
      <x:c r="A615" s="4" t="str">
        <x:v>REQ-8f93d30f6ebf</x:v>
      </x:c>
      <x:c r="B615" s="4" t="str">
        <x:v>消息与社交</x:v>
      </x:c>
      <x:c r="C615" s="4" t="n">
        <x:v>1068</x:v>
      </x:c>
      <x:c r="D615" s="4" t="str">
        <x:v>好友可直接私信；非好友最多发送 3 条私信。</x:v>
      </x:c>
      <x:c r="E615" s="4" t="str">
        <x:v>尚未建立场景映射</x:v>
      </x:c>
      <x:c r="F615" s="4" t="str"/>
      <x:c r="G615" s="4" t="str">
        <x:v>本轮独立来源库保留该已知条款，但尚未建立可核验的正式场景映射；不是无业务依据，也不转为产品待确认。</x:v>
      </x:c>
    </x:row>
    <x:row r="616" ht="44" customHeight="1">
      <x:c r="A616" s="4" t="str">
        <x:v>REQ-9dcb86f165ae</x:v>
      </x:c>
      <x:c r="B616" s="4" t="str">
        <x:v>消息与社交</x:v>
      </x:c>
      <x:c r="C616" s="4" t="n">
        <x:v>1069</x:v>
      </x:c>
      <x:c r="D616" s="4" t="str">
        <x:v>拉黑 -&gt; 显示确认弹窗；确认后执行并切换为拉黑状态，取消不改变关系。</x:v>
      </x:c>
      <x:c r="E616" s="4" t="str">
        <x:v>尚未建立场景映射</x:v>
      </x:c>
      <x:c r="F616" s="4" t="str"/>
      <x:c r="G616" s="4" t="str">
        <x:v>本轮独立来源库保留该已知条款，但尚未建立可核验的正式场景映射；不是无业务依据，也不转为产品待确认。</x:v>
      </x:c>
    </x:row>
    <x:row r="617" ht="44" customHeight="1">
      <x:c r="A617" s="4" t="str">
        <x:v>REQ-4602f74d4fdd</x:v>
      </x:c>
      <x:c r="B617" s="4" t="str">
        <x:v>消息与社交</x:v>
      </x:c>
      <x:c r="C617" s="4" t="n">
        <x:v>1074</x:v>
      </x:c>
      <x:c r="D617" s="4" t="str">
        <x:v>累计收到：当前主播累计收到的礼物件数。</x:v>
      </x:c>
      <x:c r="E617" s="4" t="str">
        <x:v>尚未建立场景映射</x:v>
      </x:c>
      <x:c r="F617" s="4" t="str"/>
      <x:c r="G617" s="4" t="str">
        <x:v>本轮独立来源库保留该已知条款，但尚未建立可核验的正式场景映射；不是无业务依据，也不转为产品待确认。</x:v>
      </x:c>
    </x:row>
    <x:row r="618" ht="44" customHeight="1">
      <x:c r="A618" s="4" t="str">
        <x:v>REQ-7ff8f9f58a0b</x:v>
      </x:c>
      <x:c r="B618" s="4" t="str">
        <x:v>消息与社交</x:v>
      </x:c>
      <x:c r="C618" s="4" t="n">
        <x:v>1075</x:v>
      </x:c>
      <x:c r="D618" s="4" t="str">
        <x:v>礼物图标 / 名称：展示礼物目录中的礼物。</x:v>
      </x:c>
      <x:c r="E618" s="4" t="str">
        <x:v>整段分支核验未闭合</x:v>
      </x:c>
      <x:c r="F618" s="4" t="str">
        <x:v>USER-0629</x:v>
      </x:c>
      <x:c r="G618" s="4" t="str">
        <x:v>本段剩余子句、条件组合及状态后续影响仍需与独立规则逐项闭合；这是生成覆盖缺口，不是产品决策缺失。</x:v>
      </x:c>
    </x:row>
    <x:row r="619" ht="44" customHeight="1">
      <x:c r="A619" s="4" t="str">
        <x:v>REQ-aa63cfd1d413</x:v>
      </x:c>
      <x:c r="B619" s="4" t="str">
        <x:v>消息与社交</x:v>
      </x:c>
      <x:c r="C619" s="4" t="n">
        <x:v>1076</x:v>
      </x:c>
      <x:c r="D619" s="4" t="str">
        <x:v>收到数量：按当前主播展示对应礼物的收到数量；没有记录时显示未收到。</x:v>
      </x:c>
      <x:c r="E619" s="4" t="str">
        <x:v>尚未建立场景映射</x:v>
      </x:c>
      <x:c r="F619" s="4" t="str"/>
      <x:c r="G619" s="4" t="str">
        <x:v>本轮独立来源库保留该已知条款，但尚未建立可核验的正式场景映射；不是无业务依据，也不转为产品待确认。</x:v>
      </x:c>
    </x:row>
    <x:row r="620" ht="44" customHeight="1">
      <x:c r="A620" s="4" t="str">
        <x:v>REQ-c758325242de</x:v>
      </x:c>
      <x:c r="B620" s="4" t="str">
        <x:v>消息与社交</x:v>
      </x:c>
      <x:c r="C620" s="4" t="n">
        <x:v>1077</x:v>
      </x:c>
      <x:c r="D620" s="4" t="str">
        <x:v>只统计成功礼物记录；失败或撤销记录不计入。</x:v>
      </x:c>
      <x:c r="E620" s="4" t="str">
        <x:v>整段分支核验未闭合</x:v>
      </x:c>
      <x:c r="F620" s="4" t="str">
        <x:v>USER-0684</x:v>
      </x:c>
      <x:c r="G620" s="4" t="str">
        <x:v>本段剩余子句、条件组合及状态后续影响仍需与独立规则逐项闭合；这是生成覆盖缺口，不是产品决策缺失。</x:v>
      </x:c>
    </x:row>
    <x:row r="621" ht="44" customHeight="1">
      <x:c r="A621" s="4" t="str">
        <x:v>REQ-f5b8a3424b62</x:v>
      </x:c>
      <x:c r="B621" s="4" t="str">
        <x:v>消息与社交</x:v>
      </x:c>
      <x:c r="C621" s="4" t="n">
        <x:v>1078</x:v>
      </x:c>
      <x:c r="D621" s="4" t="str">
        <x:v>礼物下架后不再接收，但历史收到数量和图鉴记录保留。</x:v>
      </x:c>
      <x:c r="E621" s="4" t="str">
        <x:v>整段分支核验未闭合</x:v>
      </x:c>
      <x:c r="F621" s="4" t="str">
        <x:v>USER-0686</x:v>
      </x:c>
      <x:c r="G621" s="4" t="str">
        <x:v>本段剩余子句、条件组合及状态后续影响仍需与独立规则逐项闭合；这是生成覆盖缺口，不是产品决策缺失。</x:v>
      </x:c>
    </x:row>
    <x:row r="622" ht="44" customHeight="1">
      <x:c r="A622" s="4" t="str">
        <x:v>REQ-8044906ab18d</x:v>
      </x:c>
      <x:c r="B622" s="4" t="str">
        <x:v>消息与社交</x:v>
      </x:c>
      <x:c r="C622" s="4" t="n">
        <x:v>1079</x:v>
      </x:c>
      <x:c r="D622" s="4" t="str">
        <x:v>幸运礼物按礼物个数计入收到数量；对应主播收益 = 送出价值 × 后台比例，默认 1%，返奖不影响收益。</x:v>
      </x:c>
      <x:c r="E622" s="4" t="str">
        <x:v>尚未建立场景映射</x:v>
      </x:c>
      <x:c r="F622" s="4" t="str"/>
      <x:c r="G622" s="4" t="str">
        <x:v>本轮独立来源库保留该已知条款，但尚未建立可核验的正式场景映射；不是无业务依据，也不转为产品待确认。</x:v>
      </x:c>
    </x:row>
    <x:row r="623" ht="44" customHeight="1">
      <x:c r="A623" s="4" t="str">
        <x:v>REQ-7df8b071258b</x:v>
      </x:c>
      <x:c r="B623" s="4" t="str">
        <x:v>消息与社交</x:v>
      </x:c>
      <x:c r="C623" s="4" t="n">
        <x:v>1080</x:v>
      </x:c>
      <x:c r="D623" s="4" t="str">
        <x:v>数据范围：平台礼物目录与当前查看主播的收礼数量；未收到的礼物也展示。</x:v>
      </x:c>
      <x:c r="E623" s="4" t="str">
        <x:v>整段分支核验未闭合</x:v>
      </x:c>
      <x:c r="F623" s="4" t="str">
        <x:v>USER-0685</x:v>
      </x:c>
      <x:c r="G623" s="4" t="str">
        <x:v>本段剩余子句、条件组合及状态后续影响仍需与独立规则逐项闭合；这是生成覆盖缺口，不是产品决策缺失。</x:v>
      </x:c>
    </x:row>
    <x:row r="624" ht="44" customHeight="1">
      <x:c r="A624" s="4" t="str">
        <x:v>REQ-34e417b94f9f</x:v>
      </x:c>
      <x:c r="B624" s="4" t="str">
        <x:v>消息与社交</x:v>
      </x:c>
      <x:c r="C624" s="4" t="n">
        <x:v>1081</x:v>
      </x:c>
      <x:c r="D624" s="4" t="str">
        <x:v>排序：沿用礼物目录的配置顺序。</x:v>
      </x:c>
      <x:c r="E624" s="4" t="str">
        <x:v>尚未建立场景映射</x:v>
      </x:c>
      <x:c r="F624" s="4" t="str"/>
      <x:c r="G624" s="4" t="str">
        <x:v>本轮独立来源库保留该已知条款，但尚未建立可核验的正式场景映射；不是无业务依据，也不转为产品待确认。</x:v>
      </x:c>
    </x:row>
    <x:row r="625" ht="44" customHeight="1">
      <x:c r="A625" s="4" t="str">
        <x:v>REQ-161f7fee35c9</x:v>
      </x:c>
      <x:c r="B625" s="4" t="str">
        <x:v>消息与社交</x:v>
      </x:c>
      <x:c r="C625" s="4" t="n">
        <x:v>1082</x:v>
      </x:c>
      <x:c r="D625" s="4" t="str">
        <x:v>点击返回 -&gt; 回到对应主播主页。</x:v>
      </x:c>
      <x:c r="E625" s="4" t="str">
        <x:v>尚未建立场景映射</x:v>
      </x:c>
      <x:c r="F625" s="4" t="str"/>
      <x:c r="G625" s="4" t="str">
        <x:v>本轮独立来源库保留该已知条款，但尚未建立可核验的正式场景映射；不是无业务依据，也不转为产品待确认。</x:v>
      </x:c>
    </x:row>
    <x:row r="626" ht="44" customHeight="1">
      <x:c r="A626" s="4" t="str">
        <x:v>REQ-e728d38fdf88</x:v>
      </x:c>
      <x:c r="B626" s="4" t="str">
        <x:v>粉丝团</x:v>
      </x:c>
      <x:c r="C626" s="4" t="n">
        <x:v>1087</x:v>
      </x:c>
      <x:c r="D626" s="4" t="str">
        <x:v>主播头像 / 主播昵称：该粉丝团所属主播的头像与昵称。头像本身不跳转；直播标记为独立入口。</x:v>
      </x:c>
      <x:c r="E626" s="4" t="str">
        <x:v>整段分支核验未闭合</x:v>
      </x:c>
      <x:c r="F626" s="4" t="str">
        <x:v>USER-0494、USER-0495</x:v>
      </x:c>
      <x:c r="G626" s="4" t="str">
        <x:v>本段剩余子句、条件组合及状态后续影响仍需与独立规则逐项闭合；这是生成覆盖缺口，不是产品决策缺失。</x:v>
      </x:c>
    </x:row>
    <x:row r="627" ht="44" customHeight="1">
      <x:c r="A627" s="4" t="str">
        <x:v>REQ-fe45961bd66f</x:v>
      </x:c>
      <x:c r="B627" s="4" t="str">
        <x:v>粉丝团</x:v>
      </x:c>
      <x:c r="C627" s="4" t="n">
        <x:v>1088</x:v>
      </x:c>
      <x:c r="D627" s="4" t="str">
        <x:v>粉丝团名称：当前粉丝团名称。</x:v>
      </x:c>
      <x:c r="E627" s="4" t="str">
        <x:v>尚未建立场景映射</x:v>
      </x:c>
      <x:c r="F627" s="4" t="str"/>
      <x:c r="G627" s="4" t="str">
        <x:v>本轮独立来源库保留该已知条款，但尚未建立可核验的正式场景映射；不是无业务依据，也不转为产品待确认。</x:v>
      </x:c>
    </x:row>
    <x:row r="628" ht="44" customHeight="1">
      <x:c r="A628" s="4" t="str">
        <x:v>REQ-5e67af64734c</x:v>
      </x:c>
      <x:c r="B628" s="4" t="str">
        <x:v>粉丝团</x:v>
      </x:c>
      <x:c r="C628" s="4" t="n">
        <x:v>1089</x:v>
      </x:c>
      <x:c r="D628" s="4" t="str">
        <x:v>团等级（团 Lv.n）：粉丝团整体等级，按该团累计收礼金币匹配后台粉丝团等级配置，不含运营号虚拟金币。</x:v>
      </x:c>
      <x:c r="E628" s="4" t="str">
        <x:v>尚未建立场景映射</x:v>
      </x:c>
      <x:c r="F628" s="4" t="str"/>
      <x:c r="G628" s="4" t="str">
        <x:v>本轮独立来源库保留该已知条款，但尚未建立可核验的正式场景映射；不是无业务依据，也不转为产品待确认。</x:v>
      </x:c>
    </x:row>
    <x:row r="629" ht="44" customHeight="1">
      <x:c r="A629" s="4" t="str">
        <x:v>REQ-5773069f8c9b</x:v>
      </x:c>
      <x:c r="B629" s="4" t="str">
        <x:v>粉丝团</x:v>
      </x:c>
      <x:c r="C629" s="4" t="n">
        <x:v>1090</x:v>
      </x:c>
      <x:c r="D629" s="4" t="str">
        <x:v>加入日期：当前用户本次加入该粉丝团的日期；重新入团后更新为本次入团日期。</x:v>
      </x:c>
      <x:c r="E629" s="4" t="str">
        <x:v>整段分支核验未闭合</x:v>
      </x:c>
      <x:c r="F629" s="4" t="str">
        <x:v>USER-0491</x:v>
      </x:c>
      <x:c r="G629" s="4" t="str">
        <x:v>本段剩余子句、条件组合及状态后续影响仍需与独立规则逐项闭合；这是生成覆盖缺口，不是产品决策缺失。</x:v>
      </x:c>
    </x:row>
    <x:row r="630" ht="44" customHeight="1">
      <x:c r="A630" s="4" t="str">
        <x:v>REQ-dc110b656375</x:v>
      </x:c>
      <x:c r="B630" s="4" t="str">
        <x:v>粉丝团</x:v>
      </x:c>
      <x:c r="C630" s="4" t="n">
        <x:v>1091</x:v>
      </x:c>
      <x:c r="D630" s="4" t="str">
        <x:v>直播标记：所属主播直播中时显示；未开播时隐藏。</x:v>
      </x:c>
      <x:c r="E630" s="4" t="str">
        <x:v>整段分支核验未闭合</x:v>
      </x:c>
      <x:c r="F630" s="4" t="str">
        <x:v>USER-0494、USER-0495</x:v>
      </x:c>
      <x:c r="G630" s="4" t="str">
        <x:v>本段剩余子句、条件组合及状态后续影响仍需与独立规则逐项闭合；这是生成覆盖缺口，不是产品决策缺失。</x:v>
      </x:c>
    </x:row>
    <x:row r="631" ht="44" customHeight="1">
      <x:c r="A631" s="4" t="str">
        <x:v>REQ-68435087e853</x:v>
      </x:c>
      <x:c r="B631" s="4" t="str">
        <x:v>粉丝团</x:v>
      </x:c>
      <x:c r="C631" s="4" t="n">
        <x:v>1092</x:v>
      </x:c>
      <x:c r="D631" s="4" t="str">
        <x:v>群聊：进入当前卡片对应粉丝群的操作入口，不是群聊数量。</x:v>
      </x:c>
      <x:c r="E631" s="4" t="str">
        <x:v>尚未建立场景映射</x:v>
      </x:c>
      <x:c r="F631" s="4" t="str"/>
      <x:c r="G631" s="4" t="str">
        <x:v>本轮独立来源库保留该已知条款，但尚未建立可核验的正式场景映射；不是无业务依据，也不转为产品待确认。</x:v>
      </x:c>
    </x:row>
    <x:row r="632" ht="44" customHeight="1">
      <x:c r="A632" s="4" t="str">
        <x:v>REQ-91d599404b3b</x:v>
      </x:c>
      <x:c r="B632" s="4" t="str">
        <x:v>粉丝团</x:v>
      </x:c>
      <x:c r="C632" s="4" t="n">
        <x:v>1093</x:v>
      </x:c>
      <x:c r="D632" s="4" t="str">
        <x:v>粉丝等级：当前用户对该主播的个人粉丝等级，仅按本次有效团籍期间的送礼贡献匹配后台配置；退团后清零，重新入团从 0 开始。</x:v>
      </x:c>
      <x:c r="E632" s="4" t="str">
        <x:v>整段分支核验未闭合</x:v>
      </x:c>
      <x:c r="F632" s="4" t="str">
        <x:v>USER-0491</x:v>
      </x:c>
      <x:c r="G632" s="4" t="str">
        <x:v>本段剩余子句、条件组合及状态后续影响仍需与独立规则逐项闭合；这是生成覆盖缺口，不是产品决策缺失。</x:v>
      </x:c>
    </x:row>
    <x:row r="633" ht="44" customHeight="1">
      <x:c r="A633" s="4" t="str">
        <x:v>REQ-9a127a6822af</x:v>
      </x:c>
      <x:c r="B633" s="4" t="str">
        <x:v>粉丝团</x:v>
      </x:c>
      <x:c r="C633" s="4" t="n">
        <x:v>1094</x:v>
      </x:c>
      <x:c r="D633" s="4" t="str">
        <x:v>亲密度：当前用户与该主播的一对一关系数值；</x:v>
      </x:c>
      <x:c r="E633" s="4" t="str">
        <x:v>尚未建立场景映射</x:v>
      </x:c>
      <x:c r="F633" s="4" t="str"/>
      <x:c r="G633" s="4" t="str">
        <x:v>本轮独立来源库保留该已知条款，但尚未建立可核验的正式场景映射；不是无业务依据，也不转为产品待确认。</x:v>
      </x:c>
    </x:row>
    <x:row r="634" ht="44" customHeight="1">
      <x:c r="A634" s="4" t="str">
        <x:v>REQ-1dccf04f8d96</x:v>
      </x:c>
      <x:c r="B634" s="4" t="str">
        <x:v>粉丝团</x:v>
      </x:c>
      <x:c r="C634" s="4" t="n">
        <x:v>1095</x:v>
      </x:c>
      <x:c r="D634" s="4" t="str">
        <x:v>总贡献：当前用户给该主播累计刷出的贡献，入团前、入团后、退团期间及重新入团后的都算；以礼物成功送达为准，不含运营号虚拟金币。</x:v>
      </x:c>
      <x:c r="E634" s="4" t="str">
        <x:v>整段分支核验未闭合</x:v>
      </x:c>
      <x:c r="F634" s="4" t="str">
        <x:v>USER-0491、USER-0492</x:v>
      </x:c>
      <x:c r="G634" s="4" t="str">
        <x:v>本段剩余子句、条件组合及状态后续影响仍需与独立规则逐项闭合；这是生成覆盖缺口，不是产品决策缺失。</x:v>
      </x:c>
    </x:row>
    <x:row r="635" ht="44" customHeight="1">
      <x:c r="A635" s="4" t="str">
        <x:v>REQ-3f080fdffaf9</x:v>
      </x:c>
      <x:c r="B635" s="4" t="str">
        <x:v>粉丝团</x:v>
      </x:c>
      <x:c r="C635" s="4" t="n">
        <x:v>1096</x:v>
      </x:c>
      <x:c r="D635" s="4" t="str">
        <x:v>贡献榜头像：展示本周贡献榜前三名用户头像，按排名顺序排列；不足三人按实际人数展示，至少展示 1 个头像，即自己。</x:v>
      </x:c>
      <x:c r="E635" s="4" t="str">
        <x:v>尚未建立场景映射</x:v>
      </x:c>
      <x:c r="F635" s="4" t="str"/>
      <x:c r="G635" s="4" t="str">
        <x:v>本轮独立来源库保留该已知条款，但尚未建立可核验的正式场景映射；不是无业务依据，也不转为产品待确认。</x:v>
      </x:c>
    </x:row>
    <x:row r="636" ht="44" customHeight="1">
      <x:c r="A636" s="4" t="str">
        <x:v>REQ-b21b55b83439</x:v>
      </x:c>
      <x:c r="B636" s="4" t="str">
        <x:v>粉丝团</x:v>
      </x:c>
      <x:c r="C636" s="4" t="n">
        <x:v>1097</x:v>
      </x:c>
      <x:c r="D636" s="4" t="str">
        <x:v>我的排名：当前用户在该主播粉丝团本周贡献榜中的名次，与贡献榜头像使用相同统计范围。</x:v>
      </x:c>
      <x:c r="E636" s="4" t="str">
        <x:v>尚未建立场景映射</x:v>
      </x:c>
      <x:c r="F636" s="4" t="str"/>
      <x:c r="G636" s="4" t="str">
        <x:v>本轮独立来源库保留该已知条款，但尚未建立可核验的正式场景映射；不是无业务依据，也不转为产品待确认。</x:v>
      </x:c>
    </x:row>
    <x:row r="637" ht="44" customHeight="1">
      <x:c r="A637" s="4" t="str">
        <x:v>REQ-116da02e3d22</x:v>
      </x:c>
      <x:c r="B637" s="4" t="str">
        <x:v>粉丝团</x:v>
      </x:c>
      <x:c r="C637" s="4" t="n">
        <x:v>1098</x:v>
      </x:c>
      <x:c r="D637" s="4" t="str">
        <x:v>一张卡片对应一个当前有效团籍；团籍与群籍同步。退出、被移出或粉丝团解散后，移除对应卡片并解除群聊权限。</x:v>
      </x:c>
      <x:c r="E637" s="4" t="str">
        <x:v>尚未建立场景映射</x:v>
      </x:c>
      <x:c r="F637" s="4" t="str"/>
      <x:c r="G637" s="4" t="str">
        <x:v>本轮独立来源库保留该已知条款，但尚未建立可核验的正式场景映射；不是无业务依据，也不转为产品待确认。</x:v>
      </x:c>
    </x:row>
    <x:row r="638" ht="57" customHeight="1">
      <x:c r="A638" s="4" t="str">
        <x:v>REQ-f9943d155e02</x:v>
      </x:c>
      <x:c r="B638" s="4" t="str">
        <x:v>粉丝团</x:v>
      </x:c>
      <x:c r="C638" s="4" t="n">
        <x:v>1099</x:v>
      </x:c>
      <x:c r="D638" s="4" t="str">
        <x:v>主动退出或被移出不影响关注，但粉丝等级和亲密度清零，重新加入不恢复；历史贡献保留，重新加入后继续计入总贡献和对应周期榜单。拉黑主播会同步解除团籍和关注关系。</x:v>
      </x:c>
      <x:c r="E638" s="4" t="str">
        <x:v>整段分支核验未闭合</x:v>
      </x:c>
      <x:c r="F638" s="4" t="str">
        <x:v>USER-0492</x:v>
      </x:c>
      <x:c r="G638" s="4" t="str">
        <x:v>本段剩余子句、条件组合及状态后续影响仍需与独立规则逐项闭合；这是生成覆盖缺口，不是产品决策缺失。</x:v>
      </x:c>
    </x:row>
    <x:row r="639" ht="57" customHeight="1">
      <x:c r="A639" s="4" t="str">
        <x:v>REQ-e0f392d27e3d</x:v>
      </x:c>
      <x:c r="B639" s="4" t="str">
        <x:v>粉丝团</x:v>
      </x:c>
      <x:c r="C639" s="4" t="n">
        <x:v>1100</x:v>
      </x:c>
      <x:c r="D639" s="4" t="str">
        <x:v>团等级和个人粉丝等级使用各自后台配置，不可互用；退款只影响财富等级，不因此扣减此处两类等级。贡献值及榜单的退款调整不等同于等级下降。</x:v>
      </x:c>
      <x:c r="E639" s="4" t="str">
        <x:v>尚未建立场景映射</x:v>
      </x:c>
      <x:c r="F639" s="4" t="str"/>
      <x:c r="G639" s="4" t="str">
        <x:v>本轮独立来源库保留该已知条款，但尚未建立可核验的正式场景映射；不是无业务依据，也不转为产品待确认。</x:v>
      </x:c>
    </x:row>
    <x:row r="640" ht="72" customHeight="1">
      <x:c r="A640" s="4" t="str">
        <x:v>REQ-e53313feaa8d</x:v>
      </x:c>
      <x:c r="B640" s="4" t="str">
        <x:v>粉丝团</x:v>
      </x:c>
      <x:c r="C640" s="4" t="n">
        <x:v>1101</x:v>
      </x:c>
      <x:c r="D640" s="4" t="str">
        <x:v>卡片贡献榜只展示当前有效团籍成员，按本周内给当前主播刷出的全部贡献排名，不按入团时间截断；只要给当前主播刷的都算。退团后不展示，重新入团后恢复对应周期内的贡献统计；运营号及其虚拟金币不计入。</x:v>
      </x:c>
      <x:c r="E640" s="4" t="str">
        <x:v>整段分支核验未闭合</x:v>
      </x:c>
      <x:c r="F640" s="4" t="str">
        <x:v>USER-0491</x:v>
      </x:c>
      <x:c r="G640" s="4" t="str">
        <x:v>本段剩余子句、条件组合及状态后续影响仍需与独立规则逐项闭合；这是生成覆盖缺口，不是产品决策缺失。</x:v>
      </x:c>
    </x:row>
    <x:row r="641" ht="44" customHeight="1">
      <x:c r="A641" s="4" t="str">
        <x:v>REQ-f0b5607d3a9e</x:v>
      </x:c>
      <x:c r="B641" s="4" t="str">
        <x:v>粉丝团</x:v>
      </x:c>
      <x:c r="C641" s="4" t="n">
        <x:v>1102</x:v>
      </x:c>
      <x:c r="D641" s="4" t="str">
        <x:v>粉丝团按当前用户本次加入时间倒序排列，最新加入的排在最前。</x:v>
      </x:c>
      <x:c r="E641" s="4" t="str">
        <x:v>整段分支核验未闭合</x:v>
      </x:c>
      <x:c r="F641" s="4" t="str">
        <x:v>USER-0490</x:v>
      </x:c>
      <x:c r="G641" s="4" t="str">
        <x:v>本段剩余子句、条件组合及状态后续影响仍需与独立规则逐项闭合；这是生成覆盖缺口，不是产品决策缺失。</x:v>
      </x:c>
    </x:row>
    <x:row r="642" ht="44" customHeight="1">
      <x:c r="A642" s="4" t="str">
        <x:v>REQ-7246eea0cf07</x:v>
      </x:c>
      <x:c r="B642" s="4" t="str">
        <x:v>粉丝团</x:v>
      </x:c>
      <x:c r="C642" s="4" t="n">
        <x:v>1103</x:v>
      </x:c>
      <x:c r="D642" s="4" t="str">
        <x:v>无有效团籍时，显示占位图和「暂未加入粉丝团」，不显示粉丝团卡片。</x:v>
      </x:c>
      <x:c r="E642" s="4" t="str">
        <x:v>整段分支核验未闭合</x:v>
      </x:c>
      <x:c r="F642" s="4" t="str">
        <x:v>USER-0493</x:v>
      </x:c>
      <x:c r="G642" s="4" t="str">
        <x:v>本段剩余子句、条件组合及状态后续影响仍需与独立规则逐项闭合；这是生成覆盖缺口，不是产品决策缺失。</x:v>
      </x:c>
    </x:row>
    <x:row r="643" ht="57" customHeight="1">
      <x:c r="A643" s="4" t="str">
        <x:v>REQ-afffb431b83e</x:v>
      </x:c>
      <x:c r="B643" s="4" t="str">
        <x:v>粉丝团</x:v>
      </x:c>
      <x:c r="C643" s="4" t="n">
        <x:v>1104</x:v>
      </x:c>
      <x:c r="D643" s="4" t="str">
        <x:v>点击「群聊」进入该粉丝团群聊；点击贡献榜整行进入该主播粉丝团的本周贡献榜；点击头像上的直播标记进入该主播当前直播间；返回进入「我的」P019。</x:v>
      </x:c>
      <x:c r="E643" s="4" t="str">
        <x:v>整段分支核验未闭合</x:v>
      </x:c>
      <x:c r="F643" s="4" t="str">
        <x:v>USER-0494、USER-0495</x:v>
      </x:c>
      <x:c r="G643" s="4" t="str">
        <x:v>本段剩余子句、条件组合及状态后续影响仍需与独立规则逐项闭合；这是生成覆盖缺口，不是产品决策缺失。</x:v>
      </x:c>
    </x:row>
    <x:row r="644" ht="44" customHeight="1">
      <x:c r="A644" s="4" t="str">
        <x:v>REQ-a28dd52dce0f</x:v>
      </x:c>
      <x:c r="B644" s="4" t="str">
        <x:v>粉丝团</x:v>
      </x:c>
      <x:c r="C644" s="4" t="n">
        <x:v>1109</x:v>
      </x:c>
      <x:c r="D644" s="4" t="str">
        <x:v>周期：默认本月；按平台业务时区计算，本周从周一 00:00 开始，本月从每月 1 日 00:00 开始，累计统计全部历史有效贡献。</x:v>
      </x:c>
      <x:c r="E644" s="4" t="str">
        <x:v>尚未建立场景映射</x:v>
      </x:c>
      <x:c r="F644" s="4" t="str"/>
      <x:c r="G644" s="4" t="str">
        <x:v>本轮独立来源库保留该已知条款，但尚未建立可核验的正式场景映射；不是无业务依据，也不转为产品待确认。</x:v>
      </x:c>
    </x:row>
    <x:row r="645" ht="57" customHeight="1">
      <x:c r="A645" s="4" t="str">
        <x:v>REQ-5bb579766f2a</x:v>
      </x:c>
      <x:c r="B645" s="4" t="str">
        <x:v>粉丝团</x:v>
      </x:c>
      <x:c r="C645" s="4" t="n">
        <x:v>1110</x:v>
      </x:c>
      <x:c r="D645" s="4" t="str">
        <x:v>贡献值：贡献值 = 当前用户在所选周期内向该主播成功送出的各礼物单价 × 数量之和。幸运礼物按送出礼物价值计算，返奖不冲减贡献值；运营号及其虚拟金币贡献不计入榜单。</x:v>
      </x:c>
      <x:c r="E645" s="4" t="str">
        <x:v>尚未建立场景映射</x:v>
      </x:c>
      <x:c r="F645" s="4" t="str"/>
      <x:c r="G645" s="4" t="str">
        <x:v>本轮独立来源库保留该已知条款，但尚未建立可核验的正式场景映射；不是无业务依据，也不转为产品待确认。</x:v>
      </x:c>
    </x:row>
    <x:row r="646" ht="44" customHeight="1">
      <x:c r="A646" s="4" t="str">
        <x:v>REQ-f2d77ae32fb0</x:v>
      </x:c>
      <x:c r="B646" s="4" t="str">
        <x:v>粉丝团</x:v>
      </x:c>
      <x:c r="C646" s="4" t="n">
        <x:v>1111</x:v>
      </x:c>
      <x:c r="D646" s="4" t="str">
        <x:v>排名：依次按贡献值、当前主播粉丝团内的粉丝等级、财富等级从高到低排序，仍相同时按用户 ID 数字部分从小到大排序；不设并列名次。</x:v>
      </x:c>
      <x:c r="E646" s="4" t="str">
        <x:v>整段分支核验未闭合</x:v>
      </x:c>
      <x:c r="F646" s="4" t="str">
        <x:v>USER-0499、USER-0500、USER-0501、USER-0502</x:v>
      </x:c>
      <x:c r="G646" s="4" t="str">
        <x:v>本段剩余子句、条件组合及状态后续影响仍需与独立规则逐项闭合；这是生成覆盖缺口，不是产品决策缺失。</x:v>
      </x:c>
    </x:row>
    <x:row r="647" ht="57" customHeight="1">
      <x:c r="A647" s="4" t="str">
        <x:v>REQ-7eddb785c4b6</x:v>
      </x:c>
      <x:c r="B647" s="4" t="str">
        <x:v>粉丝团</x:v>
      </x:c>
      <x:c r="C647" s="4" t="n">
        <x:v>1112</x:v>
      </x:c>
      <x:c r="D647" s="4" t="str">
        <x:v>榜单数量：完成全部排序后显示前 99 名；第 99 名与第 100 名贡献值相同时，继续按后续条件确定顺序。</x:v>
      </x:c>
      <x:c r="E647" s="4" t="str">
        <x:v>整段分支核验未闭合</x:v>
      </x:c>
      <x:c r="F647" s="4" t="str">
        <x:v>USER-0496、USER-0497、USER-0498、USER-0499、USER-0500、USER-0501、USER-0502</x:v>
      </x:c>
      <x:c r="G647" s="4" t="str">
        <x:v>本段剩余子句、条件组合及状态后续影响仍需与独立规则逐项闭合；这是生成覆盖缺口，不是产品决策缺失。</x:v>
      </x:c>
    </x:row>
    <x:row r="648" ht="44" customHeight="1">
      <x:c r="A648" s="4" t="str">
        <x:v>REQ-8d9332ffb195</x:v>
      </x:c>
      <x:c r="B648" s="4" t="str">
        <x:v>粉丝团</x:v>
      </x:c>
      <x:c r="C648" s="4" t="n">
        <x:v>1113</x:v>
      </x:c>
      <x:c r="D648" s="4" t="str">
        <x:v>我的排名：底部置底显示自己的排名和贡献值。</x:v>
      </x:c>
      <x:c r="E648" s="4" t="str">
        <x:v>尚未建立场景映射</x:v>
      </x:c>
      <x:c r="F648" s="4" t="str"/>
      <x:c r="G648" s="4" t="str">
        <x:v>本轮独立来源库保留该已知条款，但尚未建立可核验的正式场景映射；不是无业务依据，也不转为产品待确认。</x:v>
      </x:c>
    </x:row>
    <x:row r="649" ht="44" customHeight="1">
      <x:c r="A649" s="4" t="str">
        <x:v>REQ-d76a006722e5</x:v>
      </x:c>
      <x:c r="B649" s="4" t="str">
        <x:v>粉丝团</x:v>
      </x:c>
      <x:c r="C649" s="4" t="n">
        <x:v>1114</x:v>
      </x:c>
      <x:c r="D649" s="4" t="str">
        <x:v>粉丝等级和财富等级最低均为 1 级。</x:v>
      </x:c>
      <x:c r="E649" s="4" t="str">
        <x:v>尚未建立场景映射</x:v>
      </x:c>
      <x:c r="F649" s="4" t="str"/>
      <x:c r="G649" s="4" t="str">
        <x:v>本轮独立来源库保留该已知条款，但尚未建立可核验的正式场景映射；不是无业务依据，也不转为产品待确认。</x:v>
      </x:c>
    </x:row>
    <x:row r="650" ht="44" customHeight="1">
      <x:c r="A650" s="4" t="str">
        <x:v>REQ-38cc6d044efe</x:v>
      </x:c>
      <x:c r="B650" s="4" t="str">
        <x:v>粉丝团</x:v>
      </x:c>
      <x:c r="C650" s="4" t="n">
        <x:v>1115</x:v>
      </x:c>
      <x:c r="D650" s="4" t="str">
        <x:v>失败或撤销的赠送不计入贡献；有效消费冲正后重新计算贡献值和排名，充值退款不撤销已完成送礼。</x:v>
      </x:c>
      <x:c r="E650" s="4" t="str">
        <x:v>尚未建立场景映射</x:v>
      </x:c>
      <x:c r="F650" s="4" t="str"/>
      <x:c r="G650" s="4" t="str">
        <x:v>本轮独立来源库保留该已知条款，但尚未建立可核验的正式场景映射；不是无业务依据，也不转为产品待确认。</x:v>
      </x:c>
    </x:row>
    <x:row r="651" ht="44" customHeight="1">
      <x:c r="A651" s="4" t="str">
        <x:v>REQ-a2041f1578e8</x:v>
      </x:c>
      <x:c r="B651" s="4" t="str">
        <x:v>粉丝团</x:v>
      </x:c>
      <x:c r="C651" s="4" t="n">
        <x:v>1116</x:v>
      </x:c>
      <x:c r="D651" s="4" t="str">
        <x:v>账号注销后保留历史数值，名称显示“账号已注销”，不可进入主页。</x:v>
      </x:c>
      <x:c r="E651" s="4" t="str">
        <x:v>尚未建立场景映射</x:v>
      </x:c>
      <x:c r="F651" s="4" t="str"/>
      <x:c r="G651" s="4" t="str">
        <x:v>本轮独立来源库保留该已知条款，但尚未建立可核验的正式场景映射；不是无业务依据，也不转为产品待确认。</x:v>
      </x:c>
    </x:row>
    <x:row r="652" ht="57" customHeight="1">
      <x:c r="A652" s="4" t="str">
        <x:v>REQ-1804ee8d77c7</x:v>
      </x:c>
      <x:c r="B652" s="4" t="str">
        <x:v>粉丝团</x:v>
      </x:c>
      <x:c r="C652" s="4" t="n">
        <x:v>1117</x:v>
      </x:c>
      <x:c r="D652" s="4" t="str">
        <x:v>榜单只展示当前有效团籍成员；本周、本月和累计贡献都不按入团时间截断，只要给当前主播刷的都算。退团后不展示，重新入团后恢复对应周期内的历史贡献。</x:v>
      </x:c>
      <x:c r="E652" s="4" t="str">
        <x:v>整段分支核验未闭合</x:v>
      </x:c>
      <x:c r="F652" s="4" t="str">
        <x:v>USER-0503、USER-0504</x:v>
      </x:c>
      <x:c r="G652" s="4" t="str">
        <x:v>本段剩余子句、条件组合及状态后续影响仍需与独立规则逐项闭合；这是生成覆盖缺口，不是产品决策缺失。</x:v>
      </x:c>
    </x:row>
    <x:row r="653" ht="44" customHeight="1">
      <x:c r="A653" s="4" t="str">
        <x:v>REQ-87a3b3133e12</x:v>
      </x:c>
      <x:c r="B653" s="4" t="str">
        <x:v>粉丝团</x:v>
      </x:c>
      <x:c r="C653" s="4" t="n">
        <x:v>1118</x:v>
      </x:c>
      <x:c r="D653" s="4" t="str">
        <x:v>切换周期 -&gt; 同步更新前三名、完整榜单和我的排名；点击用户 -&gt; 进入对应主页。</x:v>
      </x:c>
      <x:c r="E653" s="4" t="str">
        <x:v>尚未建立场景映射</x:v>
      </x:c>
      <x:c r="F653" s="4" t="str"/>
      <x:c r="G653" s="4" t="str">
        <x:v>本轮独立来源库保留该已知条款，但尚未建立可核验的正式场景映射；不是无业务依据，也不转为产品待确认。</x:v>
      </x:c>
    </x:row>
    <x:row r="654" ht="44" customHeight="1">
      <x:c r="A654" s="4" t="str">
        <x:v>REQ-f6687952acd1</x:v>
      </x:c>
      <x:c r="B654" s="4" t="str">
        <x:v>主播管理</x:v>
      </x:c>
      <x:c r="C654" s="4" t="n">
        <x:v>1123</x:v>
      </x:c>
      <x:c r="D654" s="4" t="str">
        <x:v>头像 / 昵称：当前主播账号的头像和昵称。</x:v>
      </x:c>
      <x:c r="E654" s="4" t="str">
        <x:v>整段分支核验未闭合</x:v>
      </x:c>
      <x:c r="F654" s="4" t="str">
        <x:v>USER-0630</x:v>
      </x:c>
      <x:c r="G654" s="4" t="str">
        <x:v>本段剩余子句、条件组合及状态后续影响仍需与独立规则逐项闭合；这是生成覆盖缺口，不是产品决策缺失。</x:v>
      </x:c>
    </x:row>
    <x:row r="655" ht="44" customHeight="1">
      <x:c r="A655" s="4" t="str">
        <x:v>REQ-e6b16676c243</x:v>
      </x:c>
      <x:c r="B655" s="4" t="str">
        <x:v>主播管理</x:v>
      </x:c>
      <x:c r="C655" s="4" t="n">
        <x:v>1124</x:v>
      </x:c>
      <x:c r="D655" s="4" t="str">
        <x:v>主播等级：昵称旁 Lv.n 为主播等级，按后台主播等级配置匹配分成前累计收益，不含运营号金币；不是财富等级。</x:v>
      </x:c>
      <x:c r="E655" s="4" t="str">
        <x:v>整段分支核验未闭合</x:v>
      </x:c>
      <x:c r="F655" s="4" t="str">
        <x:v>USER-0540、USER-0541</x:v>
      </x:c>
      <x:c r="G655" s="4" t="str">
        <x:v>本段剩余子句、条件组合及状态后续影响仍需与独立规则逐项闭合；这是生成覆盖缺口，不是产品决策缺失。</x:v>
      </x:c>
    </x:row>
    <x:row r="656" ht="44" customHeight="1">
      <x:c r="A656" s="4" t="str">
        <x:v>REQ-c509c941bb55</x:v>
      </x:c>
      <x:c r="B656" s="4" t="str">
        <x:v>主播管理</x:v>
      </x:c>
      <x:c r="C656" s="4" t="n">
        <x:v>1125</x:v>
      </x:c>
      <x:c r="D656" s="4" t="str">
        <x:v>主播 ID：当前主播账号的唯一 ID。</x:v>
      </x:c>
      <x:c r="E656" s="4" t="str">
        <x:v>整段分支核验未闭合</x:v>
      </x:c>
      <x:c r="F656" s="4" t="str">
        <x:v>USER-0631</x:v>
      </x:c>
      <x:c r="G656" s="4" t="str">
        <x:v>本段剩余子句、条件组合及状态后续影响仍需与独立规则逐项闭合；这是生成覆盖缺口，不是产品决策缺失。</x:v>
      </x:c>
    </x:row>
    <x:row r="657" ht="44" customHeight="1">
      <x:c r="A657" s="4" t="str">
        <x:v>REQ-ac4e8ce159f8</x:v>
      </x:c>
      <x:c r="B657" s="4" t="str">
        <x:v>主播管理</x:v>
      </x:c>
      <x:c r="C657" s="4" t="n">
        <x:v>1126</x:v>
      </x:c>
      <x:c r="D657" s="4" t="str">
        <x:v>公会名称：当前所属公会名称；点击进入「我的公会」。</x:v>
      </x:c>
      <x:c r="E657" s="4" t="str">
        <x:v>整段分支核验未闭合</x:v>
      </x:c>
      <x:c r="F657" s="4" t="str">
        <x:v>USER-0632</x:v>
      </x:c>
      <x:c r="G657" s="4" t="str">
        <x:v>本段剩余子句、条件组合及状态后续影响仍需与独立规则逐项闭合；这是生成覆盖缺口，不是产品决策缺失。</x:v>
      </x:c>
    </x:row>
    <x:row r="658" ht="44" customHeight="1">
      <x:c r="A658" s="4" t="str">
        <x:v>REQ-4a207c86fc90</x:v>
      </x:c>
      <x:c r="B658" s="4" t="str">
        <x:v>主播管理</x:v>
      </x:c>
      <x:c r="C658" s="4" t="n">
        <x:v>1127</x:v>
      </x:c>
      <x:c r="D658" s="4" t="str">
        <x:v>累计收益：当前主播历史累计收益，单位为金币；不随今日/本月切换，不是可提现余额。收益计入口径与数据中心一致。</x:v>
      </x:c>
      <x:c r="E658" s="4" t="str">
        <x:v>整段分支核验未闭合</x:v>
      </x:c>
      <x:c r="F658" s="4" t="str">
        <x:v>USER-0540、USER-0541</x:v>
      </x:c>
      <x:c r="G658" s="4" t="str">
        <x:v>本段剩余子句、条件组合及状态后续影响仍需与独立规则逐项闭合；这是生成覆盖缺口，不是产品决策缺失。</x:v>
      </x:c>
    </x:row>
    <x:row r="659" ht="44" customHeight="1">
      <x:c r="A659" s="4" t="str">
        <x:v>REQ-53cfa67ab976</x:v>
      </x:c>
      <x:c r="B659" s="4" t="str">
        <x:v>主播管理</x:v>
      </x:c>
      <x:c r="C659" s="4" t="n">
        <x:v>1128</x:v>
      </x:c>
      <x:c r="D659" s="4" t="str">
        <x:v>粉丝：当前关注该主播的用户数，单位为人；不是粉丝团成员数，也不是本期涨粉数。</x:v>
      </x:c>
      <x:c r="E659" s="4" t="str">
        <x:v>尚未建立场景映射</x:v>
      </x:c>
      <x:c r="F659" s="4" t="str"/>
      <x:c r="G659" s="4" t="str">
        <x:v>本轮独立来源库保留该已知条款，但尚未建立可核验的正式场景映射；不是无业务依据，也不转为产品待确认。</x:v>
      </x:c>
    </x:row>
    <x:row r="660" ht="44" customHeight="1">
      <x:c r="A660" s="4" t="str">
        <x:v>REQ-5029bd873a25</x:v>
      </x:c>
      <x:c r="B660" s="4" t="str">
        <x:v>主播管理</x:v>
      </x:c>
      <x:c r="C660" s="4" t="n">
        <x:v>1129</x:v>
      </x:c>
      <x:c r="D660" s="4" t="str">
        <x:v>直播权限提示：权限关闭时显示「直播权限已关闭，请联系公会」；正常时不显示。</x:v>
      </x:c>
      <x:c r="E660" s="4" t="str">
        <x:v>整段分支核验未闭合</x:v>
      </x:c>
      <x:c r="F660" s="4" t="str">
        <x:v>USER-0548</x:v>
      </x:c>
      <x:c r="G660" s="4" t="str">
        <x:v>本段剩余子句、条件组合及状态后续影响仍需与独立规则逐项闭合；这是生成覆盖缺口，不是产品决策缺失。</x:v>
      </x:c>
    </x:row>
    <x:row r="661" ht="44" customHeight="1">
      <x:c r="A661" s="4" t="str">
        <x:v>REQ-f71f44ece401</x:v>
      </x:c>
      <x:c r="B661" s="4" t="str">
        <x:v>主播管理</x:v>
      </x:c>
      <x:c r="C661" s="4" t="n">
        <x:v>1130</x:v>
      </x:c>
      <x:c r="D661" s="4" t="str">
        <x:v>统计周期：默认今日，可切换本月；今日为当前自然日，本月为当前自然月截至当前时间，按平台业务时区计算。</x:v>
      </x:c>
      <x:c r="E661" s="4" t="str">
        <x:v>尚未建立场景映射</x:v>
      </x:c>
      <x:c r="F661" s="4" t="str"/>
      <x:c r="G661" s="4" t="str">
        <x:v>本轮独立来源库保留该已知条款，但尚未建立可核验的正式场景映射；不是无业务依据，也不转为产品待确认。</x:v>
      </x:c>
    </x:row>
    <x:row r="662" ht="57" customHeight="1">
      <x:c r="A662" s="4" t="str">
        <x:v>REQ-2bd6e59a40ad</x:v>
      </x:c>
      <x:c r="B662" s="4" t="str">
        <x:v>主播管理</x:v>
      </x:c>
      <x:c r="C662" s="4" t="n">
        <x:v>1131</x:v>
      </x:c>
      <x:c r="D662" s="4" t="str">
        <x:v>收益（今日） / 累计收益（本月）：所选周期内主播收益，单位为金币。普通/定制礼物及门票按成功支付金币汇总；幸运礼物按送出价值 × 后台比例计算，默认 1%；虚拟金币、失败或撤销消费不计入。</x:v>
      </x:c>
      <x:c r="E662" s="4" t="str">
        <x:v>整段分支核验未闭合</x:v>
      </x:c>
      <x:c r="F662" s="4" t="str">
        <x:v>USER-0540、USER-0541、USER-0770</x:v>
      </x:c>
      <x:c r="G662" s="4" t="str">
        <x:v>本段剩余子句、条件组合及状态后续影响仍需与独立规则逐项闭合；这是生成覆盖缺口，不是产品决策缺失。</x:v>
      </x:c>
    </x:row>
    <x:row r="663" ht="44" customHeight="1">
      <x:c r="A663" s="4" t="str">
        <x:v>REQ-ec4fe4579a1e</x:v>
      </x:c>
      <x:c r="B663" s="4" t="str">
        <x:v>主播管理</x:v>
      </x:c>
      <x:c r="C663" s="4" t="n">
        <x:v>1132</x:v>
      </x:c>
      <x:c r="D663" s="4" t="str">
        <x:v>时长：仅今日显示，表示当日累计直播时长，以小时、分钟展示；与下方有效直播时长分别统计。</x:v>
      </x:c>
      <x:c r="E663" s="4" t="str">
        <x:v>尚未建立场景映射</x:v>
      </x:c>
      <x:c r="F663" s="4" t="str"/>
      <x:c r="G663" s="4" t="str">
        <x:v>本轮独立来源库保留该已知条款，但尚未建立可核验的正式场景映射；不是无业务依据，也不转为产品待确认。</x:v>
      </x:c>
    </x:row>
    <x:row r="664" ht="44" customHeight="1">
      <x:c r="A664" s="4" t="str">
        <x:v>REQ-f6e3d053e9d0</x:v>
      </x:c>
      <x:c r="B664" s="4" t="str">
        <x:v>主播管理</x:v>
      </x:c>
      <x:c r="C664" s="4" t="n">
        <x:v>1133</x:v>
      </x:c>
      <x:c r="D664" s="4" t="str">
        <x:v>有效天数：仅本月显示，表示本月达标自然日数量；单日累计有效直播满 3 小时计 1 天，每日最多计 1 天。</x:v>
      </x:c>
      <x:c r="E664" s="4" t="str">
        <x:v>整段分支核验未闭合</x:v>
      </x:c>
      <x:c r="F664" s="4" t="str">
        <x:v>USER-0542、USER-0543、USER-0544、USER-0545</x:v>
      </x:c>
      <x:c r="G664" s="4" t="str">
        <x:v>本段剩余子句、条件组合及状态后续影响仍需与独立规则逐项闭合；这是生成覆盖缺口，不是产品决策缺失。</x:v>
      </x:c>
    </x:row>
    <x:row r="665" ht="44" customHeight="1">
      <x:c r="A665" s="4" t="str">
        <x:v>REQ-ef98e4f35877</x:v>
      </x:c>
      <x:c r="B665" s="4" t="str">
        <x:v>主播管理</x:v>
      </x:c>
      <x:c r="C665" s="4" t="n">
        <x:v>1134</x:v>
      </x:c>
      <x:c r="D665" s="4" t="str">
        <x:v>观众人数：按所选今日或本月范围去重统计观众人数；同一用户在该周期内重复进入或观看多场直播只计 1 人。</x:v>
      </x:c>
      <x:c r="E665" s="4" t="str">
        <x:v>整段分支核验未闭合</x:v>
      </x:c>
      <x:c r="F665" s="4" t="str">
        <x:v>USER-0771</x:v>
      </x:c>
      <x:c r="G665" s="4" t="str">
        <x:v>本段剩余子句、条件组合及状态后续影响仍需与独立规则逐项闭合；这是生成覆盖缺口，不是产品决策缺失。</x:v>
      </x:c>
    </x:row>
    <x:row r="666" ht="44" customHeight="1">
      <x:c r="A666" s="4" t="str">
        <x:v>REQ-f78a990c2c7d</x:v>
      </x:c>
      <x:c r="B666" s="4" t="str">
        <x:v>主播管理</x:v>
      </x:c>
      <x:c r="C666" s="4" t="n">
        <x:v>1135</x:v>
      </x:c>
      <x:c r="D666" s="4" t="str">
        <x:v>涨粉：所选今日或本月范围内的新增粉丝人数，不扣除取关人数，单位为人。</x:v>
      </x:c>
      <x:c r="E666" s="4" t="str">
        <x:v>尚未建立场景映射</x:v>
      </x:c>
      <x:c r="F666" s="4" t="str"/>
      <x:c r="G666" s="4" t="str">
        <x:v>本轮独立来源库保留该已知条款，但尚未建立可核验的正式场景映射；不是无业务依据，也不转为产品待确认。</x:v>
      </x:c>
    </x:row>
    <x:row r="667" ht="44" customHeight="1">
      <x:c r="A667" s="4" t="str">
        <x:v>REQ-93644daf8897</x:v>
      </x:c>
      <x:c r="B667" s="4" t="str">
        <x:v>主播管理</x:v>
      </x:c>
      <x:c r="C667" s="4" t="n">
        <x:v>1136</x:v>
      </x:c>
      <x:c r="D667" s="4" t="str">
        <x:v>当日有效天进度：仅今日显示：当日累计有效直播时长 / 3h；进度条按两者比值展示，最高 100%。</x:v>
      </x:c>
      <x:c r="E667" s="4" t="str">
        <x:v>整段分支核验未闭合</x:v>
      </x:c>
      <x:c r="F667" s="4" t="str">
        <x:v>USER-0542、USER-0543、USER-0544、USER-0545</x:v>
      </x:c>
      <x:c r="G667" s="4" t="str">
        <x:v>本段剩余子句、条件组合及状态后续影响仍需与独立规则逐项闭合；这是生成覆盖缺口，不是产品决策缺失。</x:v>
      </x:c>
    </x:row>
    <x:row r="668" ht="44" customHeight="1">
      <x:c r="A668" s="4" t="str">
        <x:v>REQ-19d831cad83e</x:v>
      </x:c>
      <x:c r="B668" s="4" t="str">
        <x:v>主播管理</x:v>
      </x:c>
      <x:c r="C668" s="4" t="n">
        <x:v>1137</x:v>
      </x:c>
      <x:c r="D668" s="4" t="str">
        <x:v>有效天达标标记：满 3 小时后在「当日有效天」标题后显示 ✅；未达标时不显示标记。</x:v>
      </x:c>
      <x:c r="E668" s="4" t="str">
        <x:v>整段分支核验未闭合</x:v>
      </x:c>
      <x:c r="F668" s="4" t="str">
        <x:v>USER-0542、USER-0543、USER-0544、USER-0545</x:v>
      </x:c>
      <x:c r="G668" s="4" t="str">
        <x:v>本段剩余子句、条件组合及状态后续影响仍需与独立规则逐项闭合；这是生成覆盖缺口，不是产品决策缺失。</x:v>
      </x:c>
    </x:row>
    <x:row r="669" ht="44" customHeight="1">
      <x:c r="A669" s="4" t="str">
        <x:v>REQ-c9d28cd68b6b</x:v>
      </x:c>
      <x:c r="B669" s="4" t="str">
        <x:v>主播管理</x:v>
      </x:c>
      <x:c r="C669" s="4" t="n">
        <x:v>1138</x:v>
      </x:c>
      <x:c r="D669" s="4" t="str">
        <x:v>数据中心入口：进入直播数据页，查看收益、时长、观众和粉丝等指标。</x:v>
      </x:c>
      <x:c r="E669" s="4" t="str">
        <x:v>尚未建立场景映射</x:v>
      </x:c>
      <x:c r="F669" s="4" t="str"/>
      <x:c r="G669" s="4" t="str">
        <x:v>本轮独立来源库保留该已知条款，但尚未建立可核验的正式场景映射；不是无业务依据，也不转为产品待确认。</x:v>
      </x:c>
    </x:row>
    <x:row r="670" ht="44" customHeight="1">
      <x:c r="A670" s="4" t="str">
        <x:v>REQ-dc9d1817d6ab</x:v>
      </x:c>
      <x:c r="B670" s="4" t="str">
        <x:v>主播管理</x:v>
      </x:c>
      <x:c r="C670" s="4" t="n">
        <x:v>1139</x:v>
      </x:c>
      <x:c r="D670" s="4" t="str">
        <x:v>主播身份和直播权限分别管理；账号可用、公会有效、主播认证通过且直播权限开启时才可开播。</x:v>
      </x:c>
      <x:c r="E670" s="4" t="str">
        <x:v>尚未建立场景映射</x:v>
      </x:c>
      <x:c r="F670" s="4" t="str"/>
      <x:c r="G670" s="4" t="str">
        <x:v>本轮独立来源库保留该已知条款，但尚未建立可核验的正式场景映射；不是无业务依据，也不转为产品待确认。</x:v>
      </x:c>
    </x:row>
    <x:row r="671" ht="44" customHeight="1">
      <x:c r="A671" s="4" t="str">
        <x:v>REQ-735be47b57d3</x:v>
      </x:c>
      <x:c r="B671" s="4" t="str">
        <x:v>主播管理</x:v>
      </x:c>
      <x:c r="C671" s="4" t="n">
        <x:v>1140</x:v>
      </x:c>
      <x:c r="D671" s="4" t="str">
        <x:v>本页仅展示当前主播的数据；顶部历史累计收益、当前粉丝数与数据中心的周期指标分开统计。</x:v>
      </x:c>
      <x:c r="E671" s="4" t="str">
        <x:v>整段分支核验未闭合</x:v>
      </x:c>
      <x:c r="F671" s="4" t="str">
        <x:v>USER-0540、USER-0541</x:v>
      </x:c>
      <x:c r="G671" s="4" t="str">
        <x:v>本段剩余子句、条件组合及状态后续影响仍需与独立规则逐项闭合；这是生成覆盖缺口，不是产品决策缺失。</x:v>
      </x:c>
    </x:row>
    <x:row r="672" ht="44" customHeight="1">
      <x:c r="A672" s="4" t="str">
        <x:v>REQ-cdaa58824dac</x:v>
      </x:c>
      <x:c r="B672" s="4" t="str">
        <x:v>主播管理</x:v>
      </x:c>
      <x:c r="C672" s="4" t="n">
        <x:v>1141</x:v>
      </x:c>
      <x:c r="D672" s="4" t="str">
        <x:v>切换今日/本月更新四项周期指标；本月隐藏当日有效天进度。</x:v>
      </x:c>
      <x:c r="E672" s="4" t="str">
        <x:v>整段分支核验未闭合</x:v>
      </x:c>
      <x:c r="F672" s="4" t="str">
        <x:v>USER-0542、USER-0543、USER-0544、USER-0545</x:v>
      </x:c>
      <x:c r="G672" s="4" t="str">
        <x:v>本段剩余子句、条件组合及状态后续影响仍需与独立规则逐项闭合；这是生成覆盖缺口，不是产品决策缺失。</x:v>
      </x:c>
    </x:row>
    <x:row r="673" ht="57" customHeight="1">
      <x:c r="A673" s="4" t="str">
        <x:v>REQ-eea47ec9a161</x:v>
      </x:c>
      <x:c r="B673" s="4" t="str">
        <x:v>主播管理</x:v>
      </x:c>
      <x:c r="C673" s="4" t="n">
        <x:v>1142</x:v>
      </x:c>
      <x:c r="D673" s="4" t="str">
        <x:v>点击开始直播再次校验权限，通过后进入开播设置；权限关闭时弹窗提示「直播权限已关闭，请联系公会」，点击「知道了」关闭并留在当前页。</x:v>
      </x:c>
      <x:c r="E673" s="4" t="str">
        <x:v>整段分支核验未闭合</x:v>
      </x:c>
      <x:c r="F673" s="4" t="str">
        <x:v>USER-0548、USER-0549</x:v>
      </x:c>
      <x:c r="G673" s="4" t="str">
        <x:v>本段剩余子句、条件组合及状态后续影响仍需与独立规则逐项闭合；这是生成覆盖缺口，不是产品决策缺失。</x:v>
      </x:c>
    </x:row>
    <x:row r="674" ht="44" customHeight="1">
      <x:c r="A674" s="4" t="str">
        <x:v>REQ-db83d956ac86</x:v>
      </x:c>
      <x:c r="B674" s="4" t="str">
        <x:v>主播管理</x:v>
      </x:c>
      <x:c r="C674" s="4" t="n">
        <x:v>1143</x:v>
      </x:c>
      <x:c r="D674" s="4" t="str">
        <x:v>粉丝列表、粉丝团管理、房管管理、分成记录分别进入对应页面；公会名称及公会管理进入「我的公会」。</x:v>
      </x:c>
      <x:c r="E674" s="4" t="str">
        <x:v>尚未建立场景映射</x:v>
      </x:c>
      <x:c r="F674" s="4" t="str"/>
      <x:c r="G674" s="4" t="str">
        <x:v>本轮独立来源库保留该已知条款，但尚未建立可核验的正式场景映射；不是无业务依据，也不转为产品待确认。</x:v>
      </x:c>
    </x:row>
    <x:row r="675" ht="44" customHeight="1">
      <x:c r="A675" s="4" t="str">
        <x:v>REQ-5f53cf6bcc3e</x:v>
      </x:c>
      <x:c r="B675" s="4" t="str">
        <x:v>主播管理</x:v>
      </x:c>
      <x:c r="C675" s="4" t="n">
        <x:v>1144</x:v>
      </x:c>
      <x:c r="D675" s="4" t="str">
        <x:v>公会通知进入通知列表；角标为当前未读通知数量，0 条时隐藏。直播记录入口关联独立直播记录页，</x:v>
      </x:c>
      <x:c r="E675" s="4" t="str">
        <x:v>整段分支核验未闭合</x:v>
      </x:c>
      <x:c r="F675" s="4" t="str">
        <x:v>USER-0546、USER-0547</x:v>
      </x:c>
      <x:c r="G675" s="4" t="str">
        <x:v>本段剩余子句、条件组合及状态后续影响仍需与独立规则逐项闭合；这是生成覆盖缺口，不是产品决策缺失。</x:v>
      </x:c>
    </x:row>
    <x:row r="676" ht="44" customHeight="1">
      <x:c r="A676" s="4" t="str">
        <x:v>REQ-ddae36460c4f</x:v>
      </x:c>
      <x:c r="B676" s="4" t="str">
        <x:v>主播管理</x:v>
      </x:c>
      <x:c r="C676" s="4" t="n">
        <x:v>1149</x:v>
      </x:c>
      <x:c r="D676" s="4" t="str">
        <x:v>房管：展示头像、昵称、用户 ID 和授权状态。</x:v>
      </x:c>
      <x:c r="E676" s="4" t="str">
        <x:v>整段分支核验未闭合</x:v>
      </x:c>
      <x:c r="F676" s="4" t="str">
        <x:v>USER-0359</x:v>
      </x:c>
      <x:c r="G676" s="4" t="str">
        <x:v>本段剩余子句、条件组合及状态后续影响仍需与独立规则逐项闭合；这是生成覆盖缺口，不是产品决策缺失。</x:v>
      </x:c>
    </x:row>
    <x:row r="677" ht="44" customHeight="1">
      <x:c r="A677" s="4" t="str">
        <x:v>REQ-6dde361727ce</x:v>
      </x:c>
      <x:c r="B677" s="4" t="str">
        <x:v>主播管理</x:v>
      </x:c>
      <x:c r="C677" s="4" t="n">
        <x:v>1150</x:v>
      </x:c>
      <x:c r="D677" s="4" t="str">
        <x:v>房管数量：最多 3 人，按当前长期授权关系统计。</x:v>
      </x:c>
      <x:c r="E677" s="4" t="str">
        <x:v>整段分支核验未闭合</x:v>
      </x:c>
      <x:c r="F677" s="4" t="str">
        <x:v>USER-0356、USER-0357、USER-0358、USER-0359</x:v>
      </x:c>
      <x:c r="G677" s="4" t="str">
        <x:v>本段剩余子句、条件组合及状态后续影响仍需与独立规则逐项闭合；这是生成覆盖缺口，不是产品决策缺失。</x:v>
      </x:c>
    </x:row>
    <x:row r="678" ht="44" customHeight="1">
      <x:c r="A678" s="4" t="str">
        <x:v>REQ-82898d5df547</x:v>
      </x:c>
      <x:c r="B678" s="4" t="str">
        <x:v>主播管理</x:v>
      </x:c>
      <x:c r="C678" s="4" t="n">
        <x:v>1151</x:v>
      </x:c>
      <x:c r="D678" s="4" t="str">
        <x:v>目标不得在该主播直播间黑名单内，且双方无账号拉黑关系。</x:v>
      </x:c>
      <x:c r="E678" s="4" t="str">
        <x:v>尚未建立场景映射</x:v>
      </x:c>
      <x:c r="F678" s="4" t="str"/>
      <x:c r="G678" s="4" t="str">
        <x:v>本轮独立来源库保留该已知条款，但尚未建立可核验的正式场景映射；不是无业务依据，也不转为产品待确认。</x:v>
      </x:c>
    </x:row>
    <x:row r="679" ht="44" customHeight="1">
      <x:c r="A679" s="4" t="str">
        <x:v>REQ-fb48ea3b9666</x:v>
      </x:c>
      <x:c r="B679" s="4" t="str">
        <x:v>主播管理</x:v>
      </x:c>
      <x:c r="C679" s="4" t="n">
        <x:v>1152</x:v>
      </x:c>
      <x:c r="D679" s="4" t="str">
        <x:v>已授权后任一方建立账号拉黑关系，房管身份自动解除；取消拉黑后不自动恢复。</x:v>
      </x:c>
      <x:c r="E679" s="4" t="str">
        <x:v>整段分支核验未闭合</x:v>
      </x:c>
      <x:c r="F679" s="4" t="str">
        <x:v>USER-0359</x:v>
      </x:c>
      <x:c r="G679" s="4" t="str">
        <x:v>本段剩余子句、条件组合及状态后续影响仍需与独立规则逐项闭合；这是生成覆盖缺口，不是产品决策缺失。</x:v>
      </x:c>
    </x:row>
    <x:row r="680" ht="44" customHeight="1">
      <x:c r="A680" s="4" t="str">
        <x:v>REQ-717f359e5a4f</x:v>
      </x:c>
      <x:c r="B680" s="4" t="str">
        <x:v>主播管理</x:v>
      </x:c>
      <x:c r="C680" s="4" t="n">
        <x:v>1153</x:v>
      </x:c>
      <x:c r="D680" s="4" t="str">
        <x:v>授权长期有效，直至主播取消或双方建立账号拉黑关系；场次结束不清除。</x:v>
      </x:c>
      <x:c r="E680" s="4" t="str">
        <x:v>整段分支核验未闭合</x:v>
      </x:c>
      <x:c r="F680" s="4" t="str">
        <x:v>USER-0359</x:v>
      </x:c>
      <x:c r="G680" s="4" t="str">
        <x:v>本段剩余子句、条件组合及状态后续影响仍需与独立规则逐项闭合；这是生成覆盖缺口，不是产品决策缺失。</x:v>
      </x:c>
    </x:row>
    <x:row r="681" ht="44" customHeight="1">
      <x:c r="A681" s="4" t="str">
        <x:v>REQ-f2ba90b0b147</x:v>
      </x:c>
      <x:c r="B681" s="4" t="str">
        <x:v>主播管理</x:v>
      </x:c>
      <x:c r="C681" s="4" t="n">
        <x:v>1154</x:v>
      </x:c>
      <x:c r="D681" s="4" t="str">
        <x:v>房管可在直播间禁言、踢出和屏蔽单条评论。</x:v>
      </x:c>
      <x:c r="E681" s="4" t="str">
        <x:v>整段分支核验未闭合</x:v>
      </x:c>
      <x:c r="F681" s="4" t="str">
        <x:v>USER-0359</x:v>
      </x:c>
      <x:c r="G681" s="4" t="str">
        <x:v>本段剩余子句、条件组合及状态后续影响仍需与独立规则逐项闭合；这是生成覆盖缺口，不是产品决策缺失。</x:v>
      </x:c>
    </x:row>
    <x:row r="682" ht="44" customHeight="1">
      <x:c r="A682" s="4" t="str">
        <x:v>REQ-94bc292839c6</x:v>
      </x:c>
      <x:c r="B682" s="4" t="str">
        <x:v>主播管理</x:v>
      </x:c>
      <x:c r="C682" s="4" t="n">
        <x:v>1155</x:v>
      </x:c>
      <x:c r="D682" s="4" t="str">
        <x:v>数据范围：当前主播仍有效的房管授权；</x:v>
      </x:c>
      <x:c r="E682" s="4" t="str">
        <x:v>整段分支核验未闭合</x:v>
      </x:c>
      <x:c r="F682" s="4" t="str">
        <x:v>USER-0359</x:v>
      </x:c>
      <x:c r="G682" s="4" t="str">
        <x:v>本段剩余子句、条件组合及状态后续影响仍需与独立规则逐项闭合；这是生成覆盖缺口，不是产品决策缺失。</x:v>
      </x:c>
    </x:row>
    <x:row r="683" ht="72" customHeight="1">
      <x:c r="A683" s="4" t="str">
        <x:v>REQ-93134b08beb0</x:v>
      </x:c>
      <x:c r="B683" s="4" t="str">
        <x:v>主播管理</x:v>
      </x:c>
      <x:c r="C683" s="4" t="n">
        <x:v>1156</x:v>
      </x:c>
      <x:c r="D683" s="4" t="str">
        <x:v>搜索仅返回未在该直播间黑名单、双方无账号拉黑关系且当前非房管的用户；房管达到 3 人时保留添加入口，点击不执行并提示“已达3人上限”；取消房管 -&gt; 二次确认后立即撤销权限并更新列表；因拉黑自动解除 -&gt; 立即移出房管列表并更新人数。</x:v>
      </x:c>
      <x:c r="E683" s="4" t="str">
        <x:v>整段分支核验未闭合</x:v>
      </x:c>
      <x:c r="F683" s="4" t="str">
        <x:v>USER-0356、USER-0357、USER-0358、USER-0359</x:v>
      </x:c>
      <x:c r="G683" s="4" t="str">
        <x:v>本段剩余子句、条件组合及状态后续影响仍需与独立规则逐项闭合；这是生成覆盖缺口，不是产品决策缺失。</x:v>
      </x:c>
    </x:row>
    <x:row r="684" ht="44" customHeight="1">
      <x:c r="A684" s="4" t="str">
        <x:v>REQ-6e53209ec69b</x:v>
      </x:c>
      <x:c r="B684" s="4" t="str">
        <x:v>主播管理</x:v>
      </x:c>
      <x:c r="C684" s="4" t="n">
        <x:v>1161</x:v>
      </x:c>
      <x:c r="D684" s="4" t="str">
        <x:v>通知标题：展示公会发布的通知标题。</x:v>
      </x:c>
      <x:c r="E684" s="4" t="str">
        <x:v>整段分支核验未闭合</x:v>
      </x:c>
      <x:c r="F684" s="4" t="str">
        <x:v>USER-0396</x:v>
      </x:c>
      <x:c r="G684" s="4" t="str">
        <x:v>本段剩余子句、条件组合及状态后续影响仍需与独立规则逐项闭合；这是生成覆盖缺口，不是产品决策缺失。</x:v>
      </x:c>
    </x:row>
    <x:row r="685" ht="44" customHeight="1">
      <x:c r="A685" s="4" t="str">
        <x:v>REQ-60f97773a8af</x:v>
      </x:c>
      <x:c r="B685" s="4" t="str">
        <x:v>主播管理</x:v>
      </x:c>
      <x:c r="C685" s="4" t="n">
        <x:v>1162</x:v>
      </x:c>
      <x:c r="D685" s="4" t="str">
        <x:v>通知内容 / 图片：支持纯文字和图片加文字；长内容可在卡片内展开。</x:v>
      </x:c>
      <x:c r="E685" s="4" t="str">
        <x:v>整段分支核验未闭合</x:v>
      </x:c>
      <x:c r="F685" s="4" t="str">
        <x:v>USER-0396</x:v>
      </x:c>
      <x:c r="G685" s="4" t="str">
        <x:v>本段剩余子句、条件组合及状态后续影响仍需与独立规则逐项闭合；这是生成覆盖缺口，不是产品决策缺失。</x:v>
      </x:c>
    </x:row>
    <x:row r="686" ht="44" customHeight="1">
      <x:c r="A686" s="4" t="str">
        <x:v>REQ-4a4d3dc2c8a5</x:v>
      </x:c>
      <x:c r="B686" s="4" t="str">
        <x:v>主播管理</x:v>
      </x:c>
      <x:c r="C686" s="4" t="n">
        <x:v>1163</x:v>
      </x:c>
      <x:c r="D686" s="4" t="str">
        <x:v>未读标记：未读通知标题旁展示提示点。</x:v>
      </x:c>
      <x:c r="E686" s="4" t="str">
        <x:v>整段分支核验未闭合</x:v>
      </x:c>
      <x:c r="F686" s="4" t="str">
        <x:v>USER-0396</x:v>
      </x:c>
      <x:c r="G686" s="4" t="str">
        <x:v>本段剩余子句、条件组合及状态后续影响仍需与独立规则逐项闭合；这是生成覆盖缺口，不是产品决策缺失。</x:v>
      </x:c>
    </x:row>
    <x:row r="687" ht="44" customHeight="1">
      <x:c r="A687" s="4" t="str">
        <x:v>REQ-7bc85d9f5b42</x:v>
      </x:c>
      <x:c r="B687" s="4" t="str">
        <x:v>主播管理</x:v>
      </x:c>
      <x:c r="C687" s="4" t="n">
        <x:v>1164</x:v>
      </x:c>
      <x:c r="D687" s="4" t="str">
        <x:v>仅展示当前公会向该主播发送的有效通知；退会后不再接收新通知。</x:v>
      </x:c>
      <x:c r="E687" s="4" t="str">
        <x:v>整段分支核验未闭合</x:v>
      </x:c>
      <x:c r="F687" s="4" t="str">
        <x:v>USER-0396</x:v>
      </x:c>
      <x:c r="G687" s="4" t="str">
        <x:v>本段剩余子句、条件组合及状态后续影响仍需与独立规则逐项闭合；这是生成覆盖缺口，不是产品决策缺失。</x:v>
      </x:c>
    </x:row>
    <x:row r="688" ht="44" customHeight="1">
      <x:c r="A688" s="4" t="str">
        <x:v>REQ-b77db77e85b4</x:v>
      </x:c>
      <x:c r="B688" s="4" t="str">
        <x:v>主播管理</x:v>
      </x:c>
      <x:c r="C688" s="4" t="n">
        <x:v>1165</x:v>
      </x:c>
      <x:c r="D688" s="4" t="str">
        <x:v>本页不展示发布时间。</x:v>
      </x:c>
      <x:c r="E688" s="4" t="str">
        <x:v>尚未建立场景映射</x:v>
      </x:c>
      <x:c r="F688" s="4" t="str"/>
      <x:c r="G688" s="4" t="str">
        <x:v>本轮独立来源库保留该已知条款，但尚未建立可核验的正式场景映射；不是无业务依据，也不转为产品待确认。</x:v>
      </x:c>
    </x:row>
    <x:row r="689" ht="44" customHeight="1">
      <x:c r="A689" s="4" t="str">
        <x:v>REQ-2cff677094c0</x:v>
      </x:c>
      <x:c r="B689" s="4" t="str">
        <x:v>主播管理</x:v>
      </x:c>
      <x:c r="C689" s="4" t="n">
        <x:v>1166</x:v>
      </x:c>
      <x:c r="D689" s="4" t="str">
        <x:v>长内容在当前卡片展开或收起，不进入详情页；首次展开或进入列表后更新已读状态和未读数。</x:v>
      </x:c>
      <x:c r="E689" s="4" t="str">
        <x:v>尚未建立场景映射</x:v>
      </x:c>
      <x:c r="F689" s="4" t="str"/>
      <x:c r="G689" s="4" t="str">
        <x:v>本轮独立来源库保留该已知条款，但尚未建立可核验的正式场景映射；不是无业务依据，也不转为产品待确认。</x:v>
      </x:c>
    </x:row>
    <x:row r="690" ht="44" customHeight="1">
      <x:c r="A690" s="4" t="str">
        <x:v>REQ-2fd801fdacb6</x:v>
      </x:c>
      <x:c r="B690" s="4" t="str">
        <x:v>主播管理</x:v>
      </x:c>
      <x:c r="C690" s="4" t="n">
        <x:v>1171</x:v>
      </x:c>
      <x:c r="D690" s="4" t="str">
        <x:v>banner 图：图片由后台上传。</x:v>
      </x:c>
      <x:c r="E690" s="4" t="str">
        <x:v>尚未建立场景映射</x:v>
      </x:c>
      <x:c r="F690" s="4" t="str"/>
      <x:c r="G690" s="4" t="str">
        <x:v>本轮独立来源库保留该已知条款，但尚未建立可核验的正式场景映射；不是无业务依据，也不转为产品待确认。</x:v>
      </x:c>
    </x:row>
    <x:row r="691" ht="44" customHeight="1">
      <x:c r="A691" s="4" t="str">
        <x:v>REQ-82bbb7de6d03</x:v>
      </x:c>
      <x:c r="B691" s="4" t="str">
        <x:v>主播管理</x:v>
      </x:c>
      <x:c r="C691" s="4" t="n">
        <x:v>1172</x:v>
      </x:c>
      <x:c r="D691" s="4" t="str">
        <x:v>申请步骤：使用时间线依次展示申请加入、公会审核、平台审核、成为主播。</x:v>
      </x:c>
      <x:c r="E691" s="4" t="str">
        <x:v>整段分支核验未闭合</x:v>
      </x:c>
      <x:c r="F691" s="4" t="str">
        <x:v>USER-0550、USER-0551、USER-0552</x:v>
      </x:c>
      <x:c r="G691" s="4" t="str">
        <x:v>本段剩余子句、条件组合及状态后续影响仍需与独立规则逐项闭合；这是生成覆盖缺口，不是产品决策缺失。</x:v>
      </x:c>
    </x:row>
    <x:row r="692" ht="44" customHeight="1">
      <x:c r="A692" s="4" t="str">
        <x:v>REQ-67c887a336e5</x:v>
      </x:c>
      <x:c r="B692" s="4" t="str">
        <x:v>主播管理</x:v>
      </x:c>
      <x:c r="C692" s="4" t="n">
        <x:v>1173</x:v>
      </x:c>
      <x:c r="D692" s="4" t="str">
        <x:v>公会名称：在公会审核中和平台审核中展示对应公会名称。</x:v>
      </x:c>
      <x:c r="E692" s="4" t="str">
        <x:v>整段分支核验未闭合</x:v>
      </x:c>
      <x:c r="F692" s="4" t="str">
        <x:v>USER-0550、USER-0551、USER-0552、USER-0633</x:v>
      </x:c>
      <x:c r="G692" s="4" t="str">
        <x:v>本段剩余子句、条件组合及状态后续影响仍需与独立规则逐项闭合；这是生成覆盖缺口，不是产品决策缺失。</x:v>
      </x:c>
    </x:row>
    <x:row r="693" ht="44" customHeight="1">
      <x:c r="A693" s="4" t="str">
        <x:v>REQ-0c66d73b7fbc</x:v>
      </x:c>
      <x:c r="B693" s="4" t="str">
        <x:v>主播管理</x:v>
      </x:c>
      <x:c r="C693" s="4" t="n">
        <x:v>1174</x:v>
      </x:c>
      <x:c r="D693" s="4" t="str">
        <x:v>审核结果 / 时间：通过或驳回由步骤符号表示，不重复显示状态文字；下方显示通过时间或驳回时间。审核中和未开始不显示时间。</x:v>
      </x:c>
      <x:c r="E693" s="4" t="str">
        <x:v>整段分支核验未闭合</x:v>
      </x:c>
      <x:c r="F693" s="4" t="str">
        <x:v>USER-0550、USER-0551、USER-0552</x:v>
      </x:c>
      <x:c r="G693" s="4" t="str">
        <x:v>本段剩余子句、条件组合及状态后续影响仍需与独立规则逐项闭合；这是生成覆盖缺口，不是产品决策缺失。</x:v>
      </x:c>
    </x:row>
    <x:row r="694" ht="57" customHeight="1">
      <x:c r="A694" s="4" t="str">
        <x:v>REQ-225e8c6289cd</x:v>
      </x:c>
      <x:c r="B694" s="4" t="str">
        <x:v>主播管理</x:v>
      </x:c>
      <x:c r="C694" s="4" t="n">
        <x:v>1175</x:v>
      </x:c>
      <x:c r="D694" s="4" t="str">
        <x:v>步骤状态 / 操作：未提交时，申请加入行显示“去加入”；提交后在该行展示提交时间和可展开的申请资料，不显示按钮。公会审核或平台审核只有驳回时才显示“重新申请”。</x:v>
      </x:c>
      <x:c r="E694" s="4" t="str">
        <x:v>整段分支核验未闭合</x:v>
      </x:c>
      <x:c r="F694" s="4" t="str">
        <x:v>USER-0550、USER-0551、USER-0552</x:v>
      </x:c>
      <x:c r="G694" s="4" t="str">
        <x:v>本段剩余子句、条件组合及状态后续影响仍需与独立规则逐项闭合；这是生成覆盖缺口，不是产品决策缺失。</x:v>
      </x:c>
    </x:row>
    <x:row r="695" ht="44" customHeight="1">
      <x:c r="A695" s="4" t="str">
        <x:v>REQ-8e642e325f90</x:v>
      </x:c>
      <x:c r="B695" s="4" t="str">
        <x:v>主播管理</x:v>
      </x:c>
      <x:c r="C695" s="4" t="n">
        <x:v>1176</x:v>
      </x:c>
      <x:c r="D695" s="4" t="str">
        <x:v>页面提示：说明当前审核阶段及后续可执行动作；公会或平台驳回均提示重新申请。</x:v>
      </x:c>
      <x:c r="E695" s="4" t="str">
        <x:v>整段分支核验未闭合</x:v>
      </x:c>
      <x:c r="F695" s="4" t="str">
        <x:v>USER-0550、USER-0551、USER-0552</x:v>
      </x:c>
      <x:c r="G695" s="4" t="str">
        <x:v>本段剩余子句、条件组合及状态后续影响仍需与独立规则逐项闭合；这是生成覆盖缺口，不是产品决策缺失。</x:v>
      </x:c>
    </x:row>
    <x:row r="696" ht="44" customHeight="1">
      <x:c r="A696" s="4" t="str">
        <x:v>REQ-1483b310b8a6</x:v>
      </x:c>
      <x:c r="B696" s="4" t="str">
        <x:v>主播管理</x:v>
      </x:c>
      <x:c r="C696" s="4" t="n">
        <x:v>1177</x:v>
      </x:c>
      <x:c r="D696" s="4" t="str">
        <x:v>公会审核通过后，自动进入平台审核节点，无需用户再次提交。</x:v>
      </x:c>
      <x:c r="E696" s="4" t="str">
        <x:v>整段分支核验未闭合</x:v>
      </x:c>
      <x:c r="F696" s="4" t="str">
        <x:v>USER-0550、USER-0551、USER-0552</x:v>
      </x:c>
      <x:c r="G696" s="4" t="str">
        <x:v>本段剩余子句、条件组合及状态后续影响仍需与独立规则逐项闭合；这是生成覆盖缺口，不是产品决策缺失。</x:v>
      </x:c>
    </x:row>
    <x:row r="697" ht="44" customHeight="1">
      <x:c r="A697" s="4" t="str">
        <x:v>REQ-bca8e787b966</x:v>
      </x:c>
      <x:c r="B697" s="4" t="str">
        <x:v>主播管理</x:v>
      </x:c>
      <x:c r="C697" s="4" t="n">
        <x:v>1178</x:v>
      </x:c>
      <x:c r="D697" s="4" t="str">
        <x:v>公会审核中：直播权限仍未申请；点击“审核中”查看公会申请记录。</x:v>
      </x:c>
      <x:c r="E697" s="4" t="str">
        <x:v>整段分支核验未闭合</x:v>
      </x:c>
      <x:c r="F697" s="4" t="str">
        <x:v>USER-0550、USER-0551、USER-0552</x:v>
      </x:c>
      <x:c r="G697" s="4" t="str">
        <x:v>本段剩余子句、条件组合及状态后续影响仍需与独立规则逐项闭合；这是生成覆盖缺口，不是产品决策缺失。</x:v>
      </x:c>
    </x:row>
    <x:row r="698" ht="44" customHeight="1">
      <x:c r="A698" s="4" t="str">
        <x:v>REQ-d30322236a1a</x:v>
      </x:c>
      <x:c r="B698" s="4" t="str">
        <x:v>主播管理</x:v>
      </x:c>
      <x:c r="C698" s="4" t="n">
        <x:v>1179</x:v>
      </x:c>
      <x:c r="D698" s="4" t="str">
        <x:v>公会驳回：展示驳回状态和原因，可重新选择公会申请；平台审核不开始。</x:v>
      </x:c>
      <x:c r="E698" s="4" t="str">
        <x:v>整段分支核验未闭合</x:v>
      </x:c>
      <x:c r="F698" s="4" t="str">
        <x:v>USER-0550、USER-0551、USER-0552</x:v>
      </x:c>
      <x:c r="G698" s="4" t="str">
        <x:v>本段剩余子句、条件组合及状态后续影响仍需与独立规则逐项闭合；这是生成覆盖缺口，不是产品决策缺失。</x:v>
      </x:c>
    </x:row>
    <x:row r="699" ht="44" customHeight="1">
      <x:c r="A699" s="4" t="str">
        <x:v>REQ-5eeedca6238d</x:v>
      </x:c>
      <x:c r="B699" s="4" t="str">
        <x:v>主播管理</x:v>
      </x:c>
      <x:c r="C699" s="4" t="n">
        <x:v>1180</x:v>
      </x:c>
      <x:c r="D699" s="4" t="str">
        <x:v>公会通过后自动进入平台审核；公会显示“已通过”，平台显示“审核中”，不能重复提交或开播。</x:v>
      </x:c>
      <x:c r="E699" s="4" t="str">
        <x:v>整段分支核验未闭合</x:v>
      </x:c>
      <x:c r="F699" s="4" t="str">
        <x:v>USER-0550、USER-0551、USER-0552</x:v>
      </x:c>
      <x:c r="G699" s="4" t="str">
        <x:v>本段剩余子句、条件组合及状态后续影响仍需与独立规则逐项闭合；这是生成覆盖缺口，不是产品决策缺失。</x:v>
      </x:c>
    </x:row>
    <x:row r="700" ht="44" customHeight="1">
      <x:c r="A700" s="4" t="str">
        <x:v>REQ-d4f2f719ead2</x:v>
      </x:c>
      <x:c r="B700" s="4" t="str">
        <x:v>主播管理</x:v>
      </x:c>
      <x:c r="C700" s="4" t="n">
        <x:v>1181</x:v>
      </x:c>
      <x:c r="D700" s="4" t="str">
        <x:v>平台驳回后，本次入会申请作废；点击重新申请进入公会选择并提交新申请，不沿用原公会通过结果。</x:v>
      </x:c>
      <x:c r="E700" s="4" t="str">
        <x:v>整段分支核验未闭合</x:v>
      </x:c>
      <x:c r="F700" s="4" t="str">
        <x:v>USER-0550、USER-0551、USER-0552</x:v>
      </x:c>
      <x:c r="G700" s="4" t="str">
        <x:v>本段剩余子句、条件组合及状态后续影响仍需与独立规则逐项闭合；这是生成覆盖缺口，不是产品决策缺失。</x:v>
      </x:c>
    </x:row>
    <x:row r="701" ht="44" customHeight="1">
      <x:c r="A701" s="4" t="str">
        <x:v>REQ-04b54cbcba08</x:v>
      </x:c>
      <x:c r="B701" s="4" t="str">
        <x:v>主播管理</x:v>
      </x:c>
      <x:c r="C701" s="4" t="n">
        <x:v>1182</x:v>
      </x:c>
      <x:c r="D701" s="4" t="str">
        <x:v>平台审核通过后即成为主播，时间线最终节点显示已完成，不展示操作按钮。</x:v>
      </x:c>
      <x:c r="E701" s="4" t="str">
        <x:v>整段分支核验未闭合</x:v>
      </x:c>
      <x:c r="F701" s="4" t="str">
        <x:v>USER-0550、USER-0551、USER-0552</x:v>
      </x:c>
      <x:c r="G701" s="4" t="str">
        <x:v>本段剩余子句、条件组合及状态后续影响仍需与独立规则逐项闭合；这是生成覆盖缺口，不是产品决策缺失。</x:v>
      </x:c>
    </x:row>
    <x:row r="702" ht="44" customHeight="1">
      <x:c r="A702" s="4" t="str">
        <x:v>REQ-cf2723fa2f75</x:v>
      </x:c>
      <x:c r="B702" s="4" t="str">
        <x:v>主播管理</x:v>
      </x:c>
      <x:c r="C702" s="4" t="n">
        <x:v>1183</x:v>
      </x:c>
      <x:c r="D702" s="4" t="str">
        <x:v>点击申请资料在当前步骤展开或收起；去加入及公会或平台驳回后的重新申请，进入公会选择页。</x:v>
      </x:c>
      <x:c r="E702" s="4" t="str">
        <x:v>整段分支核验未闭合</x:v>
      </x:c>
      <x:c r="F702" s="4" t="str">
        <x:v>USER-0550、USER-0551、USER-0552</x:v>
      </x:c>
      <x:c r="G702" s="4" t="str">
        <x:v>本段剩余子句、条件组合及状态后续影响仍需与独立规则逐项闭合；这是生成覆盖缺口，不是产品决策缺失。</x:v>
      </x:c>
    </x:row>
    <x:row r="703" ht="44" customHeight="1">
      <x:c r="A703" s="4" t="str">
        <x:v>REQ-977cbf74d9f6</x:v>
      </x:c>
      <x:c r="B703" s="4" t="str">
        <x:v>主播管理</x:v>
      </x:c>
      <x:c r="C703" s="4" t="n">
        <x:v>1188</x:v>
      </x:c>
      <x:c r="D703" s="4" t="str">
        <x:v>封面：选填，仅上传图片；属于本次直播场次。</x:v>
      </x:c>
      <x:c r="E703" s="4" t="str">
        <x:v>整段分支核验未闭合</x:v>
      </x:c>
      <x:c r="F703" s="4" t="str">
        <x:v>USER-0305</x:v>
      </x:c>
      <x:c r="G703" s="4" t="str">
        <x:v>本段剩余子句、条件组合及状态后续影响仍需与独立规则逐项闭合；这是生成覆盖缺口，不是产品决策缺失。</x:v>
      </x:c>
    </x:row>
    <x:row r="704" ht="44" customHeight="1">
      <x:c r="A704" s="4" t="str">
        <x:v>REQ-6c33f6bc08d8</x:v>
      </x:c>
      <x:c r="B704" s="4" t="str">
        <x:v>主播管理</x:v>
      </x:c>
      <x:c r="C704" s="4" t="n">
        <x:v>1189</x:v>
      </x:c>
      <x:c r="D704" s="4" t="str">
        <x:v>直播主题：最多 40 个字符；属于本次直播场次。</x:v>
      </x:c>
      <x:c r="E704" s="4" t="str">
        <x:v>整段分支核验未闭合</x:v>
      </x:c>
      <x:c r="F704" s="4" t="str">
        <x:v>USER-0302、USER-0303、USER-0304</x:v>
      </x:c>
      <x:c r="G704" s="4" t="str">
        <x:v>本段剩余子句、条件组合及状态后续影响仍需与独立规则逐项闭合；这是生成覆盖缺口，不是产品决策缺失。</x:v>
      </x:c>
    </x:row>
    <x:row r="705" ht="57" customHeight="1">
      <x:c r="A705" s="4" t="str">
        <x:v>REQ-f3cafeef850c</x:v>
      </x:c>
      <x:c r="B705" s="4" t="str">
        <x:v>主播管理</x:v>
      </x:c>
      <x:c r="C705" s="4" t="n">
        <x:v>1190</x:v>
      </x:c>
      <x:c r="D705" s="4" t="str">
        <x:v>分类：必选，选项由平台配置。</x:v>
      </x:c>
      <x:c r="E705" s="4" t="str">
        <x:v>整段分支核验未闭合</x:v>
      </x:c>
      <x:c r="F705" s="4" t="str">
        <x:v>USER-0013、USER-0014、USER-0015、USER-0016、USER-0017、USER-0018、USER-0019、USER-0020、USER-0021、USER-0306</x:v>
      </x:c>
      <x:c r="G705" s="4" t="str">
        <x:v>本段剩余子句、条件组合及状态后续影响仍需与独立规则逐项闭合；这是生成覆盖缺口，不是产品决策缺失。</x:v>
      </x:c>
    </x:row>
    <x:row r="706" ht="72" customHeight="1">
      <x:c r="A706" s="4" t="str">
        <x:v>REQ-87ffa9153ad7</x:v>
      </x:c>
      <x:c r="B706" s="4" t="str">
        <x:v>主播管理</x:v>
      </x:c>
      <x:c r="C706" s="4" t="n">
        <x:v>1191</x:v>
      </x:c>
      <x:c r="D706" s="4" t="str">
        <x:v>房型：必选，可选普通房、门票房、密码房；可用范围受平台开关控制。</x:v>
      </x:c>
      <x:c r="E706" s="4" t="str">
        <x:v>整段分支核验未闭合</x:v>
      </x:c>
      <x:c r="F706" s="4" t="str">
        <x:v>USER-0013、USER-0014、USER-0015、USER-0016、USER-0017、USER-0018、USER-0019、USER-0020、USER-0021、USER-0306、USER-0534</x:v>
      </x:c>
      <x:c r="G706" s="4" t="str">
        <x:v>本段剩余子句、条件组合及状态后续影响仍需与独立规则逐项闭合；这是生成覆盖缺口，不是产品决策缺失。</x:v>
      </x:c>
    </x:row>
    <x:row r="707" ht="44" customHeight="1">
      <x:c r="A707" s="4" t="str">
        <x:v>REQ-1e96fef03f07</x:v>
      </x:c>
      <x:c r="B707" s="4" t="str">
        <x:v>主播管理</x:v>
      </x:c>
      <x:c r="C707" s="4" t="n">
        <x:v>1192</x:v>
      </x:c>
      <x:c r="D707" s="4" t="str">
        <x:v>门票价格：门票房必选；后台已启用的价格档位全部平铺展示，只能单选；仅对本次直播场次生效。</x:v>
      </x:c>
      <x:c r="E707" s="4" t="str">
        <x:v>整段分支核验未闭合</x:v>
      </x:c>
      <x:c r="F707" s="4" t="str">
        <x:v>USER-0306</x:v>
      </x:c>
      <x:c r="G707" s="4" t="str">
        <x:v>本段剩余子句、条件组合及状态后续影响仍需与独立规则逐项闭合；这是生成覆盖缺口，不是产品决策缺失。</x:v>
      </x:c>
    </x:row>
    <x:row r="708" ht="44" customHeight="1">
      <x:c r="A708" s="4" t="str">
        <x:v>REQ-84bdac2197da</x:v>
      </x:c>
      <x:c r="B708" s="4" t="str">
        <x:v>主播管理</x:v>
      </x:c>
      <x:c r="C708" s="4" t="n">
        <x:v>1193</x:v>
      </x:c>
      <x:c r="D708" s="4" t="str">
        <x:v>房间密码：密码房必填，必须为 4-12 个数字；仅对本次直播场次生效。</x:v>
      </x:c>
      <x:c r="E708" s="4" t="str">
        <x:v>尚未建立场景映射</x:v>
      </x:c>
      <x:c r="F708" s="4" t="str"/>
      <x:c r="G708" s="4" t="str">
        <x:v>本轮独立来源库保留该已知条款，但尚未建立可核验的正式场景映射；不是无业务依据，也不转为产品待确认。</x:v>
      </x:c>
    </x:row>
    <x:row r="709" ht="44" customHeight="1">
      <x:c r="A709" s="4" t="str">
        <x:v>REQ-0fdf4b4486fb</x:v>
      </x:c>
      <x:c r="B709" s="4" t="str">
        <x:v>主播管理</x:v>
      </x:c>
      <x:c r="C709" s="4" t="n">
        <x:v>1194</x:v>
      </x:c>
      <x:c r="D709" s="4" t="str">
        <x:v>在广场展示：仅密码房展示。默认读取上次确认值；无历史时默认开启。</x:v>
      </x:c>
      <x:c r="E709" s="4" t="str">
        <x:v>尚未建立场景映射</x:v>
      </x:c>
      <x:c r="F709" s="4" t="str"/>
      <x:c r="G709" s="4" t="str">
        <x:v>本轮独立来源库保留该已知条款，但尚未建立可核验的正式场景映射；不是无业务依据，也不转为产品待确认。</x:v>
      </x:c>
    </x:row>
    <x:row r="710" ht="44" customHeight="1">
      <x:c r="A710" s="4" t="str">
        <x:v>REQ-7937ad3ed8f9</x:v>
      </x:c>
      <x:c r="B710" s="4" t="str">
        <x:v>主播管理</x:v>
      </x:c>
      <x:c r="C710" s="4" t="n">
        <x:v>1195</x:v>
      </x:c>
      <x:c r="D710" s="4" t="str">
        <x:v>仅粉丝团成员可进入直播间：仅密码房展示。默认读取上次确认值；无历史时默认关闭。</x:v>
      </x:c>
      <x:c r="E710" s="4" t="str">
        <x:v>尚未建立场景映射</x:v>
      </x:c>
      <x:c r="F710" s="4" t="str"/>
      <x:c r="G710" s="4" t="str">
        <x:v>本轮独立来源库保留该已知条款，但尚未建立可核验的正式场景映射；不是无业务依据，也不转为产品待确认。</x:v>
      </x:c>
    </x:row>
    <x:row r="711" ht="57" customHeight="1">
      <x:c r="A711" s="4" t="str">
        <x:v>REQ-d3dcb9f11f0e</x:v>
      </x:c>
      <x:c r="B711" s="4" t="str">
        <x:v>主播管理</x:v>
      </x:c>
      <x:c r="C711" s="4" t="n">
        <x:v>1196</x:v>
      </x:c>
      <x:c r="D711" s="4" t="str">
        <x:v>账号可用、公会有效、主播认证通过且直播权限开启时才可开播；直播中权限被关闭 -&gt; 立即结束当前场次。</x:v>
      </x:c>
      <x:c r="E711" s="4" t="str">
        <x:v>整段分支核验未闭合</x:v>
      </x:c>
      <x:c r="F711" s="4" t="str">
        <x:v>USER-0013、USER-0014、USER-0015、USER-0016、USER-0017、USER-0018、USER-0019、USER-0020、USER-0021</x:v>
      </x:c>
      <x:c r="G711" s="4" t="str">
        <x:v>本段剩余子句、条件组合及状态后续影响仍需与独立规则逐项闭合；这是生成覆盖缺口，不是产品决策缺失。</x:v>
      </x:c>
    </x:row>
    <x:row r="712" ht="72" customHeight="1">
      <x:c r="A712" s="4" t="str">
        <x:v>REQ-c746884dbbc3</x:v>
      </x:c>
      <x:c r="B712" s="4" t="str">
        <x:v>主播管理</x:v>
      </x:c>
      <x:c r="C712" s="4" t="n">
        <x:v>1197</x:v>
      </x:c>
      <x:c r="D712" s="4" t="str">
        <x:v>每次开播创建新的直播场次；主题、封面、分类、房型、门票和密码均保存到本场，不覆盖历史场次。</x:v>
      </x:c>
      <x:c r="E712" s="4" t="str">
        <x:v>整段分支核验未闭合</x:v>
      </x:c>
      <x:c r="F712" s="4" t="str">
        <x:v>USER-0013、USER-0014、USER-0015、USER-0016、USER-0017、USER-0018、USER-0019、USER-0020、USER-0021、USER-0305、USER-0306</x:v>
      </x:c>
      <x:c r="G712" s="4" t="str">
        <x:v>本段剩余子句、条件组合及状态后续影响仍需与独立规则逐项闭合；这是生成覆盖缺口，不是产品决策缺失。</x:v>
      </x:c>
    </x:row>
    <x:row r="713" ht="44" customHeight="1">
      <x:c r="A713" s="4" t="str">
        <x:v>REQ-87484b7f1c34</x:v>
      </x:c>
      <x:c r="B713" s="4" t="str">
        <x:v>主播管理</x:v>
      </x:c>
      <x:c r="C713" s="4" t="n">
        <x:v>1198</x:v>
      </x:c>
      <x:c r="D713" s="4" t="str">
        <x:v>仅普通房支持双主播连麦；门票房和密码房不支持连麦。</x:v>
      </x:c>
      <x:c r="E713" s="4" t="str">
        <x:v>尚未建立场景映射</x:v>
      </x:c>
      <x:c r="F713" s="4" t="str"/>
      <x:c r="G713" s="4" t="str">
        <x:v>本轮独立来源库保留该已知条款，但尚未建立可核验的正式场景映射；不是无业务依据，也不转为产品待确认。</x:v>
      </x:c>
    </x:row>
    <x:row r="714" ht="72" customHeight="1">
      <x:c r="A714" s="4" t="str">
        <x:v>REQ-9c8b33e8ea5e</x:v>
      </x:c>
      <x:c r="B714" s="4" t="str">
        <x:v>主播管理</x:v>
      </x:c>
      <x:c r="C714" s="4" t="n">
        <x:v>1199</x:v>
      </x:c>
      <x:c r="D714" s="4" t="str">
        <x:v>开播需要相机和麦克风权限；不增加产品说明弹窗，首次使用时直接调用系统权限弹窗。开发需配置系统权限用途文案：“用于拍摄直播画面”“用于采集直播声音”。</x:v>
      </x:c>
      <x:c r="E714" s="4" t="str">
        <x:v>整段分支核验未闭合</x:v>
      </x:c>
      <x:c r="F714" s="4" t="str">
        <x:v>USER-0013、USER-0014、USER-0015、USER-0016、USER-0017、USER-0018、USER-0019、USER-0020、USER-0021、USER-0307、USER-0309</x:v>
      </x:c>
      <x:c r="G714" s="4" t="str">
        <x:v>本段剩余子句、条件组合及状态后续影响仍需与独立规则逐项闭合；这是生成覆盖缺口，不是产品决策缺失。</x:v>
      </x:c>
    </x:row>
    <x:row r="715" ht="57" customHeight="1">
      <x:c r="A715" s="4" t="str">
        <x:v>REQ-b6bddb65ebc8</x:v>
      </x:c>
      <x:c r="B715" s="4" t="str">
        <x:v>主播管理</x:v>
      </x:c>
      <x:c r="C715" s="4" t="n">
        <x:v>1200</x:v>
      </x:c>
      <x:c r="D715" s="4" t="str">
        <x:v>上传封面使用系统照片选择器，仅读取用户选中的图片，不申请完整相册权限。</x:v>
      </x:c>
      <x:c r="E715" s="4" t="str">
        <x:v>整段分支核验未闭合</x:v>
      </x:c>
      <x:c r="F715" s="4" t="str">
        <x:v>USER-0013、USER-0014、USER-0015、USER-0016、USER-0017、USER-0018、USER-0019、USER-0020、USER-0021、USER-0305</x:v>
      </x:c>
      <x:c r="G715" s="4" t="str">
        <x:v>本段剩余子句、条件组合及状态后续影响仍需与独立规则逐项闭合；这是生成覆盖缺口，不是产品决策缺失。</x:v>
      </x:c>
    </x:row>
    <x:row r="716" ht="44" customHeight="1">
      <x:c r="A716" s="4" t="str">
        <x:v>REQ-3b23ca2253e9</x:v>
      </x:c>
      <x:c r="B716" s="4" t="str">
        <x:v>主播管理</x:v>
      </x:c>
      <x:c r="C716" s="4" t="n">
        <x:v>1201</x:v>
      </x:c>
      <x:c r="D716" s="4" t="str">
        <x:v>“在广场展示”只控制直播卡片是否出现在广场，与成员准入相互独立；关闭后仍可通过分享入口访问。</x:v>
      </x:c>
      <x:c r="E716" s="4" t="str">
        <x:v>尚未建立场景映射</x:v>
      </x:c>
      <x:c r="F716" s="4" t="str"/>
      <x:c r="G716" s="4" t="str">
        <x:v>本轮独立来源库保留该已知条款，但尚未建立可核验的正式场景映射；不是无业务依据，也不转为产品待确认。</x:v>
      </x:c>
    </x:row>
    <x:row r="717" ht="44" customHeight="1">
      <x:c r="A717" s="4" t="str">
        <x:v>REQ-ac3ba01de389</x:v>
      </x:c>
      <x:c r="B717" s="4" t="str">
        <x:v>主播管理</x:v>
      </x:c>
      <x:c r="C717" s="4" t="n">
        <x:v>1202</x:v>
      </x:c>
      <x:c r="D717" s="4" t="str">
        <x:v>开启“仅粉丝团成员可进入直播间”后，只有当前有效粉丝团成员可继续输入密码；非成员不可进入。主播未创建粉丝团时不可开启。</x:v>
      </x:c>
      <x:c r="E717" s="4" t="str">
        <x:v>整段分支核验未闭合</x:v>
      </x:c>
      <x:c r="F717" s="4" t="str">
        <x:v>USER-0323</x:v>
      </x:c>
      <x:c r="G717" s="4" t="str">
        <x:v>本段剩余子句、条件组合及状态后续影响仍需与独立规则逐项闭合；这是生成覆盖缺口，不是产品决策缺失。</x:v>
      </x:c>
    </x:row>
    <x:row r="718" ht="44" customHeight="1">
      <x:c r="A718" s="4" t="str">
        <x:v>REQ-e1dfbcf8306b</x:v>
      </x:c>
      <x:c r="B718" s="4" t="str">
        <x:v>主播管理</x:v>
      </x:c>
      <x:c r="C718" s="4" t="n">
        <x:v>1203</x:v>
      </x:c>
      <x:c r="D718" s="4" t="str">
        <x:v>两个开关在确认房型后保存为下次默认值；首次使用默认“在广场展示”开启、成员限制关闭。</x:v>
      </x:c>
      <x:c r="E718" s="4" t="str">
        <x:v>尚未建立场景映射</x:v>
      </x:c>
      <x:c r="F718" s="4" t="str"/>
      <x:c r="G718" s="4" t="str">
        <x:v>本轮独立来源库保留该已知条款，但尚未建立可核验的正式场景映射；不是无业务依据，也不转为产品待确认。</x:v>
      </x:c>
    </x:row>
    <x:row r="719" ht="57" customHeight="1">
      <x:c r="A719" s="4" t="str">
        <x:v>REQ-93757292f98c</x:v>
      </x:c>
      <x:c r="B719" s="4" t="str">
        <x:v>主播管理</x:v>
      </x:c>
      <x:c r="C719" s="4" t="n">
        <x:v>1204</x:v>
      </x:c>
      <x:c r="D719" s="4" t="str">
        <x:v>选择门票房时，平铺展示后台已启用的门票价格档位，用户单选；未选择或档位已停用时不保存并提示“请选择有效的门票价格”。密码必须为 4-12 个数字；无效时保留输入并提示“密码必须是4-12个数字”。</x:v>
      </x:c>
      <x:c r="E719" s="4" t="str">
        <x:v>尚未建立场景映射</x:v>
      </x:c>
      <x:c r="F719" s="4" t="str"/>
      <x:c r="G719" s="4" t="str">
        <x:v>本轮独立来源库保留该已知条款，但尚未建立可核验的正式场景映射；不是无业务依据，也不转为产品待确认。</x:v>
      </x:c>
    </x:row>
    <x:row r="720" ht="44" customHeight="1">
      <x:c r="A720" s="4" t="str">
        <x:v>REQ-f2df64639fd2</x:v>
      </x:c>
      <x:c r="B720" s="4" t="str">
        <x:v>主播管理</x:v>
      </x:c>
      <x:c r="C720" s="4" t="n">
        <x:v>1205</x:v>
      </x:c>
      <x:c r="D720" s="4" t="str">
        <x:v>恢复默认美颜 -&gt; 清空当前选中项并将全部参数重置为 50。</x:v>
      </x:c>
      <x:c r="E720" s="4" t="str">
        <x:v>尚未建立场景映射</x:v>
      </x:c>
      <x:c r="F720" s="4" t="str"/>
      <x:c r="G720" s="4" t="str">
        <x:v>本轮独立来源库保留该已知条款，但尚未建立可核验的正式场景映射；不是无业务依据，也不转为产品待确认。</x:v>
      </x:c>
    </x:row>
    <x:row r="721" ht="72" customHeight="1">
      <x:c r="A721" s="4" t="str">
        <x:v>REQ-2afca99fcc33</x:v>
      </x:c>
      <x:c r="B721" s="4" t="str">
        <x:v>主播管理</x:v>
      </x:c>
      <x:c r="C721" s="4" t="n">
        <x:v>1206</x:v>
      </x:c>
      <x:c r="D721" s="4" t="str">
        <x:v>点击开始直播 -&gt; 开播条件和场次字段校验通过后检查相机、麦克风权限；未申请时直接调用系统授权，已授权时创建新场次并显示 3 秒开播倒计时，倒计时结束后进入【直播间-主播视角】。</x:v>
      </x:c>
      <x:c r="E721" s="4" t="str">
        <x:v>整段分支核验未闭合</x:v>
      </x:c>
      <x:c r="F721" s="4" t="str">
        <x:v>USER-0013、USER-0014、USER-0015、USER-0016、USER-0017、USER-0018、USER-0019、USER-0020、USER-0021、USER-0305、USER-0307、USER-0309、USER-0312</x:v>
      </x:c>
      <x:c r="G721" s="4" t="str">
        <x:v>本段剩余子句、条件组合及状态后续影响仍需与独立规则逐项闭合；这是生成覆盖缺口，不是产品决策缺失。</x:v>
      </x:c>
    </x:row>
    <x:row r="722" ht="72" customHeight="1">
      <x:c r="A722" s="4" t="str">
        <x:v>REQ-e9225b315300</x:v>
      </x:c>
      <x:c r="B722" s="4" t="str">
        <x:v>主播管理</x:v>
      </x:c>
      <x:c r="C722" s="4" t="n">
        <x:v>1207</x:v>
      </x:c>
      <x:c r="D722" s="4" t="str">
        <x:v>相机或麦克风权限被拒绝 -&gt; 停留当前页，提示“权限未开启，请前往系统设置”，提供“取消、前往设置”。</x:v>
      </x:c>
      <x:c r="E722" s="4" t="str">
        <x:v>整段分支核验未闭合</x:v>
      </x:c>
      <x:c r="F722" s="4" t="str">
        <x:v>USER-0013、USER-0014、USER-0015、USER-0016、USER-0017、USER-0018、USER-0019、USER-0020、USER-0021、USER-0308、USER-0310</x:v>
      </x:c>
      <x:c r="G722" s="4" t="str">
        <x:v>本段剩余子句、条件组合及状态后续影响仍需与独立规则逐项闭合；这是生成覆盖缺口，不是产品决策缺失。</x:v>
      </x:c>
    </x:row>
    <x:row r="723" ht="44" customHeight="1">
      <x:c r="A723" s="4" t="str">
        <x:v>REQ-63eef3ba7a60</x:v>
      </x:c>
      <x:c r="B723" s="4" t="str">
        <x:v>主播管理</x:v>
      </x:c>
      <x:c r="C723" s="4" t="n">
        <x:v>1208</x:v>
      </x:c>
      <x:c r="D723" s="4" t="str">
        <x:v>点击修改封面 -&gt; 直接打开系统照片选择器；取消选择时保留原封面。</x:v>
      </x:c>
      <x:c r="E723" s="4" t="str">
        <x:v>整段分支核验未闭合</x:v>
      </x:c>
      <x:c r="F723" s="4" t="str">
        <x:v>USER-0305、USER-0311</x:v>
      </x:c>
      <x:c r="G723" s="4" t="str">
        <x:v>本段剩余子句、条件组合及状态后续影响仍需与独立规则逐项闭合；这是生成覆盖缺口，不是产品决策缺失。</x:v>
      </x:c>
    </x:row>
    <x:row r="724" ht="44" customHeight="1">
      <x:c r="A724" s="4" t="str">
        <x:v>REQ-ecb92620b183</x:v>
      </x:c>
      <x:c r="B724" s="4" t="str">
        <x:v>主播管理</x:v>
      </x:c>
      <x:c r="C724" s="4" t="n">
        <x:v>1209</x:v>
      </x:c>
      <x:c r="D724" s="4" t="str">
        <x:v>切换两个访问开关后点击确认 -&gt; 保存本场配置和下次默认值；关闭抽屉或点击遮罩 -&gt; 不保存修改。</x:v>
      </x:c>
      <x:c r="E724" s="4" t="str">
        <x:v>尚未建立场景映射</x:v>
      </x:c>
      <x:c r="F724" s="4" t="str"/>
      <x:c r="G724" s="4" t="str">
        <x:v>本轮独立来源库保留该已知条款，但尚未建立可核验的正式场景映射；不是无业务依据，也不转为产品待确认。</x:v>
      </x:c>
    </x:row>
    <x:row r="725" ht="44" customHeight="1">
      <x:c r="A725" s="4" t="str">
        <x:v>REQ-068090c151bc</x:v>
      </x:c>
      <x:c r="B725" s="4" t="str">
        <x:v>主播管理</x:v>
      </x:c>
      <x:c r="C725" s="4" t="n">
        <x:v>1214</x:v>
      </x:c>
      <x:c r="D725" s="4" t="str">
        <x:v>粉丝：仅展示当前仍关注该主播的用户。</x:v>
      </x:c>
      <x:c r="E725" s="4" t="str">
        <x:v>整段分支核验未闭合</x:v>
      </x:c>
      <x:c r="F725" s="4" t="str">
        <x:v>USER-0553、USER-0554</x:v>
      </x:c>
      <x:c r="G725" s="4" t="str">
        <x:v>本段剩余子句、条件组合及状态后续影响仍需与独立规则逐项闭合；这是生成覆盖缺口，不是产品决策缺失。</x:v>
      </x:c>
    </x:row>
    <x:row r="726" ht="44" customHeight="1">
      <x:c r="A726" s="4" t="str">
        <x:v>REQ-cf6202984454</x:v>
      </x:c>
      <x:c r="B726" s="4" t="str">
        <x:v>主播管理</x:v>
      </x:c>
      <x:c r="C726" s="4" t="n">
        <x:v>1215</x:v>
      </x:c>
      <x:c r="D726" s="4" t="str">
        <x:v>财富等级：按用户账号有效消费成长值计算。</x:v>
      </x:c>
      <x:c r="E726" s="4" t="str">
        <x:v>尚未建立场景映射</x:v>
      </x:c>
      <x:c r="F726" s="4" t="str"/>
      <x:c r="G726" s="4" t="str">
        <x:v>本轮独立来源库保留该已知条款，但尚未建立可核验的正式场景映射；不是无业务依据，也不转为产品待确认。</x:v>
      </x:c>
    </x:row>
    <x:row r="727" ht="44" customHeight="1">
      <x:c r="A727" s="4" t="str">
        <x:v>REQ-6022100a74a8</x:v>
      </x:c>
      <x:c r="B727" s="4" t="str">
        <x:v>主播管理</x:v>
      </x:c>
      <x:c r="C727" s="4" t="n">
        <x:v>1216</x:v>
      </x:c>
      <x:c r="D727" s="4" t="str">
        <x:v>装扮：展示当前已穿戴且有效的一个代表性装扮；过期后移除。</x:v>
      </x:c>
      <x:c r="E727" s="4" t="str">
        <x:v>尚未建立场景映射</x:v>
      </x:c>
      <x:c r="F727" s="4" t="str"/>
      <x:c r="G727" s="4" t="str">
        <x:v>本轮独立来源库保留该已知条款，但尚未建立可核验的正式场景映射；不是无业务依据，也不转为产品待确认。</x:v>
      </x:c>
    </x:row>
    <x:row r="728" ht="44" customHeight="1">
      <x:c r="A728" s="4" t="str">
        <x:v>REQ-accd19da544e</x:v>
      </x:c>
      <x:c r="B728" s="4" t="str">
        <x:v>主播管理</x:v>
      </x:c>
      <x:c r="C728" s="4" t="n">
        <x:v>1217</x:v>
      </x:c>
      <x:c r="D728" s="4" t="str">
        <x:v>取消关注或拉黑主播后立即从粉丝列表移除；粉丝关系与好友、粉丝团关系分别维护。</x:v>
      </x:c>
      <x:c r="E728" s="4" t="str">
        <x:v>整段分支核验未闭合</x:v>
      </x:c>
      <x:c r="F728" s="4" t="str">
        <x:v>USER-0553、USER-0554</x:v>
      </x:c>
      <x:c r="G728" s="4" t="str">
        <x:v>本段剩余子句、条件组合及状态后续影响仍需与独立规则逐项闭合；这是生成覆盖缺口，不是产品决策缺失。</x:v>
      </x:c>
    </x:row>
    <x:row r="729" ht="44" customHeight="1">
      <x:c r="A729" s="4" t="str">
        <x:v>REQ-a2c4f896be88</x:v>
      </x:c>
      <x:c r="B729" s="4" t="str">
        <x:v>主播管理</x:v>
      </x:c>
      <x:c r="C729" s="4" t="n">
        <x:v>1218</x:v>
      </x:c>
      <x:c r="D729" s="4" t="str">
        <x:v>数据范围：当前仍关注该主播的用户；</x:v>
      </x:c>
      <x:c r="E729" s="4" t="str">
        <x:v>整段分支核验未闭合</x:v>
      </x:c>
      <x:c r="F729" s="4" t="str">
        <x:v>USER-0553、USER-0554</x:v>
      </x:c>
      <x:c r="G729" s="4" t="str">
        <x:v>本段剩余子句、条件组合及状态后续影响仍需与独立规则逐项闭合；这是生成覆盖缺口，不是产品决策缺失。</x:v>
      </x:c>
    </x:row>
    <x:row r="730" ht="44" customHeight="1">
      <x:c r="A730" s="4" t="str">
        <x:v>REQ-a558a29aafc0</x:v>
      </x:c>
      <x:c r="B730" s="4" t="str">
        <x:v>主播管理</x:v>
      </x:c>
      <x:c r="C730" s="4" t="n">
        <x:v>1219</x:v>
      </x:c>
      <x:c r="D730" s="4" t="str">
        <x:v>点击用户 -&gt; 进入对应用户主页；列表随新增关注和关系解除实时更新。</x:v>
      </x:c>
      <x:c r="E730" s="4" t="str">
        <x:v>整段分支核验未闭合</x:v>
      </x:c>
      <x:c r="F730" s="4" t="str">
        <x:v>USER-0553、USER-0554</x:v>
      </x:c>
      <x:c r="G730" s="4" t="str">
        <x:v>本段剩余子句、条件组合及状态后续影响仍需与独立规则逐项闭合；这是生成覆盖缺口，不是产品决策缺失。</x:v>
      </x:c>
    </x:row>
    <x:row r="731" ht="44" customHeight="1">
      <x:c r="A731" s="4" t="str">
        <x:v>REQ-18b4a9d80c38</x:v>
      </x:c>
      <x:c r="B731" s="4" t="str">
        <x:v>主播管理</x:v>
      </x:c>
      <x:c r="C731" s="4" t="n">
        <x:v>1224</x:v>
      </x:c>
      <x:c r="D731" s="4" t="str">
        <x:v>成员：展示头像、昵称、粉丝等级、亲密度和加入时间。</x:v>
      </x:c>
      <x:c r="E731" s="4" t="str">
        <x:v>整段分支核验未闭合</x:v>
      </x:c>
      <x:c r="F731" s="4" t="str">
        <x:v>USER-0559、USER-0560、USER-0561、USER-0562</x:v>
      </x:c>
      <x:c r="G731" s="4" t="str">
        <x:v>本段剩余子句、条件组合及状态后续影响仍需与独立规则逐项闭合；这是生成覆盖缺口，不是产品决策缺失。</x:v>
      </x:c>
    </x:row>
    <x:row r="732" ht="44" customHeight="1">
      <x:c r="A732" s="4" t="str">
        <x:v>REQ-0d16909f59b9</x:v>
      </x:c>
      <x:c r="B732" s="4" t="str">
        <x:v>主播管理</x:v>
      </x:c>
      <x:c r="C732" s="4" t="n">
        <x:v>1225</x:v>
      </x:c>
      <x:c r="D732" s="4" t="str">
        <x:v>成员数：按当前有效团籍统计，上限 500 人。</x:v>
      </x:c>
      <x:c r="E732" s="4" t="str">
        <x:v>尚未建立场景映射</x:v>
      </x:c>
      <x:c r="F732" s="4" t="str"/>
      <x:c r="G732" s="4" t="str">
        <x:v>本轮独立来源库保留该已知条款，但尚未建立可核验的正式场景映射；不是无业务依据，也不转为产品待确认。</x:v>
      </x:c>
    </x:row>
    <x:row r="733" ht="44" customHeight="1">
      <x:c r="A733" s="4" t="str">
        <x:v>REQ-083704f59270</x:v>
      </x:c>
      <x:c r="B733" s="4" t="str">
        <x:v>主播管理</x:v>
      </x:c>
      <x:c r="C733" s="4" t="n">
        <x:v>1226</x:v>
      </x:c>
      <x:c r="D733" s="4" t="str">
        <x:v>加入条件：展示当前关注和累计贡献门槛。</x:v>
      </x:c>
      <x:c r="E733" s="4" t="str">
        <x:v>整段分支核验未闭合</x:v>
      </x:c>
      <x:c r="F733" s="4" t="str">
        <x:v>USER-0559、USER-0560、USER-0561、USER-0562</x:v>
      </x:c>
      <x:c r="G733" s="4" t="str">
        <x:v>本段剩余子句、条件组合及状态后续影响仍需与独立规则逐项闭合；这是生成覆盖缺口，不是产品决策缺失。</x:v>
      </x:c>
    </x:row>
    <x:row r="734" ht="44" customHeight="1">
      <x:c r="A734" s="4" t="str">
        <x:v>REQ-d17e31415fb6</x:v>
      </x:c>
      <x:c r="B734" s="4" t="str">
        <x:v>主播管理</x:v>
      </x:c>
      <x:c r="C734" s="4" t="n">
        <x:v>1227</x:v>
      </x:c>
      <x:c r="D734" s="4" t="str">
        <x:v>加入条件由主播配置；一期每位主播仅一个粉丝团，满 500 人拒绝新成员。</x:v>
      </x:c>
      <x:c r="E734" s="4" t="str">
        <x:v>整段分支核验未闭合</x:v>
      </x:c>
      <x:c r="F734" s="4" t="str">
        <x:v>USER-0562</x:v>
      </x:c>
      <x:c r="G734" s="4" t="str">
        <x:v>本段剩余子句、条件组合及状态后续影响仍需与独立规则逐项闭合；这是生成覆盖缺口，不是产品决策缺失。</x:v>
      </x:c>
    </x:row>
    <x:row r="735" ht="44" customHeight="1">
      <x:c r="A735" s="4" t="str">
        <x:v>REQ-5d55548c15b9</x:v>
      </x:c>
      <x:c r="B735" s="4" t="str">
        <x:v>主播管理</x:v>
      </x:c>
      <x:c r="C735" s="4" t="n">
        <x:v>1228</x:v>
      </x:c>
      <x:c r="D735" s="4" t="str">
        <x:v>移除成员后团籍和群籍同步解除；不影响关注，粉丝等级与亲密度清零，重新加入不恢复。</x:v>
      </x:c>
      <x:c r="E735" s="4" t="str">
        <x:v>整段分支核验未闭合</x:v>
      </x:c>
      <x:c r="F735" s="4" t="str">
        <x:v>USER-0562</x:v>
      </x:c>
      <x:c r="G735" s="4" t="str">
        <x:v>本段剩余子句、条件组合及状态后续影响仍需与独立规则逐项闭合；这是生成覆盖缺口，不是产品决策缺失。</x:v>
      </x:c>
    </x:row>
    <x:row r="736" ht="44" customHeight="1">
      <x:c r="A736" s="4" t="str">
        <x:v>REQ-08663e4475e8</x:v>
      </x:c>
      <x:c r="B736" s="4" t="str">
        <x:v>主播管理</x:v>
      </x:c>
      <x:c r="C736" s="4" t="n">
        <x:v>1229</x:v>
      </x:c>
      <x:c r="D736" s="4" t="str">
        <x:v>数据范围：当前主播粉丝团的有效成员。</x:v>
      </x:c>
      <x:c r="E736" s="4" t="str">
        <x:v>尚未建立场景映射</x:v>
      </x:c>
      <x:c r="F736" s="4" t="str"/>
      <x:c r="G736" s="4" t="str">
        <x:v>本轮独立来源库保留该已知条款，但尚未建立可核验的正式场景映射；不是无业务依据，也不转为产品待确认。</x:v>
      </x:c>
    </x:row>
    <x:row r="737" ht="57" customHeight="1">
      <x:c r="A737" s="4" t="str">
        <x:v>REQ-694a96cbaed3</x:v>
      </x:c>
      <x:c r="B737" s="4" t="str">
        <x:v>主播管理</x:v>
      </x:c>
      <x:c r="C737" s="4" t="n">
        <x:v>1230</x:v>
      </x:c>
      <x:c r="D737" s="4" t="str">
        <x:v>排序：默认按给当前主播刷出的全部历史贡献从高到低；“本月最多”按本月内的全部贡献从高到低，均不按入团时间截断；“最新加入”按加入时间从新到旧；</x:v>
      </x:c>
      <x:c r="E737" s="4" t="str">
        <x:v>整段分支核验未闭合</x:v>
      </x:c>
      <x:c r="F737" s="4" t="str">
        <x:v>USER-0559、USER-0560、USER-0561、USER-0562</x:v>
      </x:c>
      <x:c r="G737" s="4" t="str">
        <x:v>本段剩余子句、条件组合及状态后续影响仍需与独立规则逐项闭合；这是生成覆盖缺口，不是产品决策缺失。</x:v>
      </x:c>
    </x:row>
    <x:row r="738" ht="44" customHeight="1">
      <x:c r="A738" s="4" t="str">
        <x:v>REQ-2450d1ce84b9</x:v>
      </x:c>
      <x:c r="B738" s="4" t="str">
        <x:v>主播管理</x:v>
      </x:c>
      <x:c r="C738" s="4" t="n">
        <x:v>1231</x:v>
      </x:c>
      <x:c r="D738" s="4" t="str">
        <x:v>切换累计最多、本月最多或最新加入 -&gt; 按对应规则重新排列当前成员。</x:v>
      </x:c>
      <x:c r="E738" s="4" t="str">
        <x:v>整段分支核验未闭合</x:v>
      </x:c>
      <x:c r="F738" s="4" t="str">
        <x:v>USER-0562</x:v>
      </x:c>
      <x:c r="G738" s="4" t="str">
        <x:v>本段剩余子句、条件组合及状态后续影响仍需与独立规则逐项闭合；这是生成覆盖缺口，不是产品决策缺失。</x:v>
      </x:c>
    </x:row>
    <x:row r="739" ht="44" customHeight="1">
      <x:c r="A739" s="4" t="str">
        <x:v>REQ-10e94366689d</x:v>
      </x:c>
      <x:c r="B739" s="4" t="str">
        <x:v>主播管理</x:v>
      </x:c>
      <x:c r="C739" s="4" t="n">
        <x:v>1232</x:v>
      </x:c>
      <x:c r="D739" s="4" t="str">
        <x:v>单人禁言 -&gt; 二次确认后限制该成员群内发言；左滑成员 -&gt; 显示移除操作，确认移除后更新成员数、群聊权限和用户身份。</x:v>
      </x:c>
      <x:c r="E739" s="4" t="str">
        <x:v>尚未建立场景映射</x:v>
      </x:c>
      <x:c r="F739" s="4" t="str"/>
      <x:c r="G739" s="4" t="str">
        <x:v>本轮独立来源库保留该已知条款，但尚未建立可核验的正式场景映射；不是无业务依据，也不转为产品待确认。</x:v>
      </x:c>
    </x:row>
    <x:row r="740" ht="44" customHeight="1">
      <x:c r="A740" s="4" t="str">
        <x:v>REQ-b9f1f37620c5</x:v>
      </x:c>
      <x:c r="B740" s="4" t="str">
        <x:v>主播管理</x:v>
      </x:c>
      <x:c r="C740" s="4" t="n">
        <x:v>1233</x:v>
      </x:c>
      <x:c r="D740" s="4" t="str">
        <x:v>点击粉丝团设置进入设置页；成员资料查看只依据实际成员身份和资料卡入口，不以原型 Toast 证明存在独立详情页。</x:v>
      </x:c>
      <x:c r="E740" s="4" t="str">
        <x:v>尚未建立场景映射</x:v>
      </x:c>
      <x:c r="F740" s="4" t="str"/>
      <x:c r="G740" s="4" t="str">
        <x:v>本轮独立来源库保留该已知条款，但尚未建立可核验的正式场景映射；不是无业务依据，也不转为产品待确认。</x:v>
      </x:c>
    </x:row>
    <x:row r="741" ht="44" customHeight="1">
      <x:c r="A741" s="4" t="str">
        <x:v>REQ-aa76d1f2aa67</x:v>
      </x:c>
      <x:c r="B741" s="4" t="str">
        <x:v>主播管理</x:v>
      </x:c>
      <x:c r="C741" s="4" t="n">
        <x:v>1238</x:v>
      </x:c>
      <x:c r="D741" s="4" t="str">
        <x:v>粉丝团名称：必填，最多 20 个字符。</x:v>
      </x:c>
      <x:c r="E741" s="4" t="str">
        <x:v>整段分支核验未闭合</x:v>
      </x:c>
      <x:c r="F741" s="4" t="str">
        <x:v>USER-0374、USER-0375、USER-0376、USER-0377</x:v>
      </x:c>
      <x:c r="G741" s="4" t="str">
        <x:v>本段剩余子句、条件组合及状态后续影响仍需与独立规则逐项闭合；这是生成覆盖缺口，不是产品决策缺失。</x:v>
      </x:c>
    </x:row>
    <x:row r="742" ht="44" customHeight="1">
      <x:c r="A742" s="4" t="str">
        <x:v>REQ-81d0d032931d</x:v>
      </x:c>
      <x:c r="B742" s="4" t="str">
        <x:v>主播管理</x:v>
      </x:c>
      <x:c r="C742" s="4" t="n">
        <x:v>1239</x:v>
      </x:c>
      <x:c r="D742" s="4" t="str">
        <x:v>需要关注：开启后，新成员加入前必须已关注主播。</x:v>
      </x:c>
      <x:c r="E742" s="4" t="str">
        <x:v>尚未建立场景映射</x:v>
      </x:c>
      <x:c r="F742" s="4" t="str"/>
      <x:c r="G742" s="4" t="str">
        <x:v>本轮独立来源库保留该已知条款，但尚未建立可核验的正式场景映射；不是无业务依据，也不转为产品待确认。</x:v>
      </x:c>
    </x:row>
    <x:row r="743" ht="44" customHeight="1">
      <x:c r="A743" s="4" t="str">
        <x:v>REQ-e145ac7a518b</x:v>
      </x:c>
      <x:c r="B743" s="4" t="str">
        <x:v>主播管理</x:v>
      </x:c>
      <x:c r="C743" s="4" t="n">
        <x:v>1240</x:v>
      </x:c>
      <x:c r="D743" s="4" t="str">
        <x:v>累计贡献：必填，最小值为 0，仅允许整数；统计用户给当前主播刷出的全部历史贡献，不按入团时间截断。</x:v>
      </x:c>
      <x:c r="E743" s="4" t="str">
        <x:v>整段分支核验未闭合</x:v>
      </x:c>
      <x:c r="F743" s="4" t="str">
        <x:v>USER-0378、USER-0379、USER-0380、USER-0381</x:v>
      </x:c>
      <x:c r="G743" s="4" t="str">
        <x:v>本段剩余子句、条件组合及状态后续影响仍需与独立规则逐项闭合；这是生成覆盖缺口，不是产品决策缺失。</x:v>
      </x:c>
    </x:row>
    <x:row r="744" ht="44" customHeight="1">
      <x:c r="A744" s="4" t="str">
        <x:v>REQ-c0bc6a748d7f</x:v>
      </x:c>
      <x:c r="B744" s="4" t="str">
        <x:v>主播管理</x:v>
      </x:c>
      <x:c r="C744" s="4" t="n">
        <x:v>1241</x:v>
      </x:c>
      <x:c r="D744" s="4" t="str">
        <x:v>仅粉丝团所属主播可修改；保存后的加入条件只用于后续加入校验，不移除已在团成员。</x:v>
      </x:c>
      <x:c r="E744" s="4" t="str">
        <x:v>整段分支核验未闭合</x:v>
      </x:c>
      <x:c r="F744" s="4" t="str">
        <x:v>USER-0382</x:v>
      </x:c>
      <x:c r="G744" s="4" t="str">
        <x:v>本段剩余子句、条件组合及状态后续影响仍需与独立规则逐项闭合；这是生成覆盖缺口，不是产品决策缺失。</x:v>
      </x:c>
    </x:row>
    <x:row r="745" ht="44" customHeight="1">
      <x:c r="A745" s="4" t="str">
        <x:v>REQ-188125f1ce89</x:v>
      </x:c>
      <x:c r="B745" s="4" t="str">
        <x:v>主播管理</x:v>
      </x:c>
      <x:c r="C745" s="4" t="n">
        <x:v>1242</x:v>
      </x:c>
      <x:c r="D745" s="4" t="str">
        <x:v>数据范围：仅当前主播自己的粉丝团名称和加入条件。</x:v>
      </x:c>
      <x:c r="E745" s="4" t="str">
        <x:v>整段分支核验未闭合</x:v>
      </x:c>
      <x:c r="F745" s="4" t="str">
        <x:v>USER-0374、USER-0375、USER-0376、USER-0377</x:v>
      </x:c>
      <x:c r="G745" s="4" t="str">
        <x:v>本段剩余子句、条件组合及状态后续影响仍需与独立规则逐项闭合；这是生成覆盖缺口，不是产品决策缺失。</x:v>
      </x:c>
    </x:row>
    <x:row r="746" ht="57" customHeight="1">
      <x:c r="A746" s="4" t="str">
        <x:v>REQ-73346c4d9ed3</x:v>
      </x:c>
      <x:c r="B746" s="4" t="str">
        <x:v>主播管理</x:v>
      </x:c>
      <x:c r="C746" s="4" t="n">
        <x:v>1243</x:v>
      </x:c>
      <x:c r="D746" s="4" t="str">
        <x:v>名称为空或累计贡献无效 -&gt; 保存按钮不可用。</x:v>
      </x:c>
      <x:c r="E746" s="4" t="str">
        <x:v>整段分支核验未闭合</x:v>
      </x:c>
      <x:c r="F746" s="4" t="str">
        <x:v>USER-0374、USER-0375、USER-0376、USER-0377、USER-0378、USER-0379、USER-0380、USER-0381</x:v>
      </x:c>
      <x:c r="G746" s="4" t="str">
        <x:v>本段剩余子句、条件组合及状态后续影响仍需与独立规则逐项闭合；这是生成覆盖缺口，不是产品决策缺失。</x:v>
      </x:c>
    </x:row>
    <x:row r="747" ht="44" customHeight="1">
      <x:c r="A747" s="4" t="str">
        <x:v>REQ-cca460a0105a</x:v>
      </x:c>
      <x:c r="B747" s="4" t="str">
        <x:v>主播管理</x:v>
      </x:c>
      <x:c r="C747" s="4" t="n">
        <x:v>1244</x:v>
      </x:c>
      <x:c r="D747" s="4" t="str">
        <x:v>校验通过并保存成功 -&gt; 更新粉丝团加入条件。</x:v>
      </x:c>
      <x:c r="E747" s="4" t="str">
        <x:v>尚未建立场景映射</x:v>
      </x:c>
      <x:c r="F747" s="4" t="str"/>
      <x:c r="G747" s="4" t="str">
        <x:v>本轮独立来源库保留该已知条款，但尚未建立可核验的正式场景映射；不是无业务依据，也不转为产品待确认。</x:v>
      </x:c>
    </x:row>
    <x:row r="748" ht="57" customHeight="1">
      <x:c r="A748" s="4" t="str">
        <x:v>REQ-baff079294bb</x:v>
      </x:c>
      <x:c r="B748" s="4" t="str">
        <x:v>主播管理</x:v>
      </x:c>
      <x:c r="C748" s="4" t="n">
        <x:v>1249</x:v>
      </x:c>
      <x:c r="D748" s="4" t="str">
        <x:v>收益：普通/定制礼物及门票按成功支付金币汇总；幸运礼物按送出价值 × 后台比例汇总，默认 1%，返奖不影响；虚拟金币、失败或撤销消费不计入。</x:v>
      </x:c>
      <x:c r="E748" s="4" t="str">
        <x:v>整段分支核验未闭合</x:v>
      </x:c>
      <x:c r="F748" s="4" t="str">
        <x:v>USER-0772</x:v>
      </x:c>
      <x:c r="G748" s="4" t="str">
        <x:v>本段剩余子句、条件组合及状态后续影响仍需与独立规则逐项闭合；这是生成覆盖缺口，不是产品决策缺失。</x:v>
      </x:c>
    </x:row>
    <x:row r="749" ht="44" customHeight="1">
      <x:c r="A749" s="4" t="str">
        <x:v>REQ-20191ad956f6</x:v>
      </x:c>
      <x:c r="B749" s="4" t="str">
        <x:v>主播管理</x:v>
      </x:c>
      <x:c r="C749" s="4" t="n">
        <x:v>1250</x:v>
      </x:c>
      <x:c r="D749" s="4" t="str">
        <x:v>有效天：按主播所属自然日累计，有效直播时长满 3 小时计 1 天，每日最多 1 天。</x:v>
      </x:c>
      <x:c r="E749" s="4" t="str">
        <x:v>整段分支核验未闭合</x:v>
      </x:c>
      <x:c r="F749" s="4" t="str">
        <x:v>USER-0758</x:v>
      </x:c>
      <x:c r="G749" s="4" t="str">
        <x:v>本段剩余子句、条件组合及状态后续影响仍需与独立规则逐项闭合；这是生成覆盖缺口，不是产品决策缺失。</x:v>
      </x:c>
    </x:row>
    <x:row r="750" ht="44" customHeight="1">
      <x:c r="A750" s="4" t="str">
        <x:v>REQ-030a3364b270</x:v>
      </x:c>
      <x:c r="B750" s="4" t="str">
        <x:v>主播管理</x:v>
      </x:c>
      <x:c r="C750" s="4" t="n">
        <x:v>1251</x:v>
      </x:c>
      <x:c r="D750" s="4" t="str">
        <x:v>开播时长：汇总筛选范围内有效直播时长。</x:v>
      </x:c>
      <x:c r="E750" s="4" t="str">
        <x:v>整段分支核验未闭合</x:v>
      </x:c>
      <x:c r="F750" s="4" t="str">
        <x:v>USER-0758</x:v>
      </x:c>
      <x:c r="G750" s="4" t="str">
        <x:v>本段剩余子句、条件组合及状态后续影响仍需与独立规则逐项闭合；这是生成覆盖缺口，不是产品决策缺失。</x:v>
      </x:c>
    </x:row>
    <x:row r="751" ht="44" customHeight="1">
      <x:c r="A751" s="4" t="str">
        <x:v>REQ-b08df9eb9f74</x:v>
      </x:c>
      <x:c r="B751" s="4" t="str">
        <x:v>主播管理</x:v>
      </x:c>
      <x:c r="C751" s="4" t="n">
        <x:v>1252</x:v>
      </x:c>
      <x:c r="D751" s="4" t="str">
        <x:v>观众人次：按直播场次进入行为累计。</x:v>
      </x:c>
      <x:c r="E751" s="4" t="str">
        <x:v>尚未建立场景映射</x:v>
      </x:c>
      <x:c r="F751" s="4" t="str"/>
      <x:c r="G751" s="4" t="str">
        <x:v>本轮独立来源库保留该已知条款，但尚未建立可核验的正式场景映射；不是无业务依据，也不转为产品待确认。</x:v>
      </x:c>
    </x:row>
    <x:row r="752" ht="44" customHeight="1">
      <x:c r="A752" s="4" t="str">
        <x:v>REQ-4f538f26fc75</x:v>
      </x:c>
      <x:c r="B752" s="4" t="str">
        <x:v>主播管理</x:v>
      </x:c>
      <x:c r="C752" s="4" t="n">
        <x:v>1253</x:v>
      </x:c>
      <x:c r="D752" s="4" t="str">
        <x:v>新增粉丝/送礼人数：按筛选范围去重统计。</x:v>
      </x:c>
      <x:c r="E752" s="4" t="str">
        <x:v>整段分支核验未闭合</x:v>
      </x:c>
      <x:c r="F752" s="4" t="str">
        <x:v>USER-0773</x:v>
      </x:c>
      <x:c r="G752" s="4" t="str">
        <x:v>本段剩余子句、条件组合及状态后续影响仍需与独立规则逐项闭合；这是生成覆盖缺口，不是产品决策缺失。</x:v>
      </x:c>
    </x:row>
    <x:row r="753" ht="44" customHeight="1">
      <x:c r="A753" s="4" t="str">
        <x:v>REQ-11eaa943d562</x:v>
      </x:c>
      <x:c r="B753" s="4" t="str">
        <x:v>主播管理</x:v>
      </x:c>
      <x:c r="C753" s="4" t="n">
        <x:v>1254</x:v>
      </x:c>
      <x:c r="D753" s="4" t="str">
        <x:v>数据来自已开始的直播场次；场次结束后保留历史快照。充值订单退款或拒付不撤销已完成消费，对应主播收益和分成不受影响。</x:v>
      </x:c>
      <x:c r="E753" s="4" t="str">
        <x:v>尚未建立场景映射</x:v>
      </x:c>
      <x:c r="F753" s="4" t="str"/>
      <x:c r="G753" s="4" t="str">
        <x:v>本轮独立来源库保留该已知条款，但尚未建立可核验的正式场景映射；不是无业务依据，也不转为产品待确认。</x:v>
      </x:c>
    </x:row>
    <x:row r="754" ht="44" customHeight="1">
      <x:c r="A754" s="4" t="str">
        <x:v>REQ-01897e8920d5</x:v>
      </x:c>
      <x:c r="B754" s="4" t="str">
        <x:v>主播管理</x:v>
      </x:c>
      <x:c r="C754" s="4" t="n">
        <x:v>1255</x:v>
      </x:c>
      <x:c r="D754" s="4" t="str">
        <x:v>数据范围：仅当前主播、当前日或月范围内的直播数据；</x:v>
      </x:c>
      <x:c r="E754" s="4" t="str">
        <x:v>整段分支核验未闭合</x:v>
      </x:c>
      <x:c r="F754" s="4" t="str">
        <x:v>USER-0758</x:v>
      </x:c>
      <x:c r="G754" s="4" t="str">
        <x:v>本段剩余子句、条件组合及状态后续影响仍需与独立规则逐项闭合；这是生成覆盖缺口，不是产品决策缺失。</x:v>
      </x:c>
    </x:row>
    <x:row r="755" ht="44" customHeight="1">
      <x:c r="A755" s="4" t="str">
        <x:v>REQ-7d4f43bfbbaa</x:v>
      </x:c>
      <x:c r="B755" s="4" t="str">
        <x:v>主播管理</x:v>
      </x:c>
      <x:c r="C755" s="4" t="n">
        <x:v>1256</x:v>
      </x:c>
      <x:c r="D755" s="4" t="str">
        <x:v>切换日/月范围 -&gt; 同步更新全部指标；进入直播记录 -&gt; 保留当前日期范围。</x:v>
      </x:c>
      <x:c r="E755" s="4" t="str">
        <x:v>尚未建立场景映射</x:v>
      </x:c>
      <x:c r="F755" s="4" t="str"/>
      <x:c r="G755" s="4" t="str">
        <x:v>本轮独立来源库保留该已知条款，但尚未建立可核验的正式场景映射；不是无业务依据，也不转为产品待确认。</x:v>
      </x:c>
    </x:row>
    <x:row r="756" ht="44" customHeight="1">
      <x:c r="A756" s="4" t="str">
        <x:v>REQ-4fc2dd894f97</x:v>
      </x:c>
      <x:c r="B756" s="4" t="str">
        <x:v>主播管理</x:v>
      </x:c>
      <x:c r="C756" s="4" t="n">
        <x:v>1261</x:v>
      </x:c>
      <x:c r="D756" s="4" t="str">
        <x:v>直播场次：展示场次 ID、开播主题、封面、房型和分类快照。</x:v>
      </x:c>
      <x:c r="E756" s="4" t="str">
        <x:v>整段分支核验未闭合</x:v>
      </x:c>
      <x:c r="F756" s="4" t="str">
        <x:v>USER-0372、USER-0373</x:v>
      </x:c>
      <x:c r="G756" s="4" t="str">
        <x:v>本段剩余子句、条件组合及状态后续影响仍需与独立规则逐项闭合；这是生成覆盖缺口，不是产品决策缺失。</x:v>
      </x:c>
    </x:row>
    <x:row r="757" ht="44" customHeight="1">
      <x:c r="A757" s="4" t="str">
        <x:v>REQ-c094f7abd18b</x:v>
      </x:c>
      <x:c r="B757" s="4" t="str">
        <x:v>主播管理</x:v>
      </x:c>
      <x:c r="C757" s="4" t="n">
        <x:v>1262</x:v>
      </x:c>
      <x:c r="D757" s="4" t="str">
        <x:v>开播/结束时间：使用服务端场次时间；直播中记录结束时间为空。</x:v>
      </x:c>
      <x:c r="E757" s="4" t="str">
        <x:v>整段分支核验未闭合</x:v>
      </x:c>
      <x:c r="F757" s="4" t="str">
        <x:v>USER-0372、USER-0373</x:v>
      </x:c>
      <x:c r="G757" s="4" t="str">
        <x:v>本段剩余子句、条件组合及状态后续影响仍需与独立规则逐项闭合；这是生成覆盖缺口，不是产品决策缺失。</x:v>
      </x:c>
    </x:row>
    <x:row r="758" ht="44" customHeight="1">
      <x:c r="A758" s="4" t="str">
        <x:v>REQ-ec6a0cb31db7</x:v>
      </x:c>
      <x:c r="B758" s="4" t="str">
        <x:v>主播管理</x:v>
      </x:c>
      <x:c r="C758" s="4" t="n">
        <x:v>1263</x:v>
      </x:c>
      <x:c r="D758" s="4" t="str">
        <x:v>时长：按场次有效直播时长计算。</x:v>
      </x:c>
      <x:c r="E758" s="4" t="str">
        <x:v>整段分支核验未闭合</x:v>
      </x:c>
      <x:c r="F758" s="4" t="str">
        <x:v>USER-0372、USER-0373</x:v>
      </x:c>
      <x:c r="G758" s="4" t="str">
        <x:v>本段剩余子句、条件组合及状态后续影响仍需与独立规则逐项闭合；这是生成覆盖缺口，不是产品决策缺失。</x:v>
      </x:c>
    </x:row>
    <x:row r="759" ht="44" customHeight="1">
      <x:c r="A759" s="4" t="str">
        <x:v>REQ-b552d3d74668</x:v>
      </x:c>
      <x:c r="B759" s="4" t="str">
        <x:v>主播管理</x:v>
      </x:c>
      <x:c r="C759" s="4" t="n">
        <x:v>1264</x:v>
      </x:c>
      <x:c r="D759" s="4" t="str">
        <x:v>观众人数/收益：观众人数使用场次统计值；收益按主播收益口径汇总，不等于榜单贡献值。</x:v>
      </x:c>
      <x:c r="E759" s="4" t="str">
        <x:v>整段分支核验未闭合</x:v>
      </x:c>
      <x:c r="F759" s="4" t="str">
        <x:v>USER-0372、USER-0373、USER-0774</x:v>
      </x:c>
      <x:c r="G759" s="4" t="str">
        <x:v>本段剩余子句、条件组合及状态后续影响仍需与独立规则逐项闭合；这是生成覆盖缺口，不是产品决策缺失。</x:v>
      </x:c>
    </x:row>
    <x:row r="760" ht="44" customHeight="1">
      <x:c r="A760" s="4" t="str">
        <x:v>REQ-d023a2bf3fd4</x:v>
      </x:c>
      <x:c r="B760" s="4" t="str">
        <x:v>主播管理</x:v>
      </x:c>
      <x:c r="C760" s="4" t="n">
        <x:v>1265</x:v>
      </x:c>
      <x:c r="D760" s="4" t="str">
        <x:v>每场记录保存开播时的主题、封面、分类、房型和准入配置快照，历史记录不随当前设置变更。</x:v>
      </x:c>
      <x:c r="E760" s="4" t="str">
        <x:v>整段分支核验未闭合</x:v>
      </x:c>
      <x:c r="F760" s="4" t="str">
        <x:v>USER-0372、USER-0373</x:v>
      </x:c>
      <x:c r="G760" s="4" t="str">
        <x:v>本段剩余子句、条件组合及状态后续影响仍需与独立规则逐项闭合；这是生成覆盖缺口，不是产品决策缺失。</x:v>
      </x:c>
    </x:row>
    <x:row r="761" ht="57" customHeight="1">
      <x:c r="A761" s="4" t="str">
        <x:v>REQ-055449c7eb9d</x:v>
      </x:c>
      <x:c r="B761" s="4" t="str">
        <x:v>主播管理</x:v>
      </x:c>
      <x:c r="C761" s="4" t="n">
        <x:v>1266</x:v>
      </x:c>
      <x:c r="D761" s="4" t="str">
        <x:v>收益 = 当前筛选范围内各场次主播收益之和；普通/定制礼物和门票按成功支付金币，幸运礼物按送出价值 × 后台比例，默认 1%，返奖不影响。</x:v>
      </x:c>
      <x:c r="E761" s="4" t="str">
        <x:v>整段分支核验未闭合</x:v>
      </x:c>
      <x:c r="F761" s="4" t="str">
        <x:v>USER-0372、USER-0373</x:v>
      </x:c>
      <x:c r="G761" s="4" t="str">
        <x:v>本段剩余子句、条件组合及状态后续影响仍需与独立规则逐项闭合；这是生成覆盖缺口，不是产品决策缺失。</x:v>
      </x:c>
    </x:row>
    <x:row r="762" ht="44" customHeight="1">
      <x:c r="A762" s="4" t="str">
        <x:v>REQ-f1e1f573f151</x:v>
      </x:c>
      <x:c r="B762" s="4" t="str">
        <x:v>主播管理</x:v>
      </x:c>
      <x:c r="C762" s="4" t="n">
        <x:v>1267</x:v>
      </x:c>
      <x:c r="D762" s="4" t="str">
        <x:v>总时长 = 当前筛选范围内各场次有效结束时间 - 有效开始时间之和；直播场次 = 当前范围内已创建且实际开始的场次数。</x:v>
      </x:c>
      <x:c r="E762" s="4" t="str">
        <x:v>整段分支核验未闭合</x:v>
      </x:c>
      <x:c r="F762" s="4" t="str">
        <x:v>USER-0372、USER-0373</x:v>
      </x:c>
      <x:c r="G762" s="4" t="str">
        <x:v>本段剩余子句、条件组合及状态后续影响仍需与独立规则逐项闭合；这是生成覆盖缺口，不是产品决策缺失。</x:v>
      </x:c>
    </x:row>
    <x:row r="763" ht="44" customHeight="1">
      <x:c r="A763" s="4" t="str">
        <x:v>REQ-e8aae3a8555f</x:v>
      </x:c>
      <x:c r="B763" s="4" t="str">
        <x:v>主播管理</x:v>
      </x:c>
      <x:c r="C763" s="4" t="n">
        <x:v>1268</x:v>
      </x:c>
      <x:c r="D763" s="4" t="str">
        <x:v>观众人数展示当前场次的统计值。</x:v>
      </x:c>
      <x:c r="E763" s="4" t="str">
        <x:v>整段分支核验未闭合</x:v>
      </x:c>
      <x:c r="F763" s="4" t="str">
        <x:v>USER-0372、USER-0373</x:v>
      </x:c>
      <x:c r="G763" s="4" t="str">
        <x:v>本段剩余子句、条件组合及状态后续影响仍需与独立规则逐项闭合；这是生成覆盖缺口，不是产品决策缺失。</x:v>
      </x:c>
    </x:row>
    <x:row r="764" ht="44" customHeight="1">
      <x:c r="A764" s="4" t="str">
        <x:v>REQ-55522cb020c6</x:v>
      </x:c>
      <x:c r="B764" s="4" t="str">
        <x:v>主播管理</x:v>
      </x:c>
      <x:c r="C764" s="4" t="n">
        <x:v>1269</x:v>
      </x:c>
      <x:c r="D764" s="4" t="str">
        <x:v>开播时间使用 dd/mm/yyyy HH.mm；筛选条件只使用日期。</x:v>
      </x:c>
      <x:c r="E764" s="4" t="str">
        <x:v>尚未建立场景映射</x:v>
      </x:c>
      <x:c r="F764" s="4" t="str"/>
      <x:c r="G764" s="4" t="str">
        <x:v>本轮独立来源库保留该已知条款，但尚未建立可核验的正式场景映射；不是无业务依据，也不转为产品待确认。</x:v>
      </x:c>
    </x:row>
    <x:row r="765" ht="44" customHeight="1">
      <x:c r="A765" s="4" t="str">
        <x:v>REQ-217ee56feb5c</x:v>
      </x:c>
      <x:c r="B765" s="4" t="str">
        <x:v>主播管理</x:v>
      </x:c>
      <x:c r="C765" s="4" t="n">
        <x:v>1270</x:v>
      </x:c>
      <x:c r="D765" s="4" t="str">
        <x:v>数据范围：当前主播在筛选日期范围内已实际开始的直播场次；默认近 7 天。</x:v>
      </x:c>
      <x:c r="E765" s="4" t="str">
        <x:v>整段分支核验未闭合</x:v>
      </x:c>
      <x:c r="F765" s="4" t="str">
        <x:v>USER-0372、USER-0373</x:v>
      </x:c>
      <x:c r="G765" s="4" t="str">
        <x:v>本段剩余子句、条件组合及状态后续影响仍需与独立规则逐项闭合；这是生成覆盖缺口，不是产品决策缺失。</x:v>
      </x:c>
    </x:row>
    <x:row r="766" ht="44" customHeight="1">
      <x:c r="A766" s="4" t="str">
        <x:v>REQ-659cc558be54</x:v>
      </x:c>
      <x:c r="B766" s="4" t="str">
        <x:v>主播管理</x:v>
      </x:c>
      <x:c r="C766" s="4" t="n">
        <x:v>1271</x:v>
      </x:c>
      <x:c r="D766" s="4" t="str">
        <x:v>排序：按开播时间倒序展示。</x:v>
      </x:c>
      <x:c r="E766" s="4" t="str">
        <x:v>整段分支核验未闭合</x:v>
      </x:c>
      <x:c r="F766" s="4" t="str">
        <x:v>USER-0766</x:v>
      </x:c>
      <x:c r="G766" s="4" t="str">
        <x:v>本段剩余子句、条件组合及状态后续影响仍需与独立规则逐项闭合；这是生成覆盖缺口，不是产品决策缺失。</x:v>
      </x:c>
    </x:row>
    <x:row r="767" ht="44" customHeight="1">
      <x:c r="A767" s="4" t="str">
        <x:v>REQ-9fe81bc4e92e</x:v>
      </x:c>
      <x:c r="B767" s="4" t="str">
        <x:v>主播管理</x:v>
      </x:c>
      <x:c r="C767" s="4" t="n">
        <x:v>1272</x:v>
      </x:c>
      <x:c r="D767" s="4" t="str">
        <x:v>默认展示近 7 天；可选择本周、本月、上月、单日或连续日期范围。</x:v>
      </x:c>
      <x:c r="E767" s="4" t="str">
        <x:v>尚未建立场景映射</x:v>
      </x:c>
      <x:c r="F767" s="4" t="str"/>
      <x:c r="G767" s="4" t="str">
        <x:v>本轮独立来源库保留该已知条款，但尚未建立可核验的正式场景映射；不是无业务依据，也不转为产品待确认。</x:v>
      </x:c>
    </x:row>
    <x:row r="768" ht="44" customHeight="1">
      <x:c r="A768" s="4" t="str">
        <x:v>REQ-6a021ec4ec30</x:v>
      </x:c>
      <x:c r="B768" s="4" t="str">
        <x:v>主播管理</x:v>
      </x:c>
      <x:c r="C768" s="4" t="n">
        <x:v>1273</x:v>
      </x:c>
      <x:c r="D768" s="4" t="str">
        <x:v>日期范围变化 -&gt; 同步更新场次列表和汇总指标。</x:v>
      </x:c>
      <x:c r="E768" s="4" t="str">
        <x:v>整段分支核验未闭合</x:v>
      </x:c>
      <x:c r="F768" s="4" t="str">
        <x:v>USER-0372、USER-0373</x:v>
      </x:c>
      <x:c r="G768" s="4" t="str">
        <x:v>本段剩余子句、条件组合及状态后续影响仍需与独立规则逐项闭合；这是生成覆盖缺口，不是产品决策缺失。</x:v>
      </x:c>
    </x:row>
    <x:row r="769" ht="44" customHeight="1">
      <x:c r="A769" s="4" t="str">
        <x:v>REQ-a6f849e9e52e</x:v>
      </x:c>
      <x:c r="B769" s="4" t="str">
        <x:v>主播管理</x:v>
      </x:c>
      <x:c r="C769" s="4" t="n">
        <x:v>1274</x:v>
      </x:c>
      <x:c r="D769" s="4" t="str">
        <x:v>点击场次 -&gt; 查看该场次的数据和礼物明细。</x:v>
      </x:c>
      <x:c r="E769" s="4" t="str">
        <x:v>整段分支核验未闭合</x:v>
      </x:c>
      <x:c r="F769" s="4" t="str">
        <x:v>USER-0372、USER-0373</x:v>
      </x:c>
      <x:c r="G769" s="4" t="str">
        <x:v>本段剩余子句、条件组合及状态后续影响仍需与独立规则逐项闭合；这是生成覆盖缺口，不是产品决策缺失。</x:v>
      </x:c>
    </x:row>
    <x:row r="770" ht="44" customHeight="1">
      <x:c r="A770" s="4" t="str">
        <x:v>REQ-defd01187ffd</x:v>
      </x:c>
      <x:c r="B770" s="4" t="str">
        <x:v>主播管理</x:v>
      </x:c>
      <x:c r="C770" s="4" t="n">
        <x:v>1279</x:v>
      </x:c>
      <x:c r="D770" s="4" t="str">
        <x:v>分成日期：展示对应分成记录的日期。</x:v>
      </x:c>
      <x:c r="E770" s="4" t="str">
        <x:v>整段分支核验未闭合</x:v>
      </x:c>
      <x:c r="F770" s="4" t="str">
        <x:v>USER-0200</x:v>
      </x:c>
      <x:c r="G770" s="4" t="str">
        <x:v>本段剩余子句、条件组合及状态后续影响仍需与独立规则逐项闭合；这是生成覆盖缺口，不是产品决策缺失。</x:v>
      </x:c>
    </x:row>
    <x:row r="771" ht="44" customHeight="1">
      <x:c r="A771" s="4" t="str">
        <x:v>REQ-f523be65f8f8</x:v>
      </x:c>
      <x:c r="B771" s="4" t="str">
        <x:v>主播管理</x:v>
      </x:c>
      <x:c r="C771" s="4" t="n">
        <x:v>1280</x:v>
      </x:c>
      <x:c r="D771" s="4" t="str">
        <x:v>分成金额：财务上传的最终金额，以美元展示；千位用“.”、小数用“,”。</x:v>
      </x:c>
      <x:c r="E771" s="4" t="str">
        <x:v>整段分支核验未闭合</x:v>
      </x:c>
      <x:c r="F771" s="4" t="str">
        <x:v>USER-0200</x:v>
      </x:c>
      <x:c r="G771" s="4" t="str">
        <x:v>本段剩余子句、条件组合及状态后续影响仍需与独立规则逐项闭合；这是生成覆盖缺口，不是产品决策缺失。</x:v>
      </x:c>
    </x:row>
    <x:row r="772" ht="44" customHeight="1">
      <x:c r="A772" s="4" t="str">
        <x:v>REQ-c14d836f25cf</x:v>
      </x:c>
      <x:c r="B772" s="4" t="str">
        <x:v>主播管理</x:v>
      </x:c>
      <x:c r="C772" s="4" t="n">
        <x:v>1281</x:v>
      </x:c>
      <x:c r="D772" s="4" t="str">
        <x:v>系统不提供主播线上结算申请或审批，本页只展示财务线下结算后上传的结果。</x:v>
      </x:c>
      <x:c r="E772" s="4" t="str">
        <x:v>整段分支核验未闭合</x:v>
      </x:c>
      <x:c r="F772" s="4" t="str">
        <x:v>USER-0200</x:v>
      </x:c>
      <x:c r="G772" s="4" t="str">
        <x:v>本段剩余子句、条件组合及状态后续影响仍需与独立规则逐项闭合；这是生成覆盖缺口，不是产品决策缺失。</x:v>
      </x:c>
    </x:row>
    <x:row r="773" ht="57" customHeight="1">
      <x:c r="A773" s="4" t="str">
        <x:v>REQ-30aac05533fe</x:v>
      </x:c>
      <x:c r="B773" s="4" t="str">
        <x:v>主播管理</x:v>
      </x:c>
      <x:c r="C773" s="4" t="n">
        <x:v>1282</x:v>
      </x:c>
      <x:c r="D773" s="4" t="str">
        <x:v>主播收益按礼物和门票类型分别计算：普通/定制礼物及门票按成功支付金币；幸运礼物按送出价值 × 后台比例，默认 1%；具体分成由线下财务计算。</x:v>
      </x:c>
      <x:c r="E773" s="4" t="str">
        <x:v>整段分支核验未闭合</x:v>
      </x:c>
      <x:c r="F773" s="4" t="str">
        <x:v>USER-0200</x:v>
      </x:c>
      <x:c r="G773" s="4" t="str">
        <x:v>本段剩余子句、条件组合及状态后续影响仍需与独立规则逐项闭合；这是生成覆盖缺口，不是产品决策缺失。</x:v>
      </x:c>
    </x:row>
    <x:row r="774" ht="44" customHeight="1">
      <x:c r="A774" s="4" t="str">
        <x:v>REQ-95fd6cd9e563</x:v>
      </x:c>
      <x:c r="B774" s="4" t="str">
        <x:v>主播管理</x:v>
      </x:c>
      <x:c r="C774" s="4" t="n">
        <x:v>1283</x:v>
      </x:c>
      <x:c r="D774" s="4" t="str">
        <x:v>金额以美元展示，数字按印尼格式使用“.”分隔千位、“,”分隔小数。</x:v>
      </x:c>
      <x:c r="E774" s="4" t="str">
        <x:v>整段分支核验未闭合</x:v>
      </x:c>
      <x:c r="F774" s="4" t="str">
        <x:v>USER-0200</x:v>
      </x:c>
      <x:c r="G774" s="4" t="str">
        <x:v>本段剩余子句、条件组合及状态后续影响仍需与独立规则逐项闭合；这是生成覆盖缺口，不是产品决策缺失。</x:v>
      </x:c>
    </x:row>
    <x:row r="775" ht="44" customHeight="1">
      <x:c r="A775" s="4" t="str">
        <x:v>REQ-fba5f1526c9c</x:v>
      </x:c>
      <x:c r="B775" s="4" t="str">
        <x:v>主播管理</x:v>
      </x:c>
      <x:c r="C775" s="4" t="n">
        <x:v>1284</x:v>
      </x:c>
      <x:c r="D775" s="4" t="str">
        <x:v>数据范围：当前主播已上传的分成结果；按分成日期倒序展示。</x:v>
      </x:c>
      <x:c r="E775" s="4" t="str">
        <x:v>整段分支核验未闭合</x:v>
      </x:c>
      <x:c r="F775" s="4" t="str">
        <x:v>USER-0200</x:v>
      </x:c>
      <x:c r="G775" s="4" t="str">
        <x:v>本段剩余子句、条件组合及状态后续影响仍需与独立规则逐项闭合；这是生成覆盖缺口，不是产品决策缺失。</x:v>
      </x:c>
    </x:row>
    <x:row r="776" ht="44" customHeight="1">
      <x:c r="A776" s="4" t="str">
        <x:v>REQ-75a3b148aa3c</x:v>
      </x:c>
      <x:c r="B776" s="4" t="str">
        <x:v>主播管理</x:v>
      </x:c>
      <x:c r="C776" s="4" t="n">
        <x:v>1285</x:v>
      </x:c>
      <x:c r="D776" s="4" t="str">
        <x:v>分成记录按日期展示已上传的线下结算结果。</x:v>
      </x:c>
      <x:c r="E776" s="4" t="str">
        <x:v>整段分支核验未闭合</x:v>
      </x:c>
      <x:c r="F776" s="4" t="str">
        <x:v>USER-0200</x:v>
      </x:c>
      <x:c r="G776" s="4" t="str">
        <x:v>本段剩余子句、条件组合及状态后续影响仍需与独立规则逐项闭合；这是生成覆盖缺口，不是产品决策缺失。</x:v>
      </x:c>
    </x:row>
    <x:row r="777" ht="44" customHeight="1">
      <x:c r="A777" s="4" t="str">
        <x:v>REQ-e5697a7f1e6c</x:v>
      </x:c>
      <x:c r="B777" s="4" t="str">
        <x:v>主播管理</x:v>
      </x:c>
      <x:c r="C777" s="4" t="n">
        <x:v>1286</x:v>
      </x:c>
      <x:c r="D777" s="4" t="str">
        <x:v>点击返回 -&gt; 回到主播中心。</x:v>
      </x:c>
      <x:c r="E777" s="4" t="str">
        <x:v>整段分支核验未闭合</x:v>
      </x:c>
      <x:c r="F777" s="4" t="str">
        <x:v>USER-0391</x:v>
      </x:c>
      <x:c r="G777" s="4" t="str">
        <x:v>本段剩余子句、条件组合及状态后续影响仍需与独立规则逐项闭合；这是生成覆盖缺口，不是产品决策缺失。</x:v>
      </x:c>
    </x:row>
    <x:row r="778" ht="44" customHeight="1">
      <x:c r="A778" s="4" t="str">
        <x:v>REQ-b1863c50e3dc</x:v>
      </x:c>
      <x:c r="B778" s="4" t="str">
        <x:v>钱包与充值</x:v>
      </x:c>
      <x:c r="C778" s="4" t="n">
        <x:v>1291</x:v>
      </x:c>
      <x:c r="D778" s="4" t="str">
        <x:v>金币余额：当前账号可用金币余额，单位为金币；不是现金余额或主播收益。</x:v>
      </x:c>
      <x:c r="E778" s="4" t="str">
        <x:v>整段分支核验未闭合</x:v>
      </x:c>
      <x:c r="F778" s="4" t="str">
        <x:v>USER-0170</x:v>
      </x:c>
      <x:c r="G778" s="4" t="str">
        <x:v>本段剩余子句、条件组合及状态后续影响仍需与独立规则逐项闭合；这是生成覆盖缺口，不是产品决策缺失。</x:v>
      </x:c>
    </x:row>
    <x:row r="779" ht="44" customHeight="1">
      <x:c r="A779" s="4" t="str">
        <x:v>REQ-df533863abd0</x:v>
      </x:c>
      <x:c r="B779" s="4" t="str">
        <x:v>钱包与充值</x:v>
      </x:c>
      <x:c r="C779" s="4" t="n">
        <x:v>1292</x:v>
      </x:c>
      <x:c r="D779" s="4" t="str">
        <x:v>明细：金币收支明细入口，进入余额明细页。</x:v>
      </x:c>
      <x:c r="E779" s="4" t="str">
        <x:v>整段分支核验未闭合</x:v>
      </x:c>
      <x:c r="F779" s="4" t="str">
        <x:v>USER-0170</x:v>
      </x:c>
      <x:c r="G779" s="4" t="str">
        <x:v>本段剩余子句、条件组合及状态后续影响仍需与独立规则逐项闭合；这是生成覆盖缺口，不是产品决策缺失。</x:v>
      </x:c>
    </x:row>
    <x:row r="780" ht="44" customHeight="1">
      <x:c r="A780" s="4" t="str">
        <x:v>REQ-9d874f15239d</x:v>
      </x:c>
      <x:c r="B780" s="4" t="str">
        <x:v>钱包与充值</x:v>
      </x:c>
      <x:c r="C780" s="4" t="n">
        <x:v>1293</x:v>
      </x:c>
      <x:c r="D780" s="4" t="str">
        <x:v>套餐配图：使用后台上传的套餐封面。</x:v>
      </x:c>
      <x:c r="E780" s="4" t="str">
        <x:v>尚未建立场景映射</x:v>
      </x:c>
      <x:c r="F780" s="4" t="str"/>
      <x:c r="G780" s="4" t="str">
        <x:v>本轮独立来源库保留该已知条款，但尚未建立可核验的正式场景映射；不是无业务依据，也不转为产品待确认。</x:v>
      </x:c>
    </x:row>
    <x:row r="781" ht="44" customHeight="1">
      <x:c r="A781" s="4" t="str">
        <x:v>REQ-22e4a9e542d4</x:v>
      </x:c>
      <x:c r="B781" s="4" t="str">
        <x:v>钱包与充值</x:v>
      </x:c>
      <x:c r="C781" s="4" t="n">
        <x:v>1294</x:v>
      </x:c>
      <x:c r="D781" s="4" t="str">
        <x:v>基础金币：套餐包含的充值金币，不含赠送金币；取后台充值金币配置。</x:v>
      </x:c>
      <x:c r="E781" s="4" t="str">
        <x:v>整段分支核验未闭合</x:v>
      </x:c>
      <x:c r="F781" s="4" t="str">
        <x:v>USER-0166、USER-0167、USER-0168、USER-0169</x:v>
      </x:c>
      <x:c r="G781" s="4" t="str">
        <x:v>本段剩余子句、条件组合及状态后续影响仍需与独立规则逐项闭合；这是生成覆盖缺口，不是产品决策缺失。</x:v>
      </x:c>
    </x:row>
    <x:row r="782" ht="44" customHeight="1">
      <x:c r="A782" s="4" t="str">
        <x:v>REQ-afb2e3c341b6</x:v>
      </x:c>
      <x:c r="B782" s="4" t="str">
        <x:v>钱包与充值</x:v>
      </x:c>
      <x:c r="C782" s="4" t="n">
        <x:v>1295</x:v>
      </x:c>
      <x:c r="D782" s="4" t="str">
        <x:v>赠送金币：「+数值」显示后台配置的赠送金币数量；到账金币 = 基础金币 + 赠送金币。</x:v>
      </x:c>
      <x:c r="E782" s="4" t="str">
        <x:v>整段分支核验未闭合</x:v>
      </x:c>
      <x:c r="F782" s="4" t="str">
        <x:v>USER-0166、USER-0167、USER-0168、USER-0169、USER-0170</x:v>
      </x:c>
      <x:c r="G782" s="4" t="str">
        <x:v>本段剩余子句、条件组合及状态后续影响仍需与独立规则逐项闭合；这是生成覆盖缺口，不是产品决策缺失。</x:v>
      </x:c>
    </x:row>
    <x:row r="783" ht="44" customHeight="1">
      <x:c r="A783" s="4" t="str">
        <x:v>REQ-052afe1173a5</x:v>
      </x:c>
      <x:c r="B783" s="4" t="str">
        <x:v>钱包与充值</x:v>
      </x:c>
      <x:c r="C783" s="4" t="n">
        <x:v>1296</x:v>
      </x:c>
      <x:c r="D783" s="4" t="str">
        <x:v>赠送比例标签：赠送比例 = 赠送金币 ÷ 基础金币 × 100%，与赠送金币数量分别显示。</x:v>
      </x:c>
      <x:c r="E783" s="4" t="str">
        <x:v>整段分支核验未闭合</x:v>
      </x:c>
      <x:c r="F783" s="4" t="str">
        <x:v>USER-0166、USER-0167、USER-0168、USER-0169</x:v>
      </x:c>
      <x:c r="G783" s="4" t="str">
        <x:v>本段剩余子句、条件组合及状态后续影响仍需与独立规则逐项闭合；这是生成覆盖缺口，不是产品决策缺失。</x:v>
      </x:c>
    </x:row>
    <x:row r="784" ht="44" customHeight="1">
      <x:c r="A784" s="4" t="str">
        <x:v>REQ-070263614a92</x:v>
      </x:c>
      <x:c r="B784" s="4" t="str">
        <x:v>钱包与充值</x:v>
      </x:c>
      <x:c r="C784" s="4" t="n">
        <x:v>1297</x:v>
      </x:c>
      <x:c r="D784" s="4" t="str">
        <x:v>首充特惠：标记由后台配置。</x:v>
      </x:c>
      <x:c r="E784" s="4" t="str">
        <x:v>尚未建立场景映射</x:v>
      </x:c>
      <x:c r="F784" s="4" t="str"/>
      <x:c r="G784" s="4" t="str">
        <x:v>本轮独立来源库保留该已知条款，但尚未建立可核验的正式场景映射；不是无业务依据，也不转为产品待确认。</x:v>
      </x:c>
    </x:row>
    <x:row r="785" ht="44" customHeight="1">
      <x:c r="A785" s="4" t="str">
        <x:v>REQ-79763345a96e</x:v>
      </x:c>
      <x:c r="B785" s="4" t="str">
        <x:v>钱包与充值</x:v>
      </x:c>
      <x:c r="C785" s="4" t="n">
        <x:v>1298</x:v>
      </x:c>
      <x:c r="D785" s="4" t="str">
        <x:v>活动倒计时：限时套餐剩余可购买时间，格式为时:分:秒，对应后台活动结束时间。</x:v>
      </x:c>
      <x:c r="E785" s="4" t="str">
        <x:v>整段分支核验未闭合</x:v>
      </x:c>
      <x:c r="F785" s="4" t="str">
        <x:v>USER-0176、USER-0177、USER-0178</x:v>
      </x:c>
      <x:c r="G785" s="4" t="str">
        <x:v>本段剩余子句、条件组合及状态后续影响仍需与独立规则逐项闭合；这是生成覆盖缺口，不是产品决策缺失。</x:v>
      </x:c>
    </x:row>
    <x:row r="786" ht="44" customHeight="1">
      <x:c r="A786" s="4" t="str">
        <x:v>REQ-b605fa170d72</x:v>
      </x:c>
      <x:c r="B786" s="4" t="str">
        <x:v>钱包与充值</x:v>
      </x:c>
      <x:c r="C786" s="4" t="n">
        <x:v>1299</x:v>
      </x:c>
      <x:c r="D786" s="4" t="str">
        <x:v>价格 / 支付按钮：当前套餐实际支付金额，单位 USD，保留两位小数；点击发起该套餐支付。</x:v>
      </x:c>
      <x:c r="E786" s="4" t="str">
        <x:v>整段分支核验未闭合</x:v>
      </x:c>
      <x:c r="F786" s="4" t="str">
        <x:v>USER-0166、USER-0167、USER-0168、USER-0169</x:v>
      </x:c>
      <x:c r="G786" s="4" t="str">
        <x:v>本段剩余子句、条件组合及状态后续影响仍需与独立规则逐项闭合；这是生成覆盖缺口，不是产品决策缺失。</x:v>
      </x:c>
    </x:row>
    <x:row r="787" ht="57" customHeight="1">
      <x:c r="A787" s="4" t="str">
        <x:v>REQ-de06a87195aa</x:v>
      </x:c>
      <x:c r="B787" s="4" t="str">
        <x:v>钱包与充值</x:v>
      </x:c>
      <x:c r="C787" s="4" t="n">
        <x:v>1300</x:v>
      </x:c>
      <x:c r="D787" s="4" t="str">
        <x:v>仅展示当前账号可购买的上架套餐；活动套餐须处于有效期且未达到单用户限购次数。活动区在前，同类套餐按后台排序权重从高到低展示。</x:v>
      </x:c>
      <x:c r="E787" s="4" t="str">
        <x:v>整段分支核验未闭合</x:v>
      </x:c>
      <x:c r="F787" s="4" t="str">
        <x:v>USER-0176、USER-0177、USER-0178、USER-0180、USER-0181、USER-0182、USER-0183、USER-0184、USER-0185</x:v>
      </x:c>
      <x:c r="G787" s="4" t="str">
        <x:v>本段剩余子句、条件组合及状态后续影响仍需与独立规则逐项闭合；这是生成覆盖缺口，不是产品决策缺失。</x:v>
      </x:c>
    </x:row>
    <x:row r="788" ht="57" customHeight="1">
      <x:c r="A788" s="4" t="str">
        <x:v>REQ-eccfb73ebed1</x:v>
      </x:c>
      <x:c r="B788" s="4" t="str">
        <x:v>钱包与充值</x:v>
      </x:c>
      <x:c r="C788" s="4" t="n">
        <x:v>1301</x:v>
      </x:c>
      <x:c r="D788" s="4" t="str">
        <x:v>活动套餐每笔支付成功订单占用 1 次限购；0 表示不限购，全额退款不恢复次数。</x:v>
      </x:c>
      <x:c r="E788" s="4" t="str">
        <x:v>整段分支核验未闭合</x:v>
      </x:c>
      <x:c r="F788" s="4" t="str">
        <x:v>USER-0170、USER-0176、USER-0177、USER-0178、USER-0179、USER-0180、USER-0186、USER-0187、USER-0188、USER-0189</x:v>
      </x:c>
      <x:c r="G788" s="4" t="str">
        <x:v>本段剩余子句、条件组合及状态后续影响仍需与独立规则逐项闭合；这是生成覆盖缺口，不是产品决策缺失。</x:v>
      </x:c>
    </x:row>
    <x:row r="789" ht="44" customHeight="1">
      <x:c r="A789" s="4" t="str">
        <x:v>REQ-7f4554ffc2b6</x:v>
      </x:c>
      <x:c r="B789" s="4" t="str">
        <x:v>钱包与充值</x:v>
      </x:c>
      <x:c r="C789" s="4" t="n">
        <x:v>1302</x:v>
      </x:c>
      <x:c r="D789" s="4" t="str">
        <x:v>到账金币以下单时套餐快照为准；支付成功后增加余额并生成充值记录，同一订单重复回调只入账一次；失败、超时或取消不增加余额。</x:v>
      </x:c>
      <x:c r="E789" s="4" t="str">
        <x:v>整段分支核验未闭合</x:v>
      </x:c>
      <x:c r="F789" s="4" t="str">
        <x:v>USER-0170、USER-0171、USER-0172、USER-0173、USER-0174、USER-0175</x:v>
      </x:c>
      <x:c r="G789" s="4" t="str">
        <x:v>本段剩余子句、条件组合及状态后续影响仍需与独立规则逐项闭合；这是生成覆盖缺口，不是产品决策缺失。</x:v>
      </x:c>
    </x:row>
    <x:row r="790" ht="57" customHeight="1">
      <x:c r="A790" s="4" t="str">
        <x:v>REQ-33923242e1a4</x:v>
      </x:c>
      <x:c r="B790" s="4" t="str">
        <x:v>钱包与充值</x:v>
      </x:c>
      <x:c r="C790" s="4" t="n">
        <x:v>1303</x:v>
      </x:c>
      <x:c r="D790" s="4" t="str">
        <x:v>用户侧不提供退款操作。后台退款或渠道拒付扣除该订单到账金币；余额不足时允许为负，后续充值先抵扣负余额；不撤销已完成的礼物和门票消费。</x:v>
      </x:c>
      <x:c r="E790" s="4" t="str">
        <x:v>整段分支核验未闭合</x:v>
      </x:c>
      <x:c r="F790" s="4" t="str">
        <x:v>USER-0170、USER-0186、USER-0187、USER-0188、USER-0189、USER-0190</x:v>
      </x:c>
      <x:c r="G790" s="4" t="str">
        <x:v>本段剩余子句、条件组合及状态后续影响仍需与独立规则逐项闭合；这是生成覆盖缺口，不是产品决策缺失。</x:v>
      </x:c>
    </x:row>
    <x:row r="791" ht="44" customHeight="1">
      <x:c r="A791" s="4" t="str">
        <x:v>REQ-bbc2901df8d5</x:v>
      </x:c>
      <x:c r="B791" s="4" t="str">
        <x:v>钱包与充值</x:v>
      </x:c>
      <x:c r="C791" s="4" t="n">
        <x:v>1304</x:v>
      </x:c>
      <x:c r="D791" s="4" t="str">
        <x:v>运营账号不可进入充值页或发起充值。</x:v>
      </x:c>
      <x:c r="E791" s="4" t="str">
        <x:v>尚未建立场景映射</x:v>
      </x:c>
      <x:c r="F791" s="4" t="str"/>
      <x:c r="G791" s="4" t="str">
        <x:v>本轮独立来源库保留该已知条款，但尚未建立可核验的正式场景映射；不是无业务依据，也不转为产品待确认。</x:v>
      </x:c>
    </x:row>
    <x:row r="792" ht="44" customHeight="1">
      <x:c r="A792" s="4" t="str">
        <x:v>REQ-75ea9808f9ef</x:v>
      </x:c>
      <x:c r="B792" s="4" t="str">
        <x:v>钱包与充值</x:v>
      </x:c>
      <x:c r="C792" s="4" t="n">
        <x:v>1305</x:v>
      </x:c>
      <x:c r="D792" s="4" t="str">
        <x:v>点击套餐价格按钮发起支付；本页无支付渠道选择控件。</x:v>
      </x:c>
      <x:c r="E792" s="4" t="str">
        <x:v>整段分支核验未闭合</x:v>
      </x:c>
      <x:c r="F792" s="4" t="str">
        <x:v>USER-0166、USER-0167、USER-0168、USER-0169</x:v>
      </x:c>
      <x:c r="G792" s="4" t="str">
        <x:v>本段剩余子句、条件组合及状态后续影响仍需与独立规则逐项闭合；这是生成覆盖缺口，不是产品决策缺失。</x:v>
      </x:c>
    </x:row>
    <x:row r="793" ht="57" customHeight="1">
      <x:c r="A793" s="4" t="str">
        <x:v>REQ-dd6df4e4ca51</x:v>
      </x:c>
      <x:c r="B793" s="4" t="str">
        <x:v>钱包与充值</x:v>
      </x:c>
      <x:c r="C793" s="4" t="n">
        <x:v>1306</x:v>
      </x:c>
      <x:c r="D793" s="4" t="str">
        <x:v>支付成功后刷新余额和可购买套餐；失败或取消保留原余额并提示结果。</x:v>
      </x:c>
      <x:c r="E793" s="4" t="str">
        <x:v>整段分支核验未闭合</x:v>
      </x:c>
      <x:c r="F793" s="4" t="str">
        <x:v>USER-0170、USER-0171、USER-0172、USER-0173、USER-0176、USER-0177、USER-0178</x:v>
      </x:c>
      <x:c r="G793" s="4" t="str">
        <x:v>本段剩余子句、条件组合及状态后续影响仍需与独立规则逐项闭合；这是生成覆盖缺口，不是产品决策缺失。</x:v>
      </x:c>
    </x:row>
    <x:row r="794" ht="44" customHeight="1">
      <x:c r="A794" s="4" t="str">
        <x:v>REQ-60ec2f938995</x:v>
      </x:c>
      <x:c r="B794" s="4" t="str">
        <x:v>钱包与充值</x:v>
      </x:c>
      <x:c r="C794" s="4" t="n">
        <x:v>1307</x:v>
      </x:c>
      <x:c r="D794" s="4" t="str">
        <x:v>点击「明细」进入余额明细页；点击返回进入「我的」。</x:v>
      </x:c>
      <x:c r="E794" s="4" t="str">
        <x:v>整段分支核验未闭合</x:v>
      </x:c>
      <x:c r="F794" s="4" t="str">
        <x:v>USER-0170</x:v>
      </x:c>
      <x:c r="G794" s="4" t="str">
        <x:v>本段剩余子句、条件组合及状态后续影响仍需与独立规则逐项闭合；这是生成覆盖缺口，不是产品决策缺失。</x:v>
      </x:c>
    </x:row>
    <x:row r="795" ht="44" customHeight="1">
      <x:c r="A795" s="4" t="str">
        <x:v>REQ-1cdb25ebdb71</x:v>
      </x:c>
      <x:c r="B795" s="4" t="str">
        <x:v>钱包与充值</x:v>
      </x:c>
      <x:c r="C795" s="4" t="n">
        <x:v>1312</x:v>
      </x:c>
      <x:c r="D795" s="4" t="str">
        <x:v>变动类型包含充值、充值退款、礼物打赏、购买门票和当前业务实际发生的奖励入账；不提供礼物退款，已完成的礼物与门票消费不可退回。</x:v>
      </x:c>
      <x:c r="E795" s="4" t="str">
        <x:v>尚未建立场景映射</x:v>
      </x:c>
      <x:c r="F795" s="4" t="str"/>
      <x:c r="G795" s="4" t="str">
        <x:v>本轮独立来源库保留该已知条款，但尚未建立可核验的正式场景映射；不是无业务依据，也不转为产品待确认。</x:v>
      </x:c>
    </x:row>
    <x:row r="796" ht="44" customHeight="1">
      <x:c r="A796" s="4" t="str">
        <x:v>REQ-8f8e2789fd80</x:v>
      </x:c>
      <x:c r="B796" s="4" t="str">
        <x:v>钱包与充值</x:v>
      </x:c>
      <x:c r="C796" s="4" t="n">
        <x:v>1313</x:v>
      </x:c>
      <x:c r="D796" s="4" t="str">
        <x:v>变动金币：正数表示收入，负数表示支出，按收支使用不同颜色。</x:v>
      </x:c>
      <x:c r="E796" s="4" t="str">
        <x:v>尚未建立场景映射</x:v>
      </x:c>
      <x:c r="F796" s="4" t="str"/>
      <x:c r="G796" s="4" t="str">
        <x:v>本轮独立来源库保留该已知条款，但尚未建立可核验的正式场景映射；不是无业务依据，也不转为产品待确认。</x:v>
      </x:c>
    </x:row>
    <x:row r="797" ht="44" customHeight="1">
      <x:c r="A797" s="4" t="str">
        <x:v>REQ-b38495f92d9c</x:v>
      </x:c>
      <x:c r="B797" s="4" t="str">
        <x:v>钱包与充值</x:v>
      </x:c>
      <x:c r="C797" s="4" t="n">
        <x:v>1314</x:v>
      </x:c>
      <x:c r="D797" s="4" t="str">
        <x:v>发生时间：展示该条金币流水的日期和时间。</x:v>
      </x:c>
      <x:c r="E797" s="4" t="str">
        <x:v>尚未建立场景映射</x:v>
      </x:c>
      <x:c r="F797" s="4" t="str"/>
      <x:c r="G797" s="4" t="str">
        <x:v>本轮独立来源库保留该已知条款，但尚未建立可核验的正式场景映射；不是无业务依据，也不转为产品待确认。</x:v>
      </x:c>
    </x:row>
    <x:row r="798" ht="44" customHeight="1">
      <x:c r="A798" s="4" t="str">
        <x:v>REQ-b5d63468de7c</x:v>
      </x:c>
      <x:c r="B798" s="4" t="str">
        <x:v>钱包与充值</x:v>
      </x:c>
      <x:c r="C798" s="4" t="n">
        <x:v>1315</x:v>
      </x:c>
      <x:c r="D798" s="4" t="str">
        <x:v>流水只增不改；退款或拒付以独立冲正分录体现。余额允许因退款为负，负余额时不可消费，后续充值先抵扣负值。</x:v>
      </x:c>
      <x:c r="E798" s="4" t="str">
        <x:v>整段分支核验未闭合</x:v>
      </x:c>
      <x:c r="F798" s="4" t="str">
        <x:v>USER-0194、USER-0195</x:v>
      </x:c>
      <x:c r="G798" s="4" t="str">
        <x:v>本段剩余子句、条件组合及状态后续影响仍需与独立规则逐项闭合；这是生成覆盖缺口，不是产品决策缺失。</x:v>
      </x:c>
    </x:row>
    <x:row r="799" ht="44" customHeight="1">
      <x:c r="A799" s="4" t="str">
        <x:v>REQ-7ab0289dec79</x:v>
      </x:c>
      <x:c r="B799" s="4" t="str">
        <x:v>钱包与充值</x:v>
      </x:c>
      <x:c r="C799" s="4" t="n">
        <x:v>1316</x:v>
      </x:c>
      <x:c r="D799" s="4" t="str">
        <x:v>数据范围：当前登录账号的金币流水；按发生时间倒序，时间相同按流水 ID 从大到小。</x:v>
      </x:c>
      <x:c r="E799" s="4" t="str">
        <x:v>整段分支核验未闭合</x:v>
      </x:c>
      <x:c r="F799" s="4" t="str">
        <x:v>USER-0191、USER-0192、USER-0193、USER-0767</x:v>
      </x:c>
      <x:c r="G799" s="4" t="str">
        <x:v>本段剩余子句、条件组合及状态后续影响仍需与独立规则逐项闭合；这是生成覆盖缺口，不是产品决策缺失。</x:v>
      </x:c>
    </x:row>
    <x:row r="800" ht="44" customHeight="1">
      <x:c r="A800" s="4" t="str">
        <x:v>REQ-eafc3fc8d84c</x:v>
      </x:c>
      <x:c r="B800" s="4" t="str">
        <x:v>钱包与充值</x:v>
      </x:c>
      <x:c r="C800" s="4" t="n">
        <x:v>1317</x:v>
      </x:c>
      <x:c r="D800" s="4" t="str">
        <x:v>点击流水 -&gt; 按类型进入充值或支出详情；无法关联订单的赠送、任务等奖励只展示流水信息。</x:v>
      </x:c>
      <x:c r="E800" s="4" t="str">
        <x:v>尚未建立场景映射</x:v>
      </x:c>
      <x:c r="F800" s="4" t="str"/>
      <x:c r="G800" s="4" t="str">
        <x:v>本轮独立来源库保留该已知条款，但尚未建立可核验的正式场景映射；不是无业务依据，也不转为产品待确认。</x:v>
      </x:c>
    </x:row>
    <x:row r="801" ht="44" customHeight="1">
      <x:c r="A801" s="4" t="str">
        <x:v>REQ-4ab23800ac22</x:v>
      </x:c>
      <x:c r="B801" s="4" t="str">
        <x:v>钱包与充值</x:v>
      </x:c>
      <x:c r="C801" s="4" t="n">
        <x:v>1322</x:v>
      </x:c>
      <x:c r="D801" s="4" t="str">
        <x:v>购买套餐名称：充值时购买的套餐名称。</x:v>
      </x:c>
      <x:c r="E801" s="4" t="str">
        <x:v>尚未建立场景映射</x:v>
      </x:c>
      <x:c r="F801" s="4" t="str"/>
      <x:c r="G801" s="4" t="str">
        <x:v>本轮独立来源库保留该已知条款，但尚未建立可核验的正式场景映射；不是无业务依据，也不转为产品待确认。</x:v>
      </x:c>
    </x:row>
    <x:row r="802" ht="44" customHeight="1">
      <x:c r="A802" s="4" t="str">
        <x:v>REQ-091d8b5cb74e</x:v>
      </x:c>
      <x:c r="B802" s="4" t="str">
        <x:v>钱包与充值</x:v>
      </x:c>
      <x:c r="C802" s="4" t="n">
        <x:v>1323</x:v>
      </x:c>
      <x:c r="D802" s="4" t="str">
        <x:v>数量：本笔订单购买的套餐数量。</x:v>
      </x:c>
      <x:c r="E802" s="4" t="str">
        <x:v>尚未建立场景映射</x:v>
      </x:c>
      <x:c r="F802" s="4" t="str"/>
      <x:c r="G802" s="4" t="str">
        <x:v>本轮独立来源库保留该已知条款，但尚未建立可核验的正式场景映射；不是无业务依据，也不转为产品待确认。</x:v>
      </x:c>
    </x:row>
    <x:row r="803" ht="44" customHeight="1">
      <x:c r="A803" s="4" t="str">
        <x:v>REQ-0a26352e5fc0</x:v>
      </x:c>
      <x:c r="B803" s="4" t="str">
        <x:v>钱包与充值</x:v>
      </x:c>
      <x:c r="C803" s="4" t="n">
        <x:v>1324</x:v>
      </x:c>
      <x:c r="D803" s="4" t="str">
        <x:v>支付时间：本笔订单的支付时间。</x:v>
      </x:c>
      <x:c r="E803" s="4" t="str">
        <x:v>尚未建立场景映射</x:v>
      </x:c>
      <x:c r="F803" s="4" t="str"/>
      <x:c r="G803" s="4" t="str">
        <x:v>本轮独立来源库保留该已知条款，但尚未建立可核验的正式场景映射；不是无业务依据，也不转为产品待确认。</x:v>
      </x:c>
    </x:row>
    <x:row r="804" ht="44" customHeight="1">
      <x:c r="A804" s="4" t="str">
        <x:v>REQ-c7081347bfbe</x:v>
      </x:c>
      <x:c r="B804" s="4" t="str">
        <x:v>钱包与充值</x:v>
      </x:c>
      <x:c r="C804" s="4" t="n">
        <x:v>1325</x:v>
      </x:c>
      <x:c r="D804" s="4" t="str">
        <x:v>套餐金币 / 赠送金币：分别展示基础金币和赠送金币。</x:v>
      </x:c>
      <x:c r="E804" s="4" t="str">
        <x:v>整段分支核验未闭合</x:v>
      </x:c>
      <x:c r="F804" s="4" t="str">
        <x:v>USER-0196、USER-0197、USER-0198</x:v>
      </x:c>
      <x:c r="G804" s="4" t="str">
        <x:v>本段剩余子句、条件组合及状态后续影响仍需与独立规则逐项闭合；这是生成覆盖缺口，不是产品决策缺失。</x:v>
      </x:c>
    </x:row>
    <x:row r="805" ht="44" customHeight="1">
      <x:c r="A805" s="4" t="str">
        <x:v>REQ-11b92bd4952d</x:v>
      </x:c>
      <x:c r="B805" s="4" t="str">
        <x:v>钱包与充值</x:v>
      </x:c>
      <x:c r="C805" s="4" t="n">
        <x:v>1326</x:v>
      </x:c>
      <x:c r="D805" s="4" t="str">
        <x:v>支付渠道：本笔订单使用的支付渠道。</x:v>
      </x:c>
      <x:c r="E805" s="4" t="str">
        <x:v>尚未建立场景映射</x:v>
      </x:c>
      <x:c r="F805" s="4" t="str"/>
      <x:c r="G805" s="4" t="str">
        <x:v>本轮独立来源库保留该已知条款，但尚未建立可核验的正式场景映射；不是无业务依据，也不转为产品待确认。</x:v>
      </x:c>
    </x:row>
    <x:row r="806" ht="44" customHeight="1">
      <x:c r="A806" s="4" t="str">
        <x:v>REQ-ba5024fab83c</x:v>
      </x:c>
      <x:c r="B806" s="4" t="str">
        <x:v>钱包与充值</x:v>
      </x:c>
      <x:c r="C806" s="4" t="n">
        <x:v>1327</x:v>
      </x:c>
      <x:c r="D806" s="4" t="str">
        <x:v>支付金额：本笔订单实际支付的金额。</x:v>
      </x:c>
      <x:c r="E806" s="4" t="str">
        <x:v>整段分支核验未闭合</x:v>
      </x:c>
      <x:c r="F806" s="4" t="str">
        <x:v>USER-0196、USER-0197、USER-0198</x:v>
      </x:c>
      <x:c r="G806" s="4" t="str">
        <x:v>本段剩余子句、条件组合及状态后续影响仍需与独立规则逐项闭合；这是生成覆盖缺口，不是产品决策缺失。</x:v>
      </x:c>
    </x:row>
    <x:row r="807" ht="44" customHeight="1">
      <x:c r="A807" s="4" t="str">
        <x:v>REQ-4a50409c7746</x:v>
      </x:c>
      <x:c r="B807" s="4" t="str">
        <x:v>钱包与充值</x:v>
      </x:c>
      <x:c r="C807" s="4" t="n">
        <x:v>1328</x:v>
      </x:c>
      <x:c r="D807" s="4" t="str">
        <x:v>用户侧不提供退款操作；后台退款或渠道拒付生成冲正流水，不撤销已完成的礼物和门票消费。重复支付回调不得重复入账。</x:v>
      </x:c>
      <x:c r="E807" s="4" t="str">
        <x:v>整段分支核验未闭合</x:v>
      </x:c>
      <x:c r="F807" s="4" t="str">
        <x:v>USER-0199</x:v>
      </x:c>
      <x:c r="G807" s="4" t="str">
        <x:v>本段剩余子句、条件组合及状态后续影响仍需与独立规则逐项闭合；这是生成覆盖缺口，不是产品决策缺失。</x:v>
      </x:c>
    </x:row>
    <x:row r="808" ht="44" customHeight="1">
      <x:c r="A808" s="4" t="str">
        <x:v>REQ-cc0d5de370b6</x:v>
      </x:c>
      <x:c r="B808" s="4" t="str">
        <x:v>钱包与充值</x:v>
      </x:c>
      <x:c r="C808" s="4" t="n">
        <x:v>1329</x:v>
      </x:c>
      <x:c r="D808" s="4" t="str">
        <x:v>数据范围：当前用户所选的单笔充值订单，金额与金币使用该订单的套餐快照。</x:v>
      </x:c>
      <x:c r="E808" s="4" t="str">
        <x:v>整段分支核验未闭合</x:v>
      </x:c>
      <x:c r="F808" s="4" t="str">
        <x:v>USER-0196、USER-0197、USER-0198</x:v>
      </x:c>
      <x:c r="G808" s="4" t="str">
        <x:v>本段剩余子句、条件组合及状态后续影响仍需与独立规则逐项闭合；这是生成覆盖缺口，不是产品决策缺失。</x:v>
      </x:c>
    </x:row>
    <x:row r="809" ht="44" customHeight="1">
      <x:c r="A809" s="4" t="str">
        <x:v>REQ-f8adde5ec148</x:v>
      </x:c>
      <x:c r="B809" s="4" t="str">
        <x:v>钱包与充值</x:v>
      </x:c>
      <x:c r="C809" s="4" t="n">
        <x:v>1330</x:v>
      </x:c>
      <x:c r="D809" s="4" t="str">
        <x:v>订单状态变化 -&gt; 刷新状态、时间和关联余额流水；返回 -&gt; 回到账单列表并保留筛选位置。</x:v>
      </x:c>
      <x:c r="E809" s="4" t="str">
        <x:v>尚未建立场景映射</x:v>
      </x:c>
      <x:c r="F809" s="4" t="str"/>
      <x:c r="G809" s="4" t="str">
        <x:v>本轮独立来源库保留该已知条款，但尚未建立可核验的正式场景映射；不是无业务依据，也不转为产品待确认。</x:v>
      </x:c>
    </x:row>
    <x:row r="810" ht="44" customHeight="1">
      <x:c r="A810" s="4" t="str">
        <x:v>REQ-853c4cf85da1</x:v>
      </x:c>
      <x:c r="B810" s="4" t="str">
        <x:v>钱包与充值</x:v>
      </x:c>
      <x:c r="C810" s="4" t="n">
        <x:v>1335</x:v>
      </x:c>
      <x:c r="D810" s="4" t="str">
        <x:v>付款商品名称：本笔消费对应的商品名称。</x:v>
      </x:c>
      <x:c r="E810" s="4" t="str">
        <x:v>尚未建立场景映射</x:v>
      </x:c>
      <x:c r="F810" s="4" t="str"/>
      <x:c r="G810" s="4" t="str">
        <x:v>本轮独立来源库保留该已知条款，但尚未建立可核验的正式场景映射；不是无业务依据，也不转为产品待确认。</x:v>
      </x:c>
    </x:row>
    <x:row r="811" ht="44" customHeight="1">
      <x:c r="A811" s="4" t="str">
        <x:v>REQ-91d4b92fa29f</x:v>
      </x:c>
      <x:c r="B811" s="4" t="str">
        <x:v>钱包与充值</x:v>
      </x:c>
      <x:c r="C811" s="4" t="n">
        <x:v>1336</x:v>
      </x:c>
      <x:c r="D811" s="4" t="str">
        <x:v>数量：本笔消费的商品数量。</x:v>
      </x:c>
      <x:c r="E811" s="4" t="str">
        <x:v>整段分支核验未闭合</x:v>
      </x:c>
      <x:c r="F811" s="4" t="str">
        <x:v>USER-0756、USER-0757</x:v>
      </x:c>
      <x:c r="G811" s="4" t="str">
        <x:v>本段剩余子句、条件组合及状态后续影响仍需与独立规则逐项闭合；这是生成覆盖缺口，不是产品决策缺失。</x:v>
      </x:c>
    </x:row>
    <x:row r="812" ht="44" customHeight="1">
      <x:c r="A812" s="4" t="str">
        <x:v>REQ-f33b17c3d436</x:v>
      </x:c>
      <x:c r="B812" s="4" t="str">
        <x:v>钱包与充值</x:v>
      </x:c>
      <x:c r="C812" s="4" t="n">
        <x:v>1337</x:v>
      </x:c>
      <x:c r="D812" s="4" t="str">
        <x:v>支付时间：本笔消费的支付时间。</x:v>
      </x:c>
      <x:c r="E812" s="4" t="str">
        <x:v>尚未建立场景映射</x:v>
      </x:c>
      <x:c r="F812" s="4" t="str"/>
      <x:c r="G812" s="4" t="str">
        <x:v>本轮独立来源库保留该已知条款，但尚未建立可核验的正式场景映射；不是无业务依据，也不转为产品待确认。</x:v>
      </x:c>
    </x:row>
    <x:row r="813" ht="44" customHeight="1">
      <x:c r="A813" s="4" t="str">
        <x:v>REQ-6940c29d89cb</x:v>
      </x:c>
      <x:c r="B813" s="4" t="str">
        <x:v>钱包与充值</x:v>
      </x:c>
      <x:c r="C813" s="4" t="n">
        <x:v>1338</x:v>
      </x:c>
      <x:c r="D813" s="4" t="str">
        <x:v>扣款金币：本笔消费实际扣除的金币。</x:v>
      </x:c>
      <x:c r="E813" s="4" t="str">
        <x:v>尚未建立场景映射</x:v>
      </x:c>
      <x:c r="F813" s="4" t="str"/>
      <x:c r="G813" s="4" t="str">
        <x:v>本轮独立来源库保留该已知条款，但尚未建立可核验的正式场景映射；不是无业务依据，也不转为产品待确认。</x:v>
      </x:c>
    </x:row>
    <x:row r="814" ht="44" customHeight="1">
      <x:c r="A814" s="4" t="str">
        <x:v>REQ-2091adedd0e7</x:v>
      </x:c>
      <x:c r="B814" s="4" t="str">
        <x:v>钱包与充值</x:v>
      </x:c>
      <x:c r="C814" s="4" t="n">
        <x:v>1339</x:v>
      </x:c>
      <x:c r="D814" s="4" t="str">
        <x:v>消费直播间：展示消费对象的主播昵称和主播 ID。</x:v>
      </x:c>
      <x:c r="E814" s="4" t="str">
        <x:v>尚未建立场景映射</x:v>
      </x:c>
      <x:c r="F814" s="4" t="str"/>
      <x:c r="G814" s="4" t="str">
        <x:v>本轮独立来源库保留该已知条款，但尚未建立可核验的正式场景映射；不是无业务依据，也不转为产品待确认。</x:v>
      </x:c>
    </x:row>
    <x:row r="815" ht="44" customHeight="1">
      <x:c r="A815" s="4" t="str">
        <x:v>REQ-e2b2cac19dd9</x:v>
      </x:c>
      <x:c r="B815" s="4" t="str">
        <x:v>钱包与充值</x:v>
      </x:c>
      <x:c r="C815" s="4" t="n">
        <x:v>1340</x:v>
      </x:c>
      <x:c r="D815" s="4" t="str">
        <x:v>消费成功只扣减一次金币并生成流水；余额不足或条件检查失败不扣减。</x:v>
      </x:c>
      <x:c r="E815" s="4" t="str">
        <x:v>尚未建立场景映射</x:v>
      </x:c>
      <x:c r="F815" s="4" t="str"/>
      <x:c r="G815" s="4" t="str">
        <x:v>本轮独立来源库保留该已知条款，但尚未建立可核验的正式场景映射；不是无业务依据，也不转为产品待确认。</x:v>
      </x:c>
    </x:row>
    <x:row r="816" ht="44" customHeight="1">
      <x:c r="A816" s="4" t="str">
        <x:v>REQ-9c7ac2554e43</x:v>
      </x:c>
      <x:c r="B816" s="4" t="str">
        <x:v>钱包与充值</x:v>
      </x:c>
      <x:c r="C816" s="4" t="n">
        <x:v>1341</x:v>
      </x:c>
      <x:c r="D816" s="4" t="str">
        <x:v>已成功赠送的礼物和已购买门票不支持退款。</x:v>
      </x:c>
      <x:c r="E816" s="4" t="str">
        <x:v>整段分支核验未闭合</x:v>
      </x:c>
      <x:c r="F816" s="4" t="str">
        <x:v>USER-0349</x:v>
      </x:c>
      <x:c r="G816" s="4" t="str">
        <x:v>本段剩余子句、条件组合及状态后续影响仍需与独立规则逐项闭合；这是生成覆盖缺口，不是产品决策缺失。</x:v>
      </x:c>
    </x:row>
    <x:row r="817" ht="44" customHeight="1">
      <x:c r="A817" s="4" t="str">
        <x:v>REQ-20e1d6131bd0</x:v>
      </x:c>
      <x:c r="B817" s="4" t="str">
        <x:v>钱包与充值</x:v>
      </x:c>
      <x:c r="C817" s="4" t="n">
        <x:v>1342</x:v>
      </x:c>
      <x:c r="D817" s="4" t="str">
        <x:v>门票仅对当前直播场次有效，同场重复进入不重复收费；被踢出或场次结束后失效且不退款。</x:v>
      </x:c>
      <x:c r="E817" s="4" t="str">
        <x:v>尚未建立场景映射</x:v>
      </x:c>
      <x:c r="F817" s="4" t="str"/>
      <x:c r="G817" s="4" t="str">
        <x:v>本轮独立来源库保留该已知条款，但尚未建立可核验的正式场景映射；不是无业务依据，也不转为产品待确认。</x:v>
      </x:c>
    </x:row>
    <x:row r="818" ht="44" customHeight="1">
      <x:c r="A818" s="4" t="str">
        <x:v>REQ-694754332629</x:v>
      </x:c>
      <x:c r="B818" s="4" t="str">
        <x:v>钱包与充值</x:v>
      </x:c>
      <x:c r="C818" s="4" t="n">
        <x:v>1343</x:v>
      </x:c>
      <x:c r="D818" s="4" t="str">
        <x:v>数据范围：当前用户所选的单笔支出订单，商品、数量和金币使用支付时记录。</x:v>
      </x:c>
      <x:c r="E818" s="4" t="str">
        <x:v>整段分支核验未闭合</x:v>
      </x:c>
      <x:c r="F818" s="4" t="str">
        <x:v>USER-0756、USER-0757</x:v>
      </x:c>
      <x:c r="G818" s="4" t="str">
        <x:v>本段剩余子句、条件组合及状态后续影响仍需与独立规则逐项闭合；这是生成覆盖缺口，不是产品决策缺失。</x:v>
      </x:c>
    </x:row>
    <x:row r="819" ht="44" customHeight="1">
      <x:c r="A819" s="4" t="str">
        <x:v>REQ-c8634d02c96a</x:v>
      </x:c>
      <x:c r="B819" s="4" t="str">
        <x:v>钱包与充值</x:v>
      </x:c>
      <x:c r="C819" s="4" t="n">
        <x:v>1344</x:v>
      </x:c>
      <x:c r="D819" s="4" t="str">
        <x:v>点击业务对象 -&gt; 进入仍可访问的主播或场次信息；对象已失效时仅保留订单快照，不重新发起消费。</x:v>
      </x:c>
      <x:c r="E819" s="4" t="str">
        <x:v>整段分支核验未闭合</x:v>
      </x:c>
      <x:c r="F819" s="4" t="str">
        <x:v>USER-0756、USER-0757</x:v>
      </x:c>
      <x:c r="G819" s="4" t="str">
        <x:v>本段剩余子句、条件组合及状态后续影响仍需与独立规则逐项闭合；这是生成覆盖缺口，不是产品决策缺失。</x:v>
      </x:c>
    </x:row>
    <x:row r="820" ht="57" customHeight="1">
      <x:c r="A820" s="4" t="str">
        <x:v>REQ-40eeb040fd0b</x:v>
      </x:c>
      <x:c r="B820" s="4" t="str">
        <x:v>账号与登录</x:v>
      </x:c>
      <x:c r="C820" s="4" t="n">
        <x:v>1349</x:v>
      </x:c>
      <x:c r="D820" s="4" t="str">
        <x:v>Google：第三方一键登录主入口；点击后唤起 Google 授权。</x:v>
      </x:c>
      <x:c r="E820" s="4" t="str">
        <x:v>整段分支核验未闭合</x:v>
      </x:c>
      <x:c r="F820" s="4" t="str">
        <x:v>USER-0023、USER-0024、USER-0029、USER-0030、USER-0035、USER-0036、USER-0041、USER-0042</x:v>
      </x:c>
      <x:c r="G820" s="4" t="str">
        <x:v>本段剩余子句、条件组合及状态后续影响仍需与独立规则逐项闭合；这是生成覆盖缺口，不是产品决策缺失。</x:v>
      </x:c>
    </x:row>
    <x:row r="821" ht="57" customHeight="1">
      <x:c r="A821" s="4" t="str">
        <x:v>REQ-fd8fa4b8e076</x:v>
      </x:c>
      <x:c r="B821" s="4" t="str">
        <x:v>账号与登录</x:v>
      </x:c>
      <x:c r="C821" s="4" t="n">
        <x:v>1350</x:v>
      </x:c>
      <x:c r="D821" s="4" t="str">
        <x:v>Facebook：第三方一键登录入口；点击后唤起 Facebook 授权。</x:v>
      </x:c>
      <x:c r="E821" s="4" t="str">
        <x:v>整段分支核验未闭合</x:v>
      </x:c>
      <x:c r="F821" s="4" t="str">
        <x:v>USER-0023、USER-0024、USER-0029、USER-0030、USER-0035、USER-0036、USER-0041、USER-0042</x:v>
      </x:c>
      <x:c r="G821" s="4" t="str">
        <x:v>本段剩余子句、条件组合及状态后续影响仍需与独立规则逐项闭合；这是生成覆盖缺口，不是产品决策缺失。</x:v>
      </x:c>
    </x:row>
    <x:row r="822" ht="57" customHeight="1">
      <x:c r="A822" s="4" t="str">
        <x:v>REQ-b89d6085cb6c</x:v>
      </x:c>
      <x:c r="B822" s="4" t="str">
        <x:v>账号与登录</x:v>
      </x:c>
      <x:c r="C822" s="4" t="n">
        <x:v>1351</x:v>
      </x:c>
      <x:c r="D822" s="4" t="str">
        <x:v>Apple ID：第三方一键登录入口，仅在 iOS 展示；点击后唤起 Apple 授权。</x:v>
      </x:c>
      <x:c r="E822" s="4" t="str">
        <x:v>整段分支核验未闭合</x:v>
      </x:c>
      <x:c r="F822" s="4" t="str">
        <x:v>USER-0023、USER-0024、USER-0029、USER-0030、USER-0035、USER-0036、USER-0041、USER-0042、USER-0047、USER-0048</x:v>
      </x:c>
      <x:c r="G822" s="4" t="str">
        <x:v>本段剩余子句、条件组合及状态后续影响仍需与独立规则逐项闭合；这是生成覆盖缺口，不是产品决策缺失。</x:v>
      </x:c>
    </x:row>
    <x:row r="823" ht="57" customHeight="1">
      <x:c r="A823" s="4" t="str">
        <x:v>REQ-7cace569fd6a</x:v>
      </x:c>
      <x:c r="B823" s="4" t="str">
        <x:v>账号与登录</x:v>
      </x:c>
      <x:c r="C823" s="4" t="n">
        <x:v>1352</x:v>
      </x:c>
      <x:c r="D823" s="4" t="str">
        <x:v>TikTok：第三方一键登录入口；点击后唤起 TikTok 授权。</x:v>
      </x:c>
      <x:c r="E823" s="4" t="str">
        <x:v>整段分支核验未闭合</x:v>
      </x:c>
      <x:c r="F823" s="4" t="str">
        <x:v>USER-0023、USER-0024、USER-0029、USER-0030、USER-0035、USER-0036、USER-0041、USER-0042</x:v>
      </x:c>
      <x:c r="G823" s="4" t="str">
        <x:v>本段剩余子句、条件组合及状态后续影响仍需与独立规则逐项闭合；这是生成覆盖缺口，不是产品决策缺失。</x:v>
      </x:c>
    </x:row>
    <x:row r="824" ht="44" customHeight="1">
      <x:c r="A824" s="4" t="str">
        <x:v>REQ-38961d098c06</x:v>
      </x:c>
      <x:c r="B824" s="4" t="str">
        <x:v>账号与登录</x:v>
      </x:c>
      <x:c r="C824" s="4" t="n">
        <x:v>1353</x:v>
      </x:c>
      <x:c r="D824" s="4" t="str">
        <x:v>手机号：进入手机号密码或短信验证码登录页。</x:v>
      </x:c>
      <x:c r="E824" s="4" t="str">
        <x:v>整段分支核验未闭合</x:v>
      </x:c>
      <x:c r="F824" s="4" t="str">
        <x:v>USER-0049、USER-0782</x:v>
      </x:c>
      <x:c r="G824" s="4" t="str">
        <x:v>本段剩余子句、条件组合及状态后续影响仍需与独立规则逐项闭合；这是生成覆盖缺口，不是产品决策缺失。</x:v>
      </x:c>
    </x:row>
    <x:row r="825" ht="44" customHeight="1">
      <x:c r="A825" s="4" t="str">
        <x:v>REQ-848f796728b0</x:v>
      </x:c>
      <x:c r="B825" s="4" t="str">
        <x:v>账号与登录</x:v>
      </x:c>
      <x:c r="C825" s="4" t="n">
        <x:v>1354</x:v>
      </x:c>
      <x:c r="D825" s="4" t="str">
        <x:v>邮箱：进入邮箱密码或邮箱验证码登录页。</x:v>
      </x:c>
      <x:c r="E825" s="4" t="str">
        <x:v>整段分支核验未闭合</x:v>
      </x:c>
      <x:c r="F825" s="4" t="str">
        <x:v>USER-0050、USER-0782</x:v>
      </x:c>
      <x:c r="G825" s="4" t="str">
        <x:v>本段剩余子句、条件组合及状态后续影响仍需与独立规则逐项闭合；这是生成覆盖缺口，不是产品决策缺失。</x:v>
      </x:c>
    </x:row>
    <x:row r="826" ht="44" customHeight="1">
      <x:c r="A826" s="4" t="str">
        <x:v>REQ-99f5b6a332c2</x:v>
      </x:c>
      <x:c r="B826" s="4" t="str">
        <x:v>账号与登录</x:v>
      </x:c>
      <x:c r="C826" s="4" t="n">
        <x:v>1355</x:v>
      </x:c>
      <x:c r="D826" s="4" t="str">
        <x:v>游客进入：不创建登录会话，进入游客可访问页面。</x:v>
      </x:c>
      <x:c r="E826" s="4" t="str">
        <x:v>整段分支核验未闭合</x:v>
      </x:c>
      <x:c r="F826" s="4" t="str">
        <x:v>USER-0051、USER-0052、USER-0053、USER-0054、USER-0055、USER-0056</x:v>
      </x:c>
      <x:c r="G826" s="4" t="str">
        <x:v>本段剩余子句、条件组合及状态后续影响仍需与独立规则逐项闭合；这是生成覆盖缺口，不是产品决策缺失。</x:v>
      </x:c>
    </x:row>
    <x:row r="827" ht="44" customHeight="1">
      <x:c r="A827" s="4" t="str">
        <x:v>REQ-4ad5d176f4e9</x:v>
      </x:c>
      <x:c r="B827" s="4" t="str">
        <x:v>账号与登录</x:v>
      </x:c>
      <x:c r="C827" s="4" t="n">
        <x:v>1356</x:v>
      </x:c>
      <x:c r="D827" s="4" t="str">
        <x:v>协议确认：发起登录前必须同意当前版本《用户协议》和《隐私政策》。</x:v>
      </x:c>
      <x:c r="E827" s="4" t="str">
        <x:v>整段分支核验未闭合</x:v>
      </x:c>
      <x:c r="F827" s="4" t="str">
        <x:v>USER-0023、USER-0029、USER-0035、USER-0041</x:v>
      </x:c>
      <x:c r="G827" s="4" t="str">
        <x:v>本段剩余子句、条件组合及状态后续影响仍需与独立规则逐项闭合；这是生成覆盖缺口，不是产品决策缺失。</x:v>
      </x:c>
    </x:row>
    <x:row r="828" ht="87" customHeight="1">
      <x:c r="A828" s="4" t="str">
        <x:v>REQ-b176b815ee3f</x:v>
      </x:c>
      <x:c r="B828" s="4" t="str">
        <x:v>账号与登录</x:v>
      </x:c>
      <x:c r="C828" s="4" t="n">
        <x:v>1357</x:v>
      </x:c>
      <x:c r="D828" s="4" t="str">
        <x:v>Google、Facebook、Apple ID、TikTok 授权成功后，按对应平台账号标识查询 Luma Live 账号。</x:v>
      </x:c>
      <x:c r="E828" s="4" t="str">
        <x:v>整段分支核验未闭合</x:v>
      </x:c>
      <x:c r="F828" s="4" t="str">
        <x:v>USER-0024、USER-0025、USER-0026、USER-0030、USER-0031、USER-0032、USER-0036、USER-0037、USER-0038、USER-0042、USER-0043、USER-0044、USER-0047、USER-0048</x:v>
      </x:c>
      <x:c r="G828" s="4" t="str">
        <x:v>本段剩余子句、条件组合及状态后续影响仍需与独立规则逐项闭合；这是生成覆盖缺口，不是产品决策缺失。</x:v>
      </x:c>
    </x:row>
    <x:row r="829" ht="57" customHeight="1">
      <x:c r="A829" s="4" t="str">
        <x:v>REQ-af1de9dc6f1d</x:v>
      </x:c>
      <x:c r="B829" s="4" t="str">
        <x:v>账号与登录</x:v>
      </x:c>
      <x:c r="C829" s="4" t="n">
        <x:v>1358</x:v>
      </x:c>
      <x:c r="D829" s="4" t="str">
        <x:v>所有新注册账号首次授权成功 -&gt; 自动创建账号，生成用户 ID、默认昵称和默认头像，并进入资料补全；已有账号 -&gt; 建立登录会话并进入首页。</x:v>
      </x:c>
      <x:c r="E829" s="4" t="str">
        <x:v>整段分支核验未闭合</x:v>
      </x:c>
      <x:c r="F829" s="4" t="str">
        <x:v>USER-0025、USER-0026、USER-0031、USER-0032、USER-0037、USER-0038、USER-0043、USER-0044</x:v>
      </x:c>
      <x:c r="G829" s="4" t="str">
        <x:v>本段剩余子句、条件组合及状态后续影响仍需与独立规则逐项闭合；这是生成覆盖缺口，不是产品决策缺失。</x:v>
      </x:c>
    </x:row>
    <x:row r="830" ht="57" customHeight="1">
      <x:c r="A830" s="4" t="str">
        <x:v>REQ-d73f453a6aba</x:v>
      </x:c>
      <x:c r="B830" s="4" t="str">
        <x:v>账号与登录</x:v>
      </x:c>
      <x:c r="C830" s="4" t="n">
        <x:v>1359</x:v>
      </x:c>
      <x:c r="D830" s="4" t="str">
        <x:v>用户取消授权、授权失败或未取得有效账号标识 -&gt; 不创建账号、不建立登录会话，停留本页并提示结果。</x:v>
      </x:c>
      <x:c r="E830" s="4" t="str">
        <x:v>整段分支核验未闭合</x:v>
      </x:c>
      <x:c r="F830" s="4" t="str">
        <x:v>USER-0027、USER-0028、USER-0033、USER-0034、USER-0039、USER-0040、USER-0045、USER-0046</x:v>
      </x:c>
      <x:c r="G830" s="4" t="str">
        <x:v>本段剩余子句、条件组合及状态后续影响仍需与独立规则逐项闭合；这是生成覆盖缺口，不是产品决策缺失。</x:v>
      </x:c>
    </x:row>
    <x:row r="831" ht="44" customHeight="1">
      <x:c r="A831" s="4" t="str">
        <x:v>REQ-c006ed524230</x:v>
      </x:c>
      <x:c r="B831" s="4" t="str">
        <x:v>账号与登录</x:v>
      </x:c>
      <x:c r="C831" s="4" t="n">
        <x:v>1360</x:v>
      </x:c>
      <x:c r="D831" s="4" t="str">
        <x:v>账号状态为封禁 -&gt; 不建立登录会话，停留本页并 Toast 提示“账号已被封禁”。</x:v>
      </x:c>
      <x:c r="E831" s="4" t="str">
        <x:v>整段分支核验未闭合</x:v>
      </x:c>
      <x:c r="F831" s="4" t="str">
        <x:v>USER-0398、USER-0399</x:v>
      </x:c>
      <x:c r="G831" s="4" t="str">
        <x:v>本段剩余子句、条件组合及状态后续影响仍需与独立规则逐项闭合；这是生成覆盖缺口，不是产品决策缺失。</x:v>
      </x:c>
    </x:row>
    <x:row r="832" ht="44" customHeight="1">
      <x:c r="A832" s="4" t="str">
        <x:v>REQ-b4c289296364</x:v>
      </x:c>
      <x:c r="B832" s="4" t="str">
        <x:v>账号与登录</x:v>
      </x:c>
      <x:c r="C832" s="4" t="n">
        <x:v>1361</x:v>
      </x:c>
      <x:c r="D832" s="4" t="str">
        <x:v>账号处于注销冷静期 -&gt; 不建立常规登录会话，展示注销冷静期弹窗；冷静期内账号及相关数据保留。</x:v>
      </x:c>
      <x:c r="E832" s="4" t="str">
        <x:v>尚未建立场景映射</x:v>
      </x:c>
      <x:c r="F832" s="4" t="str"/>
      <x:c r="G832" s="4" t="str">
        <x:v>本轮独立来源库保留该已知条款，但尚未建立可核验的正式场景映射；不是无业务依据，也不转为产品待确认。</x:v>
      </x:c>
    </x:row>
    <x:row r="833" ht="44" customHeight="1">
      <x:c r="A833" s="4" t="str">
        <x:v>REQ-a550afe9b682</x:v>
      </x:c>
      <x:c r="B833" s="4" t="str">
        <x:v>账号与登录</x:v>
      </x:c>
      <x:c r="C833" s="4" t="n">
        <x:v>1362</x:v>
      </x:c>
      <x:c r="D833" s="4" t="str">
        <x:v>Apple ID 仅在 iOS 展示。</x:v>
      </x:c>
      <x:c r="E833" s="4" t="str">
        <x:v>整段分支核验未闭合</x:v>
      </x:c>
      <x:c r="F833" s="4" t="str">
        <x:v>USER-0036、USER-0047、USER-0048</x:v>
      </x:c>
      <x:c r="G833" s="4" t="str">
        <x:v>本段剩余子句、条件组合及状态后续影响仍需与独立规则逐项闭合；这是生成覆盖缺口，不是产品决策缺失。</x:v>
      </x:c>
    </x:row>
    <x:row r="834" ht="44" customHeight="1">
      <x:c r="A834" s="4" t="str">
        <x:v>REQ-cd0830f37016</x:v>
      </x:c>
      <x:c r="B834" s="4" t="str">
        <x:v>账号与登录</x:v>
      </x:c>
      <x:c r="C834" s="4" t="n">
        <x:v>1363</x:v>
      </x:c>
      <x:c r="D834" s="4" t="str">
        <x:v>游客白名单为首页、主播榜、贡献榜、福利页和邀请好友页；其余页面及账号动作需登录。</x:v>
      </x:c>
      <x:c r="E834" s="4" t="str">
        <x:v>整段分支核验未闭合</x:v>
      </x:c>
      <x:c r="F834" s="4" t="str">
        <x:v>USER-0051、USER-0052、USER-0053、USER-0054、USER-0055、USER-0056</x:v>
      </x:c>
      <x:c r="G834" s="4" t="str">
        <x:v>本段剩余子句、条件组合及状态后续影响仍需与独立规则逐项闭合；这是生成覆盖缺口，不是产品决策缺失。</x:v>
      </x:c>
    </x:row>
    <x:row r="835" ht="57" customHeight="1">
      <x:c r="A835" s="4" t="str">
        <x:v>REQ-527b389bdcda</x:v>
      </x:c>
      <x:c r="B835" s="4" t="str">
        <x:v>账号与登录</x:v>
      </x:c>
      <x:c r="C835" s="4" t="n">
        <x:v>1364</x:v>
      </x:c>
      <x:c r="D835" s="4" t="str">
        <x:v>未勾选协议 -&gt; 点击 Google、Facebook、Apple ID 或 TikTok -&gt; 提示先同意《用户协议》和《隐私政策》，不发起授权。</x:v>
      </x:c>
      <x:c r="E835" s="4" t="str">
        <x:v>整段分支核验未闭合</x:v>
      </x:c>
      <x:c r="F835" s="4" t="str">
        <x:v>USER-0023、USER-0024、USER-0029、USER-0030、USER-0035、USER-0036、USER-0041、USER-0042、USER-0047、USER-0048</x:v>
      </x:c>
      <x:c r="G835" s="4" t="str">
        <x:v>本段剩余子句、条件组合及状态后续影响仍需与独立规则逐项闭合；这是生成覆盖缺口，不是产品决策缺失。</x:v>
      </x:c>
    </x:row>
    <x:row r="836" ht="87" customHeight="1">
      <x:c r="A836" s="4" t="str">
        <x:v>REQ-76e70fcba89b</x:v>
      </x:c>
      <x:c r="B836" s="4" t="str">
        <x:v>账号与登录</x:v>
      </x:c>
      <x:c r="C836" s="4" t="n">
        <x:v>1365</x:v>
      </x:c>
      <x:c r="D836" s="4" t="str">
        <x:v>已勾选协议 -&gt; 点击任一第三方入口 -&gt; 唤起对应平台授权；授权成功后按新老账号分流。</x:v>
      </x:c>
      <x:c r="E836" s="4" t="str">
        <x:v>整段分支核验未闭合</x:v>
      </x:c>
      <x:c r="F836" s="4" t="str">
        <x:v>USER-0023、USER-0024、USER-0025、USER-0026、USER-0029、USER-0030、USER-0031、USER-0032、USER-0035、USER-0036、USER-0037、USER-0038、USER-0041、USER-0042、USER-0043、USER-0044</x:v>
      </x:c>
      <x:c r="G836" s="4" t="str">
        <x:v>本段剩余子句、条件组合及状态后续影响仍需与独立规则逐项闭合；这是生成覆盖缺口，不是产品决策缺失。</x:v>
      </x:c>
    </x:row>
    <x:row r="837" ht="87" customHeight="1">
      <x:c r="A837" s="4" t="str">
        <x:v>REQ-a018ce659c74</x:v>
      </x:c>
      <x:c r="B837" s="4" t="str">
        <x:v>账号与登录</x:v>
      </x:c>
      <x:c r="C837" s="4" t="n">
        <x:v>1366</x:v>
      </x:c>
      <x:c r="D837" s="4" t="str">
        <x:v>第三方授权失败 -&gt; 停留本页并 Toast 提示“登录失败，请重试”；取消授权 -&gt; Toast 提示“已取消授权”。</x:v>
      </x:c>
      <x:c r="E837" s="4" t="str">
        <x:v>整段分支核验未闭合</x:v>
      </x:c>
      <x:c r="F837" s="4" t="str">
        <x:v>USER-0023、USER-0024、USER-0027、USER-0028、USER-0029、USER-0030、USER-0033、USER-0034、USER-0035、USER-0036、USER-0039、USER-0040、USER-0041、USER-0042、USER-0045、USER-0046</x:v>
      </x:c>
      <x:c r="G837" s="4" t="str">
        <x:v>本段剩余子句、条件组合及状态后续影响仍需与独立规则逐项闭合；这是生成覆盖缺口，不是产品决策缺失。</x:v>
      </x:c>
    </x:row>
    <x:row r="838" ht="57" customHeight="1">
      <x:c r="A838" s="4" t="str">
        <x:v>REQ-f07ba4f39c72</x:v>
      </x:c>
      <x:c r="B838" s="4" t="str">
        <x:v>账号与登录</x:v>
      </x:c>
      <x:c r="C838" s="4" t="n">
        <x:v>1367</x:v>
      </x:c>
      <x:c r="D838" s="4" t="str">
        <x:v>授权成功但账号已封禁 -&gt; 停留本页并 Toast 提示“账号已被封禁”。</x:v>
      </x:c>
      <x:c r="E838" s="4" t="str">
        <x:v>整段分支核验未闭合</x:v>
      </x:c>
      <x:c r="F838" s="4" t="str">
        <x:v>USER-0025、USER-0026、USER-0031、USER-0032、USER-0037、USER-0038、USER-0043、USER-0044、USER-0398</x:v>
      </x:c>
      <x:c r="G838" s="4" t="str">
        <x:v>本段剩余子句、条件组合及状态后续影响仍需与独立规则逐项闭合；这是生成覆盖缺口，不是产品决策缺失。</x:v>
      </x:c>
    </x:row>
    <x:row r="839" ht="44" customHeight="1">
      <x:c r="A839" s="4" t="str">
        <x:v>REQ-56ba02295864</x:v>
      </x:c>
      <x:c r="B839" s="4" t="str">
        <x:v>账号与登录</x:v>
      </x:c>
      <x:c r="C839" s="4" t="n">
        <x:v>1368</x:v>
      </x:c>
      <x:c r="D839" s="4" t="str">
        <x:v>账号处于注销冷静期 -&gt; 展示可取消截止时间及“暂不取消、取消注销”；取消注销后恢复账号并直接登录。</x:v>
      </x:c>
      <x:c r="E839" s="4" t="str">
        <x:v>尚未建立场景映射</x:v>
      </x:c>
      <x:c r="F839" s="4" t="str"/>
      <x:c r="G839" s="4" t="str">
        <x:v>本轮独立来源库保留该已知条款，但尚未建立可核验的正式场景映射；不是无业务依据，也不转为产品待确认。</x:v>
      </x:c>
    </x:row>
    <x:row r="840" ht="44" customHeight="1">
      <x:c r="A840" s="4" t="str">
        <x:v>REQ-5747707e2366</x:v>
      </x:c>
      <x:c r="B840" s="4" t="str">
        <x:v>账号与登录</x:v>
      </x:c>
      <x:c r="C840" s="4" t="n">
        <x:v>1369</x:v>
      </x:c>
      <x:c r="D840" s="4" t="str">
        <x:v>点击手机号登录 -&gt; 进入手机号登录页。</x:v>
      </x:c>
      <x:c r="E840" s="4" t="str">
        <x:v>整段分支核验未闭合</x:v>
      </x:c>
      <x:c r="F840" s="4" t="str">
        <x:v>USER-0049、USER-0392</x:v>
      </x:c>
      <x:c r="G840" s="4" t="str">
        <x:v>本段剩余子句、条件组合及状态后续影响仍需与独立规则逐项闭合；这是生成覆盖缺口，不是产品决策缺失。</x:v>
      </x:c>
    </x:row>
    <x:row r="841" ht="44" customHeight="1">
      <x:c r="A841" s="4" t="str">
        <x:v>REQ-33b03452c3c7</x:v>
      </x:c>
      <x:c r="B841" s="4" t="str">
        <x:v>账号与登录</x:v>
      </x:c>
      <x:c r="C841" s="4" t="n">
        <x:v>1370</x:v>
      </x:c>
      <x:c r="D841" s="4" t="str">
        <x:v>点击邮箱 -&gt; 进入邮箱登录页。</x:v>
      </x:c>
      <x:c r="E841" s="4" t="str">
        <x:v>整段分支核验未闭合</x:v>
      </x:c>
      <x:c r="F841" s="4" t="str">
        <x:v>USER-0050、USER-0393</x:v>
      </x:c>
      <x:c r="G841" s="4" t="str">
        <x:v>本段剩余子句、条件组合及状态后续影响仍需与独立规则逐项闭合；这是生成覆盖缺口，不是产品决策缺失。</x:v>
      </x:c>
    </x:row>
    <x:row r="842" ht="57" customHeight="1">
      <x:c r="A842" s="4" t="str">
        <x:v>REQ-34712a13e43f</x:v>
      </x:c>
      <x:c r="B842" s="4" t="str">
        <x:v>账号与登录</x:v>
      </x:c>
      <x:c r="C842" s="4" t="n">
        <x:v>1371</x:v>
      </x:c>
      <x:c r="D842" s="4" t="str">
        <x:v>点击游客进入 -&gt; 不校验登录协议，直接以游客身份进入首页。</x:v>
      </x:c>
      <x:c r="E842" s="4" t="str">
        <x:v>整段分支核验未闭合</x:v>
      </x:c>
      <x:c r="F842" s="4" t="str">
        <x:v>USER-0023、USER-0029、USER-0035、USER-0041、USER-0051、USER-0052、USER-0053、USER-0054、USER-0055、USER-0056</x:v>
      </x:c>
      <x:c r="G842" s="4" t="str">
        <x:v>本段剩余子句、条件组合及状态后续影响仍需与独立规则逐项闭合；这是生成覆盖缺口，不是产品决策缺失。</x:v>
      </x:c>
    </x:row>
    <x:row r="843" ht="44" customHeight="1">
      <x:c r="A843" s="4" t="str">
        <x:v>REQ-4fbd7f2670b0</x:v>
      </x:c>
      <x:c r="B843" s="4" t="str">
        <x:v>账号与登录</x:v>
      </x:c>
      <x:c r="C843" s="4" t="n">
        <x:v>1376</x:v>
      </x:c>
      <x:c r="D843" s="4" t="str">
        <x:v>头像：默认使用系统头像，可选择预置头像。</x:v>
      </x:c>
      <x:c r="E843" s="4" t="str">
        <x:v>整段分支核验未闭合</x:v>
      </x:c>
      <x:c r="F843" s="4" t="str">
        <x:v>USER-0099、USER-0100</x:v>
      </x:c>
      <x:c r="G843" s="4" t="str">
        <x:v>本段剩余子句、条件组合及状态后续影响仍需与独立规则逐项闭合；这是生成覆盖缺口，不是产品决策缺失。</x:v>
      </x:c>
    </x:row>
    <x:row r="844" ht="57" customHeight="1">
      <x:c r="A844" s="4" t="str">
        <x:v>REQ-01f0e1f8b741</x:v>
      </x:c>
      <x:c r="B844" s="4" t="str">
        <x:v>账号与登录</x:v>
      </x:c>
      <x:c r="C844" s="4" t="n">
        <x:v>1377</x:v>
      </x:c>
      <x:c r="D844" s="4" t="str">
        <x:v>昵称：默认使用系统昵称；保存时不能为空，最长 20 个字符。</x:v>
      </x:c>
      <x:c r="E844" s="4" t="str">
        <x:v>整段分支核验未闭合</x:v>
      </x:c>
      <x:c r="F844" s="4" t="str">
        <x:v>USER-0099、USER-0100、USER-0101、USER-0102、USER-0103、USER-0104、USER-0634</x:v>
      </x:c>
      <x:c r="G844" s="4" t="str">
        <x:v>本段剩余子句、条件组合及状态后续影响仍需与独立规则逐项闭合；这是生成覆盖缺口，不是产品决策缺失。</x:v>
      </x:c>
    </x:row>
    <x:row r="845" ht="44" customHeight="1">
      <x:c r="A845" s="4" t="str">
        <x:v>REQ-52eaf2e65674</x:v>
      </x:c>
      <x:c r="B845" s="4" t="str">
        <x:v>账号与登录</x:v>
      </x:c>
      <x:c r="C845" s="4" t="n">
        <x:v>1378</x:v>
      </x:c>
      <x:c r="D845" s="4" t="str">
        <x:v>仅用于新用户首次登录后的资料补全；保存后使用用户填写的资料，跳过则保留系统默认头像和昵称。</x:v>
      </x:c>
      <x:c r="E845" s="4" t="str">
        <x:v>整段分支核验未闭合</x:v>
      </x:c>
      <x:c r="F845" s="4" t="str">
        <x:v>USER-0099、USER-0100、USER-0101、USER-0102、USER-0103、USER-0104</x:v>
      </x:c>
      <x:c r="G845" s="4" t="str">
        <x:v>本段剩余子句、条件组合及状态后续影响仍需与独立规则逐项闭合；这是生成覆盖缺口，不是产品决策缺失。</x:v>
      </x:c>
    </x:row>
    <x:row r="846" ht="44" customHeight="1">
      <x:c r="A846" s="4" t="str">
        <x:v>REQ-aa7f3f33dfc4</x:v>
      </x:c>
      <x:c r="B846" s="4" t="str">
        <x:v>账号与登录</x:v>
      </x:c>
      <x:c r="C846" s="4" t="n">
        <x:v>1379</x:v>
      </x:c>
      <x:c r="D846" s="4" t="str">
        <x:v>保存 -&gt; 校验昵称 -&gt; 保存资料并进入首页。</x:v>
      </x:c>
      <x:c r="E846" s="4" t="str">
        <x:v>整段分支核验未闭合</x:v>
      </x:c>
      <x:c r="F846" s="4" t="str">
        <x:v>USER-0101、USER-0102、USER-0103、USER-0104</x:v>
      </x:c>
      <x:c r="G846" s="4" t="str">
        <x:v>本段剩余子句、条件组合及状态后续影响仍需与独立规则逐项闭合；这是生成覆盖缺口，不是产品决策缺失。</x:v>
      </x:c>
    </x:row>
    <x:row r="847" ht="44" customHeight="1">
      <x:c r="A847" s="4" t="str">
        <x:v>REQ-92108788a9ad</x:v>
      </x:c>
      <x:c r="B847" s="4" t="str">
        <x:v>账号与登录</x:v>
      </x:c>
      <x:c r="C847" s="4" t="n">
        <x:v>1380</x:v>
      </x:c>
      <x:c r="D847" s="4" t="str">
        <x:v>跳过 -&gt; 保留系统默认资料并进入首页。</x:v>
      </x:c>
      <x:c r="E847" s="4" t="str">
        <x:v>整段分支核验未闭合</x:v>
      </x:c>
      <x:c r="F847" s="4" t="str">
        <x:v>USER-0099、USER-0100</x:v>
      </x:c>
      <x:c r="G847" s="4" t="str">
        <x:v>本段剩余子句、条件组合及状态后续影响仍需与独立规则逐项闭合；这是生成覆盖缺口，不是产品决策缺失。</x:v>
      </x:c>
    </x:row>
    <x:row r="848" ht="57" customHeight="1">
      <x:c r="A848" s="4" t="str">
        <x:v>REQ-1c46961734ed</x:v>
      </x:c>
      <x:c r="B848" s="4" t="str">
        <x:v>账号与登录</x:v>
      </x:c>
      <x:c r="C848" s="4" t="n">
        <x:v>1385</x:v>
      </x:c>
      <x:c r="D848" s="4" t="str">
        <x:v>国家或地区区号：入口仅展示区号，不显示国旗；默认按设备地区匹配，无法识别时使用印度尼西亚 +62。点击进入独立选择页；不提供中国大陆 +86。</x:v>
      </x:c>
      <x:c r="E848" s="4" t="str">
        <x:v>整段分支核验未闭合</x:v>
      </x:c>
      <x:c r="F848" s="4" t="str">
        <x:v>USER-0062、USER-0071</x:v>
      </x:c>
      <x:c r="G848" s="4" t="str">
        <x:v>本段剩余子句、条件组合及状态后续影响仍需与独立规则逐项闭合；这是生成覆盖缺口，不是产品决策缺失。</x:v>
      </x:c>
    </x:row>
    <x:row r="849" ht="44" customHeight="1">
      <x:c r="A849" s="4" t="str">
        <x:v>REQ-769e98db4e74</x:v>
      </x:c>
      <x:c r="B849" s="4" t="str">
        <x:v>账号与登录</x:v>
      </x:c>
      <x:c r="C849" s="4" t="n">
        <x:v>1386</x:v>
      </x:c>
      <x:c r="D849" s="4" t="str">
        <x:v>手机号：8-15 位数字。</x:v>
      </x:c>
      <x:c r="E849" s="4" t="str">
        <x:v>整段分支核验未闭合</x:v>
      </x:c>
      <x:c r="F849" s="4" t="str">
        <x:v>USER-0057、USER-0058、USER-0059、USER-0060、USER-0061</x:v>
      </x:c>
      <x:c r="G849" s="4" t="str">
        <x:v>本段剩余子句、条件组合及状态后续影响仍需与独立规则逐项闭合；这是生成覆盖缺口，不是产品决策缺失。</x:v>
      </x:c>
    </x:row>
    <x:row r="850" ht="57" customHeight="1">
      <x:c r="A850" s="4" t="str">
        <x:v>REQ-43f78ae14856</x:v>
      </x:c>
      <x:c r="B850" s="4" t="str">
        <x:v>账号与登录</x:v>
      </x:c>
      <x:c r="C850" s="4" t="n">
        <x:v>1387</x:v>
      </x:c>
      <x:c r="D850" s="4" t="str">
        <x:v>验证码：6 位数字，有效期 5 分钟；连续错误 5 次后当前验证码失效。</x:v>
      </x:c>
      <x:c r="E850" s="4" t="str">
        <x:v>整段分支核验未闭合</x:v>
      </x:c>
      <x:c r="F850" s="4" t="str">
        <x:v>USER-0061、USER-0072、USER-0073、USER-0074、USER-0077、USER-0078、USER-0079</x:v>
      </x:c>
      <x:c r="G850" s="4" t="str">
        <x:v>本段剩余子句、条件组合及状态后续影响仍需与独立规则逐项闭合；这是生成覆盖缺口，不是产品决策缺失。</x:v>
      </x:c>
    </x:row>
    <x:row r="851" ht="44" customHeight="1">
      <x:c r="A851" s="4" t="str">
        <x:v>REQ-c45bffcc76df</x:v>
      </x:c>
      <x:c r="B851" s="4" t="str">
        <x:v>账号与登录</x:v>
      </x:c>
      <x:c r="C851" s="4" t="n">
        <x:v>1388</x:v>
      </x:c>
      <x:c r="D851" s="4" t="str">
        <x:v>密码：密码登录时必填。</x:v>
      </x:c>
      <x:c r="E851" s="4" t="str">
        <x:v>整段分支核验未闭合</x:v>
      </x:c>
      <x:c r="F851" s="4" t="str">
        <x:v>USER-0782</x:v>
      </x:c>
      <x:c r="G851" s="4" t="str">
        <x:v>本段剩余子句、条件组合及状态后续影响仍需与独立规则逐项闭合；这是生成覆盖缺口，不是产品决策缺失。</x:v>
      </x:c>
    </x:row>
    <x:row r="852" ht="57" customHeight="1">
      <x:c r="A852" s="4" t="str">
        <x:v>REQ-efd41a453368</x:v>
      </x:c>
      <x:c r="B852" s="4" t="str">
        <x:v>账号与登录</x:v>
      </x:c>
      <x:c r="C852" s="4" t="n">
        <x:v>1389</x:v>
      </x:c>
      <x:c r="D852" s="4" t="str">
        <x:v>从登录入口进入时默认使用短信验证码登录。</x:v>
      </x:c>
      <x:c r="E852" s="4" t="str">
        <x:v>整段分支核验未闭合</x:v>
      </x:c>
      <x:c r="F852" s="4" t="str">
        <x:v>USER-0062、USER-0071、USER-0072、USER-0073、USER-0074、USER-0077、USER-0078</x:v>
      </x:c>
      <x:c r="G852" s="4" t="str">
        <x:v>本段剩余子句、条件组合及状态后续影响仍需与独立规则逐项闭合；这是生成覆盖缺口，不是产品决策缺失。</x:v>
      </x:c>
    </x:row>
    <x:row r="853" ht="57" customHeight="1">
      <x:c r="A853" s="4" t="str">
        <x:v>REQ-235781692515</x:v>
      </x:c>
      <x:c r="B853" s="4" t="str">
        <x:v>账号与登录</x:v>
      </x:c>
      <x:c r="C853" s="4" t="n">
        <x:v>1390</x:v>
      </x:c>
      <x:c r="D853" s="4" t="str">
        <x:v>选择区号后返回本页，保留已输入手机号、登录方式和协议勾选状态。</x:v>
      </x:c>
      <x:c r="E853" s="4" t="str">
        <x:v>整段分支核验未闭合</x:v>
      </x:c>
      <x:c r="F853" s="4" t="str">
        <x:v>USER-0057、USER-0058、USER-0059、USER-0060、USER-0061、USER-0062、USER-0063、USER-0064、USER-0065</x:v>
      </x:c>
      <x:c r="G853" s="4" t="str">
        <x:v>本段剩余子句、条件组合及状态后续影响仍需与独立规则逐项闭合；这是生成覆盖缺口，不是产品决策缺失。</x:v>
      </x:c>
    </x:row>
    <x:row r="854" ht="44" customHeight="1">
      <x:c r="A854" s="4" t="str">
        <x:v>REQ-89e915f8f5a2</x:v>
      </x:c>
      <x:c r="B854" s="4" t="str">
        <x:v>账号与登录</x:v>
      </x:c>
      <x:c r="C854" s="4" t="n">
        <x:v>1391</x:v>
      </x:c>
      <x:c r="D854" s="4" t="str">
        <x:v>凭证验证成功但账号处于注销冷静期时，不建立常规登录会话，进入登录与注册页展示冷静期弹窗。</x:v>
      </x:c>
      <x:c r="E854" s="4" t="str">
        <x:v>整段分支核验未闭合</x:v>
      </x:c>
      <x:c r="F854" s="4" t="str">
        <x:v>USER-0082</x:v>
      </x:c>
      <x:c r="G854" s="4" t="str">
        <x:v>本段剩余子句、条件组合及状态后续影响仍需与独立规则逐项闭合；这是生成覆盖缺口，不是产品决策缺失。</x:v>
      </x:c>
    </x:row>
    <x:row r="855" ht="72" customHeight="1">
      <x:c r="A855" s="4" t="str">
        <x:v>REQ-d11325bdaeb3</x:v>
      </x:c>
      <x:c r="B855" s="4" t="str">
        <x:v>账号与登录</x:v>
      </x:c>
      <x:c r="C855" s="4" t="n">
        <x:v>1392</x:v>
      </x:c>
      <x:c r="D855" s="4" t="str">
        <x:v>手机号有效 -&gt; 可获取验证码；发送后倒计时 60 秒，期间不可重复获取。</x:v>
      </x:c>
      <x:c r="E855" s="4" t="str">
        <x:v>整段分支核验未闭合</x:v>
      </x:c>
      <x:c r="F855" s="4" t="str">
        <x:v>USER-0057、USER-0058、USER-0059、USER-0060、USER-0061、USER-0072、USER-0073、USER-0074、USER-0075、USER-0076、USER-0077、USER-0078</x:v>
      </x:c>
      <x:c r="G855" s="4" t="str">
        <x:v>本段剩余子句、条件组合及状态后续影响仍需与独立规则逐项闭合；这是生成覆盖缺口，不是产品决策缺失。</x:v>
      </x:c>
    </x:row>
    <x:row r="856" ht="57" customHeight="1">
      <x:c r="A856" s="4" t="str">
        <x:v>REQ-710f264aa1d8</x:v>
      </x:c>
      <x:c r="B856" s="4" t="str">
        <x:v>账号与登录</x:v>
      </x:c>
      <x:c r="C856" s="4" t="n">
        <x:v>1393</x:v>
      </x:c>
      <x:c r="D856" s="4" t="str">
        <x:v>手机号、登录凭证和协议均有效 -&gt; 继续按钮可用；登录成功 -&gt; 进入首页。</x:v>
      </x:c>
      <x:c r="E856" s="4" t="str">
        <x:v>整段分支核验未闭合</x:v>
      </x:c>
      <x:c r="F856" s="4" t="str">
        <x:v>USER-0057、USER-0058、USER-0059、USER-0060、USER-0061、USER-0072、USER-0073、USER-0074、USER-0077、USER-0078</x:v>
      </x:c>
      <x:c r="G856" s="4" t="str">
        <x:v>本段剩余子句、条件组合及状态后续影响仍需与独立规则逐项闭合；这是生成覆盖缺口，不是产品决策缺失。</x:v>
      </x:c>
    </x:row>
    <x:row r="857" ht="44" customHeight="1">
      <x:c r="A857" s="4" t="str">
        <x:v>REQ-b16a9f3760bc</x:v>
      </x:c>
      <x:c r="B857" s="4" t="str">
        <x:v>账号与登录</x:v>
      </x:c>
      <x:c r="C857" s="4" t="n">
        <x:v>1394</x:v>
      </x:c>
      <x:c r="D857" s="4" t="str">
        <x:v>点击区号 -&gt; 保存当前输入并进入选择国家/地区页；选择或返回后恢复登录表单。</x:v>
      </x:c>
      <x:c r="E857" s="4" t="str">
        <x:v>整段分支核验未闭合</x:v>
      </x:c>
      <x:c r="F857" s="4" t="str">
        <x:v>USER-0062、USER-0063、USER-0064、USER-0065</x:v>
      </x:c>
      <x:c r="G857" s="4" t="str">
        <x:v>本段剩余子句、条件组合及状态后续影响仍需与独立规则逐项闭合；这是生成覆盖缺口，不是产品决策缺失。</x:v>
      </x:c>
    </x:row>
    <x:row r="858" ht="57" customHeight="1">
      <x:c r="A858" s="4" t="str">
        <x:v>REQ-d2a5c2bc5ab7</x:v>
      </x:c>
      <x:c r="B858" s="4" t="str">
        <x:v>账号与登录</x:v>
      </x:c>
      <x:c r="C858" s="4" t="n">
        <x:v>1395</x:v>
      </x:c>
      <x:c r="D858" s="4" t="str">
        <x:v>点击使用密码登录或短信验证码登录 -&gt; 切换登录方式。</x:v>
      </x:c>
      <x:c r="E858" s="4" t="str">
        <x:v>整段分支核验未闭合</x:v>
      </x:c>
      <x:c r="F858" s="4" t="str">
        <x:v>USER-0072、USER-0073、USER-0074、USER-0077、USER-0078、USER-0080、USER-0081、USER-0782</x:v>
      </x:c>
      <x:c r="G858" s="4" t="str">
        <x:v>本段剩余子句、条件组合及状态后续影响仍需与独立规则逐项闭合；这是生成覆盖缺口，不是产品决策缺失。</x:v>
      </x:c>
    </x:row>
    <x:row r="859" ht="44" customHeight="1">
      <x:c r="A859" s="4" t="str">
        <x:v>REQ-97f1a2157119</x:v>
      </x:c>
      <x:c r="B859" s="4" t="str">
        <x:v>账号与登录</x:v>
      </x:c>
      <x:c r="C859" s="4" t="n">
        <x:v>1396</x:v>
      </x:c>
      <x:c r="D859" s="4" t="str">
        <x:v>命中注销冷静期 -&gt; 展示可取消截止时间及取消注销操作。</x:v>
      </x:c>
      <x:c r="E859" s="4" t="str">
        <x:v>整段分支核验未闭合</x:v>
      </x:c>
      <x:c r="F859" s="4" t="str">
        <x:v>USER-0082</x:v>
      </x:c>
      <x:c r="G859" s="4" t="str">
        <x:v>本段剩余子句、条件组合及状态后续影响仍需与独立规则逐项闭合；这是生成覆盖缺口，不是产品决策缺失。</x:v>
      </x:c>
    </x:row>
    <x:row r="860" ht="44" customHeight="1">
      <x:c r="A860" s="4" t="str">
        <x:v>REQ-016b98abdeb4</x:v>
      </x:c>
      <x:c r="B860" s="4" t="str">
        <x:v>账号与登录</x:v>
      </x:c>
      <x:c r="C860" s="4" t="n">
        <x:v>1401</x:v>
      </x:c>
      <x:c r="D860" s="4" t="str">
        <x:v>搜索：支持按国家或地区名称、国际区号搜索；无结果时显示空状态。</x:v>
      </x:c>
      <x:c r="E860" s="4" t="str">
        <x:v>整段分支核验未闭合</x:v>
      </x:c>
      <x:c r="F860" s="4" t="str">
        <x:v>USER-0066、USER-0067、USER-0069</x:v>
      </x:c>
      <x:c r="G860" s="4" t="str">
        <x:v>本段剩余子句、条件组合及状态后续影响仍需与独立规则逐项闭合；这是生成覆盖缺口，不是产品决策缺失。</x:v>
      </x:c>
    </x:row>
    <x:row r="861" ht="44" customHeight="1">
      <x:c r="A861" s="4" t="str">
        <x:v>REQ-9964c7ed44cf</x:v>
      </x:c>
      <x:c r="B861" s="4" t="str">
        <x:v>账号与登录</x:v>
      </x:c>
      <x:c r="C861" s="4" t="n">
        <x:v>1402</x:v>
      </x:c>
      <x:c r="D861" s="4" t="str">
        <x:v>全部地区：页面不设置常用地区分组，统一展示当前业务支持的国家或地区、国旗和国际区号；中国大陆 +86 不在可选列表。</x:v>
      </x:c>
      <x:c r="E861" s="4" t="str">
        <x:v>整段分支核验未闭合</x:v>
      </x:c>
      <x:c r="F861" s="4" t="str">
        <x:v>USER-0068</x:v>
      </x:c>
      <x:c r="G861" s="4" t="str">
        <x:v>本段剩余子句、条件组合及状态后续影响仍需与独立规则逐项闭合；这是生成覆盖缺口，不是产品决策缺失。</x:v>
      </x:c>
    </x:row>
    <x:row r="862" ht="44" customHeight="1">
      <x:c r="A862" s="4" t="str">
        <x:v>REQ-928c2429a102</x:v>
      </x:c>
      <x:c r="B862" s="4" t="str">
        <x:v>账号与登录</x:v>
      </x:c>
      <x:c r="C862" s="4" t="n">
        <x:v>1403</x:v>
      </x:c>
      <x:c r="D862" s="4" t="str">
        <x:v>当前选中项：使用勾选标识；未选择时按设备地区匹配，无法识别或设备地区为不支持项时使用印度尼西亚 +62。</x:v>
      </x:c>
      <x:c r="E862" s="4" t="str">
        <x:v>尚未建立场景映射</x:v>
      </x:c>
      <x:c r="F862" s="4" t="str"/>
      <x:c r="G862" s="4" t="str">
        <x:v>本轮独立来源库保留该已知条款，但尚未建立可核验的正式场景映射；不是无业务依据，也不转为产品待确认。</x:v>
      </x:c>
    </x:row>
    <x:row r="863" ht="44" customHeight="1">
      <x:c r="A863" s="4" t="str">
        <x:v>REQ-69c9aabd57c2</x:v>
      </x:c>
      <x:c r="B863" s="4" t="str">
        <x:v>账号与登录</x:v>
      </x:c>
      <x:c r="C863" s="4" t="n">
        <x:v>1404</x:v>
      </x:c>
      <x:c r="D863" s="4" t="str">
        <x:v>可选范围覆盖多地区，不提供中国大陆 +86。</x:v>
      </x:c>
      <x:c r="E863" s="4" t="str">
        <x:v>整段分支核验未闭合</x:v>
      </x:c>
      <x:c r="F863" s="4" t="str">
        <x:v>USER-0068</x:v>
      </x:c>
      <x:c r="G863" s="4" t="str">
        <x:v>本段剩余子句、条件组合及状态后续影响仍需与独立规则逐项闭合；这是生成覆盖缺口，不是产品决策缺失。</x:v>
      </x:c>
    </x:row>
    <x:row r="864" ht="44" customHeight="1">
      <x:c r="A864" s="4" t="str">
        <x:v>REQ-9ac0d78eb22f</x:v>
      </x:c>
      <x:c r="B864" s="4" t="str">
        <x:v>账号与登录</x:v>
      </x:c>
      <x:c r="C864" s="4" t="n">
        <x:v>1405</x:v>
      </x:c>
      <x:c r="D864" s="4" t="str">
        <x:v>区号只影响手机号登录标识，不改变账号地区资料。</x:v>
      </x:c>
      <x:c r="E864" s="4" t="str">
        <x:v>整段分支核验未闭合</x:v>
      </x:c>
      <x:c r="F864" s="4" t="str">
        <x:v>USER-0070</x:v>
      </x:c>
      <x:c r="G864" s="4" t="str">
        <x:v>本段剩余子句、条件组合及状态后续影响仍需与独立规则逐项闭合；这是生成覆盖缺口，不是产品决策缺失。</x:v>
      </x:c>
    </x:row>
    <x:row r="865" ht="44" customHeight="1">
      <x:c r="A865" s="4" t="str">
        <x:v>REQ-7ebdd25780d5</x:v>
      </x:c>
      <x:c r="B865" s="4" t="str">
        <x:v>账号与登录</x:v>
      </x:c>
      <x:c r="C865" s="4" t="n">
        <x:v>1406</x:v>
      </x:c>
      <x:c r="D865" s="4" t="str">
        <x:v>数据范围：仅展示支持手机号登录的国家或地区；搜索只在可选地区中匹配。</x:v>
      </x:c>
      <x:c r="E865" s="4" t="str">
        <x:v>整段分支核验未闭合</x:v>
      </x:c>
      <x:c r="F865" s="4" t="str">
        <x:v>USER-0066、USER-0067、USER-0069</x:v>
      </x:c>
      <x:c r="G865" s="4" t="str">
        <x:v>本段剩余子句、条件组合及状态后续影响仍需与独立规则逐项闭合；这是生成覆盖缺口，不是产品决策缺失。</x:v>
      </x:c>
    </x:row>
    <x:row r="866" ht="44" customHeight="1">
      <x:c r="A866" s="4" t="str">
        <x:v>REQ-5efb5b6424f2</x:v>
      </x:c>
      <x:c r="B866" s="4" t="str">
        <x:v>账号与登录</x:v>
      </x:c>
      <x:c r="C866" s="4" t="n">
        <x:v>1407</x:v>
      </x:c>
      <x:c r="D866" s="4" t="str">
        <x:v>输入名称或 +62 等区号 -&gt; 实时过滤全部地区；清空搜索 -&gt; 恢复全部地区。</x:v>
      </x:c>
      <x:c r="E866" s="4" t="str">
        <x:v>整段分支核验未闭合</x:v>
      </x:c>
      <x:c r="F866" s="4" t="str">
        <x:v>USER-0066、USER-0067、USER-0069</x:v>
      </x:c>
      <x:c r="G866" s="4" t="str">
        <x:v>本段剩余子句、条件组合及状态后续影响仍需与独立规则逐项闭合；这是生成覆盖缺口，不是产品决策缺失。</x:v>
      </x:c>
    </x:row>
    <x:row r="867" ht="44" customHeight="1">
      <x:c r="A867" s="4" t="str">
        <x:v>REQ-dde5b29e8c31</x:v>
      </x:c>
      <x:c r="B867" s="4" t="str">
        <x:v>账号与登录</x:v>
      </x:c>
      <x:c r="C867" s="4" t="n">
        <x:v>1408</x:v>
      </x:c>
      <x:c r="D867" s="4" t="str">
        <x:v>选择地区 -&gt; 保存区号并返回手机号登录页，保留已输入手机号、登录方式和协议勾选状态。</x:v>
      </x:c>
      <x:c r="E867" s="4" t="str">
        <x:v>整段分支核验未闭合</x:v>
      </x:c>
      <x:c r="F867" s="4" t="str">
        <x:v>USER-0070</x:v>
      </x:c>
      <x:c r="G867" s="4" t="str">
        <x:v>本段剩余子句、条件组合及状态后续影响仍需与独立规则逐项闭合；这是生成覆盖缺口，不是产品决策缺失。</x:v>
      </x:c>
    </x:row>
    <x:row r="868" ht="44" customHeight="1">
      <x:c r="A868" s="4" t="str">
        <x:v>REQ-b77a464b1c11</x:v>
      </x:c>
      <x:c r="B868" s="4" t="str">
        <x:v>账号与登录</x:v>
      </x:c>
      <x:c r="C868" s="4" t="n">
        <x:v>1409</x:v>
      </x:c>
      <x:c r="D868" s="4" t="str">
        <x:v>点击返回 -&gt; 不改变原区号并返回手机号登录页。</x:v>
      </x:c>
      <x:c r="E868" s="4" t="str">
        <x:v>整段分支核验未闭合</x:v>
      </x:c>
      <x:c r="F868" s="4" t="str">
        <x:v>USER-0070</x:v>
      </x:c>
      <x:c r="G868" s="4" t="str">
        <x:v>本段剩余子句、条件组合及状态后续影响仍需与独立规则逐项闭合；这是生成覆盖缺口，不是产品决策缺失。</x:v>
      </x:c>
    </x:row>
    <x:row r="869" ht="44" customHeight="1">
      <x:c r="A869" s="4" t="str">
        <x:v>REQ-830b83c03a0b</x:v>
      </x:c>
      <x:c r="B869" s="4" t="str">
        <x:v>账号与登录</x:v>
      </x:c>
      <x:c r="C869" s="4" t="n">
        <x:v>1414</x:v>
      </x:c>
      <x:c r="D869" s="4" t="str">
        <x:v>邮箱：必须为有效邮箱地址。</x:v>
      </x:c>
      <x:c r="E869" s="4" t="str">
        <x:v>整段分支核验未闭合</x:v>
      </x:c>
      <x:c r="F869" s="4" t="str">
        <x:v>USER-0095、USER-0096、USER-0097、USER-0098</x:v>
      </x:c>
      <x:c r="G869" s="4" t="str">
        <x:v>本段剩余子句、条件组合及状态后续影响仍需与独立规则逐项闭合；这是生成覆盖缺口，不是产品决策缺失。</x:v>
      </x:c>
    </x:row>
    <x:row r="870" ht="57" customHeight="1">
      <x:c r="A870" s="4" t="str">
        <x:v>REQ-6093735e3bc3</x:v>
      </x:c>
      <x:c r="B870" s="4" t="str">
        <x:v>账号与登录</x:v>
      </x:c>
      <x:c r="C870" s="4" t="n">
        <x:v>1415</x:v>
      </x:c>
      <x:c r="D870" s="4" t="str">
        <x:v>验证码：6 位数字，有效期 5 分钟；连续错误 5 次后当前验证码失效。</x:v>
      </x:c>
      <x:c r="E870" s="4" t="str">
        <x:v>整段分支核验未闭合</x:v>
      </x:c>
      <x:c r="F870" s="4" t="str">
        <x:v>USER-0084、USER-0085、USER-0086、USER-0089、USER-0090、USER-0091、USER-0095、USER-0096、USER-0097、USER-0098</x:v>
      </x:c>
      <x:c r="G870" s="4" t="str">
        <x:v>本段剩余子句、条件组合及状态后续影响仍需与独立规则逐项闭合；这是生成覆盖缺口，不是产品决策缺失。</x:v>
      </x:c>
    </x:row>
    <x:row r="871" ht="44" customHeight="1">
      <x:c r="A871" s="4" t="str">
        <x:v>REQ-ded540825cfd</x:v>
      </x:c>
      <x:c r="B871" s="4" t="str">
        <x:v>账号与登录</x:v>
      </x:c>
      <x:c r="C871" s="4" t="n">
        <x:v>1416</x:v>
      </x:c>
      <x:c r="D871" s="4" t="str">
        <x:v>密码：密码登录时必填。</x:v>
      </x:c>
      <x:c r="E871" s="4" t="str">
        <x:v>整段分支核验未闭合</x:v>
      </x:c>
      <x:c r="F871" s="4" t="str">
        <x:v>USER-0782</x:v>
      </x:c>
      <x:c r="G871" s="4" t="str">
        <x:v>本段剩余子句、条件组合及状态后续影响仍需与独立规则逐项闭合；这是生成覆盖缺口，不是产品决策缺失。</x:v>
      </x:c>
    </x:row>
    <x:row r="872" ht="57" customHeight="1">
      <x:c r="A872" s="4" t="str">
        <x:v>REQ-76e9f678da24</x:v>
      </x:c>
      <x:c r="B872" s="4" t="str">
        <x:v>账号与登录</x:v>
      </x:c>
      <x:c r="C872" s="4" t="n">
        <x:v>1417</x:v>
      </x:c>
      <x:c r="D872" s="4" t="str">
        <x:v>默认使用邮箱验证码登录。</x:v>
      </x:c>
      <x:c r="E872" s="4" t="str">
        <x:v>整段分支核验未闭合</x:v>
      </x:c>
      <x:c r="F872" s="4" t="str">
        <x:v>USER-0083、USER-0084、USER-0085、USER-0086、USER-0089、USER-0090、USER-0095、USER-0096、USER-0097、USER-0098</x:v>
      </x:c>
      <x:c r="G872" s="4" t="str">
        <x:v>本段剩余子句、条件组合及状态后续影响仍需与独立规则逐项闭合；这是生成覆盖缺口，不是产品决策缺失。</x:v>
      </x:c>
    </x:row>
    <x:row r="873" ht="44" customHeight="1">
      <x:c r="A873" s="4" t="str">
        <x:v>REQ-23a6b59cab38</x:v>
      </x:c>
      <x:c r="B873" s="4" t="str">
        <x:v>账号与登录</x:v>
      </x:c>
      <x:c r="C873" s="4" t="n">
        <x:v>1418</x:v>
      </x:c>
      <x:c r="D873" s="4" t="str">
        <x:v>凭证验证成功但账号处于注销冷静期时，不建立常规登录会话，进入登录与注册页展示冷静期弹窗。</x:v>
      </x:c>
      <x:c r="E873" s="4" t="str">
        <x:v>整段分支核验未闭合</x:v>
      </x:c>
      <x:c r="F873" s="4" t="str">
        <x:v>USER-0094</x:v>
      </x:c>
      <x:c r="G873" s="4" t="str">
        <x:v>本段剩余子句、条件组合及状态后续影响仍需与独立规则逐项闭合；这是生成覆盖缺口，不是产品决策缺失。</x:v>
      </x:c>
    </x:row>
    <x:row r="874" ht="72" customHeight="1">
      <x:c r="A874" s="4" t="str">
        <x:v>REQ-73f4f8991460</x:v>
      </x:c>
      <x:c r="B874" s="4" t="str">
        <x:v>账号与登录</x:v>
      </x:c>
      <x:c r="C874" s="4" t="n">
        <x:v>1419</x:v>
      </x:c>
      <x:c r="D874" s="4" t="str">
        <x:v>邮箱有效 -&gt; 可获取验证码；发送后倒计时 60 秒，期间不可重复获取。</x:v>
      </x:c>
      <x:c r="E874" s="4" t="str">
        <x:v>整段分支核验未闭合</x:v>
      </x:c>
      <x:c r="F874" s="4" t="str">
        <x:v>USER-0084、USER-0085、USER-0086、USER-0087、USER-0088、USER-0089、USER-0090、USER-0095、USER-0096、USER-0097、USER-0098</x:v>
      </x:c>
      <x:c r="G874" s="4" t="str">
        <x:v>本段剩余子句、条件组合及状态后续影响仍需与独立规则逐项闭合；这是生成覆盖缺口，不是产品决策缺失。</x:v>
      </x:c>
    </x:row>
    <x:row r="875" ht="57" customHeight="1">
      <x:c r="A875" s="4" t="str">
        <x:v>REQ-b92d5c7ef6a0</x:v>
      </x:c>
      <x:c r="B875" s="4" t="str">
        <x:v>账号与登录</x:v>
      </x:c>
      <x:c r="C875" s="4" t="n">
        <x:v>1420</x:v>
      </x:c>
      <x:c r="D875" s="4" t="str">
        <x:v>邮箱、登录凭证和协议均有效 -&gt; 继续按钮可用；登录成功 -&gt; 进入首页。</x:v>
      </x:c>
      <x:c r="E875" s="4" t="str">
        <x:v>整段分支核验未闭合</x:v>
      </x:c>
      <x:c r="F875" s="4" t="str">
        <x:v>USER-0084、USER-0085、USER-0086、USER-0089、USER-0090、USER-0095、USER-0096、USER-0097、USER-0098</x:v>
      </x:c>
      <x:c r="G875" s="4" t="str">
        <x:v>本段剩余子句、条件组合及状态后续影响仍需与独立规则逐项闭合；这是生成覆盖缺口，不是产品决策缺失。</x:v>
      </x:c>
    </x:row>
    <x:row r="876" ht="72" customHeight="1">
      <x:c r="A876" s="4" t="str">
        <x:v>REQ-6369e820dcd5</x:v>
      </x:c>
      <x:c r="B876" s="4" t="str">
        <x:v>账号与登录</x:v>
      </x:c>
      <x:c r="C876" s="4" t="n">
        <x:v>1421</x:v>
      </x:c>
      <x:c r="D876" s="4" t="str">
        <x:v>点击使用密码登录或邮箱验证码登录 -&gt; 切换登录方式。</x:v>
      </x:c>
      <x:c r="E876" s="4" t="str">
        <x:v>整段分支核验未闭合</x:v>
      </x:c>
      <x:c r="F876" s="4" t="str">
        <x:v>USER-0084、USER-0085、USER-0086、USER-0089、USER-0090、USER-0092、USER-0093、USER-0095、USER-0096、USER-0097、USER-0098、USER-0782</x:v>
      </x:c>
      <x:c r="G876" s="4" t="str">
        <x:v>本段剩余子句、条件组合及状态后续影响仍需与独立规则逐项闭合；这是生成覆盖缺口，不是产品决策缺失。</x:v>
      </x:c>
    </x:row>
    <x:row r="877" ht="44" customHeight="1">
      <x:c r="A877" s="4" t="str">
        <x:v>REQ-a2908a770369</x:v>
      </x:c>
      <x:c r="B877" s="4" t="str">
        <x:v>账号与登录</x:v>
      </x:c>
      <x:c r="C877" s="4" t="n">
        <x:v>1422</x:v>
      </x:c>
      <x:c r="D877" s="4" t="str">
        <x:v>命中注销冷静期 -&gt; 展示可取消截止时间及取消注销操作。</x:v>
      </x:c>
      <x:c r="E877" s="4" t="str">
        <x:v>整段分支核验未闭合</x:v>
      </x:c>
      <x:c r="F877" s="4" t="str">
        <x:v>USER-0094</x:v>
      </x:c>
      <x:c r="G877" s="4" t="str">
        <x:v>本段剩余子句、条件组合及状态后续影响仍需与独立规则逐项闭合；这是生成覆盖缺口，不是产品决策缺失。</x:v>
      </x:c>
    </x:row>
    <x:row r="878" ht="44" customHeight="1">
      <x:c r="A878" s="4" t="str">
        <x:v>REQ-59280d283c2f</x:v>
      </x:c>
      <x:c r="B878" s="4" t="str">
        <x:v>个人中心</x:v>
      </x:c>
      <x:c r="C878" s="4" t="n">
        <x:v>1427</x:v>
      </x:c>
      <x:c r="D878" s="4" t="str">
        <x:v>用户 ID：系统生成，只读，不可修改。</x:v>
      </x:c>
      <x:c r="E878" s="4" t="str">
        <x:v>尚未建立场景映射</x:v>
      </x:c>
      <x:c r="F878" s="4" t="str"/>
      <x:c r="G878" s="4" t="str">
        <x:v>本轮独立来源库保留该已知条款，但尚未建立可核验的正式场景映射；不是无业务依据，也不转为产品待确认。</x:v>
      </x:c>
    </x:row>
    <x:row r="879" ht="44" customHeight="1">
      <x:c r="A879" s="4" t="str">
        <x:v>REQ-8c58e8fa81be</x:v>
      </x:c>
      <x:c r="B879" s="4" t="str">
        <x:v>个人中心</x:v>
      </x:c>
      <x:c r="C879" s="4" t="n">
        <x:v>1428</x:v>
      </x:c>
      <x:c r="D879" s="4" t="str">
        <x:v>背景图：选填，仅上传图片。</x:v>
      </x:c>
      <x:c r="E879" s="4" t="str">
        <x:v>尚未建立场景映射</x:v>
      </x:c>
      <x:c r="F879" s="4" t="str"/>
      <x:c r="G879" s="4" t="str">
        <x:v>本轮独立来源库保留该已知条款，但尚未建立可核验的正式场景映射；不是无业务依据，也不转为产品待确认。</x:v>
      </x:c>
    </x:row>
    <x:row r="880" ht="44" customHeight="1">
      <x:c r="A880" s="4" t="str">
        <x:v>REQ-552d2028f671</x:v>
      </x:c>
      <x:c r="B880" s="4" t="str">
        <x:v>个人中心</x:v>
      </x:c>
      <x:c r="C880" s="4" t="n">
        <x:v>1429</x:v>
      </x:c>
      <x:c r="D880" s="4" t="str">
        <x:v>头像：选填，仅上传图片；修改后须通过内容风控。</x:v>
      </x:c>
      <x:c r="E880" s="4" t="str">
        <x:v>尚未建立场景映射</x:v>
      </x:c>
      <x:c r="F880" s="4" t="str"/>
      <x:c r="G880" s="4" t="str">
        <x:v>本轮独立来源库保留该已知条款，但尚未建立可核验的正式场景映射；不是无业务依据，也不转为产品待确认。</x:v>
      </x:c>
    </x:row>
    <x:row r="881" ht="44" customHeight="1">
      <x:c r="A881" s="4" t="str">
        <x:v>REQ-41075150ffa5</x:v>
      </x:c>
      <x:c r="B881" s="4" t="str">
        <x:v>个人中心</x:v>
      </x:c>
      <x:c r="C881" s="4" t="n">
        <x:v>1430</x:v>
      </x:c>
      <x:c r="D881" s="4" t="str">
        <x:v>昵称：必填，最多 20 个字符；修改后须通过内容风控。</x:v>
      </x:c>
      <x:c r="E881" s="4" t="str">
        <x:v>整段分支核验未闭合</x:v>
      </x:c>
      <x:c r="F881" s="4" t="str">
        <x:v>USER-0105、USER-0106、USER-0107、USER-0115、USER-0116、USER-0117</x:v>
      </x:c>
      <x:c r="G881" s="4" t="str">
        <x:v>本段剩余子句、条件组合及状态后续影响仍需与独立规则逐项闭合；这是生成覆盖缺口，不是产品决策缺失。</x:v>
      </x:c>
    </x:row>
    <x:row r="882" ht="44" customHeight="1">
      <x:c r="A882" s="4" t="str">
        <x:v>REQ-4cae8cac1309</x:v>
      </x:c>
      <x:c r="B882" s="4" t="str">
        <x:v>个人中心</x:v>
      </x:c>
      <x:c r="C882" s="4" t="n">
        <x:v>1431</x:v>
      </x:c>
      <x:c r="D882" s="4" t="str">
        <x:v>签名：选填，最多 80 个字符。</x:v>
      </x:c>
      <x:c r="E882" s="4" t="str">
        <x:v>整段分支核验未闭合</x:v>
      </x:c>
      <x:c r="F882" s="4" t="str">
        <x:v>USER-0108、USER-0109、USER-0110</x:v>
      </x:c>
      <x:c r="G882" s="4" t="str">
        <x:v>本段剩余子句、条件组合及状态后续影响仍需与独立规则逐项闭合；这是生成覆盖缺口，不是产品决策缺失。</x:v>
      </x:c>
    </x:row>
    <x:row r="883" ht="44" customHeight="1">
      <x:c r="A883" s="4" t="str">
        <x:v>REQ-532d60fbd167</x:v>
      </x:c>
      <x:c r="B883" s="4" t="str">
        <x:v>个人中心</x:v>
      </x:c>
      <x:c r="C883" s="4" t="n">
        <x:v>1432</x:v>
      </x:c>
      <x:c r="D883" s="4" t="str">
        <x:v>性别：可选男、女、不公开。</x:v>
      </x:c>
      <x:c r="E883" s="4" t="str">
        <x:v>整段分支核验未闭合</x:v>
      </x:c>
      <x:c r="F883" s="4" t="str">
        <x:v>USER-0122、USER-0123、USER-0124</x:v>
      </x:c>
      <x:c r="G883" s="4" t="str">
        <x:v>本段剩余子句、条件组合及状态后续影响仍需与独立规则逐项闭合；这是生成覆盖缺口，不是产品决策缺失。</x:v>
      </x:c>
    </x:row>
    <x:row r="884" ht="44" customHeight="1">
      <x:c r="A884" s="4" t="str">
        <x:v>REQ-9e1bd4a47438</x:v>
      </x:c>
      <x:c r="B884" s="4" t="str">
        <x:v>个人中心</x:v>
      </x:c>
      <x:c r="C884" s="4" t="n">
        <x:v>1433</x:v>
      </x:c>
      <x:c r="D884" s="4" t="str">
        <x:v>地区：选填，最多 30 个字符。</x:v>
      </x:c>
      <x:c r="E884" s="4" t="str">
        <x:v>整段分支核验未闭合</x:v>
      </x:c>
      <x:c r="F884" s="4" t="str">
        <x:v>USER-0111、USER-0112、USER-0113</x:v>
      </x:c>
      <x:c r="G884" s="4" t="str">
        <x:v>本段剩余子句、条件组合及状态后续影响仍需与独立规则逐项闭合；这是生成覆盖缺口，不是产品决策缺失。</x:v>
      </x:c>
    </x:row>
    <x:row r="885" ht="44" customHeight="1">
      <x:c r="A885" s="4" t="str">
        <x:v>REQ-98f890ca51ec</x:v>
      </x:c>
      <x:c r="B885" s="4" t="str">
        <x:v>个人中心</x:v>
      </x:c>
      <x:c r="C885" s="4" t="n">
        <x:v>1434</x:v>
      </x:c>
      <x:c r="D885" s="4" t="str">
        <x:v>生日：选填，不得晚于当前日期。</x:v>
      </x:c>
      <x:c r="E885" s="4" t="str">
        <x:v>整段分支核验未闭合</x:v>
      </x:c>
      <x:c r="F885" s="4" t="str">
        <x:v>USER-0125、USER-0126、USER-0127</x:v>
      </x:c>
      <x:c r="G885" s="4" t="str">
        <x:v>本段剩余子句、条件组合及状态后续影响仍需与独立规则逐项闭合；这是生成覆盖缺口，不是产品决策缺失。</x:v>
      </x:c>
    </x:row>
    <x:row r="886" ht="72" customHeight="1">
      <x:c r="A886" s="4" t="str">
        <x:v>REQ-7e0f389ab1db</x:v>
      </x:c>
      <x:c r="B886" s="4" t="str">
        <x:v>个人中心</x:v>
      </x:c>
      <x:c r="C886" s="4" t="n">
        <x:v>1435</x:v>
      </x:c>
      <x:c r="D886" s="4" t="str">
        <x:v>头像或昵称修改后保存须进行合规校验；校验成功后直接保存，校验失败或网络异常时不保存并保留编辑内容。其他资料直接生效。</x:v>
      </x:c>
      <x:c r="E886" s="4" t="str">
        <x:v>整段分支核验未闭合</x:v>
      </x:c>
      <x:c r="F886" s="4" t="str">
        <x:v>USER-0105、USER-0106、USER-0107、USER-0115、USER-0116、USER-0117、USER-0118、USER-0119、USER-0120、USER-0121、USER-0122、USER-0123、USER-0124</x:v>
      </x:c>
      <x:c r="G886" s="4" t="str">
        <x:v>本段剩余子句、条件组合及状态后续影响仍需与独立规则逐项闭合；这是生成覆盖缺口，不是产品决策缺失。</x:v>
      </x:c>
    </x:row>
    <x:row r="887" ht="72" customHeight="1">
      <x:c r="A887" s="4" t="str">
        <x:v>REQ-8ab770457b43</x:v>
      </x:c>
      <x:c r="B887" s="4" t="str">
        <x:v>个人中心</x:v>
      </x:c>
      <x:c r="C887" s="4" t="n">
        <x:v>1436</x:v>
      </x:c>
      <x:c r="D887" s="4" t="str">
        <x:v>昵称为空 -&gt; 保存按钮不可用；昵称、签名或地区达到最大长度后阻止继续输入，不增加提示。</x:v>
      </x:c>
      <x:c r="E887" s="4" t="str">
        <x:v>整段分支核验未闭合</x:v>
      </x:c>
      <x:c r="F887" s="4" t="str">
        <x:v>USER-0105、USER-0106、USER-0107、USER-0108、USER-0109、USER-0110、USER-0111、USER-0112、USER-0113、USER-0114、USER-0115、USER-0116、USER-0117</x:v>
      </x:c>
      <x:c r="G887" s="4" t="str">
        <x:v>本段剩余子句、条件组合及状态后续影响仍需与独立规则逐项闭合；这是生成覆盖缺口，不是产品决策缺失。</x:v>
      </x:c>
    </x:row>
    <x:row r="888" ht="44" customHeight="1">
      <x:c r="A888" s="4" t="str">
        <x:v>REQ-8a531c0c3ed1</x:v>
      </x:c>
      <x:c r="B888" s="4" t="str">
        <x:v>个人中心</x:v>
      </x:c>
      <x:c r="C888" s="4" t="n">
        <x:v>1437</x:v>
      </x:c>
      <x:c r="D888" s="4" t="str">
        <x:v>头像或昵称有修改 -&gt; 点击保存后显示 loading 并进行合规校验。</x:v>
      </x:c>
      <x:c r="E888" s="4" t="str">
        <x:v>整段分支核验未闭合</x:v>
      </x:c>
      <x:c r="F888" s="4" t="str">
        <x:v>USER-0105、USER-0106、USER-0107、USER-0115、USER-0116、USER-0117</x:v>
      </x:c>
      <x:c r="G888" s="4" t="str">
        <x:v>本段剩余子句、条件组合及状态后续影响仍需与独立规则逐项闭合；这是生成覆盖缺口，不是产品决策缺失。</x:v>
      </x:c>
    </x:row>
    <x:row r="889" ht="44" customHeight="1">
      <x:c r="A889" s="4" t="str">
        <x:v>REQ-5aba1b5144e9</x:v>
      </x:c>
      <x:c r="B889" s="4" t="str">
        <x:v>个人中心</x:v>
      </x:c>
      <x:c r="C889" s="4" t="n">
        <x:v>1438</x:v>
      </x:c>
      <x:c r="D889" s="4" t="str">
        <x:v>校验成功 -&gt; 直接保存；校验失败 -&gt; 提示“头像或昵称不合规”；网络异常 -&gt; 提示“网络异常，请重试”。</x:v>
      </x:c>
      <x:c r="E889" s="4" t="str">
        <x:v>整段分支核验未闭合</x:v>
      </x:c>
      <x:c r="F889" s="4" t="str">
        <x:v>USER-0105、USER-0106、USER-0107、USER-0115、USER-0116、USER-0117</x:v>
      </x:c>
      <x:c r="G889" s="4" t="str">
        <x:v>本段剩余子句、条件组合及状态后续影响仍需与独立规则逐项闭合；这是生成覆盖缺口，不是产品决策缺失。</x:v>
      </x:c>
    </x:row>
    <x:row r="890" ht="57" customHeight="1">
      <x:c r="A890" s="4" t="str">
        <x:v>REQ-cdf78baeafcf</x:v>
      </x:c>
      <x:c r="B890" s="4" t="str">
        <x:v>个人中心</x:v>
      </x:c>
      <x:c r="C890" s="4" t="n">
        <x:v>1439</x:v>
      </x:c>
      <x:c r="D890" s="4" t="str">
        <x:v>头像或昵称保存校验失败或网络异常时保留编辑内容，不修改已生效的原资料；成功、不合规、网络异常是独立业务结果，不能按点击次数交替判定。</x:v>
      </x:c>
      <x:c r="E890" s="4" t="str">
        <x:v>整段分支核验未闭合</x:v>
      </x:c>
      <x:c r="F890" s="4" t="str">
        <x:v>USER-0105、USER-0106、USER-0107、USER-0115、USER-0116、USER-0117、USER-0118、USER-0119、USER-0120、USER-0121</x:v>
      </x:c>
      <x:c r="G890" s="4" t="str">
        <x:v>本段剩余子句、条件组合及状态后续影响仍需与独立规则逐项闭合；这是生成覆盖缺口，不是产品决策缺失。</x:v>
      </x:c>
    </x:row>
    <x:row r="891" ht="44" customHeight="1">
      <x:c r="A891" s="4" t="str">
        <x:v>REQ-a7b87f8491c2</x:v>
      </x:c>
      <x:c r="B891" s="4" t="str">
        <x:v>个人中心</x:v>
      </x:c>
      <x:c r="C891" s="4" t="n">
        <x:v>1444</x:v>
      </x:c>
      <x:c r="D891" s="4" t="str">
        <x:v>手机号：展示已绑定手机号，国家/地区区号保留，号码中间部分脱敏。</x:v>
      </x:c>
      <x:c r="E891" s="4" t="str">
        <x:v>整段分支核验未闭合</x:v>
      </x:c>
      <x:c r="F891" s="4" t="str">
        <x:v>USER-0427、USER-0428</x:v>
      </x:c>
      <x:c r="G891" s="4" t="str">
        <x:v>本段剩余子句、条件组合及状态后续影响仍需与独立规则逐项闭合；这是生成覆盖缺口，不是产品决策缺失。</x:v>
      </x:c>
    </x:row>
    <x:row r="892" ht="44" customHeight="1">
      <x:c r="A892" s="4" t="str">
        <x:v>REQ-2ff6e6688c79</x:v>
      </x:c>
      <x:c r="B892" s="4" t="str">
        <x:v>个人中心</x:v>
      </x:c>
      <x:c r="C892" s="4" t="n">
        <x:v>1445</x:v>
      </x:c>
      <x:c r="D892" s="4" t="str">
        <x:v>邮箱：展示已绑定邮箱，邮箱账号部分脱敏。</x:v>
      </x:c>
      <x:c r="E892" s="4" t="str">
        <x:v>整段分支核验未闭合</x:v>
      </x:c>
      <x:c r="F892" s="4" t="str">
        <x:v>USER-0427、USER-0428</x:v>
      </x:c>
      <x:c r="G892" s="4" t="str">
        <x:v>本段剩余子句、条件组合及状态后续影响仍需与独立规则逐项闭合；这是生成覆盖缺口，不是产品决策缺失。</x:v>
      </x:c>
    </x:row>
    <x:row r="893" ht="44" customHeight="1">
      <x:c r="A893" s="4" t="str">
        <x:v>REQ-da54d083fb0a</x:v>
      </x:c>
      <x:c r="B893" s="4" t="str">
        <x:v>个人中心</x:v>
      </x:c>
      <x:c r="C893" s="4" t="n">
        <x:v>1446</x:v>
      </x:c>
      <x:c r="D893" s="4" t="str">
        <x:v>登录密码：仅显示“已设置”或“未设置”；不展示密码内容。</x:v>
      </x:c>
      <x:c r="E893" s="4" t="str">
        <x:v>整段分支核验未闭合</x:v>
      </x:c>
      <x:c r="F893" s="4" t="str">
        <x:v>USER-0429、USER-0430、USER-0431、USER-0432</x:v>
      </x:c>
      <x:c r="G893" s="4" t="str">
        <x:v>本段剩余子句、条件组合及状态后续影响仍需与独立规则逐项闭合；这是生成覆盖缺口，不是产品决策缺失。</x:v>
      </x:c>
    </x:row>
    <x:row r="894" ht="44" customHeight="1">
      <x:c r="A894" s="4" t="str">
        <x:v>REQ-0586497bc3b2</x:v>
      </x:c>
      <x:c r="B894" s="4" t="str">
        <x:v>个人中心</x:v>
      </x:c>
      <x:c r="C894" s="4" t="n">
        <x:v>1447</x:v>
      </x:c>
      <x:c r="D894" s="4" t="str">
        <x:v>系统通知：展示手机系统通知权限状态：未开启、已拒绝或已开启。</x:v>
      </x:c>
      <x:c r="E894" s="4" t="str">
        <x:v>尚未建立场景映射</x:v>
      </x:c>
      <x:c r="F894" s="4" t="str"/>
      <x:c r="G894" s="4" t="str">
        <x:v>本轮独立来源库保留该已知条款，但尚未建立可核验的正式场景映射；不是无业务依据，也不转为产品待确认。</x:v>
      </x:c>
    </x:row>
    <x:row r="895" ht="44" customHeight="1">
      <x:c r="A895" s="4" t="str">
        <x:v>REQ-e4981ba9af32</x:v>
      </x:c>
      <x:c r="B895" s="4" t="str">
        <x:v>个人中心</x:v>
      </x:c>
      <x:c r="C895" s="4" t="n">
        <x:v>1448</x:v>
      </x:c>
      <x:c r="D895" s="4" t="str">
        <x:v>开播提醒、互动通知：App 内通知分类偏好，不代表手机系统通知权限。</x:v>
      </x:c>
      <x:c r="E895" s="4" t="str">
        <x:v>尚未建立场景映射</x:v>
      </x:c>
      <x:c r="F895" s="4" t="str"/>
      <x:c r="G895" s="4" t="str">
        <x:v>本轮独立来源库保留该已知条款，但尚未建立可核验的正式场景映射；不是无业务依据，也不转为产品待确认。</x:v>
      </x:c>
    </x:row>
    <x:row r="896" ht="44" customHeight="1">
      <x:c r="A896" s="4" t="str">
        <x:v>REQ-3ee060d90dc8</x:v>
      </x:c>
      <x:c r="B896" s="4" t="str">
        <x:v>个人中心</x:v>
      </x:c>
      <x:c r="C896" s="4" t="n">
        <x:v>1449</x:v>
      </x:c>
      <x:c r="D896" s="4" t="str">
        <x:v>语言：用户端与主播端均支持中文、English、Bahasa Indonesia、Bahasa Melayu，默认 Bahasa Indonesia。</x:v>
      </x:c>
      <x:c r="E896" s="4" t="str">
        <x:v>整段分支核验未闭合</x:v>
      </x:c>
      <x:c r="F896" s="4" t="str">
        <x:v>USER-0128、USER-0129、USER-0130、USER-0131</x:v>
      </x:c>
      <x:c r="G896" s="4" t="str">
        <x:v>本段剩余子句、条件组合及状态后续影响仍需与独立规则逐项闭合；这是生成覆盖缺口，不是产品决策缺失。</x:v>
      </x:c>
    </x:row>
    <x:row r="897" ht="44" customHeight="1">
      <x:c r="A897" s="4" t="str">
        <x:v>REQ-dcd63415d40b</x:v>
      </x:c>
      <x:c r="B897" s="4" t="str">
        <x:v>个人中心</x:v>
      </x:c>
      <x:c r="C897" s="4" t="n">
        <x:v>1450</x:v>
      </x:c>
      <x:c r="D897" s="4" t="str">
        <x:v>协议入口：展示当前有效版本的用户协议和隐私政策。</x:v>
      </x:c>
      <x:c r="E897" s="4" t="str">
        <x:v>尚未建立场景映射</x:v>
      </x:c>
      <x:c r="F897" s="4" t="str"/>
      <x:c r="G897" s="4" t="str">
        <x:v>本轮独立来源库保留该已知条款，但尚未建立可核验的正式场景映射；不是无业务依据，也不转为产品待确认。</x:v>
      </x:c>
    </x:row>
    <x:row r="898" ht="44" customHeight="1">
      <x:c r="A898" s="4" t="str">
        <x:v>REQ-e3bd04a8a537</x:v>
      </x:c>
      <x:c r="B898" s="4" t="str">
        <x:v>个人中心</x:v>
      </x:c>
      <x:c r="C898" s="4" t="n">
        <x:v>1451</x:v>
      </x:c>
      <x:c r="D898" s="4" t="str">
        <x:v>注销条件：金币余额低于 100。</x:v>
      </x:c>
      <x:c r="E898" s="4" t="str">
        <x:v>整段分支核验未闭合</x:v>
      </x:c>
      <x:c r="F898" s="4" t="str">
        <x:v>USER-0132、USER-0133、USER-0134</x:v>
      </x:c>
      <x:c r="G898" s="4" t="str">
        <x:v>本段剩余子句、条件组合及状态后续影响仍需与独立规则逐项闭合；这是生成覆盖缺口，不是产品决策缺失。</x:v>
      </x:c>
    </x:row>
    <x:row r="899" ht="44" customHeight="1">
      <x:c r="A899" s="4" t="str">
        <x:v>REQ-57c184e99e79</x:v>
      </x:c>
      <x:c r="B899" s="4" t="str">
        <x:v>个人中心</x:v>
      </x:c>
      <x:c r="C899" s="4" t="n">
        <x:v>1452</x:v>
      </x:c>
      <x:c r="D899" s="4" t="str">
        <x:v>注销状态：包括金币余额不少于 100、金币余额低于 100 和提交后的七日冷静期。</x:v>
      </x:c>
      <x:c r="E899" s="4" t="str">
        <x:v>整段分支核验未闭合</x:v>
      </x:c>
      <x:c r="F899" s="4" t="str">
        <x:v>USER-0132、USER-0133、USER-0134</x:v>
      </x:c>
      <x:c r="G899" s="4" t="str">
        <x:v>本段剩余子句、条件组合及状态后续影响仍需与独立规则逐项闭合；这是生成覆盖缺口，不是产品决策缺失。</x:v>
      </x:c>
    </x:row>
    <x:row r="900" ht="44" customHeight="1">
      <x:c r="A900" s="4" t="str">
        <x:v>REQ-4fdff45d29cb</x:v>
      </x:c>
      <x:c r="B900" s="4" t="str">
        <x:v>个人中心</x:v>
      </x:c>
      <x:c r="C900" s="4" t="n">
        <x:v>1453</x:v>
      </x:c>
      <x:c r="D900" s="4" t="str">
        <x:v>手机号、邮箱和登录密码直接展示在设置页；登录页不提供设置、修改或忘记密码入口。</x:v>
      </x:c>
      <x:c r="E900" s="4" t="str">
        <x:v>整段分支核验未闭合</x:v>
      </x:c>
      <x:c r="F900" s="4" t="str">
        <x:v>USER-0429、USER-0430、USER-0431、USER-0432、USER-0782</x:v>
      </x:c>
      <x:c r="G900" s="4" t="str">
        <x:v>本段剩余子句、条件组合及状态后续影响仍需与独立规则逐项闭合；这是生成覆盖缺口，不是产品决策缺失。</x:v>
      </x:c>
    </x:row>
    <x:row r="901" ht="57" customHeight="1">
      <x:c r="A901" s="4" t="str">
        <x:v>REQ-620f415b6634</x:v>
      </x:c>
      <x:c r="B901" s="4" t="str">
        <x:v>个人中心</x:v>
      </x:c>
      <x:c r="C901" s="4" t="n">
        <x:v>1454</x:v>
      </x:c>
      <x:c r="D901" s="4" t="str">
        <x:v>登录密码归属当前账号；设置后，已绑定手机号和邮箱均可使用同一密码登录。</x:v>
      </x:c>
      <x:c r="E901" s="4" t="str">
        <x:v>整段分支核验未闭合</x:v>
      </x:c>
      <x:c r="F901" s="4" t="str">
        <x:v>USER-0429、USER-0430、USER-0431、USER-0432、USER-0777、USER-0778、USER-0780、USER-0781、USER-0782</x:v>
      </x:c>
      <x:c r="G901" s="4" t="str">
        <x:v>本段剩余子句、条件组合及状态后续影响仍需与独立规则逐项闭合；这是生成覆盖缺口，不是产品决策缺失。</x:v>
      </x:c>
    </x:row>
    <x:row r="902" ht="44" customHeight="1">
      <x:c r="A902" s="4" t="str">
        <x:v>REQ-fa68f3aa79be</x:v>
      </x:c>
      <x:c r="B902" s="4" t="str">
        <x:v>个人中心</x:v>
      </x:c>
      <x:c r="C902" s="4" t="n">
        <x:v>1455</x:v>
      </x:c>
      <x:c r="D902" s="4" t="str">
        <x:v>退出登录只清除当前设备登录会话，不删除账号和资产。</x:v>
      </x:c>
      <x:c r="E902" s="4" t="str">
        <x:v>整段分支核验未闭合</x:v>
      </x:c>
      <x:c r="F902" s="4" t="str">
        <x:v>USER-0137</x:v>
      </x:c>
      <x:c r="G902" s="4" t="str">
        <x:v>本段剩余子句、条件组合及状态后续影响仍需与独立规则逐项闭合；这是生成覆盖缺口，不是产品决策缺失。</x:v>
      </x:c>
    </x:row>
    <x:row r="903" ht="44" customHeight="1">
      <x:c r="A903" s="4" t="str">
        <x:v>REQ-2cf14872bf9d</x:v>
      </x:c>
      <x:c r="B903" s="4" t="str">
        <x:v>个人中心</x:v>
      </x:c>
      <x:c r="C903" s="4" t="n">
        <x:v>1456</x:v>
      </x:c>
      <x:c r="D903" s="4" t="str">
        <x:v>系统通知未开启时不展示站外推送；系统通知、互动通知等消息仍保留在站内通知中心。</x:v>
      </x:c>
      <x:c r="E903" s="4" t="str">
        <x:v>整段分支核验未闭合</x:v>
      </x:c>
      <x:c r="F903" s="4" t="str">
        <x:v>USER-0433</x:v>
      </x:c>
      <x:c r="G903" s="4" t="str">
        <x:v>本段剩余子句、条件组合及状态后续影响仍需与独立规则逐项闭合；这是生成覆盖缺口，不是产品决策缺失。</x:v>
      </x:c>
    </x:row>
    <x:row r="904" ht="44" customHeight="1">
      <x:c r="A904" s="4" t="str">
        <x:v>REQ-e9cc51e4642f</x:v>
      </x:c>
      <x:c r="B904" s="4" t="str">
        <x:v>个人中心</x:v>
      </x:c>
      <x:c r="C904" s="4" t="n">
        <x:v>1457</x:v>
      </x:c>
      <x:c r="D904" s="4" t="str">
        <x:v>开播提醒和互动通知仅控制对应 App 内分类偏好。</x:v>
      </x:c>
      <x:c r="E904" s="4" t="str">
        <x:v>尚未建立场景映射</x:v>
      </x:c>
      <x:c r="F904" s="4" t="str"/>
      <x:c r="G904" s="4" t="str">
        <x:v>本轮独立来源库保留该已知条款，但尚未建立可核验的正式场景映射；不是无业务依据，也不转为产品待确认。</x:v>
      </x:c>
    </x:row>
    <x:row r="905" ht="44" customHeight="1">
      <x:c r="A905" s="4" t="str">
        <x:v>REQ-be3c83058cc1</x:v>
      </x:c>
      <x:c r="B905" s="4" t="str">
        <x:v>个人中心</x:v>
      </x:c>
      <x:c r="C905" s="4" t="n">
        <x:v>1458</x:v>
      </x:c>
      <x:c r="D905" s="4" t="str">
        <x:v>金币余额不少于 100 时不可注销；余额低于 100 时可进入确认流程。</x:v>
      </x:c>
      <x:c r="E905" s="4" t="str">
        <x:v>整段分支核验未闭合</x:v>
      </x:c>
      <x:c r="F905" s="4" t="str">
        <x:v>USER-0132、USER-0133、USER-0134</x:v>
      </x:c>
      <x:c r="G905" s="4" t="str">
        <x:v>本段剩余子句、条件组合及状态后续影响仍需与独立规则逐项闭合；这是生成覆盖缺口，不是产品决策缺失。</x:v>
      </x:c>
    </x:row>
    <x:row r="906" ht="44" customHeight="1">
      <x:c r="A906" s="4" t="str">
        <x:v>REQ-f8bcc68ab027</x:v>
      </x:c>
      <x:c r="B906" s="4" t="str">
        <x:v>个人中心</x:v>
      </x:c>
      <x:c r="C906" s="4" t="n">
        <x:v>1459</x:v>
      </x:c>
      <x:c r="D906" s="4" t="str">
        <x:v>提交注销申请后进入七日冷静期；期间账号、资产、社交关系、聊天记录及创建的粉丝团均保留。</x:v>
      </x:c>
      <x:c r="E906" s="4" t="str">
        <x:v>尚未建立场景映射</x:v>
      </x:c>
      <x:c r="F906" s="4" t="str"/>
      <x:c r="G906" s="4" t="str">
        <x:v>本轮独立来源库保留该已知条款，但尚未建立可核验的正式场景映射；不是无业务依据，也不转为产品待确认。</x:v>
      </x:c>
    </x:row>
    <x:row r="907" ht="44" customHeight="1">
      <x:c r="A907" s="4" t="str">
        <x:v>REQ-d52be80ea0fa</x:v>
      </x:c>
      <x:c r="B907" s="4" t="str">
        <x:v>个人中心</x:v>
      </x:c>
      <x:c r="C907" s="4" t="n">
        <x:v>1460</x:v>
      </x:c>
      <x:c r="D907" s="4" t="str">
        <x:v>冷静期内可取消注销；期满仍未取消时，才解除社交关系、解散创建的粉丝团并最终删除账号及相关数据。</x:v>
      </x:c>
      <x:c r="E907" s="4" t="str">
        <x:v>整段分支核验未闭合</x:v>
      </x:c>
      <x:c r="F907" s="4" t="str">
        <x:v>USER-0135</x:v>
      </x:c>
      <x:c r="G907" s="4" t="str">
        <x:v>本段剩余子句、条件组合及状态后续影响仍需与独立规则逐项闭合；这是生成覆盖缺口，不是产品决策缺失。</x:v>
      </x:c>
    </x:row>
    <x:row r="908" ht="44" customHeight="1">
      <x:c r="A908" s="4" t="str">
        <x:v>REQ-f186d449c143</x:v>
      </x:c>
      <x:c r="B908" s="4" t="str">
        <x:v>个人中心</x:v>
      </x:c>
      <x:c r="C908" s="4" t="n">
        <x:v>1461</x:v>
      </x:c>
      <x:c r="D908" s="4" t="str">
        <x:v>密码已设置 -&gt; 显示“修改密码”，点击进入修改密码页；密码未设置 -&gt; 显示“设置密码”，点击进入设置密码页。</x:v>
      </x:c>
      <x:c r="E908" s="4" t="str">
        <x:v>整段分支核验未闭合</x:v>
      </x:c>
      <x:c r="F908" s="4" t="str">
        <x:v>USER-0429、USER-0430、USER-0431、USER-0432</x:v>
      </x:c>
      <x:c r="G908" s="4" t="str">
        <x:v>本段剩余子句、条件组合及状态后续影响仍需与独立规则逐项闭合；这是生成覆盖缺口，不是产品决策缺失。</x:v>
      </x:c>
    </x:row>
    <x:row r="909" ht="44" customHeight="1">
      <x:c r="A909" s="4" t="str">
        <x:v>REQ-3d4e3a11a99d</x:v>
      </x:c>
      <x:c r="B909" s="4" t="str">
        <x:v>个人中心</x:v>
      </x:c>
      <x:c r="C909" s="4" t="n">
        <x:v>1462</x:v>
      </x:c>
      <x:c r="D909" s="4" t="str">
        <x:v>点击语言 -&gt; 从页面底部打开语言选择抽屉；选择后立即更新当前语言并关闭抽屉。</x:v>
      </x:c>
      <x:c r="E909" s="4" t="str">
        <x:v>整段分支核验未闭合</x:v>
      </x:c>
      <x:c r="F909" s="4" t="str">
        <x:v>USER-0128、USER-0129、USER-0130、USER-0131</x:v>
      </x:c>
      <x:c r="G909" s="4" t="str">
        <x:v>本段剩余子句、条件组合及状态后续影响仍需与独立规则逐项闭合；这是生成覆盖缺口，不是产品决策缺失。</x:v>
      </x:c>
    </x:row>
    <x:row r="910" ht="44" customHeight="1">
      <x:c r="A910" s="4" t="str">
        <x:v>REQ-39ee3da3f10b</x:v>
      </x:c>
      <x:c r="B910" s="4" t="str">
        <x:v>个人中心</x:v>
      </x:c>
      <x:c r="C910" s="4" t="n">
        <x:v>1463</x:v>
      </x:c>
      <x:c r="D910" s="4" t="str">
        <x:v>系统通知从未申请 -&gt; 点击后模拟系统授权弹窗；拒绝后状态改为已拒绝。</x:v>
      </x:c>
      <x:c r="E910" s="4" t="str">
        <x:v>尚未建立场景映射</x:v>
      </x:c>
      <x:c r="F910" s="4" t="str"/>
      <x:c r="G910" s="4" t="str">
        <x:v>本轮独立来源库保留该已知条款，但尚未建立可核验的正式场景映射；不是无业务依据，也不转为产品待确认。</x:v>
      </x:c>
    </x:row>
    <x:row r="911" ht="44" customHeight="1">
      <x:c r="A911" s="4" t="str">
        <x:v>REQ-344eeae4d06a</x:v>
      </x:c>
      <x:c r="B911" s="4" t="str">
        <x:v>个人中心</x:v>
      </x:c>
      <x:c r="C911" s="4" t="n">
        <x:v>1464</x:v>
      </x:c>
      <x:c r="D911" s="4" t="str">
        <x:v>系统通知已拒绝 -&gt; 点击后提示前往手机系统设置，提供暂不开启和前往设置；已授权时显示已开启。</x:v>
      </x:c>
      <x:c r="E911" s="4" t="str">
        <x:v>整段分支核验未闭合</x:v>
      </x:c>
      <x:c r="F911" s="4" t="str">
        <x:v>USER-0429、USER-0430、USER-0431、USER-0432</x:v>
      </x:c>
      <x:c r="G911" s="4" t="str">
        <x:v>本段剩余子句、条件组合及状态后续影响仍需与独立规则逐项闭合；这是生成覆盖缺口，不是产品决策缺失。</x:v>
      </x:c>
    </x:row>
    <x:row r="912" ht="57" customHeight="1">
      <x:c r="A912" s="4" t="str">
        <x:v>REQ-ac7a51ae49a5</x:v>
      </x:c>
      <x:c r="B912" s="4" t="str">
        <x:v>个人中心</x:v>
      </x:c>
      <x:c r="C912" s="4" t="n">
        <x:v>1465</x:v>
      </x:c>
      <x:c r="D912" s="4" t="str">
        <x:v>原型演示说明（非业务规则）：同一会话点击注销交替展示两种余额情形，仅用于演示；实际注销判断采用当前账号真实金币余额，不采用交替次数。</x:v>
      </x:c>
      <x:c r="E912" s="4" t="str">
        <x:v>整段分支核验未闭合</x:v>
      </x:c>
      <x:c r="F912" s="4" t="str">
        <x:v>USER-0132、USER-0133、USER-0134</x:v>
      </x:c>
      <x:c r="G912" s="4" t="str">
        <x:v>本段剩余子句、条件组合及状态后续影响仍需与独立规则逐项闭合；这是生成覆盖缺口，不是产品决策缺失。</x:v>
      </x:c>
    </x:row>
    <x:row r="913" ht="44" customHeight="1">
      <x:c r="A913" s="4" t="str">
        <x:v>REQ-cfb4ff48756b</x:v>
      </x:c>
      <x:c r="B913" s="4" t="str">
        <x:v>个人中心</x:v>
      </x:c>
      <x:c r="C913" s="4" t="n">
        <x:v>1466</x:v>
      </x:c>
      <x:c r="D913" s="4" t="str">
        <x:v>两种弹窗均显示三条提示：余额低于 100 可注销、最终注销后解除全部社交关系并解散粉丝团、注销后七日内可取消注销。</x:v>
      </x:c>
      <x:c r="E913" s="4" t="str">
        <x:v>整段分支核验未闭合</x:v>
      </x:c>
      <x:c r="F913" s="4" t="str">
        <x:v>USER-0132、USER-0133、USER-0134、USER-0135</x:v>
      </x:c>
      <x:c r="G913" s="4" t="str">
        <x:v>本段剩余子句、条件组合及状态后续影响仍需与独立规则逐项闭合；这是生成覆盖缺口，不是产品决策缺失。</x:v>
      </x:c>
    </x:row>
    <x:row r="914" ht="44" customHeight="1">
      <x:c r="A914" s="4" t="str">
        <x:v>REQ-33f07a94908c</x:v>
      </x:c>
      <x:c r="B914" s="4" t="str">
        <x:v>个人中心</x:v>
      </x:c>
      <x:c r="C914" s="4" t="n">
        <x:v>1467</x:v>
      </x:c>
      <x:c r="D914" s="4" t="str">
        <x:v>金币余额不少于 100 -&gt; 按钮从左到右为“查看余额、取消”。</x:v>
      </x:c>
      <x:c r="E914" s="4" t="str">
        <x:v>整段分支核验未闭合</x:v>
      </x:c>
      <x:c r="F914" s="4" t="str">
        <x:v>USER-0132、USER-0133、USER-0134、USER-0135</x:v>
      </x:c>
      <x:c r="G914" s="4" t="str">
        <x:v>本段剩余子句、条件组合及状态后续影响仍需与独立规则逐项闭合；这是生成覆盖缺口，不是产品决策缺失。</x:v>
      </x:c>
    </x:row>
    <x:row r="915" ht="44" customHeight="1">
      <x:c r="A915" s="4" t="str">
        <x:v>REQ-24324b2a4408</x:v>
      </x:c>
      <x:c r="B915" s="4" t="str">
        <x:v>个人中心</x:v>
      </x:c>
      <x:c r="C915" s="4" t="n">
        <x:v>1468</x:v>
      </x:c>
      <x:c r="D915" s="4" t="str">
        <x:v>金币余额低于 100 -&gt; 按钮从左到右为“确认注销、取消”；点击确认注销 -&gt; 新弹窗自动倒计时 10 秒，仅显示取消按钮。</x:v>
      </x:c>
      <x:c r="E915" s="4" t="str">
        <x:v>整段分支核验未闭合</x:v>
      </x:c>
      <x:c r="F915" s="4" t="str">
        <x:v>USER-0132、USER-0133、USER-0134、USER-0135、USER-0136</x:v>
      </x:c>
      <x:c r="G915" s="4" t="str">
        <x:v>本段剩余子句、条件组合及状态后续影响仍需与独立规则逐项闭合；这是生成覆盖缺口，不是产品决策缺失。</x:v>
      </x:c>
    </x:row>
    <x:row r="916" ht="44" customHeight="1">
      <x:c r="A916" s="4" t="str">
        <x:v>REQ-68795c484bd7</x:v>
      </x:c>
      <x:c r="B916" s="4" t="str">
        <x:v>个人中心</x:v>
      </x:c>
      <x:c r="C916" s="4" t="n">
        <x:v>1469</x:v>
      </x:c>
      <x:c r="D916" s="4" t="str">
        <x:v>倒计时结束 -&gt; 提交注销申请，记录七日后的最终删除时间，展示提交结果并退出到登录与注册页；点击取消 -&gt; 停止倒计时，不提交申请。</x:v>
      </x:c>
      <x:c r="E916" s="4" t="str">
        <x:v>整段分支核验未闭合</x:v>
      </x:c>
      <x:c r="F916" s="4" t="str">
        <x:v>USER-0135、USER-0136</x:v>
      </x:c>
      <x:c r="G916" s="4" t="str">
        <x:v>本段剩余子句、条件组合及状态后续影响仍需与独立规则逐项闭合；这是生成覆盖缺口，不是产品决策缺失。</x:v>
      </x:c>
    </x:row>
    <x:row r="917" ht="44" customHeight="1">
      <x:c r="A917" s="4" t="str">
        <x:v>REQ-b22f236ee654</x:v>
      </x:c>
      <x:c r="B917" s="4" t="str">
        <x:v>个人中心</x:v>
      </x:c>
      <x:c r="C917" s="4" t="n">
        <x:v>1470</x:v>
      </x:c>
      <x:c r="D917" s="4" t="str">
        <x:v>冷静期内重新登录 -&gt; 在登录与注册页展示可操作弹窗；取消注销后清除待注销状态并进入首页，暂不取消则关闭弹窗。</x:v>
      </x:c>
      <x:c r="E917" s="4" t="str">
        <x:v>整段分支核验未闭合</x:v>
      </x:c>
      <x:c r="F917" s="4" t="str">
        <x:v>USER-0135</x:v>
      </x:c>
      <x:c r="G917" s="4" t="str">
        <x:v>本段剩余子句、条件组合及状态后续影响仍需与独立规则逐项闭合；这是生成覆盖缺口，不是产品决策缺失。</x:v>
      </x:c>
    </x:row>
    <x:row r="918" ht="44" customHeight="1">
      <x:c r="A918" s="4" t="str">
        <x:v>REQ-7d818f9c9cf0</x:v>
      </x:c>
      <x:c r="B918" s="4" t="str">
        <x:v>个人中心</x:v>
      </x:c>
      <x:c r="C918" s="4" t="n">
        <x:v>1471</x:v>
      </x:c>
      <x:c r="D918" s="4" t="str">
        <x:v>退出登录 -&gt; 二次确认；确认后返回登录页。</x:v>
      </x:c>
      <x:c r="E918" s="4" t="str">
        <x:v>整段分支核验未闭合</x:v>
      </x:c>
      <x:c r="F918" s="4" t="str">
        <x:v>USER-0137、USER-0777、USER-0778、USER-0780、USER-0781、USER-0782</x:v>
      </x:c>
      <x:c r="G918" s="4" t="str">
        <x:v>本段剩余子句、条件组合及状态后续影响仍需与独立规则逐项闭合；这是生成覆盖缺口，不是产品决策缺失。</x:v>
      </x:c>
    </x:row>
    <x:row r="919" ht="44" customHeight="1">
      <x:c r="A919" s="4" t="str">
        <x:v>REQ-8e68ce40cbbb</x:v>
      </x:c>
      <x:c r="B919" s="4" t="str">
        <x:v>个人中心</x:v>
      </x:c>
      <x:c r="C919" s="4" t="n">
        <x:v>1476</x:v>
      </x:c>
      <x:c r="D919" s="4" t="str">
        <x:v>密码状态：显示“未设置”。</x:v>
      </x:c>
      <x:c r="E919" s="4" t="str">
        <x:v>尚未建立场景映射</x:v>
      </x:c>
      <x:c r="F919" s="4" t="str"/>
      <x:c r="G919" s="4" t="str">
        <x:v>本轮独立来源库保留该已知条款，但尚未建立可核验的正式场景映射；不是无业务依据，也不转为产品待确认。</x:v>
      </x:c>
    </x:row>
    <x:row r="920" ht="44" customHeight="1">
      <x:c r="A920" s="4" t="str">
        <x:v>REQ-4e91ea8783af</x:v>
      </x:c>
      <x:c r="B920" s="4" t="str">
        <x:v>个人中心</x:v>
      </x:c>
      <x:c r="C920" s="4" t="n">
        <x:v>1477</x:v>
      </x:c>
      <x:c r="D920" s="4" t="str">
        <x:v>操作：显示“设置密码”。</x:v>
      </x:c>
      <x:c r="E920" s="4" t="str">
        <x:v>尚未建立场景映射</x:v>
      </x:c>
      <x:c r="F920" s="4" t="str"/>
      <x:c r="G920" s="4" t="str">
        <x:v>本轮独立来源库保留该已知条款，但尚未建立可核验的正式场景映射；不是无业务依据，也不转为产品待确认。</x:v>
      </x:c>
    </x:row>
    <x:row r="921" ht="44" customHeight="1">
      <x:c r="A921" s="4" t="str">
        <x:v>REQ-6247f34fa79d</x:v>
      </x:c>
      <x:c r="B921" s="4" t="str">
        <x:v>个人中心</x:v>
      </x:c>
      <x:c r="C921" s="4" t="n">
        <x:v>1478</x:v>
      </x:c>
      <x:c r="D921" s="4" t="str">
        <x:v>密码设置完成前，手机号和邮箱仅可使用验证码登录。</x:v>
      </x:c>
      <x:c r="E921" s="4" t="str">
        <x:v>整段分支核验未闭合</x:v>
      </x:c>
      <x:c r="F921" s="4" t="str">
        <x:v>USER-0782</x:v>
      </x:c>
      <x:c r="G921" s="4" t="str">
        <x:v>本段剩余子句、条件组合及状态后续影响仍需与独立规则逐项闭合；这是生成覆盖缺口，不是产品决策缺失。</x:v>
      </x:c>
    </x:row>
    <x:row r="922" ht="44" customHeight="1">
      <x:c r="A922" s="4" t="str">
        <x:v>REQ-c12238909b43</x:v>
      </x:c>
      <x:c r="B922" s="4" t="str">
        <x:v>个人中心</x:v>
      </x:c>
      <x:c r="C922" s="4" t="n">
        <x:v>1479</x:v>
      </x:c>
      <x:c r="D922" s="4" t="str">
        <x:v>点击设置密码 -&gt; 进入设置密码页。</x:v>
      </x:c>
      <x:c r="E922" s="4" t="str">
        <x:v>整段分支核验未闭合</x:v>
      </x:c>
      <x:c r="F922" s="4" t="str">
        <x:v>USER-0394</x:v>
      </x:c>
      <x:c r="G922" s="4" t="str">
        <x:v>本段剩余子句、条件组合及状态后续影响仍需与独立规则逐项闭合；这是生成覆盖缺口，不是产品决策缺失。</x:v>
      </x:c>
    </x:row>
    <x:row r="923" ht="44" customHeight="1">
      <x:c r="A923" s="4" t="str">
        <x:v>REQ-3c60189f3c4a</x:v>
      </x:c>
      <x:c r="B923" s="4" t="str">
        <x:v>个人中心</x:v>
      </x:c>
      <x:c r="C923" s="4" t="n">
        <x:v>1484</x:v>
      </x:c>
      <x:c r="D923" s="4" t="str">
        <x:v>验证方式：可选择已绑定手机号或邮箱；联系方式脱敏展示。</x:v>
      </x:c>
      <x:c r="E923" s="4" t="str">
        <x:v>整段分支核验未闭合</x:v>
      </x:c>
      <x:c r="F923" s="4" t="str">
        <x:v>USER-0150、USER-0777、USER-0778</x:v>
      </x:c>
      <x:c r="G923" s="4" t="str">
        <x:v>本段剩余子句、条件组合及状态后续影响仍需与独立规则逐项闭合；这是生成覆盖缺口，不是产品决策缺失。</x:v>
      </x:c>
    </x:row>
    <x:row r="924" ht="44" customHeight="1">
      <x:c r="A924" s="4" t="str">
        <x:v>REQ-c07e0565f660</x:v>
      </x:c>
      <x:c r="B924" s="4" t="str">
        <x:v>个人中心</x:v>
      </x:c>
      <x:c r="C924" s="4" t="n">
        <x:v>1485</x:v>
      </x:c>
      <x:c r="D924" s="4" t="str">
        <x:v>验证码：必填，6 位数字；仅校验当前选中的手机号或邮箱收到的有效验证码。</x:v>
      </x:c>
      <x:c r="E924" s="4" t="str">
        <x:v>整段分支核验未闭合</x:v>
      </x:c>
      <x:c r="F924" s="4" t="str">
        <x:v>USER-0150、USER-0777、USER-0778</x:v>
      </x:c>
      <x:c r="G924" s="4" t="str">
        <x:v>本段剩余子句、条件组合及状态后续影响仍需与独立规则逐项闭合；这是生成覆盖缺口，不是产品决策缺失。</x:v>
      </x:c>
    </x:row>
    <x:row r="925" ht="44" customHeight="1">
      <x:c r="A925" s="4" t="str">
        <x:v>REQ-411887a2a4e8</x:v>
      </x:c>
      <x:c r="B925" s="4" t="str">
        <x:v>个人中心</x:v>
      </x:c>
      <x:c r="C925" s="4" t="n">
        <x:v>1486</x:v>
      </x:c>
      <x:c r="D925" s="4" t="str">
        <x:v>登录密码：必填，至少 8 位。</x:v>
      </x:c>
      <x:c r="E925" s="4" t="str">
        <x:v>整段分支核验未闭合</x:v>
      </x:c>
      <x:c r="F925" s="4" t="str">
        <x:v>USER-0140、USER-0141、USER-0142</x:v>
      </x:c>
      <x:c r="G925" s="4" t="str">
        <x:v>本段剩余子句、条件组合及状态后续影响仍需与独立规则逐项闭合；这是生成覆盖缺口，不是产品决策缺失。</x:v>
      </x:c>
    </x:row>
    <x:row r="926" ht="44" customHeight="1">
      <x:c r="A926" s="4" t="str">
        <x:v>REQ-2585099ecfdd</x:v>
      </x:c>
      <x:c r="B926" s="4" t="str">
        <x:v>个人中心</x:v>
      </x:c>
      <x:c r="C926" s="4" t="n">
        <x:v>1487</x:v>
      </x:c>
      <x:c r="D926" s="4" t="str">
        <x:v>确认密码：必填，必须与登录密码一致。</x:v>
      </x:c>
      <x:c r="E926" s="4" t="str">
        <x:v>整段分支核验未闭合</x:v>
      </x:c>
      <x:c r="F926" s="4" t="str">
        <x:v>USER-0149</x:v>
      </x:c>
      <x:c r="G926" s="4" t="str">
        <x:v>本段剩余子句、条件组合及状态后续影响仍需与独立规则逐项闭合；这是生成覆盖缺口，不是产品决策缺失。</x:v>
      </x:c>
    </x:row>
    <x:row r="927" ht="44" customHeight="1">
      <x:c r="A927" s="4" t="str">
        <x:v>REQ-4e7e16723ecf</x:v>
      </x:c>
      <x:c r="B927" s="4" t="str">
        <x:v>个人中心</x:v>
      </x:c>
      <x:c r="C927" s="4" t="n">
        <x:v>1488</x:v>
      </x:c>
      <x:c r="D927" s="4" t="str">
        <x:v>设置密码前必须完成当前账号的手机号或邮箱验证。</x:v>
      </x:c>
      <x:c r="E927" s="4" t="str">
        <x:v>整段分支核验未闭合</x:v>
      </x:c>
      <x:c r="F927" s="4" t="str">
        <x:v>USER-0777、USER-0778</x:v>
      </x:c>
      <x:c r="G927" s="4" t="str">
        <x:v>本段剩余子句、条件组合及状态后续影响仍需与独立规则逐项闭合；这是生成覆盖缺口，不是产品决策缺失。</x:v>
      </x:c>
    </x:row>
    <x:row r="928" ht="44" customHeight="1">
      <x:c r="A928" s="4" t="str">
        <x:v>REQ-33ded318ec34</x:v>
      </x:c>
      <x:c r="B928" s="4" t="str">
        <x:v>个人中心</x:v>
      </x:c>
      <x:c r="C928" s="4" t="n">
        <x:v>1489</x:v>
      </x:c>
      <x:c r="D928" s="4" t="str">
        <x:v>验证码错误、失效或已使用时不设置密码，并保留当前输入。</x:v>
      </x:c>
      <x:c r="E928" s="4" t="str">
        <x:v>整段分支核验未闭合</x:v>
      </x:c>
      <x:c r="F928" s="4" t="str">
        <x:v>USER-0143、USER-0144、USER-0145、USER-0146、USER-0147、USER-0148</x:v>
      </x:c>
      <x:c r="G928" s="4" t="str">
        <x:v>本段剩余子句、条件组合及状态后续影响仍需与独立规则逐项闭合；这是生成覆盖缺口，不是产品决策缺失。</x:v>
      </x:c>
    </x:row>
    <x:row r="929" ht="57" customHeight="1">
      <x:c r="A929" s="4" t="str">
        <x:v>REQ-db0051cdeede</x:v>
      </x:c>
      <x:c r="B929" s="4" t="str">
        <x:v>个人中心</x:v>
      </x:c>
      <x:c r="C929" s="4" t="n">
        <x:v>1490</x:v>
      </x:c>
      <x:c r="D929" s="4" t="str">
        <x:v>设置成功后，已绑定手机号和邮箱均可使用该密码登录。</x:v>
      </x:c>
      <x:c r="E929" s="4" t="str">
        <x:v>整段分支核验未闭合</x:v>
      </x:c>
      <x:c r="F929" s="4" t="str">
        <x:v>USER-0777、USER-0777、USER-0778、USER-0778、USER-0780、USER-0781、USER-0782</x:v>
      </x:c>
      <x:c r="G929" s="4" t="str">
        <x:v>本段剩余子句、条件组合及状态后续影响仍需与独立规则逐项闭合；这是生成覆盖缺口，不是产品决策缺失。</x:v>
      </x:c>
    </x:row>
    <x:row r="930" ht="44" customHeight="1">
      <x:c r="A930" s="4" t="str">
        <x:v>REQ-60b0a17f6e8a</x:v>
      </x:c>
      <x:c r="B930" s="4" t="str">
        <x:v>个人中心</x:v>
      </x:c>
      <x:c r="C930" s="4" t="n">
        <x:v>1491</x:v>
      </x:c>
      <x:c r="D930" s="4" t="str">
        <x:v>点击获取验证码 -&gt; 向当前选中的手机号或邮箱发送验证码，按钮进入 60 秒倒计时；倒计时结束后可重新获取。</x:v>
      </x:c>
      <x:c r="E930" s="4" t="str">
        <x:v>整段分支核验未闭合</x:v>
      </x:c>
      <x:c r="F930" s="4" t="str">
        <x:v>USER-0150、USER-0777、USER-0778</x:v>
      </x:c>
      <x:c r="G930" s="4" t="str">
        <x:v>本段剩余子句、条件组合及状态后续影响仍需与独立规则逐项闭合；这是生成覆盖缺口，不是产品决策缺失。</x:v>
      </x:c>
    </x:row>
    <x:row r="931" ht="44" customHeight="1">
      <x:c r="A931" s="4" t="str">
        <x:v>REQ-d895775a7fc5</x:v>
      </x:c>
      <x:c r="B931" s="4" t="str">
        <x:v>个人中心</x:v>
      </x:c>
      <x:c r="C931" s="4" t="n">
        <x:v>1492</x:v>
      </x:c>
      <x:c r="D931" s="4" t="str">
        <x:v>验证码不是 6 位或密码少于 8 位 -&gt; 完成按钮不可用。</x:v>
      </x:c>
      <x:c r="E931" s="4" t="str">
        <x:v>整段分支核验未闭合</x:v>
      </x:c>
      <x:c r="F931" s="4" t="str">
        <x:v>USER-0140、USER-0141、USER-0142</x:v>
      </x:c>
      <x:c r="G931" s="4" t="str">
        <x:v>本段剩余子句、条件组合及状态后续影响仍需与独立规则逐项闭合；这是生成覆盖缺口，不是产品决策缺失。</x:v>
      </x:c>
    </x:row>
    <x:row r="932" ht="44" customHeight="1">
      <x:c r="A932" s="4" t="str">
        <x:v>REQ-d0cbebd513bc</x:v>
      </x:c>
      <x:c r="B932" s="4" t="str">
        <x:v>个人中心</x:v>
      </x:c>
      <x:c r="C932" s="4" t="n">
        <x:v>1493</x:v>
      </x:c>
      <x:c r="D932" s="4" t="str">
        <x:v>两次密码不一致 -&gt; 不提交并提示；校验成功 -&gt; 设置密码并返回设置页。</x:v>
      </x:c>
      <x:c r="E932" s="4" t="str">
        <x:v>整段分支核验未闭合</x:v>
      </x:c>
      <x:c r="F932" s="4" t="str">
        <x:v>USER-0149、USER-0776</x:v>
      </x:c>
      <x:c r="G932" s="4" t="str">
        <x:v>本段剩余子句、条件组合及状态后续影响仍需与独立规则逐项闭合；这是生成覆盖缺口，不是产品决策缺失。</x:v>
      </x:c>
    </x:row>
    <x:row r="933" ht="44" customHeight="1">
      <x:c r="A933" s="4" t="str">
        <x:v>REQ-0817f48c7b49</x:v>
      </x:c>
      <x:c r="B933" s="4" t="str">
        <x:v>个人中心</x:v>
      </x:c>
      <x:c r="C933" s="4" t="n">
        <x:v>1498</x:v>
      </x:c>
      <x:c r="D933" s="4" t="str">
        <x:v>当前密码：必填，必须与当前有效密码一致。</x:v>
      </x:c>
      <x:c r="E933" s="4" t="str">
        <x:v>整段分支核验未闭合</x:v>
      </x:c>
      <x:c r="F933" s="4" t="str">
        <x:v>USER-0162、USER-0163、USER-0164</x:v>
      </x:c>
      <x:c r="G933" s="4" t="str">
        <x:v>本段剩余子句、条件组合及状态后续影响仍需与独立规则逐项闭合；这是生成覆盖缺口，不是产品决策缺失。</x:v>
      </x:c>
    </x:row>
    <x:row r="934" ht="44" customHeight="1">
      <x:c r="A934" s="4" t="str">
        <x:v>REQ-18e752488ec8</x:v>
      </x:c>
      <x:c r="B934" s="4" t="str">
        <x:v>个人中心</x:v>
      </x:c>
      <x:c r="C934" s="4" t="n">
        <x:v>1499</x:v>
      </x:c>
      <x:c r="D934" s="4" t="str">
        <x:v>新密码：必填，至少 8 位，不能与当前密码相同。</x:v>
      </x:c>
      <x:c r="E934" s="4" t="str">
        <x:v>整段分支核验未闭合</x:v>
      </x:c>
      <x:c r="F934" s="4" t="str">
        <x:v>USER-0162、USER-0163、USER-0164</x:v>
      </x:c>
      <x:c r="G934" s="4" t="str">
        <x:v>本段剩余子句、条件组合及状态后续影响仍需与独立规则逐项闭合；这是生成覆盖缺口，不是产品决策缺失。</x:v>
      </x:c>
    </x:row>
    <x:row r="935" ht="44" customHeight="1">
      <x:c r="A935" s="4" t="str">
        <x:v>REQ-e92850c13ccf</x:v>
      </x:c>
      <x:c r="B935" s="4" t="str">
        <x:v>个人中心</x:v>
      </x:c>
      <x:c r="C935" s="4" t="n">
        <x:v>1500</x:v>
      </x:c>
      <x:c r="D935" s="4" t="str">
        <x:v>确认新密码：必填，必须与新密码一致。</x:v>
      </x:c>
      <x:c r="E935" s="4" t="str">
        <x:v>整段分支核验未闭合</x:v>
      </x:c>
      <x:c r="F935" s="4" t="str">
        <x:v>USER-0162、USER-0163、USER-0164</x:v>
      </x:c>
      <x:c r="G935" s="4" t="str">
        <x:v>本段剩余子句、条件组合及状态后续影响仍需与独立规则逐项闭合；这是生成覆盖缺口，不是产品决策缺失。</x:v>
      </x:c>
    </x:row>
    <x:row r="936" ht="44" customHeight="1">
      <x:c r="A936" s="4" t="str">
        <x:v>REQ-ea6b3f0953a4</x:v>
      </x:c>
      <x:c r="B936" s="4" t="str">
        <x:v>个人中心</x:v>
      </x:c>
      <x:c r="C936" s="4" t="n">
        <x:v>1501</x:v>
      </x:c>
      <x:c r="D936" s="4" t="str">
        <x:v>当前密码验证失败时不修改密码。</x:v>
      </x:c>
      <x:c r="E936" s="4" t="str">
        <x:v>整段分支核验未闭合</x:v>
      </x:c>
      <x:c r="F936" s="4" t="str">
        <x:v>USER-0162、USER-0163、USER-0164</x:v>
      </x:c>
      <x:c r="G936" s="4" t="str">
        <x:v>本段剩余子句、条件组合及状态后续影响仍需与独立规则逐项闭合；这是生成覆盖缺口，不是产品决策缺失。</x:v>
      </x:c>
    </x:row>
    <x:row r="937" ht="44" customHeight="1">
      <x:c r="A937" s="4" t="str">
        <x:v>REQ-ce587729acac</x:v>
      </x:c>
      <x:c r="B937" s="4" t="str">
        <x:v>个人中心</x:v>
      </x:c>
      <x:c r="C937" s="4" t="n">
        <x:v>1502</x:v>
      </x:c>
      <x:c r="D937" s="4" t="str">
        <x:v>修改成功后新密码立即生效，旧密码不可再用于登录。</x:v>
      </x:c>
      <x:c r="E937" s="4" t="str">
        <x:v>整段分支核验未闭合</x:v>
      </x:c>
      <x:c r="F937" s="4" t="str">
        <x:v>USER-0782、USER-0782</x:v>
      </x:c>
      <x:c r="G937" s="4" t="str">
        <x:v>本段剩余子句、条件组合及状态后续影响仍需与独立规则逐项闭合；这是生成覆盖缺口，不是产品决策缺失。</x:v>
      </x:c>
    </x:row>
    <x:row r="938" ht="44" customHeight="1">
      <x:c r="A938" s="4" t="str">
        <x:v>REQ-d64401c506c6</x:v>
      </x:c>
      <x:c r="B938" s="4" t="str">
        <x:v>个人中心</x:v>
      </x:c>
      <x:c r="C938" s="4" t="n">
        <x:v>1503</x:v>
      </x:c>
      <x:c r="D938" s="4" t="str">
        <x:v>忘记当前密码时必须通过已绑定手机号或邮箱重置。</x:v>
      </x:c>
      <x:c r="E938" s="4" t="str">
        <x:v>整段分支核验未闭合</x:v>
      </x:c>
      <x:c r="F938" s="4" t="str">
        <x:v>USER-0162、USER-0163、USER-0164、USER-0165</x:v>
      </x:c>
      <x:c r="G938" s="4" t="str">
        <x:v>本段剩余子句、条件组合及状态后续影响仍需与独立规则逐项闭合；这是生成覆盖缺口，不是产品决策缺失。</x:v>
      </x:c>
    </x:row>
    <x:row r="939" ht="44" customHeight="1">
      <x:c r="A939" s="4" t="str">
        <x:v>REQ-fe17f707f9b9</x:v>
      </x:c>
      <x:c r="B939" s="4" t="str">
        <x:v>个人中心</x:v>
      </x:c>
      <x:c r="C939" s="4" t="n">
        <x:v>1504</x:v>
      </x:c>
      <x:c r="D939" s="4" t="str">
        <x:v>当前密码错误、新密码与当前密码相同或两次新密码不一致 -&gt; 保留输入并提示对应错误。</x:v>
      </x:c>
      <x:c r="E939" s="4" t="str">
        <x:v>整段分支核验未闭合</x:v>
      </x:c>
      <x:c r="F939" s="4" t="str">
        <x:v>USER-0162、USER-0163、USER-0164</x:v>
      </x:c>
      <x:c r="G939" s="4" t="str">
        <x:v>本段剩余子句、条件组合及状态后续影响仍需与独立规则逐项闭合；这是生成覆盖缺口，不是产品决策缺失。</x:v>
      </x:c>
    </x:row>
    <x:row r="940" ht="44" customHeight="1">
      <x:c r="A940" s="4" t="str">
        <x:v>REQ-6920f539ff83</x:v>
      </x:c>
      <x:c r="B940" s="4" t="str">
        <x:v>个人中心</x:v>
      </x:c>
      <x:c r="C940" s="4" t="n">
        <x:v>1505</x:v>
      </x:c>
      <x:c r="D940" s="4" t="str">
        <x:v>点击忘记当前密码 -&gt; 进入忘记密码页。</x:v>
      </x:c>
      <x:c r="E940" s="4" t="str">
        <x:v>整段分支核验未闭合</x:v>
      </x:c>
      <x:c r="F940" s="4" t="str">
        <x:v>USER-0162、USER-0163、USER-0164、USER-0165、USER-0395</x:v>
      </x:c>
      <x:c r="G940" s="4" t="str">
        <x:v>本段剩余子句、条件组合及状态后续影响仍需与独立规则逐项闭合；这是生成覆盖缺口，不是产品决策缺失。</x:v>
      </x:c>
    </x:row>
    <x:row r="941" ht="44" customHeight="1">
      <x:c r="A941" s="4" t="str">
        <x:v>REQ-f4bd9b045d80</x:v>
      </x:c>
      <x:c r="B941" s="4" t="str">
        <x:v>个人中心</x:v>
      </x:c>
      <x:c r="C941" s="4" t="n">
        <x:v>1506</x:v>
      </x:c>
      <x:c r="D941" s="4" t="str">
        <x:v>校验成功 -&gt; 修改密码并返回设置页。</x:v>
      </x:c>
      <x:c r="E941" s="4" t="str">
        <x:v>尚未建立场景映射</x:v>
      </x:c>
      <x:c r="F941" s="4" t="str"/>
      <x:c r="G941" s="4" t="str">
        <x:v>本轮独立来源库保留该已知条款，但尚未建立可核验的正式场景映射；不是无业务依据，也不转为产品待确认。</x:v>
      </x:c>
    </x:row>
    <x:row r="942" ht="44" customHeight="1">
      <x:c r="A942" s="4" t="str">
        <x:v>REQ-956eee627217</x:v>
      </x:c>
      <x:c r="B942" s="4" t="str">
        <x:v>个人中心</x:v>
      </x:c>
      <x:c r="C942" s="4" t="n">
        <x:v>1511</x:v>
      </x:c>
      <x:c r="D942" s="4" t="str">
        <x:v>验证方式：可选择已绑定手机号或邮箱；联系方式脱敏展示。</x:v>
      </x:c>
      <x:c r="E942" s="4" t="str">
        <x:v>整段分支核验未闭合</x:v>
      </x:c>
      <x:c r="F942" s="4" t="str">
        <x:v>USER-0161、USER-0780、USER-0781</x:v>
      </x:c>
      <x:c r="G942" s="4" t="str">
        <x:v>本段剩余子句、条件组合及状态后续影响仍需与独立规则逐项闭合；这是生成覆盖缺口，不是产品决策缺失。</x:v>
      </x:c>
    </x:row>
    <x:row r="943" ht="44" customHeight="1">
      <x:c r="A943" s="4" t="str">
        <x:v>REQ-da9ec0c10c8c</x:v>
      </x:c>
      <x:c r="B943" s="4" t="str">
        <x:v>个人中心</x:v>
      </x:c>
      <x:c r="C943" s="4" t="n">
        <x:v>1512</x:v>
      </x:c>
      <x:c r="D943" s="4" t="str">
        <x:v>验证码：必填，6 位数字；仅校验当前选中的手机号或邮箱收到的有效验证码。</x:v>
      </x:c>
      <x:c r="E943" s="4" t="str">
        <x:v>整段分支核验未闭合</x:v>
      </x:c>
      <x:c r="F943" s="4" t="str">
        <x:v>USER-0161、USER-0780、USER-0781</x:v>
      </x:c>
      <x:c r="G943" s="4" t="str">
        <x:v>本段剩余子句、条件组合及状态后续影响仍需与独立规则逐项闭合；这是生成覆盖缺口，不是产品决策缺失。</x:v>
      </x:c>
    </x:row>
    <x:row r="944" ht="44" customHeight="1">
      <x:c r="A944" s="4" t="str">
        <x:v>REQ-4223d6635f79</x:v>
      </x:c>
      <x:c r="B944" s="4" t="str">
        <x:v>个人中心</x:v>
      </x:c>
      <x:c r="C944" s="4" t="n">
        <x:v>1513</x:v>
      </x:c>
      <x:c r="D944" s="4" t="str">
        <x:v>新密码：必填，至少 8 位。</x:v>
      </x:c>
      <x:c r="E944" s="4" t="str">
        <x:v>整段分支核验未闭合</x:v>
      </x:c>
      <x:c r="F944" s="4" t="str">
        <x:v>USER-0151、USER-0152、USER-0153</x:v>
      </x:c>
      <x:c r="G944" s="4" t="str">
        <x:v>本段剩余子句、条件组合及状态后续影响仍需与独立规则逐项闭合；这是生成覆盖缺口，不是产品决策缺失。</x:v>
      </x:c>
    </x:row>
    <x:row r="945" ht="44" customHeight="1">
      <x:c r="A945" s="4" t="str">
        <x:v>REQ-eb63a688e121</x:v>
      </x:c>
      <x:c r="B945" s="4" t="str">
        <x:v>个人中心</x:v>
      </x:c>
      <x:c r="C945" s="4" t="n">
        <x:v>1514</x:v>
      </x:c>
      <x:c r="D945" s="4" t="str">
        <x:v>确认新密码：必填，必须与新密码一致。</x:v>
      </x:c>
      <x:c r="E945" s="4" t="str">
        <x:v>整段分支核验未闭合</x:v>
      </x:c>
      <x:c r="F945" s="4" t="str">
        <x:v>USER-0160</x:v>
      </x:c>
      <x:c r="G945" s="4" t="str">
        <x:v>本段剩余子句、条件组合及状态后续影响仍需与独立规则逐项闭合；这是生成覆盖缺口，不是产品决策缺失。</x:v>
      </x:c>
    </x:row>
    <x:row r="946" ht="44" customHeight="1">
      <x:c r="A946" s="4" t="str">
        <x:v>REQ-a17ae8f2bc3a</x:v>
      </x:c>
      <x:c r="B946" s="4" t="str">
        <x:v>个人中心</x:v>
      </x:c>
      <x:c r="C946" s="4" t="n">
        <x:v>1515</x:v>
      </x:c>
      <x:c r="D946" s="4" t="str">
        <x:v>重置密码前必须完成当前账号的手机号或邮箱验证。</x:v>
      </x:c>
      <x:c r="E946" s="4" t="str">
        <x:v>整段分支核验未闭合</x:v>
      </x:c>
      <x:c r="F946" s="4" t="str">
        <x:v>USER-0780、USER-0781</x:v>
      </x:c>
      <x:c r="G946" s="4" t="str">
        <x:v>本段剩余子句、条件组合及状态后续影响仍需与独立规则逐项闭合；这是生成覆盖缺口，不是产品决策缺失。</x:v>
      </x:c>
    </x:row>
    <x:row r="947" ht="44" customHeight="1">
      <x:c r="A947" s="4" t="str">
        <x:v>REQ-31ee1e2d297f</x:v>
      </x:c>
      <x:c r="B947" s="4" t="str">
        <x:v>个人中心</x:v>
      </x:c>
      <x:c r="C947" s="4" t="n">
        <x:v>1516</x:v>
      </x:c>
      <x:c r="D947" s="4" t="str">
        <x:v>验证码错误、失效或已使用时不重置密码，并保留当前输入。</x:v>
      </x:c>
      <x:c r="E947" s="4" t="str">
        <x:v>整段分支核验未闭合</x:v>
      </x:c>
      <x:c r="F947" s="4" t="str">
        <x:v>USER-0154、USER-0155、USER-0156、USER-0157、USER-0158、USER-0159</x:v>
      </x:c>
      <x:c r="G947" s="4" t="str">
        <x:v>本段剩余子句、条件组合及状态后续影响仍需与独立规则逐项闭合；这是生成覆盖缺口，不是产品决策缺失。</x:v>
      </x:c>
    </x:row>
    <x:row r="948" ht="44" customHeight="1">
      <x:c r="A948" s="4" t="str">
        <x:v>REQ-c59e965587e7</x:v>
      </x:c>
      <x:c r="B948" s="4" t="str">
        <x:v>个人中心</x:v>
      </x:c>
      <x:c r="C948" s="4" t="n">
        <x:v>1517</x:v>
      </x:c>
      <x:c r="D948" s="4" t="str">
        <x:v>重置成功后新密码立即生效，旧密码不可再用于登录。</x:v>
      </x:c>
      <x:c r="E948" s="4" t="str">
        <x:v>整段分支核验未闭合</x:v>
      </x:c>
      <x:c r="F948" s="4" t="str">
        <x:v>USER-0780、USER-0781、USER-0782</x:v>
      </x:c>
      <x:c r="G948" s="4" t="str">
        <x:v>本段剩余子句、条件组合及状态后续影响仍需与独立规则逐项闭合；这是生成覆盖缺口，不是产品决策缺失。</x:v>
      </x:c>
    </x:row>
    <x:row r="949" ht="44" customHeight="1">
      <x:c r="A949" s="4" t="str">
        <x:v>REQ-6ab1d015eba7</x:v>
      </x:c>
      <x:c r="B949" s="4" t="str">
        <x:v>个人中心</x:v>
      </x:c>
      <x:c r="C949" s="4" t="n">
        <x:v>1518</x:v>
      </x:c>
      <x:c r="D949" s="4" t="str">
        <x:v>点击获取验证码 -&gt; 向当前选中的手机号或邮箱发送验证码，按钮进入 60 秒倒计时；倒计时结束后可重新获取。</x:v>
      </x:c>
      <x:c r="E949" s="4" t="str">
        <x:v>整段分支核验未闭合</x:v>
      </x:c>
      <x:c r="F949" s="4" t="str">
        <x:v>USER-0161、USER-0780、USER-0781</x:v>
      </x:c>
      <x:c r="G949" s="4" t="str">
        <x:v>本段剩余子句、条件组合及状态后续影响仍需与独立规则逐项闭合；这是生成覆盖缺口，不是产品决策缺失。</x:v>
      </x:c>
    </x:row>
    <x:row r="950" ht="44" customHeight="1">
      <x:c r="A950" s="4" t="str">
        <x:v>REQ-76059c30b9b8</x:v>
      </x:c>
      <x:c r="B950" s="4" t="str">
        <x:v>个人中心</x:v>
      </x:c>
      <x:c r="C950" s="4" t="n">
        <x:v>1519</x:v>
      </x:c>
      <x:c r="D950" s="4" t="str">
        <x:v>验证码不是 6 位或密码少于 8 位 -&gt; 重置密码按钮不可用。</x:v>
      </x:c>
      <x:c r="E950" s="4" t="str">
        <x:v>整段分支核验未闭合</x:v>
      </x:c>
      <x:c r="F950" s="4" t="str">
        <x:v>USER-0151、USER-0152、USER-0153</x:v>
      </x:c>
      <x:c r="G950" s="4" t="str">
        <x:v>本段剩余子句、条件组合及状态后续影响仍需与独立规则逐项闭合；这是生成覆盖缺口，不是产品决策缺失。</x:v>
      </x:c>
    </x:row>
    <x:row r="951" ht="44" customHeight="1">
      <x:c r="A951" s="4" t="str">
        <x:v>REQ-ab6de0e5ca05</x:v>
      </x:c>
      <x:c r="B951" s="4" t="str">
        <x:v>个人中心</x:v>
      </x:c>
      <x:c r="C951" s="4" t="n">
        <x:v>1520</x:v>
      </x:c>
      <x:c r="D951" s="4" t="str">
        <x:v>两次密码不一致 -&gt; 不提交并提示；校验成功 -&gt; 重置密码并返回设置页。</x:v>
      </x:c>
      <x:c r="E951" s="4" t="str">
        <x:v>整段分支核验未闭合</x:v>
      </x:c>
      <x:c r="F951" s="4" t="str">
        <x:v>USER-0160、USER-0779</x:v>
      </x:c>
      <x:c r="G951" s="4" t="str">
        <x:v>本段剩余子句、条件组合及状态后续影响仍需与独立规则逐项闭合；这是生成覆盖缺口，不是产品决策缺失。</x:v>
      </x:c>
    </x:row>
    <x:row r="952" ht="44" customHeight="1">
      <x:c r="A952" s="4" t="str">
        <x:v>REQ-2deaeae43b2d</x:v>
      </x:c>
      <x:c r="B952" s="4" t="str">
        <x:v>账号与登录</x:v>
      </x:c>
      <x:c r="C952" s="4" t="n">
        <x:v>1525</x:v>
      </x:c>
      <x:c r="D952" s="4" t="str">
        <x:v>可取消截止时间：注销申请提交时间加七日，格式为 MM/DD HH:mm。</x:v>
      </x:c>
      <x:c r="E952" s="4" t="str">
        <x:v>尚未建立场景映射</x:v>
      </x:c>
      <x:c r="F952" s="4" t="str"/>
      <x:c r="G952" s="4" t="str">
        <x:v>本轮独立来源库保留该已知条款，但尚未建立可核验的正式场景映射；不是无业务依据，也不转为产品待确认。</x:v>
      </x:c>
    </x:row>
    <x:row r="953" ht="44" customHeight="1">
      <x:c r="A953" s="4" t="str">
        <x:v>REQ-4aba6dda321b</x:v>
      </x:c>
      <x:c r="B953" s="4" t="str">
        <x:v>账号与登录</x:v>
      </x:c>
      <x:c r="C953" s="4" t="n">
        <x:v>1526</x:v>
      </x:c>
      <x:c r="D953" s="4" t="str">
        <x:v>操作：暂不取消、取消注销。</x:v>
      </x:c>
      <x:c r="E953" s="4" t="str">
        <x:v>整段分支核验未闭合</x:v>
      </x:c>
      <x:c r="F953" s="4" t="str">
        <x:v>USER-0138、USER-0139</x:v>
      </x:c>
      <x:c r="G953" s="4" t="str">
        <x:v>本段剩余子句、条件组合及状态后续影响仍需与独立规则逐项闭合；这是生成覆盖缺口，不是产品决策缺失。</x:v>
      </x:c>
    </x:row>
    <x:row r="954" ht="44" customHeight="1">
      <x:c r="A954" s="4" t="str">
        <x:v>REQ-5fc094115b81</x:v>
      </x:c>
      <x:c r="B954" s="4" t="str">
        <x:v>账号与登录</x:v>
      </x:c>
      <x:c r="C954" s="4" t="n">
        <x:v>1527</x:v>
      </x:c>
      <x:c r="D954" s="4" t="str">
        <x:v>冷静期内保留账号、资产、社交关系、聊天记录及创建的粉丝团，不执行最终删除。</x:v>
      </x:c>
      <x:c r="E954" s="4" t="str">
        <x:v>尚未建立场景映射</x:v>
      </x:c>
      <x:c r="F954" s="4" t="str"/>
      <x:c r="G954" s="4" t="str">
        <x:v>本轮独立来源库保留该已知条款，但尚未建立可核验的正式场景映射；不是无业务依据，也不转为产品待确认。</x:v>
      </x:c>
    </x:row>
    <x:row r="955" ht="44" customHeight="1">
      <x:c r="A955" s="4" t="str">
        <x:v>REQ-af8c536b44b6</x:v>
      </x:c>
      <x:c r="B955" s="4" t="str">
        <x:v>账号与登录</x:v>
      </x:c>
      <x:c r="C955" s="4" t="n">
        <x:v>1528</x:v>
      </x:c>
      <x:c r="D955" s="4" t="str">
        <x:v>冷静期满仍未取消 -&gt; 解除社交关系、解散创建的粉丝团并最终删除账号及相关数据。</x:v>
      </x:c>
      <x:c r="E955" s="4" t="str">
        <x:v>尚未建立场景映射</x:v>
      </x:c>
      <x:c r="F955" s="4" t="str"/>
      <x:c r="G955" s="4" t="str">
        <x:v>本轮独立来源库保留该已知条款，但尚未建立可核验的正式场景映射；不是无业务依据，也不转为产品待确认。</x:v>
      </x:c>
    </x:row>
    <x:row r="956" ht="44" customHeight="1">
      <x:c r="A956" s="4" t="str">
        <x:v>REQ-8b071c7b7730</x:v>
      </x:c>
      <x:c r="B956" s="4" t="str">
        <x:v>账号与登录</x:v>
      </x:c>
      <x:c r="C956" s="4" t="n">
        <x:v>1529</x:v>
      </x:c>
      <x:c r="D956" s="4" t="str">
        <x:v>取消注销 -&gt; 清除待注销状态，原有数据和关系保持不变。</x:v>
      </x:c>
      <x:c r="E956" s="4" t="str">
        <x:v>整段分支核验未闭合</x:v>
      </x:c>
      <x:c r="F956" s="4" t="str">
        <x:v>USER-0138、USER-0139</x:v>
      </x:c>
      <x:c r="G956" s="4" t="str">
        <x:v>本段剩余子句、条件组合及状态后续影响仍需与独立规则逐项闭合；这是生成覆盖缺口，不是产品决策缺失。</x:v>
      </x:c>
    </x:row>
    <x:row r="957" ht="44" customHeight="1">
      <x:c r="A957" s="4" t="str">
        <x:v>REQ-1cb452c4f51b</x:v>
      </x:c>
      <x:c r="B957" s="4" t="str">
        <x:v>账号与登录</x:v>
      </x:c>
      <x:c r="C957" s="4" t="n">
        <x:v>1530</x:v>
      </x:c>
      <x:c r="D957" s="4" t="str">
        <x:v>点击暂不取消 -&gt; 关闭弹窗并停留登录与注册页；点击取消注销 -&gt; 清除待注销状态并直接登录。</x:v>
      </x:c>
      <x:c r="E957" s="4" t="str">
        <x:v>整段分支核验未闭合</x:v>
      </x:c>
      <x:c r="F957" s="4" t="str">
        <x:v>USER-0138、USER-0139</x:v>
      </x:c>
      <x:c r="G957" s="4" t="str">
        <x:v>本段剩余子句、条件组合及状态后续影响仍需与独立规则逐项闭合；这是生成覆盖缺口，不是产品决策缺失。</x:v>
      </x:c>
    </x:row>
    <x:row r="958" ht="44" customHeight="1">
      <x:c r="A958" s="4" t="str">
        <x:v>REQ-840ceceb0e3e</x:v>
      </x:c>
      <x:c r="B958" s="4" t="str">
        <x:v>首页与发现</x:v>
      </x:c>
      <x:c r="C958" s="4" t="n">
        <x:v>1535</x:v>
      </x:c>
      <x:c r="D958" s="4" t="str">
        <x:v>标题：开启通知</x:v>
      </x:c>
      <x:c r="E958" s="4" t="str">
        <x:v>尚未建立场景映射</x:v>
      </x:c>
      <x:c r="F958" s="4" t="str"/>
      <x:c r="G958" s="4" t="str">
        <x:v>本轮独立来源库保留该已知条款，但尚未建立可核验的正式场景映射；不是无业务依据，也不转为产品待确认。</x:v>
      </x:c>
    </x:row>
    <x:row r="959" ht="44" customHeight="1">
      <x:c r="A959" s="4" t="str">
        <x:v>REQ-524f47cf9134</x:v>
      </x:c>
      <x:c r="B959" s="4" t="str">
        <x:v>首页与发现</x:v>
      </x:c>
      <x:c r="C959" s="4" t="n">
        <x:v>1536</x:v>
      </x:c>
      <x:c r="D959" s="4" t="str">
        <x:v>正文：开启后，你可以及时收到关注主播开播、互动消息及平台公告。</x:v>
      </x:c>
      <x:c r="E959" s="4" t="str">
        <x:v>尚未建立场景映射</x:v>
      </x:c>
      <x:c r="F959" s="4" t="str"/>
      <x:c r="G959" s="4" t="str">
        <x:v>本轮独立来源库保留该已知条款，但尚未建立可核验的正式场景映射；不是无业务依据，也不转为产品待确认。</x:v>
      </x:c>
    </x:row>
    <x:row r="960" ht="44" customHeight="1">
      <x:c r="A960" s="4" t="str">
        <x:v>REQ-656ce1cd9ca9</x:v>
      </x:c>
      <x:c r="B960" s="4" t="str">
        <x:v>首页与发现</x:v>
      </x:c>
      <x:c r="C960" s="4" t="n">
        <x:v>1537</x:v>
      </x:c>
      <x:c r="D960" s="4" t="str">
        <x:v>按钮：暂不开启、开启通知。</x:v>
      </x:c>
      <x:c r="E960" s="4" t="str">
        <x:v>尚未建立场景映射</x:v>
      </x:c>
      <x:c r="F960" s="4" t="str"/>
      <x:c r="G960" s="4" t="str">
        <x:v>本轮独立来源库保留该已知条款，但尚未建立可核验的正式场景映射；不是无业务依据，也不转为产品待确认。</x:v>
      </x:c>
    </x:row>
    <x:row r="961" ht="44" customHeight="1">
      <x:c r="A961" s="4" t="str">
        <x:v>REQ-c5181f8521fc</x:v>
      </x:c>
      <x:c r="B961" s="4" t="str">
        <x:v>首页与发现</x:v>
      </x:c>
      <x:c r="C961" s="4" t="n">
        <x:v>1538</x:v>
      </x:c>
      <x:c r="D961" s="4" t="str">
        <x:v>首次登录进入首页时展示；选择开启或暂不开启后，后续登录不再展示。</x:v>
      </x:c>
      <x:c r="E961" s="4" t="str">
        <x:v>整段分支核验未闭合</x:v>
      </x:c>
      <x:c r="F961" s="4" t="str">
        <x:v>USER-0416、USER-0417、USER-0418、USER-0419</x:v>
      </x:c>
      <x:c r="G961" s="4" t="str">
        <x:v>本段剩余子句、条件组合及状态后续影响仍需与独立规则逐项闭合；这是生成覆盖缺口，不是产品决策缺失。</x:v>
      </x:c>
    </x:row>
    <x:row r="962" ht="44" customHeight="1">
      <x:c r="A962" s="4" t="str">
        <x:v>REQ-1c8b0773d23f</x:v>
      </x:c>
      <x:c r="B962" s="4" t="str">
        <x:v>首页与发现</x:v>
      </x:c>
      <x:c r="C962" s="4" t="n">
        <x:v>1539</x:v>
      </x:c>
      <x:c r="D962" s="4" t="str">
        <x:v>点击开启通知 -&gt; 系统通知授权弹窗；点击暂不开启 -&gt; 关闭说明且后续登录不再展示。</x:v>
      </x:c>
      <x:c r="E962" s="4" t="str">
        <x:v>整段分支核验未闭合</x:v>
      </x:c>
      <x:c r="F962" s="4" t="str">
        <x:v>USER-0416、USER-0417、USER-0418、USER-0419</x:v>
      </x:c>
      <x:c r="G962" s="4" t="str">
        <x:v>本段剩余子句、条件组合及状态后续影响仍需与独立规则逐项闭合；这是生成覆盖缺口，不是产品决策缺失。</x:v>
      </x:c>
    </x:row>
    <x:row r="963" ht="44" customHeight="1">
      <x:c r="A963" s="4" t="str">
        <x:v>REQ-1a2d13936555</x:v>
      </x:c>
      <x:c r="B963" s="4" t="str">
        <x:v>首页与发现</x:v>
      </x:c>
      <x:c r="C963" s="4" t="n">
        <x:v>1544</x:v>
      </x:c>
      <x:c r="D963" s="4" t="str">
        <x:v>标题：“Luma Live”想给你发送通知</x:v>
      </x:c>
      <x:c r="E963" s="4" t="str">
        <x:v>尚未建立场景映射</x:v>
      </x:c>
      <x:c r="F963" s="4" t="str"/>
      <x:c r="G963" s="4" t="str">
        <x:v>本轮独立来源库保留该已知条款，但尚未建立可核验的正式场景映射；不是无业务依据，也不转为产品待确认。</x:v>
      </x:c>
    </x:row>
    <x:row r="964" ht="44" customHeight="1">
      <x:c r="A964" s="4" t="str">
        <x:v>REQ-e1ba2fcbd256</x:v>
      </x:c>
      <x:c r="B964" s="4" t="str">
        <x:v>首页与发现</x:v>
      </x:c>
      <x:c r="C964" s="4" t="n">
        <x:v>1545</x:v>
      </x:c>
      <x:c r="D964" s="4" t="str">
        <x:v>正文：通知可能包括提醒、声音和图标标记。</x:v>
      </x:c>
      <x:c r="E964" s="4" t="str">
        <x:v>尚未建立场景映射</x:v>
      </x:c>
      <x:c r="F964" s="4" t="str"/>
      <x:c r="G964" s="4" t="str">
        <x:v>本轮独立来源库保留该已知条款，但尚未建立可核验的正式场景映射；不是无业务依据，也不转为产品待确认。</x:v>
      </x:c>
    </x:row>
    <x:row r="965" ht="44" customHeight="1">
      <x:c r="A965" s="4" t="str">
        <x:v>REQ-1fdd47463976</x:v>
      </x:c>
      <x:c r="B965" s="4" t="str">
        <x:v>首页与发现</x:v>
      </x:c>
      <x:c r="C965" s="4" t="n">
        <x:v>1546</x:v>
      </x:c>
      <x:c r="D965" s="4" t="str">
        <x:v>按钮：不允许、允许。</x:v>
      </x:c>
      <x:c r="E965" s="4" t="str">
        <x:v>尚未建立场景映射</x:v>
      </x:c>
      <x:c r="F965" s="4" t="str"/>
      <x:c r="G965" s="4" t="str">
        <x:v>本轮独立来源库保留该已知条款，但尚未建立可核验的正式场景映射；不是无业务依据，也不转为产品待确认。</x:v>
      </x:c>
    </x:row>
    <x:row r="966" ht="44" customHeight="1">
      <x:c r="A966" s="4" t="str">
        <x:v>REQ-16dc8a06fc75</x:v>
      </x:c>
      <x:c r="B966" s="4" t="str">
        <x:v>首页与发现</x:v>
      </x:c>
      <x:c r="C966" s="4" t="n">
        <x:v>1547</x:v>
      </x:c>
      <x:c r="D966" s="4" t="str">
        <x:v>记录当前设备的系统授权结果；拒绝不影响站内通知接收。</x:v>
      </x:c>
      <x:c r="E966" s="4" t="str">
        <x:v>整段分支核验未闭合</x:v>
      </x:c>
      <x:c r="F966" s="4" t="str">
        <x:v>USER-0420、USER-0421</x:v>
      </x:c>
      <x:c r="G966" s="4" t="str">
        <x:v>本段剩余子句、条件组合及状态后续影响仍需与独立规则逐项闭合；这是生成覆盖缺口，不是产品决策缺失。</x:v>
      </x:c>
    </x:row>
    <x:row r="967" ht="44" customHeight="1">
      <x:c r="A967" s="4" t="str">
        <x:v>REQ-37f11691aa7c</x:v>
      </x:c>
      <x:c r="B967" s="4" t="str">
        <x:v>首页与发现</x:v>
      </x:c>
      <x:c r="C967" s="4" t="n">
        <x:v>1548</x:v>
      </x:c>
      <x:c r="D967" s="4" t="str">
        <x:v>模拟手机系统通知授权；允许后记录为已开启，不允许后记录为已拒绝。</x:v>
      </x:c>
      <x:c r="E967" s="4" t="str">
        <x:v>整段分支核验未闭合</x:v>
      </x:c>
      <x:c r="F967" s="4" t="str">
        <x:v>USER-0420、USER-0421</x:v>
      </x:c>
      <x:c r="G967" s="4" t="str">
        <x:v>本段剩余子句、条件组合及状态后续影响仍需与独立规则逐项闭合；这是生成覆盖缺口，不是产品决策缺失。</x:v>
      </x:c>
    </x:row>
    <x:row r="968" ht="44" customHeight="1">
      <x:c r="A968" s="4" t="str">
        <x:v>REQ-37faac19e032</x:v>
      </x:c>
      <x:c r="B968" s="4" t="str">
        <x:v>个人中心</x:v>
      </x:c>
      <x:c r="C968" s="4" t="n">
        <x:v>1553</x:v>
      </x:c>
      <x:c r="D968" s="4" t="str">
        <x:v>系统通知：当前状态为未开启，尚未申请系统授权。</x:v>
      </x:c>
      <x:c r="E968" s="4" t="str">
        <x:v>整段分支核验未闭合</x:v>
      </x:c>
      <x:c r="F968" s="4" t="str">
        <x:v>USER-0755</x:v>
      </x:c>
      <x:c r="G968" s="4" t="str">
        <x:v>本段剩余子句、条件组合及状态后续影响仍需与独立规则逐项闭合；这是生成覆盖缺口，不是产品决策缺失。</x:v>
      </x:c>
    </x:row>
    <x:row r="969" ht="44" customHeight="1">
      <x:c r="A969" s="4" t="str">
        <x:v>REQ-d7571534c73f</x:v>
      </x:c>
      <x:c r="B969" s="4" t="str">
        <x:v>个人中心</x:v>
      </x:c>
      <x:c r="C969" s="4" t="n">
        <x:v>1554</x:v>
      </x:c>
      <x:c r="D969" s="4" t="str">
        <x:v>通知权限属于当前设备；未获授权时不发送站外推送，站内通知仍保留。</x:v>
      </x:c>
      <x:c r="E969" s="4" t="str">
        <x:v>尚未建立场景映射</x:v>
      </x:c>
      <x:c r="F969" s="4" t="str"/>
      <x:c r="G969" s="4" t="str">
        <x:v>本轮独立来源库保留该已知条款，但尚未建立可核验的正式场景映射；不是无业务依据，也不转为产品待确认。</x:v>
      </x:c>
    </x:row>
    <x:row r="970" ht="44" customHeight="1">
      <x:c r="A970" s="4" t="str">
        <x:v>REQ-ab88d1d0a940</x:v>
      </x:c>
      <x:c r="B970" s="4" t="str">
        <x:v>个人中心</x:v>
      </x:c>
      <x:c r="C970" s="4" t="n">
        <x:v>1555</x:v>
      </x:c>
      <x:c r="D970" s="4" t="str">
        <x:v>系统通知从未申请时，点击入口调起模拟系统授权弹窗。</x:v>
      </x:c>
      <x:c r="E970" s="4" t="str">
        <x:v>整段分支核验未闭合</x:v>
      </x:c>
      <x:c r="F970" s="4" t="str">
        <x:v>USER-0755</x:v>
      </x:c>
      <x:c r="G970" s="4" t="str">
        <x:v>本段剩余子句、条件组合及状态后续影响仍需与独立规则逐项闭合；这是生成覆盖缺口，不是产品决策缺失。</x:v>
      </x:c>
    </x:row>
    <x:row r="971" ht="44" customHeight="1">
      <x:c r="A971" s="4" t="str">
        <x:v>REQ-97aec6dbac13</x:v>
      </x:c>
      <x:c r="B971" s="4" t="str">
        <x:v>个人中心</x:v>
      </x:c>
      <x:c r="C971" s="4" t="n">
        <x:v>1560</x:v>
      </x:c>
      <x:c r="D971" s="4" t="str">
        <x:v>系统通知：当前状态为已拒绝。</x:v>
      </x:c>
      <x:c r="E971" s="4" t="str">
        <x:v>尚未建立场景映射</x:v>
      </x:c>
      <x:c r="F971" s="4" t="str"/>
      <x:c r="G971" s="4" t="str">
        <x:v>本轮独立来源库保留该已知条款，但尚未建立可核验的正式场景映射；不是无业务依据，也不转为产品待确认。</x:v>
      </x:c>
    </x:row>
    <x:row r="972" ht="44" customHeight="1">
      <x:c r="A972" s="4" t="str">
        <x:v>REQ-6b526b040fc3</x:v>
      </x:c>
      <x:c r="B972" s="4" t="str">
        <x:v>个人中心</x:v>
      </x:c>
      <x:c r="C972" s="4" t="n">
        <x:v>1561</x:v>
      </x:c>
      <x:c r="D972" s="4" t="str">
        <x:v>操作：暂不开启关闭提示；前往设置用于调整系统权限。</x:v>
      </x:c>
      <x:c r="E972" s="4" t="str">
        <x:v>整段分支核验未闭合</x:v>
      </x:c>
      <x:c r="F972" s="4" t="str">
        <x:v>USER-0422、USER-0423</x:v>
      </x:c>
      <x:c r="G972" s="4" t="str">
        <x:v>本段剩余子句、条件组合及状态后续影响仍需与独立规则逐项闭合；这是生成覆盖缺口，不是产品决策缺失。</x:v>
      </x:c>
    </x:row>
    <x:row r="973" ht="44" customHeight="1">
      <x:c r="A973" s="4" t="str">
        <x:v>REQ-3e1ae5ebbc5e</x:v>
      </x:c>
      <x:c r="B973" s="4" t="str">
        <x:v>个人中心</x:v>
      </x:c>
      <x:c r="C973" s="4" t="n">
        <x:v>1562</x:v>
      </x:c>
      <x:c r="D973" s="4" t="str">
        <x:v>系统权限已被拒绝时需在系统设置中调整；App 内分类开关不能代替系统授权。</x:v>
      </x:c>
      <x:c r="E973" s="4" t="str">
        <x:v>尚未建立场景映射</x:v>
      </x:c>
      <x:c r="F973" s="4" t="str"/>
      <x:c r="G973" s="4" t="str">
        <x:v>本轮独立来源库保留该已知条款，但尚未建立可核验的正式场景映射；不是无业务依据，也不转为产品待确认。</x:v>
      </x:c>
    </x:row>
    <x:row r="974" ht="44" customHeight="1">
      <x:c r="A974" s="4" t="str">
        <x:v>REQ-ab2e5019404e</x:v>
      </x:c>
      <x:c r="B974" s="4" t="str">
        <x:v>个人中心</x:v>
      </x:c>
      <x:c r="C974" s="4" t="n">
        <x:v>1563</x:v>
      </x:c>
      <x:c r="D974" s="4" t="str">
        <x:v>系统通知已拒绝时，点击入口提示前往手机系统设置，提供暂不开启和前往设置。</x:v>
      </x:c>
      <x:c r="E974" s="4" t="str">
        <x:v>整段分支核验未闭合</x:v>
      </x:c>
      <x:c r="F974" s="4" t="str">
        <x:v>USER-0422、USER-0423</x:v>
      </x:c>
      <x:c r="G974" s="4" t="str">
        <x:v>本段剩余子句、条件组合及状态后续影响仍需与独立规则逐项闭合；这是生成覆盖缺口，不是产品决策缺失。</x:v>
      </x:c>
    </x:row>
    <x:row r="975" ht="44" customHeight="1">
      <x:c r="A975" s="4" t="str">
        <x:v>REQ-476f36a09670</x:v>
      </x:c>
      <x:c r="B975" s="4" t="str">
        <x:v>个人中心</x:v>
      </x:c>
      <x:c r="C975" s="4" t="n">
        <x:v>1568</x:v>
      </x:c>
      <x:c r="D975" s="4" t="str">
        <x:v>系统通知：当前状态为已开启。</x:v>
      </x:c>
      <x:c r="E975" s="4" t="str">
        <x:v>尚未建立场景映射</x:v>
      </x:c>
      <x:c r="F975" s="4" t="str"/>
      <x:c r="G975" s="4" t="str">
        <x:v>本轮独立来源库保留该已知条款，但尚未建立可核验的正式场景映射；不是无业务依据，也不转为产品待确认。</x:v>
      </x:c>
    </x:row>
    <x:row r="976" ht="44" customHeight="1">
      <x:c r="A976" s="4" t="str">
        <x:v>REQ-44a79bfd880e</x:v>
      </x:c>
      <x:c r="B976" s="4" t="str">
        <x:v>个人中心</x:v>
      </x:c>
      <x:c r="C976" s="4" t="n">
        <x:v>1569</x:v>
      </x:c>
      <x:c r="D976" s="4" t="str">
        <x:v>开播提醒 / 互动通知：独立的 App 内通知分类偏好。</x:v>
      </x:c>
      <x:c r="E976" s="4" t="str">
        <x:v>整段分支核验未闭合</x:v>
      </x:c>
      <x:c r="F976" s="4" t="str">
        <x:v>USER-0425、USER-0426</x:v>
      </x:c>
      <x:c r="G976" s="4" t="str">
        <x:v>本段剩余子句、条件组合及状态后续影响仍需与独立规则逐项闭合；这是生成覆盖缺口，不是产品决策缺失。</x:v>
      </x:c>
    </x:row>
    <x:row r="977" ht="44" customHeight="1">
      <x:c r="A977" s="4" t="str">
        <x:v>REQ-d5b5caf244b0</x:v>
      </x:c>
      <x:c r="B977" s="4" t="str">
        <x:v>个人中心</x:v>
      </x:c>
      <x:c r="C977" s="4" t="n">
        <x:v>1570</x:v>
      </x:c>
      <x:c r="D977" s="4" t="str">
        <x:v>获得系统权限后，开播提醒和互动通知仍分别受 App 内分类偏好控制。</x:v>
      </x:c>
      <x:c r="E977" s="4" t="str">
        <x:v>整段分支核验未闭合</x:v>
      </x:c>
      <x:c r="F977" s="4" t="str">
        <x:v>USER-0425、USER-0426</x:v>
      </x:c>
      <x:c r="G977" s="4" t="str">
        <x:v>本段剩余子句、条件组合及状态后续影响仍需与独立规则逐项闭合；这是生成覆盖缺口，不是产品决策缺失。</x:v>
      </x:c>
    </x:row>
    <x:row r="978" ht="44" customHeight="1">
      <x:c r="A978" s="4" t="str">
        <x:v>REQ-38dd8250cdfd</x:v>
      </x:c>
      <x:c r="B978" s="4" t="str">
        <x:v>个人中心</x:v>
      </x:c>
      <x:c r="C978" s="4" t="n">
        <x:v>1571</x:v>
      </x:c>
      <x:c r="D978" s="4" t="str">
        <x:v>点击系统通知 -&gt; 提示“系统通知已开启”；分类通知开关仍可独立切换。</x:v>
      </x:c>
      <x:c r="E978" s="4" t="str">
        <x:v>整段分支核验未闭合</x:v>
      </x:c>
      <x:c r="F978" s="4" t="str">
        <x:v>USER-0424、USER-0425、USER-0426</x:v>
      </x:c>
      <x:c r="G978" s="4" t="str">
        <x:v>本段剩余子句、条件组合及状态后续影响仍需与独立规则逐项闭合；这是生成覆盖缺口，不是产品决策缺失。</x:v>
      </x:c>
    </x:row>
    <x:row r="979" ht="44" customHeight="1">
      <x:c r="A979" s="4" t="str">
        <x:v>REQ-b99fe888bb33</x:v>
      </x:c>
      <x:c r="B979" s="4" t="str">
        <x:v>直播</x:v>
      </x:c>
      <x:c r="C979" s="4" t="n">
        <x:v>1575</x:v>
      </x:c>
      <x:c r="D979" s="4" t="str">
        <x:v>礼物：展示名称、图标、单价和可用状态，均由平台配置。</x:v>
      </x:c>
      <x:c r="E979" s="4" t="str">
        <x:v>尚未建立场景映射</x:v>
      </x:c>
      <x:c r="F979" s="4" t="str"/>
      <x:c r="G979" s="4" t="str">
        <x:v>本轮独立来源库保留该已知条款，但尚未建立可核验的正式场景映射；不是无业务依据，也不转为产品待确认。</x:v>
      </x:c>
    </x:row>
    <x:row r="980" ht="57" customHeight="1">
      <x:c r="A980" s="4" t="str">
        <x:v>REQ-80a63c1ae2ea</x:v>
      </x:c>
      <x:c r="B980" s="4" t="str">
        <x:v>直播</x:v>
      </x:c>
      <x:c r="C980" s="4" t="n">
        <x:v>1576</x:v>
      </x:c>
      <x:c r="D980" s="4" t="str">
        <x:v>赠送数量：必选，实际扣减金币 = 单价 × 数量；幸运礼物按独立开奖次数计算。</x:v>
      </x:c>
      <x:c r="E980" s="4" t="str">
        <x:v>整段分支核验未闭合</x:v>
      </x:c>
      <x:c r="F980" s="4" t="str">
        <x:v>USER-0345、USER-0346、USER-0347、USER-0528、USER-0529、USER-0530、USER-0531、USER-0532、USER-0533、USER-0636</x:v>
      </x:c>
      <x:c r="G980" s="4" t="str">
        <x:v>本段剩余子句、条件组合及状态后续影响仍需与独立规则逐项闭合；这是生成覆盖缺口，不是产品决策缺失。</x:v>
      </x:c>
    </x:row>
    <x:row r="981" ht="57" customHeight="1">
      <x:c r="A981" s="4" t="str">
        <x:v>REQ-661e85b151ed</x:v>
      </x:c>
      <x:c r="B981" s="4" t="str">
        <x:v>直播</x:v>
      </x:c>
      <x:c r="C981" s="4" t="n">
        <x:v>1577</x:v>
      </x:c>
      <x:c r="D981" s="4" t="str">
        <x:v>金币余额：普通用户显示真实金币余额；运营账号只显示所属公会发放的虚拟金币余额。</x:v>
      </x:c>
      <x:c r="E981" s="4" t="str">
        <x:v>整段分支核验未闭合</x:v>
      </x:c>
      <x:c r="F981" s="4" t="str">
        <x:v>USER-0345、USER-0346、USER-0347、USER-0528、USER-0529、USER-0530、USER-0531、USER-0532、USER-0533</x:v>
      </x:c>
      <x:c r="G981" s="4" t="str">
        <x:v>本段剩余子句、条件组合及状态后续影响仍需与独立规则逐项闭合；这是生成覆盖缺口，不是产品决策缺失。</x:v>
      </x:c>
    </x:row>
    <x:row r="982" ht="44" customHeight="1">
      <x:c r="A982" s="4" t="str">
        <x:v>REQ-007896e4eadc</x:v>
      </x:c>
      <x:c r="B982" s="4" t="str">
        <x:v>直播</x:v>
      </x:c>
      <x:c r="C982" s="4" t="n">
        <x:v>1578</x:v>
      </x:c>
      <x:c r="D982" s="4" t="str">
        <x:v>礼物须处于上架且未过期状态；下架后不可继续赠送，历史记录保留。</x:v>
      </x:c>
      <x:c r="E982" s="4" t="str">
        <x:v>整段分支核验未闭合</x:v>
      </x:c>
      <x:c r="F982" s="4" t="str">
        <x:v>USER-0345、USER-0346、USER-0347、USER-0348</x:v>
      </x:c>
      <x:c r="G982" s="4" t="str">
        <x:v>本段剩余子句、条件组合及状态后续影响仍需与独立规则逐项闭合；这是生成覆盖缺口，不是产品决策缺失。</x:v>
      </x:c>
    </x:row>
    <x:row r="983" ht="44" customHeight="1">
      <x:c r="A983" s="4" t="str">
        <x:v>REQ-da5fddbef267</x:v>
      </x:c>
      <x:c r="B983" s="4" t="str">
        <x:v>直播</x:v>
      </x:c>
      <x:c r="C983" s="4" t="n">
        <x:v>1579</x:v>
      </x:c>
      <x:c r="D983" s="4" t="str">
        <x:v>幸运礼物用户实际消耗 = 送出价值 - 返奖金币；主播收益 = 送出价值 × 后台比例，默认 1%，返奖不影响主播收益。</x:v>
      </x:c>
      <x:c r="E983" s="4" t="str">
        <x:v>整段分支核验未闭合</x:v>
      </x:c>
      <x:c r="F983" s="4" t="str">
        <x:v>USER-0528、USER-0529、USER-0530、USER-0531、USER-0532、USER-0533</x:v>
      </x:c>
      <x:c r="G983" s="4" t="str">
        <x:v>本段剩余子句、条件组合及状态后续影响仍需与独立规则逐项闭合；这是生成覆盖缺口，不是产品决策缺失。</x:v>
      </x:c>
    </x:row>
    <x:row r="984" ht="57" customHeight="1">
      <x:c r="A984" s="4" t="str">
        <x:v>REQ-266b9b9485db</x:v>
      </x:c>
      <x:c r="B984" s="4" t="str">
        <x:v>直播</x:v>
      </x:c>
      <x:c r="C984" s="4" t="n">
        <x:v>1580</x:v>
      </x:c>
      <x:c r="D984" s="4" t="str">
        <x:v>运营账号没有真实金币；虚拟金币仅可用于赠送普通礼物和定制礼物，不能赠送幸运礼物，不能购买装扮、门票或用于其他消费。</x:v>
      </x:c>
      <x:c r="E984" s="4" t="str">
        <x:v>整段分支核验未闭合</x:v>
      </x:c>
      <x:c r="F984" s="4" t="str">
        <x:v>USER-0345、USER-0346、USER-0347、USER-0528、USER-0529、USER-0530、USER-0531、USER-0532、USER-0533</x:v>
      </x:c>
      <x:c r="G984" s="4" t="str">
        <x:v>本段剩余子句、条件组合及状态后续影响仍需与独立规则逐项闭合；这是生成覆盖缺口，不是产品决策缺失。</x:v>
      </x:c>
    </x:row>
    <x:row r="985" ht="44" customHeight="1">
      <x:c r="A985" s="4" t="str">
        <x:v>REQ-8645b66c4c1b</x:v>
      </x:c>
      <x:c r="B985" s="4" t="str">
        <x:v>直播</x:v>
      </x:c>
      <x:c r="C985" s="4" t="n">
        <x:v>1581</x:v>
      </x:c>
      <x:c r="D985" s="4" t="str">
        <x:v>虚拟金币送礼可计入直播间氛围和榜单展示，但不形成主播收益或分成；具体榜单范围另见风险清单。</x:v>
      </x:c>
      <x:c r="E985" s="4" t="str">
        <x:v>整段分支核验未闭合</x:v>
      </x:c>
      <x:c r="F985" s="4" t="str">
        <x:v>USER-0528、USER-0529、USER-0530、USER-0531、USER-0532、USER-0533</x:v>
      </x:c>
      <x:c r="G985" s="4" t="str">
        <x:v>本段剩余子句、条件组合及状态后续影响仍需与独立规则逐项闭合；这是生成覆盖缺口，不是产品决策缺失。</x:v>
      </x:c>
    </x:row>
    <x:row r="986" ht="44" customHeight="1">
      <x:c r="A986" s="4" t="str">
        <x:v>REQ-dc247741b433</x:v>
      </x:c>
      <x:c r="B986" s="4" t="str">
        <x:v>直播</x:v>
      </x:c>
      <x:c r="C986" s="4" t="n">
        <x:v>1582</x:v>
      </x:c>
      <x:c r="D986" s="4" t="str">
        <x:v>运营账号不能加入粉丝团。</x:v>
      </x:c>
      <x:c r="E986" s="4" t="str">
        <x:v>尚未建立场景映射</x:v>
      </x:c>
      <x:c r="F986" s="4" t="str"/>
      <x:c r="G986" s="4" t="str">
        <x:v>本轮独立来源库保留该已知条款，但尚未建立可核验的正式场景映射；不是无业务依据，也不转为产品待确认。</x:v>
      </x:c>
    </x:row>
    <x:row r="987" ht="57" customHeight="1">
      <x:c r="A987" s="4" t="str">
        <x:v>REQ-4d7983ee3408</x:v>
      </x:c>
      <x:c r="B987" s="4" t="str">
        <x:v>直播</x:v>
      </x:c>
      <x:c r="C987" s="4" t="n">
        <x:v>1583</x:v>
      </x:c>
      <x:c r="D987" s="4" t="str">
        <x:v>成功赠送不可退款；请求失败或余额不足时不扣减金币。</x:v>
      </x:c>
      <x:c r="E987" s="4" t="str">
        <x:v>整段分支核验未闭合</x:v>
      </x:c>
      <x:c r="F987" s="4" t="str">
        <x:v>USER-0345、USER-0346、USER-0347、USER-0349、USER-0528、USER-0529、USER-0530、USER-0531、USER-0532、USER-0533</x:v>
      </x:c>
      <x:c r="G987" s="4" t="str">
        <x:v>本段剩余子句、条件组合及状态后续影响仍需与独立规则逐项闭合；这是生成覆盖缺口，不是产品决策缺失。</x:v>
      </x:c>
    </x:row>
    <x:row r="988" ht="57" customHeight="1">
      <x:c r="A988" s="4" t="str">
        <x:v>REQ-f453a49afcc1</x:v>
      </x:c>
      <x:c r="B988" s="4" t="str">
        <x:v>直播</x:v>
      </x:c>
      <x:c r="C988" s="4" t="n">
        <x:v>1584</x:v>
      </x:c>
      <x:c r="D988" s="4" t="str">
        <x:v>选择礼物和数量 -&gt; 显示本次所需金币。</x:v>
      </x:c>
      <x:c r="E988" s="4" t="str">
        <x:v>整段分支核验未闭合</x:v>
      </x:c>
      <x:c r="F988" s="4" t="str">
        <x:v>USER-0528、USER-0529、USER-0530、USER-0531、USER-0532、USER-0533、USER-0636</x:v>
      </x:c>
      <x:c r="G988" s="4" t="str">
        <x:v>本段剩余子句、条件组合及状态后续影响仍需与独立规则逐项闭合；这是生成覆盖缺口，不是产品决策缺失。</x:v>
      </x:c>
    </x:row>
    <x:row r="989" ht="57" customHeight="1">
      <x:c r="A989" s="4" t="str">
        <x:v>REQ-066734efc56b</x:v>
      </x:c>
      <x:c r="B989" s="4" t="str">
        <x:v>直播</x:v>
      </x:c>
      <x:c r="C989" s="4" t="n">
        <x:v>1585</x:v>
      </x:c>
      <x:c r="D989" s="4" t="str">
        <x:v>普通用户赠送成功 -&gt; 扣减金币、播放礼物效果并更新余额和本场贡献；运营账号赠送成功 -&gt; 扣减虚拟金币并播放礼物效果，只更新公屏氛围。</x:v>
      </x:c>
      <x:c r="E989" s="4" t="str">
        <x:v>整段分支核验未闭合</x:v>
      </x:c>
      <x:c r="F989" s="4" t="str">
        <x:v>USER-0345、USER-0346、USER-0347、USER-0528、USER-0529、USER-0530、USER-0531、USER-0532、USER-0533</x:v>
      </x:c>
      <x:c r="G989" s="4" t="str">
        <x:v>本段剩余子句、条件组合及状态后续影响仍需与独立规则逐项闭合；这是生成覆盖缺口，不是产品决策缺失。</x:v>
      </x:c>
    </x:row>
    <x:row r="990" ht="57" customHeight="1">
      <x:c r="A990" s="4" t="str">
        <x:v>REQ-bed789897c95</x:v>
      </x:c>
      <x:c r="B990" s="4" t="str">
        <x:v>直播</x:v>
      </x:c>
      <x:c r="C990" s="4" t="n">
        <x:v>1586</x:v>
      </x:c>
      <x:c r="D990" s="4" t="str">
        <x:v>普通用户余额不足 -&gt; 不扣款并打开充值视图；运营账号虚拟金币不足 -&gt; 不显示充值入口并提示联系公会发放。</x:v>
      </x:c>
      <x:c r="E990" s="4" t="str">
        <x:v>整段分支核验未闭合</x:v>
      </x:c>
      <x:c r="F990" s="4" t="str">
        <x:v>USER-0345、USER-0346、USER-0347、USER-0528、USER-0529、USER-0530、USER-0531、USER-0532、USER-0533</x:v>
      </x:c>
      <x:c r="G990" s="4" t="str">
        <x:v>本段剩余子句、条件组合及状态后续影响仍需与独立规则逐项闭合；这是生成覆盖缺口，不是产品决策缺失。</x:v>
      </x:c>
    </x:row>
    <x:row r="991" ht="44" customHeight="1">
      <x:c r="A991" s="4" t="str">
        <x:v>REQ-59889fd16fd0</x:v>
      </x:c>
      <x:c r="B991" s="4" t="str">
        <x:v>直播</x:v>
      </x:c>
      <x:c r="C991" s="4" t="n">
        <x:v>1591</x:v>
      </x:c>
      <x:c r="D991" s="4" t="str">
        <x:v>充值套餐、赠送金币和支付渠道按当前端及后台配置展示。</x:v>
      </x:c>
      <x:c r="E991" s="4" t="str">
        <x:v>整段分支核验未闭合</x:v>
      </x:c>
      <x:c r="F991" s="4" t="str">
        <x:v>USER-0563、USER-0564、USER-0565</x:v>
      </x:c>
      <x:c r="G991" s="4" t="str">
        <x:v>本段剩余子句、条件组合及状态后续影响仍需与独立规则逐项闭合；这是生成覆盖缺口，不是产品决策缺失。</x:v>
      </x:c>
    </x:row>
    <x:row r="992" ht="44" customHeight="1">
      <x:c r="A992" s="4" t="str">
        <x:v>REQ-9c3dd005dcb3</x:v>
      </x:c>
      <x:c r="B992" s="4" t="str">
        <x:v>直播</x:v>
      </x:c>
      <x:c r="C992" s="4" t="n">
        <x:v>1592</x:v>
      </x:c>
      <x:c r="D992" s="4" t="str">
        <x:v>支付成功后增加金币并生成充值记录；失败、取消或超时不增加余额。</x:v>
      </x:c>
      <x:c r="E992" s="4" t="str">
        <x:v>整段分支核验未闭合</x:v>
      </x:c>
      <x:c r="F992" s="4" t="str">
        <x:v>USER-0563、USER-0564、USER-0565</x:v>
      </x:c>
      <x:c r="G992" s="4" t="str">
        <x:v>本段剩余子句、条件组合及状态后续影响仍需与独立规则逐项闭合；这是生成覆盖缺口，不是产品决策缺失。</x:v>
      </x:c>
    </x:row>
    <x:row r="993" ht="44" customHeight="1">
      <x:c r="A993" s="4" t="str">
        <x:v>REQ-bec14efd7f60</x:v>
      </x:c>
      <x:c r="B993" s="4" t="str">
        <x:v>直播</x:v>
      </x:c>
      <x:c r="C993" s="4" t="n">
        <x:v>1593</x:v>
      </x:c>
      <x:c r="D993" s="4" t="str">
        <x:v>运营账号没有真实金币，不可进入本视图或充值；虚拟金币只能由所属公会发放。</x:v>
      </x:c>
      <x:c r="E993" s="4" t="str">
        <x:v>尚未建立场景映射</x:v>
      </x:c>
      <x:c r="F993" s="4" t="str"/>
      <x:c r="G993" s="4" t="str">
        <x:v>本轮独立来源库保留该已知条款，但尚未建立可核验的正式场景映射；不是无业务依据，也不转为产品待确认。</x:v>
      </x:c>
    </x:row>
    <x:row r="994" ht="44" customHeight="1">
      <x:c r="A994" s="4" t="str">
        <x:v>REQ-e2dac29206f1</x:v>
      </x:c>
      <x:c r="B994" s="4" t="str">
        <x:v>直播</x:v>
      </x:c>
      <x:c r="C994" s="4" t="n">
        <x:v>1594</x:v>
      </x:c>
      <x:c r="D994" s="4" t="str">
        <x:v>选择套餐并支付成功 -&gt; 刷新金币余额并返回礼物视图，原礼物不自动补送。</x:v>
      </x:c>
      <x:c r="E994" s="4" t="str">
        <x:v>整段分支核验未闭合</x:v>
      </x:c>
      <x:c r="F994" s="4" t="str">
        <x:v>USER-0563、USER-0564、USER-0565、USER-0566</x:v>
      </x:c>
      <x:c r="G994" s="4" t="str">
        <x:v>本段剩余子句、条件组合及状态后续影响仍需与独立规则逐项闭合；这是生成覆盖缺口，不是产品决策缺失。</x:v>
      </x:c>
    </x:row>
    <x:row r="995" ht="44" customHeight="1">
      <x:c r="A995" s="4" t="str">
        <x:v>REQ-8407b3301ceb</x:v>
      </x:c>
      <x:c r="B995" s="4" t="str">
        <x:v>直播</x:v>
      </x:c>
      <x:c r="C995" s="4" t="n">
        <x:v>1595</x:v>
      </x:c>
      <x:c r="D995" s="4" t="str">
        <x:v>关闭或支付失败 -&gt; 返回礼物视图，保留原礼物和数量选择。</x:v>
      </x:c>
      <x:c r="E995" s="4" t="str">
        <x:v>整段分支核验未闭合</x:v>
      </x:c>
      <x:c r="F995" s="4" t="str">
        <x:v>USER-0563、USER-0564、USER-0565</x:v>
      </x:c>
      <x:c r="G995" s="4" t="str">
        <x:v>本段剩余子句、条件组合及状态后续影响仍需与独立规则逐项闭合；这是生成覆盖缺口，不是产品决策缺失。</x:v>
      </x:c>
    </x:row>
    <x:row r="996" ht="44" customHeight="1">
      <x:c r="A996" s="4" t="str">
        <x:v>REQ-b621cae1ce07</x:v>
      </x:c>
      <x:c r="B996" s="4" t="str">
        <x:v>主播管理</x:v>
      </x:c>
      <x:c r="C996" s="4" t="n">
        <x:v>1600</x:v>
      </x:c>
      <x:c r="D996" s="4" t="str">
        <x:v>确认对象：展示本次待禁言成员的昵称。</x:v>
      </x:c>
      <x:c r="E996" s="4" t="str">
        <x:v>整段分支核验未闭合</x:v>
      </x:c>
      <x:c r="F996" s="4" t="str">
        <x:v>USER-0567、USER-0568</x:v>
      </x:c>
      <x:c r="G996" s="4" t="str">
        <x:v>本段剩余子句、条件组合及状态后续影响仍需与独立规则逐项闭合；这是生成覆盖缺口，不是产品决策缺失。</x:v>
      </x:c>
    </x:row>
    <x:row r="997" ht="44" customHeight="1">
      <x:c r="A997" s="4" t="str">
        <x:v>REQ-61ccc5511526</x:v>
      </x:c>
      <x:c r="B997" s="4" t="str">
        <x:v>主播管理</x:v>
      </x:c>
      <x:c r="C997" s="4" t="n">
        <x:v>1601</x:v>
      </x:c>
      <x:c r="D997" s="4" t="str">
        <x:v>操作：取消、确认禁言。</x:v>
      </x:c>
      <x:c r="E997" s="4" t="str">
        <x:v>整段分支核验未闭合</x:v>
      </x:c>
      <x:c r="F997" s="4" t="str">
        <x:v>USER-0567、USER-0568</x:v>
      </x:c>
      <x:c r="G997" s="4" t="str">
        <x:v>本段剩余子句、条件组合及状态后续影响仍需与独立规则逐项闭合；这是生成覆盖缺口，不是产品决策缺失。</x:v>
      </x:c>
    </x:row>
    <x:row r="998" ht="44" customHeight="1">
      <x:c r="A998" s="4" t="str">
        <x:v>REQ-4ebe7fad319b</x:v>
      </x:c>
      <x:c r="B998" s="4" t="str">
        <x:v>主播管理</x:v>
      </x:c>
      <x:c r="C998" s="4" t="n">
        <x:v>1602</x:v>
      </x:c>
      <x:c r="D998" s="4" t="str">
        <x:v>禁言仅限制该成员在当前粉丝群内发言，不影响团籍、关注和直播间发言权限。</x:v>
      </x:c>
      <x:c r="E998" s="4" t="str">
        <x:v>整段分支核验未闭合</x:v>
      </x:c>
      <x:c r="F998" s="4" t="str">
        <x:v>USER-0567、USER-0568</x:v>
      </x:c>
      <x:c r="G998" s="4" t="str">
        <x:v>本段剩余子句、条件组合及状态后续影响仍需与独立规则逐项闭合；这是生成覆盖缺口，不是产品决策缺失。</x:v>
      </x:c>
    </x:row>
    <x:row r="999" ht="44" customHeight="1">
      <x:c r="A999" s="4" t="str">
        <x:v>REQ-085b31edbfa8</x:v>
      </x:c>
      <x:c r="B999" s="4" t="str">
        <x:v>主播管理</x:v>
      </x:c>
      <x:c r="C999" s="4" t="n">
        <x:v>1603</x:v>
      </x:c>
      <x:c r="D999" s="4" t="str">
        <x:v>确认 -&gt; 禁止该成员在群内发言并提示成功；取消或请求失败 -&gt; 保持原状态。</x:v>
      </x:c>
      <x:c r="E999" s="4" t="str">
        <x:v>整段分支核验未闭合</x:v>
      </x:c>
      <x:c r="F999" s="4" t="str">
        <x:v>USER-0567、USER-0568</x:v>
      </x:c>
      <x:c r="G999" s="4" t="str">
        <x:v>本段剩余子句、条件组合及状态后续影响仍需与独立规则逐项闭合；这是生成覆盖缺口，不是产品决策缺失。</x:v>
      </x:c>
    </x:row>
    <x:row r="1000" ht="44" customHeight="1">
      <x:c r="A1000" s="4" t="str">
        <x:v>REQ-180019e43b1b</x:v>
      </x:c>
      <x:c r="B1000" s="4" t="str">
        <x:v>直播</x:v>
      </x:c>
      <x:c r="C1000" s="4" t="n">
        <x:v>1607</x:v>
      </x:c>
      <x:c r="D1000" s="4" t="str">
        <x:v>粉丝团：展示主播粉丝团名称、成员数和当前等级。</x:v>
      </x:c>
      <x:c r="E1000" s="4" t="str">
        <x:v>尚未建立场景映射</x:v>
      </x:c>
      <x:c r="F1000" s="4" t="str"/>
      <x:c r="G1000" s="4" t="str">
        <x:v>本轮独立来源库保留该已知条款，但尚未建立可核验的正式场景映射；不是无业务依据，也不转为产品待确认。</x:v>
      </x:c>
    </x:row>
    <x:row r="1001" ht="44" customHeight="1">
      <x:c r="A1001" s="4" t="str">
        <x:v>REQ-ec1fe27866b5</x:v>
      </x:c>
      <x:c r="B1001" s="4" t="str">
        <x:v>直播</x:v>
      </x:c>
      <x:c r="C1001" s="4" t="n">
        <x:v>1608</x:v>
      </x:c>
      <x:c r="D1001" s="4" t="str">
        <x:v>加入条件：由主播配置，可包含已关注和累计贡献门槛；累计贡献统计用户给当前主播刷出的全部历史贡献，不按入团时间截断。</x:v>
      </x:c>
      <x:c r="E1001" s="4" t="str">
        <x:v>整段分支核验未闭合</x:v>
      </x:c>
      <x:c r="F1001" s="4" t="str">
        <x:v>USER-0283、USER-0284、USER-0285、USER-0286、USER-0287、USER-0288</x:v>
      </x:c>
      <x:c r="G1001" s="4" t="str">
        <x:v>本段剩余子句、条件组合及状态后续影响仍需与独立规则逐项闭合；这是生成覆盖缺口，不是产品决策缺失。</x:v>
      </x:c>
    </x:row>
    <x:row r="1002" ht="44" customHeight="1">
      <x:c r="A1002" s="4" t="str">
        <x:v>REQ-279bac8282bb</x:v>
      </x:c>
      <x:c r="B1002" s="4" t="str">
        <x:v>直播</x:v>
      </x:c>
      <x:c r="C1002" s="4" t="n">
        <x:v>1609</x:v>
      </x:c>
      <x:c r="D1002" s="4" t="str">
        <x:v>权益：展示加入后可获得的群聊、灯牌和等级权益。</x:v>
      </x:c>
      <x:c r="E1002" s="4" t="str">
        <x:v>整段分支核验未闭合</x:v>
      </x:c>
      <x:c r="F1002" s="4" t="str">
        <x:v>USER-0283、USER-0284</x:v>
      </x:c>
      <x:c r="G1002" s="4" t="str">
        <x:v>本段剩余子句、条件组合及状态后续影响仍需与独立规则逐项闭合；这是生成覆盖缺口，不是产品决策缺失。</x:v>
      </x:c>
    </x:row>
    <x:row r="1003" ht="44" customHeight="1">
      <x:c r="A1003" s="4" t="str">
        <x:v>REQ-b534d337d5ab</x:v>
      </x:c>
      <x:c r="B1003" s="4" t="str">
        <x:v>直播</x:v>
      </x:c>
      <x:c r="C1003" s="4" t="n">
        <x:v>1610</x:v>
      </x:c>
      <x:c r="D1003" s="4" t="str">
        <x:v>运营账号不能进入加入流程或加入粉丝团。</x:v>
      </x:c>
      <x:c r="E1003" s="4" t="str">
        <x:v>整段分支核验未闭合</x:v>
      </x:c>
      <x:c r="F1003" s="4" t="str">
        <x:v>USER-0283、USER-0284</x:v>
      </x:c>
      <x:c r="G1003" s="4" t="str">
        <x:v>本段剩余子句、条件组合及状态后续影响仍需与独立规则逐项闭合；这是生成覆盖缺口，不是产品决策缺失。</x:v>
      </x:c>
    </x:row>
    <x:row r="1004" ht="57" customHeight="1">
      <x:c r="A1004" s="4" t="str">
        <x:v>REQ-5e497d5f205b</x:v>
      </x:c>
      <x:c r="B1004" s="4" t="str">
        <x:v>直播</x:v>
      </x:c>
      <x:c r="C1004" s="4" t="n">
        <x:v>1611</x:v>
      </x:c>
      <x:c r="D1004" s="4" t="str">
        <x:v>普通用户须满足全部加入条件，且与主播不存在拉黑关系。</x:v>
      </x:c>
      <x:c r="E1004" s="4" t="str">
        <x:v>整段分支核验未闭合</x:v>
      </x:c>
      <x:c r="F1004" s="4" t="str">
        <x:v>USER-0279、USER-0280、USER-0283、USER-0284、USER-0285、USER-0286、USER-0287、USER-0288</x:v>
      </x:c>
      <x:c r="G1004" s="4" t="str">
        <x:v>本段剩余子句、条件组合及状态后续影响仍需与独立规则逐项闭合；这是生成覆盖缺口，不是产品决策缺失。</x:v>
      </x:c>
    </x:row>
    <x:row r="1005" ht="44" customHeight="1">
      <x:c r="A1005" s="4" t="str">
        <x:v>REQ-a182b35936fd</x:v>
      </x:c>
      <x:c r="B1005" s="4" t="str">
        <x:v>直播</x:v>
      </x:c>
      <x:c r="C1005" s="4" t="n">
        <x:v>1612</x:v>
      </x:c>
      <x:c r="D1005" s="4" t="str">
        <x:v>每位主播一期仅有一个粉丝团；达到 500 人上限后不可加入。</x:v>
      </x:c>
      <x:c r="E1005" s="4" t="str">
        <x:v>整段分支核验未闭合</x:v>
      </x:c>
      <x:c r="F1005" s="4" t="str">
        <x:v>USER-0283、USER-0284</x:v>
      </x:c>
      <x:c r="G1005" s="4" t="str">
        <x:v>本段剩余子句、条件组合及状态后续影响仍需与独立规则逐项闭合；这是生成覆盖缺口，不是产品决策缺失。</x:v>
      </x:c>
    </x:row>
    <x:row r="1006" ht="44" customHeight="1">
      <x:c r="A1006" s="4" t="str">
        <x:v>REQ-8d9134a2137d</x:v>
      </x:c>
      <x:c r="B1006" s="4" t="str">
        <x:v>直播</x:v>
      </x:c>
      <x:c r="C1006" s="4" t="n">
        <x:v>1613</x:v>
      </x:c>
      <x:c r="D1006" s="4" t="str">
        <x:v>加入成功后同步获得团籍和群籍，粉丝等级与亲密度从当前有效值开始累计。</x:v>
      </x:c>
      <x:c r="E1006" s="4" t="str">
        <x:v>整段分支核验未闭合</x:v>
      </x:c>
      <x:c r="F1006" s="4" t="str">
        <x:v>USER-0283、USER-0284</x:v>
      </x:c>
      <x:c r="G1006" s="4" t="str">
        <x:v>本段剩余子句、条件组合及状态后续影响仍需与独立规则逐项闭合；这是生成覆盖缺口，不是产品决策缺失。</x:v>
      </x:c>
    </x:row>
    <x:row r="1007" ht="44" customHeight="1">
      <x:c r="A1007" s="4" t="str">
        <x:v>REQ-9eb5570eb0b5</x:v>
      </x:c>
      <x:c r="B1007" s="4" t="str">
        <x:v>直播</x:v>
      </x:c>
      <x:c r="C1007" s="4" t="n">
        <x:v>1614</x:v>
      </x:c>
      <x:c r="D1007" s="4" t="str">
        <x:v>运营账号进入本视图 -&gt; 拒绝并返回直播间。</x:v>
      </x:c>
      <x:c r="E1007" s="4" t="str">
        <x:v>尚未建立场景映射</x:v>
      </x:c>
      <x:c r="F1007" s="4" t="str"/>
      <x:c r="G1007" s="4" t="str">
        <x:v>本轮独立来源库保留该已知条款，但尚未建立可核验的正式场景映射；不是无业务依据，也不转为产品待确认。</x:v>
      </x:c>
    </x:row>
    <x:row r="1008" ht="44" customHeight="1">
      <x:c r="A1008" s="4" t="str">
        <x:v>REQ-5f0ad5d51315</x:v>
      </x:c>
      <x:c r="B1008" s="4" t="str">
        <x:v>直播</x:v>
      </x:c>
      <x:c r="C1008" s="4" t="n">
        <x:v>1615</x:v>
      </x:c>
      <x:c r="D1008" s="4" t="str">
        <x:v>条件未满足或加入请求失败 -&gt; 不加入并提示“未满足进群条件”。</x:v>
      </x:c>
      <x:c r="E1008" s="4" t="str">
        <x:v>整段分支核验未闭合</x:v>
      </x:c>
      <x:c r="F1008" s="4" t="str">
        <x:v>USER-0283、USER-0284、USER-0285、USER-0286、USER-0287、USER-0288</x:v>
      </x:c>
      <x:c r="G1008" s="4" t="str">
        <x:v>本段剩余子句、条件组合及状态后续影响仍需与独立规则逐项闭合；这是生成覆盖缺口，不是产品决策缺失。</x:v>
      </x:c>
    </x:row>
    <x:row r="1009" ht="44" customHeight="1">
      <x:c r="A1009" s="4" t="str">
        <x:v>REQ-9577b57d4264</x:v>
      </x:c>
      <x:c r="B1009" s="4" t="str">
        <x:v>直播</x:v>
      </x:c>
      <x:c r="C1009" s="4" t="n">
        <x:v>1616</x:v>
      </x:c>
      <x:c r="D1009" s="4" t="str">
        <x:v>加入成功 -&gt; 切换为已加入视图并开放粉丝群入口。</x:v>
      </x:c>
      <x:c r="E1009" s="4" t="str">
        <x:v>整段分支核验未闭合</x:v>
      </x:c>
      <x:c r="F1009" s="4" t="str">
        <x:v>USER-0283、USER-0284</x:v>
      </x:c>
      <x:c r="G1009" s="4" t="str">
        <x:v>本段剩余子句、条件组合及状态后续影响仍需与独立规则逐项闭合；这是生成覆盖缺口，不是产品决策缺失。</x:v>
      </x:c>
    </x:row>
    <x:row r="1010" ht="44" customHeight="1">
      <x:c r="A1010" s="4" t="str">
        <x:v>REQ-6cb7cd274866</x:v>
      </x:c>
      <x:c r="B1010" s="4" t="str">
        <x:v>直播</x:v>
      </x:c>
      <x:c r="C1010" s="4" t="n">
        <x:v>1620</x:v>
      </x:c>
      <x:c r="D1010" s="4" t="str">
        <x:v>粉丝等级：用户在当前主播粉丝团内的社群身份等级。</x:v>
      </x:c>
      <x:c r="E1010" s="4" t="str">
        <x:v>尚未建立场景映射</x:v>
      </x:c>
      <x:c r="F1010" s="4" t="str"/>
      <x:c r="G1010" s="4" t="str">
        <x:v>本轮独立来源库保留该已知条款，但尚未建立可核验的正式场景映射；不是无业务依据，也不转为产品待确认。</x:v>
      </x:c>
    </x:row>
    <x:row r="1011" ht="44" customHeight="1">
      <x:c r="A1011" s="4" t="str">
        <x:v>REQ-619a03c41f22</x:v>
      </x:c>
      <x:c r="B1011" s="4" t="str">
        <x:v>直播</x:v>
      </x:c>
      <x:c r="C1011" s="4" t="n">
        <x:v>1621</x:v>
      </x:c>
      <x:c r="D1011" s="4" t="str">
        <x:v>亲密度：用户与当前主播的一对一关系数值。</x:v>
      </x:c>
      <x:c r="E1011" s="4" t="str">
        <x:v>尚未建立场景映射</x:v>
      </x:c>
      <x:c r="F1011" s="4" t="str"/>
      <x:c r="G1011" s="4" t="str">
        <x:v>本轮独立来源库保留该已知条款，但尚未建立可核验的正式场景映射；不是无业务依据，也不转为产品待确认。</x:v>
      </x:c>
    </x:row>
    <x:row r="1012" ht="44" customHeight="1">
      <x:c r="A1012" s="4" t="str">
        <x:v>REQ-37f0730a9355</x:v>
      </x:c>
      <x:c r="B1012" s="4" t="str">
        <x:v>直播</x:v>
      </x:c>
      <x:c r="C1012" s="4" t="n">
        <x:v>1622</x:v>
      </x:c>
      <x:c r="D1012" s="4" t="str">
        <x:v>团籍状态：与粉丝群成员资格同步。</x:v>
      </x:c>
      <x:c r="E1012" s="4" t="str">
        <x:v>尚未建立场景映射</x:v>
      </x:c>
      <x:c r="F1012" s="4" t="str"/>
      <x:c r="G1012" s="4" t="str">
        <x:v>本轮独立来源库保留该已知条款，但尚未建立可核验的正式场景映射；不是无业务依据，也不转为产品待确认。</x:v>
      </x:c>
    </x:row>
    <x:row r="1013" ht="44" customHeight="1">
      <x:c r="A1013" s="4" t="str">
        <x:v>REQ-befef46a7065</x:v>
      </x:c>
      <x:c r="B1013" s="4" t="str">
        <x:v>直播</x:v>
      </x:c>
      <x:c r="C1013" s="4" t="n">
        <x:v>1623</x:v>
      </x:c>
      <x:c r="D1013" s="4" t="str">
        <x:v>有效团籍用户可进入粉丝群并展示对应灯牌和粉丝等级。</x:v>
      </x:c>
      <x:c r="E1013" s="4" t="str">
        <x:v>尚未建立场景映射</x:v>
      </x:c>
      <x:c r="F1013" s="4" t="str"/>
      <x:c r="G1013" s="4" t="str">
        <x:v>本轮独立来源库保留该已知条款，但尚未建立可核验的正式场景映射；不是无业务依据，也不转为产品待确认。</x:v>
      </x:c>
    </x:row>
    <x:row r="1014" ht="44" customHeight="1">
      <x:c r="A1014" s="4" t="str">
        <x:v>REQ-c1c02f0ed440</x:v>
      </x:c>
      <x:c r="B1014" s="4" t="str">
        <x:v>直播</x:v>
      </x:c>
      <x:c r="C1014" s="4" t="n">
        <x:v>1624</x:v>
      </x:c>
      <x:c r="D1014" s="4" t="str">
        <x:v>主动退出、被主播移出或账号拉黑 -&gt; 团籍和群籍同时解除，粉丝等级与亲密度清零。</x:v>
      </x:c>
      <x:c r="E1014" s="4" t="str">
        <x:v>整段分支核验未闭合</x:v>
      </x:c>
      <x:c r="F1014" s="4" t="str">
        <x:v>USER-0749</x:v>
      </x:c>
      <x:c r="G1014" s="4" t="str">
        <x:v>本段剩余子句、条件组合及状态后续影响仍需与独立规则逐项闭合；这是生成覆盖缺口，不是产品决策缺失。</x:v>
      </x:c>
    </x:row>
    <x:row r="1015" ht="44" customHeight="1">
      <x:c r="A1015" s="4" t="str">
        <x:v>REQ-0f1b9b9f419d</x:v>
      </x:c>
      <x:c r="B1015" s="4" t="str">
        <x:v>直播</x:v>
      </x:c>
      <x:c r="C1015" s="4" t="n">
        <x:v>1625</x:v>
      </x:c>
      <x:c r="D1015" s="4" t="str">
        <x:v>重新加入从 0 开始，不恢复历史等级和亲密度。</x:v>
      </x:c>
      <x:c r="E1015" s="4" t="str">
        <x:v>整段分支核验未闭合</x:v>
      </x:c>
      <x:c r="F1015" s="4" t="str">
        <x:v>USER-0797、USER-0798</x:v>
      </x:c>
      <x:c r="G1015" s="4" t="str">
        <x:v>本段剩余子句、条件组合及状态后续影响仍需与独立规则逐项闭合；这是生成覆盖缺口，不是产品决策缺失。</x:v>
      </x:c>
    </x:row>
    <x:row r="1016" ht="44" customHeight="1">
      <x:c r="A1016" s="4" t="str">
        <x:v>REQ-13a3700c77c0</x:v>
      </x:c>
      <x:c r="B1016" s="4" t="str">
        <x:v>直播</x:v>
      </x:c>
      <x:c r="C1016" s="4" t="n">
        <x:v>1626</x:v>
      </x:c>
      <x:c r="D1016" s="4" t="str">
        <x:v>查看贡献 -&gt; 进入当前主播贡献榜；退出粉丝团 -&gt; 二次确认后立即更新身份和入口。</x:v>
      </x:c>
      <x:c r="E1016" s="4" t="str">
        <x:v>整段分支核验未闭合</x:v>
      </x:c>
      <x:c r="F1016" s="4" t="str">
        <x:v>USER-0749</x:v>
      </x:c>
      <x:c r="G1016" s="4" t="str">
        <x:v>本段剩余子句、条件组合及状态后续影响仍需与独立规则逐项闭合；这是生成覆盖缺口，不是产品决策缺失。</x:v>
      </x:c>
    </x:row>
    <x:row r="1017" ht="44" customHeight="1">
      <x:c r="A1017" s="4" t="str">
        <x:v>REQ-45a34d176517</x:v>
      </x:c>
      <x:c r="B1017" s="4" t="str">
        <x:v>直播</x:v>
      </x:c>
      <x:c r="C1017" s="4" t="n">
        <x:v>1630</x:v>
      </x:c>
      <x:c r="D1017" s="4" t="str">
        <x:v>禁言只限制当前直播场次的公屏发言，不影响观看、送礼和私信。</x:v>
      </x:c>
      <x:c r="E1017" s="4" t="str">
        <x:v>整段分支核验未闭合</x:v>
      </x:c>
      <x:c r="F1017" s="4" t="str">
        <x:v>USER-0354、USER-0355</x:v>
      </x:c>
      <x:c r="G1017" s="4" t="str">
        <x:v>本段剩余子句、条件组合及状态后续影响仍需与独立规则逐项闭合；这是生成覆盖缺口，不是产品决策缺失。</x:v>
      </x:c>
    </x:row>
    <x:row r="1018" ht="44" customHeight="1">
      <x:c r="A1018" s="4" t="str">
        <x:v>REQ-356e381feef2</x:v>
      </x:c>
      <x:c r="B1018" s="4" t="str">
        <x:v>直播</x:v>
      </x:c>
      <x:c r="C1018" s="4" t="n">
        <x:v>1631</x:v>
      </x:c>
      <x:c r="D1018" s="4" t="str">
        <x:v>主播或房管解除禁言后，用户立即恢复发言。</x:v>
      </x:c>
      <x:c r="E1018" s="4" t="str">
        <x:v>整段分支核验未闭合</x:v>
      </x:c>
      <x:c r="F1018" s="4" t="str">
        <x:v>USER-0354、USER-0570</x:v>
      </x:c>
      <x:c r="G1018" s="4" t="str">
        <x:v>本段剩余子句、条件组合及状态后续影响仍需与独立规则逐项闭合；这是生成覆盖缺口，不是产品决策缺失。</x:v>
      </x:c>
    </x:row>
    <x:row r="1019" ht="44" customHeight="1">
      <x:c r="A1019" s="4" t="str">
        <x:v>REQ-d2b99245e75b</x:v>
      </x:c>
      <x:c r="B1019" s="4" t="str">
        <x:v>直播</x:v>
      </x:c>
      <x:c r="C1019" s="4" t="n">
        <x:v>1632</x:v>
      </x:c>
      <x:c r="D1019" s="4" t="str">
        <x:v>本场未解除禁言时，用户进入同一主播的下一场直播后恢复发言。</x:v>
      </x:c>
      <x:c r="E1019" s="4" t="str">
        <x:v>整段分支核验未闭合</x:v>
      </x:c>
      <x:c r="F1019" s="4" t="str">
        <x:v>USER-0354、USER-0355、USER-0569、USER-0570</x:v>
      </x:c>
      <x:c r="G1019" s="4" t="str">
        <x:v>本段剩余子句、条件组合及状态后续影响仍需与独立规则逐项闭合；这是生成覆盖缺口，不是产品决策缺失。</x:v>
      </x:c>
    </x:row>
    <x:row r="1020" ht="44" customHeight="1">
      <x:c r="A1020" s="4" t="str">
        <x:v>REQ-bcffb5921e06</x:v>
      </x:c>
      <x:c r="B1020" s="4" t="str">
        <x:v>直播</x:v>
      </x:c>
      <x:c r="C1020" s="4" t="n">
        <x:v>1633</x:v>
      </x:c>
      <x:c r="D1020" s="4" t="str">
        <x:v>输入框显示禁言状态并不可提交；尝试发送时不生成消息、不写入公屏记录。</x:v>
      </x:c>
      <x:c r="E1020" s="4" t="str">
        <x:v>整段分支核验未闭合</x:v>
      </x:c>
      <x:c r="F1020" s="4" t="str">
        <x:v>USER-0354</x:v>
      </x:c>
      <x:c r="G1020" s="4" t="str">
        <x:v>本段剩余子句、条件组合及状态后续影响仍需与独立规则逐项闭合；这是生成覆盖缺口，不是产品决策缺失。</x:v>
      </x:c>
    </x:row>
    <x:row r="1021" ht="44" customHeight="1">
      <x:c r="A1021" s="4" t="str">
        <x:v>REQ-cd6f289d70fd</x:v>
      </x:c>
      <x:c r="B1021" s="4" t="str">
        <x:v>直播</x:v>
      </x:c>
      <x:c r="C1021" s="4" t="n">
        <x:v>1637</x:v>
      </x:c>
      <x:c r="D1021" s="4" t="str">
        <x:v>房间密码：必填，必须为 4-12 个数字；校验当前直播场次的有效密码。</x:v>
      </x:c>
      <x:c r="E1021" s="4" t="str">
        <x:v>整段分支核验未闭合</x:v>
      </x:c>
      <x:c r="F1021" s="4" t="str">
        <x:v>USER-0579、USER-0580、USER-0581、USER-0582、USER-0583、USER-0584</x:v>
      </x:c>
      <x:c r="G1021" s="4" t="str">
        <x:v>本段剩余子句、条件组合及状态后续影响仍需与独立规则逐项闭合；这是生成覆盖缺口，不是产品决策缺失。</x:v>
      </x:c>
    </x:row>
    <x:row r="1022" ht="57" customHeight="1">
      <x:c r="A1022" s="4" t="str">
        <x:v>REQ-40ec20ca1e69</x:v>
      </x:c>
      <x:c r="B1022" s="4" t="str">
        <x:v>直播</x:v>
      </x:c>
      <x:c r="C1022" s="4" t="n">
        <x:v>1638</x:v>
      </x:c>
      <x:c r="D1022" s="4" t="str">
        <x:v>普通用户的账号封禁、双方拉黑或本场踢出优先于密码校验；巡房人员从有效巡房任务进入时无需密码，平台封禁仍优先拦截。</x:v>
      </x:c>
      <x:c r="E1022" s="4" t="str">
        <x:v>整段分支核验未闭合</x:v>
      </x:c>
      <x:c r="F1022" s="4" t="str">
        <x:v>USER-0571、USER-0572、USER-0579、USER-0580、USER-0581、USER-0582、USER-0583、USER-0584</x:v>
      </x:c>
      <x:c r="G1022" s="4" t="str">
        <x:v>本段剩余子句、条件组合及状态后续影响仍需与独立规则逐项闭合；这是生成覆盖缺口，不是产品决策缺失。</x:v>
      </x:c>
    </x:row>
    <x:row r="1023" ht="57" customHeight="1">
      <x:c r="A1023" s="4" t="str">
        <x:v>REQ-2a32a0758d0d</x:v>
      </x:c>
      <x:c r="B1023" s="4" t="str">
        <x:v>直播</x:v>
      </x:c>
      <x:c r="C1023" s="4" t="n">
        <x:v>1639</x:v>
      </x:c>
      <x:c r="D1023" s="4" t="str">
        <x:v>密码不是 4-12 个数字 -&gt; 保留输入并提示“密码必须是4-12个数字”；密码格式有效但不正确 -&gt; 保留输入并提示“密码错误，请重新输入”；密码正确 -&gt; 进入直播间；关闭 -&gt; 返回来源页。</x:v>
      </x:c>
      <x:c r="E1023" s="4" t="str">
        <x:v>整段分支核验未闭合</x:v>
      </x:c>
      <x:c r="F1023" s="4" t="str">
        <x:v>USER-0579、USER-0580、USER-0581、USER-0582、USER-0583、USER-0584</x:v>
      </x:c>
      <x:c r="G1023" s="4" t="str">
        <x:v>本段剩余子句、条件组合及状态后续影响仍需与独立规则逐项闭合；这是生成覆盖缺口，不是产品决策缺失。</x:v>
      </x:c>
    </x:row>
    <x:row r="1024" ht="44" customHeight="1">
      <x:c r="A1024" s="4" t="str">
        <x:v>REQ-77269d830ed3</x:v>
      </x:c>
      <x:c r="B1024" s="4" t="str">
        <x:v>直播</x:v>
      </x:c>
      <x:c r="C1024" s="4" t="n">
        <x:v>1643</x:v>
      </x:c>
      <x:c r="D1024" s="4" t="str">
        <x:v>门票价格：主播开播时从后台已启用的价格档位中选择，以金币计价。</x:v>
      </x:c>
      <x:c r="E1024" s="4" t="str">
        <x:v>尚未建立场景映射</x:v>
      </x:c>
      <x:c r="F1024" s="4" t="str"/>
      <x:c r="G1024" s="4" t="str">
        <x:v>本轮独立来源库保留该已知条款，但尚未建立可核验的正式场景映射；不是无业务依据，也不转为产品待确认。</x:v>
      </x:c>
    </x:row>
    <x:row r="1025" ht="44" customHeight="1">
      <x:c r="A1025" s="4" t="str">
        <x:v>REQ-1795e7168741</x:v>
      </x:c>
      <x:c r="B1025" s="4" t="str">
        <x:v>直播</x:v>
      </x:c>
      <x:c r="C1025" s="4" t="n">
        <x:v>1644</x:v>
      </x:c>
      <x:c r="D1025" s="4" t="str">
        <x:v>金币余额：普通用户使用当前账号实时真实金币余额；运营账号免票，不读取虚拟金币用于购票。</x:v>
      </x:c>
      <x:c r="E1025" s="4" t="str">
        <x:v>尚未建立场景映射</x:v>
      </x:c>
      <x:c r="F1025" s="4" t="str"/>
      <x:c r="G1025" s="4" t="str">
        <x:v>本轮独立来源库保留该已知条款，但尚未建立可核验的正式场景映射；不是无业务依据，也不转为产品待确认。</x:v>
      </x:c>
    </x:row>
    <x:row r="1026" ht="44" customHeight="1">
      <x:c r="A1026" s="4" t="str">
        <x:v>REQ-13c2c3d88f23</x:v>
      </x:c>
      <x:c r="B1026" s="4" t="str">
        <x:v>直播</x:v>
      </x:c>
      <x:c r="C1026" s="4" t="n">
        <x:v>1645</x:v>
      </x:c>
      <x:c r="D1026" s="4" t="str">
        <x:v>门票仅对当前直播场次有效，同场重复进入不重复收费。</x:v>
      </x:c>
      <x:c r="E1026" s="4" t="str">
        <x:v>尚未建立场景映射</x:v>
      </x:c>
      <x:c r="F1026" s="4" t="str"/>
      <x:c r="G1026" s="4" t="str">
        <x:v>本轮独立来源库保留该已知条款，但尚未建立可核验的正式场景映射；不是无业务依据，也不转为产品待确认。</x:v>
      </x:c>
    </x:row>
    <x:row r="1027" ht="44" customHeight="1">
      <x:c r="A1027" s="4" t="str">
        <x:v>REQ-1cfb42cb266a</x:v>
      </x:c>
      <x:c r="B1027" s="4" t="str">
        <x:v>直播</x:v>
      </x:c>
      <x:c r="C1027" s="4" t="n">
        <x:v>1646</x:v>
      </x:c>
      <x:c r="D1027" s="4" t="str">
        <x:v>场次结束或被踢出后门票失效；已支付金币不退款。</x:v>
      </x:c>
      <x:c r="E1027" s="4" t="str">
        <x:v>整段分支核验未闭合</x:v>
      </x:c>
      <x:c r="F1027" s="4" t="str">
        <x:v>USER-0585</x:v>
      </x:c>
      <x:c r="G1027" s="4" t="str">
        <x:v>本段剩余子句、条件组合及状态后续影响仍需与独立规则逐项闭合；这是生成覆盖缺口，不是产品决策缺失。</x:v>
      </x:c>
    </x:row>
    <x:row r="1028" ht="44" customHeight="1">
      <x:c r="A1028" s="4" t="str">
        <x:v>REQ-c9fb86f8370c</x:v>
      </x:c>
      <x:c r="B1028" s="4" t="str">
        <x:v>直播</x:v>
      </x:c>
      <x:c r="C1028" s="4" t="n">
        <x:v>1647</x:v>
      </x:c>
      <x:c r="D1028" s="4" t="str">
        <x:v>普通用户的账号封禁、双方拉黑或本场踢出优先于购票状态；巡房人员从有效巡房任务进入时无需购票，平台封禁仍优先拦截。</x:v>
      </x:c>
      <x:c r="E1028" s="4" t="str">
        <x:v>整段分支核验未闭合</x:v>
      </x:c>
      <x:c r="F1028" s="4" t="str">
        <x:v>USER-0573、USER-0574</x:v>
      </x:c>
      <x:c r="G1028" s="4" t="str">
        <x:v>本段剩余子句、条件组合及状态后续影响仍需与独立规则逐项闭合；这是生成覆盖缺口，不是产品决策缺失。</x:v>
      </x:c>
    </x:row>
    <x:row r="1029" ht="44" customHeight="1">
      <x:c r="A1029" s="4" t="str">
        <x:v>REQ-53b1de5b3615</x:v>
      </x:c>
      <x:c r="B1029" s="4" t="str">
        <x:v>直播</x:v>
      </x:c>
      <x:c r="C1029" s="4" t="n">
        <x:v>1648</x:v>
      </x:c>
      <x:c r="D1029" s="4" t="str">
        <x:v>运营账号进入门票房时免票，不展示购票弹窗、不生成门票订单、不扣减虚拟金币。</x:v>
      </x:c>
      <x:c r="E1029" s="4" t="str">
        <x:v>尚未建立场景映射</x:v>
      </x:c>
      <x:c r="F1029" s="4" t="str"/>
      <x:c r="G1029" s="4" t="str">
        <x:v>本轮独立来源库保留该已知条款，但尚未建立可核验的正式场景映射；不是无业务依据，也不转为产品待确认。</x:v>
      </x:c>
    </x:row>
    <x:row r="1030" ht="72" customHeight="1">
      <x:c r="A1030" s="4" t="str">
        <x:v>REQ-897e4e886499</x:v>
      </x:c>
      <x:c r="B1030" s="4" t="str">
        <x:v>直播</x:v>
      </x:c>
      <x:c r="C1030" s="4" t="n">
        <x:v>1649</x:v>
      </x:c>
      <x:c r="D1030" s="4" t="str">
        <x:v>普通用户进入直播间后由封面图和毛玻璃完全遮挡直播内容，中央显示购票弹窗；余额充足并确认购买 -&gt; 扣减一次真实金币、生成支出记录并移除遮挡；余额不足 -&gt; 不扣款并打开充值入口；取消 -&gt; 返回来源页。运营账号 -&gt; 免票直接进入直播间。</x:v>
      </x:c>
      <x:c r="E1030" s="4" t="str">
        <x:v>整段分支核验未闭合</x:v>
      </x:c>
      <x:c r="F1030" s="4" t="str">
        <x:v>USER-0586</x:v>
      </x:c>
      <x:c r="G1030" s="4" t="str">
        <x:v>本段剩余子句、条件组合及状态后续影响仍需与独立规则逐项闭合；这是生成覆盖缺口，不是产品决策缺失。</x:v>
      </x:c>
    </x:row>
    <x:row r="1031" ht="44" customHeight="1">
      <x:c r="A1031" s="4" t="str">
        <x:v>REQ-709536067902</x:v>
      </x:c>
      <x:c r="B1031" s="4" t="str">
        <x:v>直播</x:v>
      </x:c>
      <x:c r="C1031" s="4" t="n">
        <x:v>1654</x:v>
      </x:c>
      <x:c r="D1031" s="4" t="str">
        <x:v>广场展示开启时，非成员仍可看到直播卡片，但点击后不能进入。</x:v>
      </x:c>
      <x:c r="E1031" s="4" t="str">
        <x:v>尚未建立场景映射</x:v>
      </x:c>
      <x:c r="F1031" s="4" t="str"/>
      <x:c r="G1031" s="4" t="str">
        <x:v>本轮独立来源库保留该已知条款，但尚未建立可核验的正式场景映射；不是无业务依据，也不转为产品待确认。</x:v>
      </x:c>
    </x:row>
    <x:row r="1032" ht="44" customHeight="1">
      <x:c r="A1032" s="4" t="str">
        <x:v>REQ-856bb0bf75be</x:v>
      </x:c>
      <x:c r="B1032" s="4" t="str">
        <x:v>直播</x:v>
      </x:c>
      <x:c r="C1032" s="4" t="n">
        <x:v>1655</x:v>
      </x:c>
      <x:c r="D1032" s="4" t="str">
        <x:v>已在房内的非成员不退出，离开后再次进入时拦截；有效成员继续校验房间密码。</x:v>
      </x:c>
      <x:c r="E1032" s="4" t="str">
        <x:v>尚未建立场景映射</x:v>
      </x:c>
      <x:c r="F1032" s="4" t="str"/>
      <x:c r="G1032" s="4" t="str">
        <x:v>本轮独立来源库保留该已知条款，但尚未建立可核验的正式场景映射；不是无业务依据，也不转为产品待确认。</x:v>
      </x:c>
    </x:row>
    <x:row r="1033" ht="44" customHeight="1">
      <x:c r="A1033" s="4" t="str">
        <x:v>REQ-fe06e09de42d</x:v>
      </x:c>
      <x:c r="B1033" s="4" t="str">
        <x:v>直播</x:v>
      </x:c>
      <x:c r="C1033" s="4" t="n">
        <x:v>1656</x:v>
      </x:c>
      <x:c r="D1033" s="4" t="str">
        <x:v>账号封禁、双方拉黑和本场踢出优先；巡房人员和运营账号可绕过成员限制。</x:v>
      </x:c>
      <x:c r="E1033" s="4" t="str">
        <x:v>整段分支核验未闭合</x:v>
      </x:c>
      <x:c r="F1033" s="4" t="str">
        <x:v>USER-0575、USER-0576</x:v>
      </x:c>
      <x:c r="G1033" s="4" t="str">
        <x:v>本段剩余子句、条件组合及状态后续影响仍需与独立规则逐项闭合；这是生成覆盖缺口，不是产品决策缺失。</x:v>
      </x:c>
    </x:row>
    <x:row r="1034" ht="57" customHeight="1">
      <x:c r="A1034" s="4" t="str">
        <x:v>REQ-10710e09600b</x:v>
      </x:c>
      <x:c r="B1034" s="4" t="str">
        <x:v>直播</x:v>
      </x:c>
      <x:c r="C1034" s="4" t="n">
        <x:v>1657</x:v>
      </x:c>
      <x:c r="D1034" s="4" t="str">
        <x:v>显示直播封面毛玻璃遮挡，标题“无法进入直播间”，提示“访问直播间需先加入主播粉丝团”；点击“返回”回到来源页，无来源时返回首页。</x:v>
      </x:c>
      <x:c r="E1034" s="4" t="str">
        <x:v>整段分支核验未闭合</x:v>
      </x:c>
      <x:c r="F1034" s="4" t="str">
        <x:v>USER-0587</x:v>
      </x:c>
      <x:c r="G1034" s="4" t="str">
        <x:v>本段剩余子句、条件组合及状态后续影响仍需与独立规则逐项闭合；这是生成覆盖缺口，不是产品决策缺失。</x:v>
      </x:c>
    </x:row>
    <x:row r="1035" ht="44" customHeight="1">
      <x:c r="A1035" s="4" t="str">
        <x:v>REQ-cdfae3392221</x:v>
      </x:c>
      <x:c r="B1035" s="4" t="str">
        <x:v>直播</x:v>
      </x:c>
      <x:c r="C1035" s="4" t="n">
        <x:v>1662</x:v>
      </x:c>
      <x:c r="D1035" s="4" t="str">
        <x:v>主播黑名单和本场踢出状态优先于密码、门票状态；普通用户不可观看直播、评论或送礼。巡房人员从有效巡房任务进入时不应用此拦截。</x:v>
      </x:c>
      <x:c r="E1035" s="4" t="str">
        <x:v>整段分支核验未闭合</x:v>
      </x:c>
      <x:c r="F1035" s="4" t="str">
        <x:v>USER-0577、USER-0578</x:v>
      </x:c>
      <x:c r="G1035" s="4" t="str">
        <x:v>本段剩余子句、条件组合及状态后续影响仍需与独立规则逐项闭合；这是生成覆盖缺口，不是产品决策缺失。</x:v>
      </x:c>
    </x:row>
    <x:row r="1036" ht="57" customHeight="1">
      <x:c r="A1036" s="4" t="str">
        <x:v>REQ-156063d236d2</x:v>
      </x:c>
      <x:c r="B1036" s="4" t="str">
        <x:v>直播</x:v>
      </x:c>
      <x:c r="C1036" s="4" t="n">
        <x:v>1663</x:v>
      </x:c>
      <x:c r="D1036" s="4" t="str">
        <x:v>进入直播间后由封面图和毛玻璃完全遮挡直播内容，中央提示“与主播存在拉黑或被踢出关系”；点击“返回” -&gt; 回到来源页，无来源时返回首页。</x:v>
      </x:c>
      <x:c r="E1036" s="4" t="str">
        <x:v>尚未建立场景映射</x:v>
      </x:c>
      <x:c r="F1036" s="4" t="str"/>
      <x:c r="G1036" s="4" t="str">
        <x:v>本轮独立来源库保留该已知条款，但尚未建立可核验的正式场景映射；不是无业务依据，也不转为产品待确认。</x:v>
      </x:c>
    </x:row>
    <x:row r="1037" ht="44" customHeight="1">
      <x:c r="A1037" s="4" t="str">
        <x:v>REQ-52f4b1869e7b</x:v>
      </x:c>
      <x:c r="B1037" s="4" t="str">
        <x:v>直播</x:v>
      </x:c>
      <x:c r="C1037" s="4" t="n">
        <x:v>1667</x:v>
      </x:c>
      <x:c r="D1037" s="4" t="str">
        <x:v>用户：展示头像、昵称及当前身份。</x:v>
      </x:c>
      <x:c r="E1037" s="4" t="str">
        <x:v>尚未建立场景映射</x:v>
      </x:c>
      <x:c r="F1037" s="4" t="str"/>
      <x:c r="G1037" s="4" t="str">
        <x:v>本轮独立来源库保留该已知条款，但尚未建立可核验的正式场景映射；不是无业务依据，也不转为产品待确认。</x:v>
      </x:c>
    </x:row>
    <x:row r="1038" ht="44" customHeight="1">
      <x:c r="A1038" s="4" t="str">
        <x:v>REQ-a205593a7c87</x:v>
      </x:c>
      <x:c r="B1038" s="4" t="str">
        <x:v>直播</x:v>
      </x:c>
      <x:c r="C1038" s="4" t="n">
        <x:v>1668</x:v>
      </x:c>
      <x:c r="D1038" s="4" t="str">
        <x:v>财富等级：按账号有效消费成长值计算。</x:v>
      </x:c>
      <x:c r="E1038" s="4" t="str">
        <x:v>尚未建立场景映射</x:v>
      </x:c>
      <x:c r="F1038" s="4" t="str"/>
      <x:c r="G1038" s="4" t="str">
        <x:v>本轮独立来源库保留该已知条款，但尚未建立可核验的正式场景映射；不是无业务依据，也不转为产品待确认。</x:v>
      </x:c>
    </x:row>
    <x:row r="1039" ht="44" customHeight="1">
      <x:c r="A1039" s="4" t="str">
        <x:v>REQ-3bea5c2fc073</x:v>
      </x:c>
      <x:c r="B1039" s="4" t="str">
        <x:v>直播</x:v>
      </x:c>
      <x:c r="C1039" s="4" t="n">
        <x:v>1669</x:v>
      </x:c>
      <x:c r="D1039" s="4" t="str">
        <x:v>房管状态：已授权房管展示房管标识。</x:v>
      </x:c>
      <x:c r="E1039" s="4" t="str">
        <x:v>整段分支核验未闭合</x:v>
      </x:c>
      <x:c r="F1039" s="4" t="str">
        <x:v>USER-0555、USER-0556</x:v>
      </x:c>
      <x:c r="G1039" s="4" t="str">
        <x:v>本段剩余子句、条件组合及状态后续影响仍需与独立规则逐项闭合；这是生成覆盖缺口，不是产品决策缺失。</x:v>
      </x:c>
    </x:row>
    <x:row r="1040" ht="44" customHeight="1">
      <x:c r="A1040" s="4" t="str">
        <x:v>REQ-a0337be4b642</x:v>
      </x:c>
      <x:c r="B1040" s="4" t="str">
        <x:v>直播</x:v>
      </x:c>
      <x:c r="C1040" s="4" t="n">
        <x:v>1670</x:v>
      </x:c>
      <x:c r="D1040" s="4" t="str">
        <x:v>仅展示当前直播场次仍在线的观众，进入和离开后实时更新。</x:v>
      </x:c>
      <x:c r="E1040" s="4" t="str">
        <x:v>整段分支核验未闭合</x:v>
      </x:c>
      <x:c r="F1040" s="4" t="str">
        <x:v>USER-0555、USER-0556</x:v>
      </x:c>
      <x:c r="G1040" s="4" t="str">
        <x:v>本段剩余子句、条件组合及状态后续影响仍需与独立规则逐项闭合；这是生成覆盖缺口，不是产品决策缺失。</x:v>
      </x:c>
    </x:row>
    <x:row r="1041" ht="44" customHeight="1">
      <x:c r="A1041" s="4" t="str">
        <x:v>REQ-4131788f5e35</x:v>
      </x:c>
      <x:c r="B1041" s="4" t="str">
        <x:v>直播</x:v>
      </x:c>
      <x:c r="C1041" s="4" t="n">
        <x:v>1671</x:v>
      </x:c>
      <x:c r="D1041" s="4" t="str">
        <x:v>被踢出用户立即移出列表，且本场不可重新进入。</x:v>
      </x:c>
      <x:c r="E1041" s="4" t="str">
        <x:v>整段分支核验未闭合</x:v>
      </x:c>
      <x:c r="F1041" s="4" t="str">
        <x:v>USER-0555、USER-0556</x:v>
      </x:c>
      <x:c r="G1041" s="4" t="str">
        <x:v>本段剩余子句、条件组合及状态后续影响仍需与独立规则逐项闭合；这是生成覆盖缺口，不是产品决策缺失。</x:v>
      </x:c>
    </x:row>
    <x:row r="1042" ht="44" customHeight="1">
      <x:c r="A1042" s="4" t="str">
        <x:v>REQ-ce2e988e4307</x:v>
      </x:c>
      <x:c r="B1042" s="4" t="str">
        <x:v>直播</x:v>
      </x:c>
      <x:c r="C1042" s="4" t="n">
        <x:v>1672</x:v>
      </x:c>
      <x:c r="D1042" s="4" t="str">
        <x:v>主播、房管和普通观众的可执行操作按当前查看者权限展示。</x:v>
      </x:c>
      <x:c r="E1042" s="4" t="str">
        <x:v>整段分支核验未闭合</x:v>
      </x:c>
      <x:c r="F1042" s="4" t="str">
        <x:v>USER-0555、USER-0556</x:v>
      </x:c>
      <x:c r="G1042" s="4" t="str">
        <x:v>本段剩余子句、条件组合及状态后续影响仍需与独立规则逐项闭合；这是生成覆盖缺口，不是产品决策缺失。</x:v>
      </x:c>
    </x:row>
    <x:row r="1043" ht="44" customHeight="1">
      <x:c r="A1043" s="4" t="str">
        <x:v>REQ-b7924f176c59</x:v>
      </x:c>
      <x:c r="B1043" s="4" t="str">
        <x:v>直播</x:v>
      </x:c>
      <x:c r="C1043" s="4" t="n">
        <x:v>1673</x:v>
      </x:c>
      <x:c r="D1043" s="4" t="str">
        <x:v>点击用户 -&gt; 打开对应资料卡；切换至房管 -&gt; 展示当前主播已授权房管。</x:v>
      </x:c>
      <x:c r="E1043" s="4" t="str">
        <x:v>整段分支核验未闭合</x:v>
      </x:c>
      <x:c r="F1043" s="4" t="str">
        <x:v>USER-0555、USER-0556</x:v>
      </x:c>
      <x:c r="G1043" s="4" t="str">
        <x:v>本段剩余子句、条件组合及状态后续影响仍需与独立规则逐项闭合；这是生成覆盖缺口，不是产品决策缺失。</x:v>
      </x:c>
    </x:row>
    <x:row r="1044" ht="44" customHeight="1">
      <x:c r="A1044" s="4" t="str">
        <x:v>REQ-87f9adb35bc9</x:v>
      </x:c>
      <x:c r="B1044" s="4" t="str">
        <x:v>直播</x:v>
      </x:c>
      <x:c r="C1044" s="4" t="n">
        <x:v>1677</x:v>
      </x:c>
      <x:c r="D1044" s="4" t="str">
        <x:v>房管：展示头像、昵称和在线状态。</x:v>
      </x:c>
      <x:c r="E1044" s="4" t="str">
        <x:v>整段分支核验未闭合</x:v>
      </x:c>
      <x:c r="F1044" s="4" t="str">
        <x:v>USER-0557、USER-0558</x:v>
      </x:c>
      <x:c r="G1044" s="4" t="str">
        <x:v>本段剩余子句、条件组合及状态后续影响仍需与独立规则逐项闭合；这是生成覆盖缺口，不是产品决策缺失。</x:v>
      </x:c>
    </x:row>
    <x:row r="1045" ht="44" customHeight="1">
      <x:c r="A1045" s="4" t="str">
        <x:v>REQ-6aa2ed812b38</x:v>
      </x:c>
      <x:c r="B1045" s="4" t="str">
        <x:v>直播</x:v>
      </x:c>
      <x:c r="C1045" s="4" t="n">
        <x:v>1678</x:v>
      </x:c>
      <x:c r="D1045" s="4" t="str">
        <x:v>授权状态：按主播与用户的长期房管关系读取，不随场次结束清除。</x:v>
      </x:c>
      <x:c r="E1045" s="4" t="str">
        <x:v>整段分支核验未闭合</x:v>
      </x:c>
      <x:c r="F1045" s="4" t="str">
        <x:v>USER-0557、USER-0558</x:v>
      </x:c>
      <x:c r="G1045" s="4" t="str">
        <x:v>本段剩余子句、条件组合及状态后续影响仍需与独立规则逐项闭合；这是生成覆盖缺口，不是产品决策缺失。</x:v>
      </x:c>
    </x:row>
    <x:row r="1046" ht="44" customHeight="1">
      <x:c r="A1046" s="4" t="str">
        <x:v>REQ-1308957fd585</x:v>
      </x:c>
      <x:c r="B1046" s="4" t="str">
        <x:v>直播</x:v>
      </x:c>
      <x:c r="C1046" s="4" t="n">
        <x:v>1679</x:v>
      </x:c>
      <x:c r="D1046" s="4" t="str">
        <x:v>每位主播最多设置 3 名房管；目标用户不得与主播互相拉黑。</x:v>
      </x:c>
      <x:c r="E1046" s="4" t="str">
        <x:v>整段分支核验未闭合</x:v>
      </x:c>
      <x:c r="F1046" s="4" t="str">
        <x:v>USER-0557、USER-0558</x:v>
      </x:c>
      <x:c r="G1046" s="4" t="str">
        <x:v>本段剩余子句、条件组合及状态后续影响仍需与独立规则逐项闭合；这是生成覆盖缺口，不是产品决策缺失。</x:v>
      </x:c>
    </x:row>
    <x:row r="1047" ht="44" customHeight="1">
      <x:c r="A1047" s="4" t="str">
        <x:v>REQ-39e6e8a40af8</x:v>
      </x:c>
      <x:c r="B1047" s="4" t="str">
        <x:v>直播</x:v>
      </x:c>
      <x:c r="C1047" s="4" t="n">
        <x:v>1680</x:v>
      </x:c>
      <x:c r="D1047" s="4" t="str">
        <x:v>已授权后任一方建立账号拉黑关系，房管身份自动解除；取消拉黑后不自动恢复。</x:v>
      </x:c>
      <x:c r="E1047" s="4" t="str">
        <x:v>整段分支核验未闭合</x:v>
      </x:c>
      <x:c r="F1047" s="4" t="str">
        <x:v>USER-0557、USER-0558</x:v>
      </x:c>
      <x:c r="G1047" s="4" t="str">
        <x:v>本段剩余子句、条件组合及状态后续影响仍需与独立规则逐项闭合；这是生成覆盖缺口，不是产品决策缺失。</x:v>
      </x:c>
    </x:row>
    <x:row r="1048" ht="44" customHeight="1">
      <x:c r="A1048" s="4" t="str">
        <x:v>REQ-a39354cda7ef</x:v>
      </x:c>
      <x:c r="B1048" s="4" t="str">
        <x:v>直播</x:v>
      </x:c>
      <x:c r="C1048" s="4" t="n">
        <x:v>1681</x:v>
      </x:c>
      <x:c r="D1048" s="4" t="str">
        <x:v>房管可在主播直播间执行禁言、踢出和屏蔽单条评论。</x:v>
      </x:c>
      <x:c r="E1048" s="4" t="str">
        <x:v>整段分支核验未闭合</x:v>
      </x:c>
      <x:c r="F1048" s="4" t="str">
        <x:v>USER-0557、USER-0558</x:v>
      </x:c>
      <x:c r="G1048" s="4" t="str">
        <x:v>本段剩余子句、条件组合及状态后续影响仍需与独立规则逐项闭合；这是生成覆盖缺口，不是产品决策缺失。</x:v>
      </x:c>
    </x:row>
    <x:row r="1049" ht="44" customHeight="1">
      <x:c r="A1049" s="4" t="str">
        <x:v>REQ-16aa6fb8b07f</x:v>
      </x:c>
      <x:c r="B1049" s="4" t="str">
        <x:v>直播</x:v>
      </x:c>
      <x:c r="C1049" s="4" t="n">
        <x:v>1682</x:v>
      </x:c>
      <x:c r="D1049" s="4" t="str">
        <x:v>主播取消授权后立即失去管理权限，不影响其普通观众身份。</x:v>
      </x:c>
      <x:c r="E1049" s="4" t="str">
        <x:v>尚未建立场景映射</x:v>
      </x:c>
      <x:c r="F1049" s="4" t="str"/>
      <x:c r="G1049" s="4" t="str">
        <x:v>本轮独立来源库保留该已知条款，但尚未建立可核验的正式场景映射；不是无业务依据，也不转为产品待确认。</x:v>
      </x:c>
    </x:row>
    <x:row r="1050" ht="44" customHeight="1">
      <x:c r="A1050" s="4" t="str">
        <x:v>REQ-9afe74673c0a</x:v>
      </x:c>
      <x:c r="B1050" s="4" t="str">
        <x:v>直播</x:v>
      </x:c>
      <x:c r="C1050" s="4" t="n">
        <x:v>1683</x:v>
      </x:c>
      <x:c r="D1050" s="4" t="str">
        <x:v>主播取消房管 -&gt; 二次确认后更新列表；因拉黑自动解除 -&gt; 立即更新房管列表和管理权限；普通观众只读查看，不显示授权操作。</x:v>
      </x:c>
      <x:c r="E1050" s="4" t="str">
        <x:v>整段分支核验未闭合</x:v>
      </x:c>
      <x:c r="F1050" s="4" t="str">
        <x:v>USER-0557、USER-0558</x:v>
      </x:c>
      <x:c r="G1050" s="4" t="str">
        <x:v>本段剩余子句、条件组合及状态后续影响仍需与独立规则逐项闭合；这是生成覆盖缺口，不是产品决策缺失。</x:v>
      </x:c>
    </x:row>
    <x:row r="1051" ht="44" customHeight="1">
      <x:c r="A1051" s="4" t="str">
        <x:v>REQ-e8ca95fbaeb6</x:v>
      </x:c>
      <x:c r="B1051" s="4" t="str">
        <x:v>直播</x:v>
      </x:c>
      <x:c r="C1051" s="4" t="n">
        <x:v>1687</x:v>
      </x:c>
      <x:c r="D1051" s="4" t="str">
        <x:v>用户资料：展示头像、昵称、用户 ID、财富等级和粉丝团身份。</x:v>
      </x:c>
      <x:c r="E1051" s="4" t="str">
        <x:v>尚未建立场景映射</x:v>
      </x:c>
      <x:c r="F1051" s="4" t="str"/>
      <x:c r="G1051" s="4" t="str">
        <x:v>本轮独立来源库保留该已知条款，但尚未建立可核验的正式场景映射；不是无业务依据，也不转为产品待确认。</x:v>
      </x:c>
    </x:row>
    <x:row r="1052" ht="44" customHeight="1">
      <x:c r="A1052" s="4" t="str">
        <x:v>REQ-24d552ed2e8a</x:v>
      </x:c>
      <x:c r="B1052" s="4" t="str">
        <x:v>直播</x:v>
      </x:c>
      <x:c r="C1052" s="4" t="n">
        <x:v>1688</x:v>
      </x:c>
      <x:c r="D1052" s="4" t="str">
        <x:v>关系状态：分别读取关注、好友和拉黑关系。</x:v>
      </x:c>
      <x:c r="E1052" s="4" t="str">
        <x:v>尚未建立场景映射</x:v>
      </x:c>
      <x:c r="F1052" s="4" t="str"/>
      <x:c r="G1052" s="4" t="str">
        <x:v>本轮独立来源库保留该已知条款，但尚未建立可核验的正式场景映射；不是无业务依据，也不转为产品待确认。</x:v>
      </x:c>
    </x:row>
    <x:row r="1053" ht="44" customHeight="1">
      <x:c r="A1053" s="4" t="str">
        <x:v>REQ-b495d13b037f</x:v>
      </x:c>
      <x:c r="B1053" s="4" t="str">
        <x:v>直播</x:v>
      </x:c>
      <x:c r="C1053" s="4" t="n">
        <x:v>1689</x:v>
      </x:c>
      <x:c r="D1053" s="4" t="str">
        <x:v>关注、好友和私信权限分别校验；非好友最多主动发送 3 条私信。</x:v>
      </x:c>
      <x:c r="E1053" s="4" t="str">
        <x:v>整段分支核验未闭合</x:v>
      </x:c>
      <x:c r="F1053" s="4" t="str">
        <x:v>USER-0746</x:v>
      </x:c>
      <x:c r="G1053" s="4" t="str">
        <x:v>本段剩余子句、条件组合及状态后续影响仍需与独立规则逐项闭合；这是生成覆盖缺口，不是产品决策缺失。</x:v>
      </x:c>
    </x:row>
    <x:row r="1054" ht="44" customHeight="1">
      <x:c r="A1054" s="4" t="str">
        <x:v>REQ-a9962f44fbc9</x:v>
      </x:c>
      <x:c r="B1054" s="4" t="str">
        <x:v>直播</x:v>
      </x:c>
      <x:c r="C1054" s="4" t="n">
        <x:v>1690</x:v>
      </x:c>
      <x:c r="D1054" s="4" t="str">
        <x:v>任一方拉黑后不能关注、申请好友或私信，已有相关关系解除。</x:v>
      </x:c>
      <x:c r="E1054" s="4" t="str">
        <x:v>尚未建立场景映射</x:v>
      </x:c>
      <x:c r="F1054" s="4" t="str"/>
      <x:c r="G1054" s="4" t="str">
        <x:v>本轮独立来源库保留该已知条款，但尚未建立可核验的正式场景映射；不是无业务依据，也不转为产品待确认。</x:v>
      </x:c>
    </x:row>
    <x:row r="1055" ht="44" customHeight="1">
      <x:c r="A1055" s="4" t="str">
        <x:v>REQ-019f8584f54c</x:v>
      </x:c>
      <x:c r="B1055" s="4" t="str">
        <x:v>直播</x:v>
      </x:c>
      <x:c r="C1055" s="4" t="n">
        <x:v>1691</x:v>
      </x:c>
      <x:c r="D1055" s="4" t="str">
        <x:v>关注或申请好友成功 -&gt; 更新关系状态；举报 -&gt; 进入账号举报流程；点击主页 -&gt; 进入该用户主页。</x:v>
      </x:c>
      <x:c r="E1055" s="4" t="str">
        <x:v>尚未建立场景映射</x:v>
      </x:c>
      <x:c r="F1055" s="4" t="str"/>
      <x:c r="G1055" s="4" t="str">
        <x:v>本轮独立来源库保留该已知条款，但尚未建立可核验的正式场景映射；不是无业务依据，也不转为产品待确认。</x:v>
      </x:c>
    </x:row>
    <x:row r="1056" ht="44" customHeight="1">
      <x:c r="A1056" s="4" t="str">
        <x:v>REQ-e37fd98de8ad</x:v>
      </x:c>
      <x:c r="B1056" s="4" t="str">
        <x:v>直播</x:v>
      </x:c>
      <x:c r="C1056" s="4" t="n">
        <x:v>1695</x:v>
      </x:c>
      <x:c r="D1056" s="4" t="str">
        <x:v>房管拥有普通资料卡操作，并可对当前场次普通观众执行禁言和踢出。</x:v>
      </x:c>
      <x:c r="E1056" s="4" t="str">
        <x:v>整段分支核验未闭合</x:v>
      </x:c>
      <x:c r="F1056" s="4" t="str">
        <x:v>USER-0352、USER-0353</x:v>
      </x:c>
      <x:c r="G1056" s="4" t="str">
        <x:v>本段剩余子句、条件组合及状态后续影响仍需与独立规则逐项闭合；这是生成覆盖缺口，不是产品决策缺失。</x:v>
      </x:c>
    </x:row>
    <x:row r="1057" ht="44" customHeight="1">
      <x:c r="A1057" s="4" t="str">
        <x:v>REQ-8068c209e737</x:v>
      </x:c>
      <x:c r="B1057" s="4" t="str">
        <x:v>直播</x:v>
      </x:c>
      <x:c r="C1057" s="4" t="n">
        <x:v>1696</x:v>
      </x:c>
      <x:c r="D1057" s="4" t="str">
        <x:v>房管不能处置主播本人。</x:v>
      </x:c>
      <x:c r="E1057" s="4" t="str">
        <x:v>整段分支核验未闭合</x:v>
      </x:c>
      <x:c r="F1057" s="4" t="str">
        <x:v>USER-0352、USER-0353</x:v>
      </x:c>
      <x:c r="G1057" s="4" t="str">
        <x:v>本段剩余子句、条件组合及状态后续影响仍需与独立规则逐项闭合；这是生成覆盖缺口，不是产品决策缺失。</x:v>
      </x:c>
    </x:row>
    <x:row r="1058" ht="44" customHeight="1">
      <x:c r="A1058" s="4" t="str">
        <x:v>REQ-0ab6c2bbea8e</x:v>
      </x:c>
      <x:c r="B1058" s="4" t="str">
        <x:v>直播</x:v>
      </x:c>
      <x:c r="C1058" s="4" t="n">
        <x:v>1697</x:v>
      </x:c>
      <x:c r="D1058" s="4" t="str">
        <x:v>巡房会话中的人员不可被拉黑或踢出。</x:v>
      </x:c>
      <x:c r="E1058" s="4" t="str">
        <x:v>整段分支核验未闭合</x:v>
      </x:c>
      <x:c r="F1058" s="4" t="str">
        <x:v>USER-0352、USER-0353</x:v>
      </x:c>
      <x:c r="G1058" s="4" t="str">
        <x:v>本段剩余子句、条件组合及状态后续影响仍需与独立规则逐项闭合；这是生成覆盖缺口，不是产品决策缺失。</x:v>
      </x:c>
    </x:row>
    <x:row r="1059" ht="44" customHeight="1">
      <x:c r="A1059" s="4" t="str">
        <x:v>REQ-c1b7c1798471</x:v>
      </x:c>
      <x:c r="B1059" s="4" t="str">
        <x:v>直播</x:v>
      </x:c>
      <x:c r="C1059" s="4" t="n">
        <x:v>1698</x:v>
      </x:c>
      <x:c r="D1059" s="4" t="str">
        <x:v>禁言和踢出只作用于当前直播场次。</x:v>
      </x:c>
      <x:c r="E1059" s="4" t="str">
        <x:v>整段分支核验未闭合</x:v>
      </x:c>
      <x:c r="F1059" s="4" t="str">
        <x:v>USER-0352、USER-0353</x:v>
      </x:c>
      <x:c r="G1059" s="4" t="str">
        <x:v>本段剩余子句、条件组合及状态后续影响仍需与独立规则逐项闭合；这是生成覆盖缺口，不是产品决策缺失。</x:v>
      </x:c>
    </x:row>
    <x:row r="1060" ht="44" customHeight="1">
      <x:c r="A1060" s="4" t="str">
        <x:v>REQ-0165e1efd627</x:v>
      </x:c>
      <x:c r="B1060" s="4" t="str">
        <x:v>直播</x:v>
      </x:c>
      <x:c r="C1060" s="4" t="n">
        <x:v>1699</x:v>
      </x:c>
      <x:c r="D1060" s="4" t="str">
        <x:v>禁言或踢出 -&gt; 打开对应确认视图；取消 -&gt; 保持用户当前状态。</x:v>
      </x:c>
      <x:c r="E1060" s="4" t="str">
        <x:v>整段分支核验未闭合</x:v>
      </x:c>
      <x:c r="F1060" s="4" t="str">
        <x:v>USER-0352、USER-0353</x:v>
      </x:c>
      <x:c r="G1060" s="4" t="str">
        <x:v>本段剩余子句、条件组合及状态后续影响仍需与独立规则逐项闭合；这是生成覆盖缺口，不是产品决策缺失。</x:v>
      </x:c>
    </x:row>
    <x:row r="1061" ht="44" customHeight="1">
      <x:c r="A1061" s="4" t="str">
        <x:v>REQ-405d165ca7cd</x:v>
      </x:c>
      <x:c r="B1061" s="4" t="str">
        <x:v>直播</x:v>
      </x:c>
      <x:c r="C1061" s="4" t="n">
        <x:v>1703</x:v>
      </x:c>
      <x:c r="D1061" s="4" t="str">
        <x:v>禁言仅限制目标用户当前场次公屏发言，不影响观看、送礼和私信；下一场默认恢复。</x:v>
      </x:c>
      <x:c r="E1061" s="4" t="str">
        <x:v>尚未建立场景映射</x:v>
      </x:c>
      <x:c r="F1061" s="4" t="str"/>
      <x:c r="G1061" s="4" t="str">
        <x:v>本轮独立来源库保留该已知条款，但尚未建立可核验的正式场景映射；不是无业务依据，也不转为产品待确认。</x:v>
      </x:c>
    </x:row>
    <x:row r="1062" ht="44" customHeight="1">
      <x:c r="A1062" s="4" t="str">
        <x:v>REQ-c1cf1dffdbca</x:v>
      </x:c>
      <x:c r="B1062" s="4" t="str">
        <x:v>直播</x:v>
      </x:c>
      <x:c r="C1062" s="4" t="n">
        <x:v>1704</x:v>
      </x:c>
      <x:c r="D1062" s="4" t="str">
        <x:v>确认 -&gt; 写入本场禁言状态并更新输入框、资料卡和禁言列表；取消或关闭 -&gt; 不改变状态。</x:v>
      </x:c>
      <x:c r="E1062" s="4" t="str">
        <x:v>整段分支核验未闭合</x:v>
      </x:c>
      <x:c r="F1062" s="4" t="str">
        <x:v>USER-0744</x:v>
      </x:c>
      <x:c r="G1062" s="4" t="str">
        <x:v>本段剩余子句、条件组合及状态后续影响仍需与独立规则逐项闭合；这是生成覆盖缺口，不是产品决策缺失。</x:v>
      </x:c>
    </x:row>
    <x:row r="1063" ht="44" customHeight="1">
      <x:c r="A1063" s="4" t="str">
        <x:v>REQ-46bf665b8202</x:v>
      </x:c>
      <x:c r="B1063" s="4" t="str">
        <x:v>直播</x:v>
      </x:c>
      <x:c r="C1063" s="4" t="n">
        <x:v>1708</x:v>
      </x:c>
      <x:c r="D1063" s="4" t="str">
        <x:v>踢出只作用于当前直播场次；目标用户下一场可重新进入。门票房被踢出后门票失效且不退款。巡房会话中的人员不可被踢出。</x:v>
      </x:c>
      <x:c r="E1063" s="4" t="str">
        <x:v>尚未建立场景映射</x:v>
      </x:c>
      <x:c r="F1063" s="4" t="str"/>
      <x:c r="G1063" s="4" t="str">
        <x:v>本轮独立来源库保留该已知条款，但尚未建立可核验的正式场景映射；不是无业务依据，也不转为产品待确认。</x:v>
      </x:c>
    </x:row>
    <x:row r="1064" ht="44" customHeight="1">
      <x:c r="A1064" s="4" t="str">
        <x:v>REQ-fcc05c0f3df1</x:v>
      </x:c>
      <x:c r="B1064" s="4" t="str">
        <x:v>直播</x:v>
      </x:c>
      <x:c r="C1064" s="4" t="n">
        <x:v>1709</x:v>
      </x:c>
      <x:c r="D1064" s="4" t="str">
        <x:v>确认 -&gt; 用户立即退出、写入本场踢出状态并从在线列表移除；取消或关闭 -&gt; 不改变状态。</x:v>
      </x:c>
      <x:c r="E1064" s="4" t="str">
        <x:v>整段分支核验未闭合</x:v>
      </x:c>
      <x:c r="F1064" s="4" t="str">
        <x:v>USER-0745</x:v>
      </x:c>
      <x:c r="G1064" s="4" t="str">
        <x:v>本段剩余子句、条件组合及状态后续影响仍需与独立规则逐项闭合；这是生成覆盖缺口，不是产品决策缺失。</x:v>
      </x:c>
    </x:row>
    <x:row r="1065" ht="44" customHeight="1">
      <x:c r="A1065" s="4" t="str">
        <x:v>REQ-f824d220c8d2</x:v>
      </x:c>
      <x:c r="B1065" s="4" t="str">
        <x:v>直播</x:v>
      </x:c>
      <x:c r="C1065" s="4" t="n">
        <x:v>1713</x:v>
      </x:c>
      <x:c r="D1065" s="4" t="str">
        <x:v>榜单数量：完成全部排序后显示前 99 名；第 99 名与第 100 名贡献值相同时，继续按后续条件确定顺序。</x:v>
      </x:c>
      <x:c r="E1065" s="4" t="str">
        <x:v>整段分支核验未闭合</x:v>
      </x:c>
      <x:c r="F1065" s="4" t="str">
        <x:v>USER-0706、USER-0707、USER-0708、USER-0709、USER-0710、USER-0711</x:v>
      </x:c>
      <x:c r="G1065" s="4" t="str">
        <x:v>本段剩余子句、条件组合及状态后续影响仍需与独立规则逐项闭合；这是生成覆盖缺口，不是产品决策缺失。</x:v>
      </x:c>
    </x:row>
    <x:row r="1066" ht="57" customHeight="1">
      <x:c r="A1066" s="4" t="str">
        <x:v>REQ-2e0be6049dd2</x:v>
      </x:c>
      <x:c r="B1066" s="4" t="str">
        <x:v>直播</x:v>
      </x:c>
      <x:c r="C1066" s="4" t="n">
        <x:v>1714</x:v>
      </x:c>
      <x:c r="D1066" s="4" t="str">
        <x:v>排名：依次按本场贡献值、当前主播粉丝团内的粉丝等级、财富等级从高到低排序，仍相同时按用户 ID 数字部分从小到大排序；不设并列名次。</x:v>
      </x:c>
      <x:c r="E1066" s="4" t="str">
        <x:v>整段分支核验未闭合</x:v>
      </x:c>
      <x:c r="F1066" s="4" t="str">
        <x:v>USER-0706、USER-0707、USER-0708、USER-0709</x:v>
      </x:c>
      <x:c r="G1066" s="4" t="str">
        <x:v>本段剩余子句、条件组合及状态后续影响仍需与独立规则逐项闭合；这是生成覆盖缺口，不是产品决策缺失。</x:v>
      </x:c>
    </x:row>
    <x:row r="1067" ht="44" customHeight="1">
      <x:c r="A1067" s="4" t="str">
        <x:v>REQ-7937da5f4be3</x:v>
      </x:c>
      <x:c r="B1067" s="4" t="str">
        <x:v>直播</x:v>
      </x:c>
      <x:c r="C1067" s="4" t="n">
        <x:v>1715</x:v>
      </x:c>
      <x:c r="D1067" s="4" t="str">
        <x:v>本场贡献值的真实金币部分：当前场次内成功送出的各礼物单价 × 数量之和；幸运礼物返奖不冲减贡献值。</x:v>
      </x:c>
      <x:c r="E1067" s="4" t="str">
        <x:v>整段分支核验未闭合</x:v>
      </x:c>
      <x:c r="F1067" s="4" t="str">
        <x:v>USER-0712</x:v>
      </x:c>
      <x:c r="G1067" s="4" t="str">
        <x:v>本段剩余子句、条件组合及状态后续影响仍需与独立规则逐项闭合；这是生成覆盖缺口，不是产品决策缺失。</x:v>
      </x:c>
    </x:row>
    <x:row r="1068" ht="44" customHeight="1">
      <x:c r="A1068" s="4" t="str">
        <x:v>REQ-6b2e57f33816</x:v>
      </x:c>
      <x:c r="B1068" s="4" t="str">
        <x:v>直播</x:v>
      </x:c>
      <x:c r="C1068" s="4" t="n">
        <x:v>1716</x:v>
      </x:c>
      <x:c r="D1068" s="4" t="str">
        <x:v>我的排名：固定显示在榜单底部；进入榜单时显示排名，未进入榜单时显示“-”。</x:v>
      </x:c>
      <x:c r="E1068" s="4" t="str">
        <x:v>整段分支核验未闭合</x:v>
      </x:c>
      <x:c r="F1068" s="4" t="str">
        <x:v>USER-0706、USER-0707、USER-0708、USER-0709</x:v>
      </x:c>
      <x:c r="G1068" s="4" t="str">
        <x:v>本段剩余子句、条件组合及状态后续影响仍需与独立规则逐项闭合；这是生成覆盖缺口，不是产品决策缺失。</x:v>
      </x:c>
    </x:row>
    <x:row r="1069" ht="44" customHeight="1">
      <x:c r="A1069" s="4" t="str">
        <x:v>REQ-68eb3122d10e</x:v>
      </x:c>
      <x:c r="B1069" s="4" t="str">
        <x:v>直播</x:v>
      </x:c>
      <x:c r="C1069" s="4" t="n">
        <x:v>1717</x:v>
      </x:c>
      <x:c r="D1069" s="4" t="str">
        <x:v>粉丝等级或财富等级缺失时按 0 级参与排序；排名按完整排序结果连续编号。</x:v>
      </x:c>
      <x:c r="E1069" s="4" t="str">
        <x:v>整段分支核验未闭合</x:v>
      </x:c>
      <x:c r="F1069" s="4" t="str">
        <x:v>USER-0706、USER-0707、USER-0708、USER-0709</x:v>
      </x:c>
      <x:c r="G1069" s="4" t="str">
        <x:v>本段剩余子句、条件组合及状态后续影响仍需与独立规则逐项闭合；这是生成覆盖缺口，不是产品决策缺失。</x:v>
      </x:c>
    </x:row>
    <x:row r="1070" ht="44" customHeight="1">
      <x:c r="A1070" s="4" t="str">
        <x:v>REQ-5d9d7f962139</x:v>
      </x:c>
      <x:c r="B1070" s="4" t="str">
        <x:v>直播</x:v>
      </x:c>
      <x:c r="C1070" s="4" t="n">
        <x:v>1718</x:v>
      </x:c>
      <x:c r="D1070" s="4" t="str">
        <x:v>失败或撤销赠送不计入；有效消费冲正后重新计算贡献值和排名，充值退款不撤销已完成送礼。</x:v>
      </x:c>
      <x:c r="E1070" s="4" t="str">
        <x:v>整段分支核验未闭合</x:v>
      </x:c>
      <x:c r="F1070" s="4" t="str">
        <x:v>USER-0706、USER-0707、USER-0708、USER-0709</x:v>
      </x:c>
      <x:c r="G1070" s="4" t="str">
        <x:v>本段剩余子句、条件组合及状态后续影响仍需与独立规则逐项闭合；这是生成覆盖缺口，不是产品决策缺失。</x:v>
      </x:c>
    </x:row>
    <x:row r="1071" ht="44" customHeight="1">
      <x:c r="A1071" s="4" t="str">
        <x:v>REQ-9186ff81b630</x:v>
      </x:c>
      <x:c r="B1071" s="4" t="str">
        <x:v>直播</x:v>
      </x:c>
      <x:c r="C1071" s="4" t="n">
        <x:v>1719</x:v>
      </x:c>
      <x:c r="D1071" s="4" t="str">
        <x:v>场次结束后榜单作为历史快照保留。账号注销后保留历史贡献，名称显示“账号已注销”，且不能进入主页。</x:v>
      </x:c>
      <x:c r="E1071" s="4" t="str">
        <x:v>整段分支核验未闭合</x:v>
      </x:c>
      <x:c r="F1071" s="4" t="str">
        <x:v>USER-0713、USER-0714</x:v>
      </x:c>
      <x:c r="G1071" s="4" t="str">
        <x:v>本段剩余子句、条件组合及状态后续影响仍需与独立规则逐项闭合；这是生成覆盖缺口，不是产品决策缺失。</x:v>
      </x:c>
    </x:row>
    <x:row r="1072" ht="44" customHeight="1">
      <x:c r="A1072" s="4" t="str">
        <x:v>REQ-10a3463ba691</x:v>
      </x:c>
      <x:c r="B1072" s="4" t="str">
        <x:v>直播</x:v>
      </x:c>
      <x:c r="C1072" s="4" t="n">
        <x:v>1720</x:v>
      </x:c>
      <x:c r="D1072" s="4" t="str">
        <x:v>榜单滚动 -&gt; 我的排名固定在底部。</x:v>
      </x:c>
      <x:c r="E1072" s="4" t="str">
        <x:v>整段分支核验未闭合</x:v>
      </x:c>
      <x:c r="F1072" s="4" t="str">
        <x:v>USER-0706、USER-0707、USER-0708、USER-0709</x:v>
      </x:c>
      <x:c r="G1072" s="4" t="str">
        <x:v>本段剩余子句、条件组合及状态后续影响仍需与独立规则逐项闭合；这是生成覆盖缺口，不是产品决策缺失。</x:v>
      </x:c>
    </x:row>
    <x:row r="1073" ht="44" customHeight="1">
      <x:c r="A1073" s="4" t="str">
        <x:v>REQ-340fbe842669</x:v>
      </x:c>
      <x:c r="B1073" s="4" t="str">
        <x:v>直播</x:v>
      </x:c>
      <x:c r="C1073" s="4" t="n">
        <x:v>1721</x:v>
      </x:c>
      <x:c r="D1073" s="4" t="str">
        <x:v>切换贡献榜或收到礼物 -&gt; 保持当前场次范围；点击用户 -&gt; 打开用户资料卡。</x:v>
      </x:c>
      <x:c r="E1073" s="4" t="str">
        <x:v>尚未建立场景映射</x:v>
      </x:c>
      <x:c r="F1073" s="4" t="str"/>
      <x:c r="G1073" s="4" t="str">
        <x:v>本轮独立来源库保留该已知条款，但尚未建立可核验的正式场景映射；不是无业务依据，也不转为产品待确认。</x:v>
      </x:c>
    </x:row>
    <x:row r="1074" ht="44" customHeight="1">
      <x:c r="A1074" s="4" t="str">
        <x:v>REQ-3bf510084052</x:v>
      </x:c>
      <x:c r="B1074" s="4" t="str">
        <x:v>直播</x:v>
      </x:c>
      <x:c r="C1074" s="4" t="n">
        <x:v>1725</x:v>
      </x:c>
      <x:c r="D1074" s="4" t="str">
        <x:v>礼物：展示礼物名称、图标和当前场次收到数量。</x:v>
      </x:c>
      <x:c r="E1074" s="4" t="str">
        <x:v>整段分支核验未闭合</x:v>
      </x:c>
      <x:c r="F1074" s="4" t="str">
        <x:v>USER-0748</x:v>
      </x:c>
      <x:c r="G1074" s="4" t="str">
        <x:v>本段剩余子句、条件组合及状态后续影响仍需与独立规则逐项闭合；这是生成覆盖缺口，不是产品决策缺失。</x:v>
      </x:c>
    </x:row>
    <x:row r="1075" ht="44" customHeight="1">
      <x:c r="A1075" s="4" t="str">
        <x:v>REQ-f3aa67f19ddf</x:v>
      </x:c>
      <x:c r="B1075" s="4" t="str">
        <x:v>直播</x:v>
      </x:c>
      <x:c r="C1075" s="4" t="n">
        <x:v>1726</x:v>
      </x:c>
      <x:c r="D1075" s="4" t="str">
        <x:v>赠送用户：展示本场成功赠送该礼物的用户。</x:v>
      </x:c>
      <x:c r="E1075" s="4" t="str">
        <x:v>整段分支核验未闭合</x:v>
      </x:c>
      <x:c r="F1075" s="4" t="str">
        <x:v>USER-0748</x:v>
      </x:c>
      <x:c r="G1075" s="4" t="str">
        <x:v>本段剩余子句、条件组合及状态后续影响仍需与独立规则逐项闭合；这是生成覆盖缺口，不是产品决策缺失。</x:v>
      </x:c>
    </x:row>
    <x:row r="1076" ht="44" customHeight="1">
      <x:c r="A1076" s="4" t="str">
        <x:v>REQ-e4023aa2b5d8</x:v>
      </x:c>
      <x:c r="B1076" s="4" t="str">
        <x:v>直播</x:v>
      </x:c>
      <x:c r="C1076" s="4" t="n">
        <x:v>1727</x:v>
      </x:c>
      <x:c r="D1076" s="4" t="str">
        <x:v>贡献值：贡献值 = 礼物单价 × 本场成功送出数量；幸运礼物返奖不冲减该值。</x:v>
      </x:c>
      <x:c r="E1076" s="4" t="str">
        <x:v>整段分支核验未闭合</x:v>
      </x:c>
      <x:c r="F1076" s="4" t="str">
        <x:v>USER-0748</x:v>
      </x:c>
      <x:c r="G1076" s="4" t="str">
        <x:v>本段剩余子句、条件组合及状态后续影响仍需与独立规则逐项闭合；这是生成覆盖缺口，不是产品决策缺失。</x:v>
      </x:c>
    </x:row>
    <x:row r="1077" ht="44" customHeight="1">
      <x:c r="A1077" s="4" t="str">
        <x:v>REQ-c03f091d9922</x:v>
      </x:c>
      <x:c r="B1077" s="4" t="str">
        <x:v>直播</x:v>
      </x:c>
      <x:c r="C1077" s="4" t="n">
        <x:v>1728</x:v>
      </x:c>
      <x:c r="D1077" s="4" t="str">
        <x:v>仅统计成功赠送记录；幸运礼物展示送出数量和开奖结果，用户净消耗与主播收益按各自口径计算；失败或撤销记录不展示。</x:v>
      </x:c>
      <x:c r="E1077" s="4" t="str">
        <x:v>整段分支核验未闭合</x:v>
      </x:c>
      <x:c r="F1077" s="4" t="str">
        <x:v>USER-0748</x:v>
      </x:c>
      <x:c r="G1077" s="4" t="str">
        <x:v>本段剩余子句、条件组合及状态后续影响仍需与独立规则逐项闭合；这是生成覆盖缺口，不是产品决策缺失。</x:v>
      </x:c>
    </x:row>
    <x:row r="1078" ht="44" customHeight="1">
      <x:c r="A1078" s="4" t="str">
        <x:v>REQ-f7cba1074b52</x:v>
      </x:c>
      <x:c r="B1078" s="4" t="str">
        <x:v>直播</x:v>
      </x:c>
      <x:c r="C1078" s="4" t="n">
        <x:v>1729</x:v>
      </x:c>
      <x:c r="D1078" s="4" t="str">
        <x:v>切换至贡献榜 -&gt; 返回同一场次的用户排名；点击赠送用户 -&gt; 打开用户资料卡。</x:v>
      </x:c>
      <x:c r="E1078" s="4" t="str">
        <x:v>尚未建立场景映射</x:v>
      </x:c>
      <x:c r="F1078" s="4" t="str"/>
      <x:c r="G1078" s="4" t="str">
        <x:v>本轮独立来源库保留该已知条款，但尚未建立可核验的正式场景映射；不是无业务依据，也不转为产品待确认。</x:v>
      </x:c>
    </x:row>
    <x:row r="1079" ht="44" customHeight="1">
      <x:c r="A1079" s="4" t="str">
        <x:v>REQ-e7b0a1e901ab</x:v>
      </x:c>
      <x:c r="B1079" s="4" t="str">
        <x:v>直播</x:v>
      </x:c>
      <x:c r="C1079" s="4" t="n">
        <x:v>1733</x:v>
      </x:c>
      <x:c r="D1079" s="4" t="str">
        <x:v>转发不改变房间准入规则，接收人仍须完成门票、密码和账号关系校验。</x:v>
      </x:c>
      <x:c r="E1079" s="4" t="str">
        <x:v>尚未建立场景映射</x:v>
      </x:c>
      <x:c r="F1079" s="4" t="str"/>
      <x:c r="G1079" s="4" t="str">
        <x:v>本轮独立来源库保留该已知条款，但尚未建立可核验的正式场景映射；不是无业务依据，也不转为产品待确认。</x:v>
      </x:c>
    </x:row>
    <x:row r="1080" ht="44" customHeight="1">
      <x:c r="A1080" s="4" t="str">
        <x:v>REQ-1555772049b0</x:v>
      </x:c>
      <x:c r="B1080" s="4" t="str">
        <x:v>直播</x:v>
      </x:c>
      <x:c r="C1080" s="4" t="n">
        <x:v>1734</x:v>
      </x:c>
      <x:c r="D1080" s="4" t="str">
        <x:v>举报直播仅在直播中生成当前场次举报工单。</x:v>
      </x:c>
      <x:c r="E1080" s="4" t="str">
        <x:v>尚未建立场景映射</x:v>
      </x:c>
      <x:c r="F1080" s="4" t="str"/>
      <x:c r="G1080" s="4" t="str">
        <x:v>本轮独立来源库保留该已知条款，但尚未建立可核验的正式场景映射；不是无业务依据，也不转为产品待确认。</x:v>
      </x:c>
    </x:row>
    <x:row r="1081" ht="44" customHeight="1">
      <x:c r="A1081" s="4" t="str">
        <x:v>REQ-21c978d77e36</x:v>
      </x:c>
      <x:c r="B1081" s="4" t="str">
        <x:v>直播</x:v>
      </x:c>
      <x:c r="C1081" s="4" t="n">
        <x:v>1735</x:v>
      </x:c>
      <x:c r="D1081" s="4" t="str">
        <x:v>清屏只清除当前设备公屏显示，不删除服务端消息。</x:v>
      </x:c>
      <x:c r="E1081" s="4" t="str">
        <x:v>整段分支核验未闭合</x:v>
      </x:c>
      <x:c r="F1081" s="4" t="str">
        <x:v>USER-0591、USER-0592</x:v>
      </x:c>
      <x:c r="G1081" s="4" t="str">
        <x:v>本段剩余子句、条件组合及状态后续影响仍需与独立规则逐项闭合；这是生成覆盖缺口，不是产品决策缺失。</x:v>
      </x:c>
    </x:row>
    <x:row r="1082" ht="44" customHeight="1">
      <x:c r="A1082" s="4" t="str">
        <x:v>REQ-5595f6c46cc3</x:v>
      </x:c>
      <x:c r="B1082" s="4" t="str">
        <x:v>直播</x:v>
      </x:c>
      <x:c r="C1082" s="4" t="n">
        <x:v>1736</x:v>
      </x:c>
      <x:c r="D1082" s="4" t="str">
        <x:v>选择转发 -&gt; 调起系统分享；选择举报 -&gt; 进入直播举报页；选择清屏 -&gt; 立即清空当前显示并关闭菜单；点击遮罩 -&gt; 关闭菜单。</x:v>
      </x:c>
      <x:c r="E1082" s="4" t="str">
        <x:v>整段分支核验未闭合</x:v>
      </x:c>
      <x:c r="F1082" s="4" t="str">
        <x:v>USER-0591、USER-0592</x:v>
      </x:c>
      <x:c r="G1082" s="4" t="str">
        <x:v>本段剩余子句、条件组合及状态后续影响仍需与独立规则逐项闭合；这是生成覆盖缺口，不是产品决策缺失。</x:v>
      </x:c>
    </x:row>
    <x:row r="1083" ht="44" customHeight="1">
      <x:c r="A1083" s="4" t="str">
        <x:v>REQ-6b8f1d1789a8</x:v>
      </x:c>
      <x:c r="B1083" s="4" t="str">
        <x:v>直播</x:v>
      </x:c>
      <x:c r="C1083" s="4" t="n">
        <x:v>1740</x:v>
      </x:c>
      <x:c r="D1083" s="4" t="str">
        <x:v>主播资料：展示头像、昵称、主播等级、财富等级和用户 ID。</x:v>
      </x:c>
      <x:c r="E1083" s="4" t="str">
        <x:v>尚未建立场景映射</x:v>
      </x:c>
      <x:c r="F1083" s="4" t="str"/>
      <x:c r="G1083" s="4" t="str">
        <x:v>本轮独立来源库保留该已知条款，但尚未建立可核验的正式场景映射；不是无业务依据，也不转为产品待确认。</x:v>
      </x:c>
    </x:row>
    <x:row r="1084" ht="44" customHeight="1">
      <x:c r="A1084" s="4" t="str">
        <x:v>REQ-2f00157ac134</x:v>
      </x:c>
      <x:c r="B1084" s="4" t="str">
        <x:v>直播</x:v>
      </x:c>
      <x:c r="C1084" s="4" t="n">
        <x:v>1741</x:v>
      </x:c>
      <x:c r="D1084" s="4" t="str">
        <x:v>直播状态：关联当前直播场次；场次结束后更新为未开播。</x:v>
      </x:c>
      <x:c r="E1084" s="4" t="str">
        <x:v>尚未建立场景映射</x:v>
      </x:c>
      <x:c r="F1084" s="4" t="str"/>
      <x:c r="G1084" s="4" t="str">
        <x:v>本轮独立来源库保留该已知条款，但尚未建立可核验的正式场景映射；不是无业务依据，也不转为产品待确认。</x:v>
      </x:c>
    </x:row>
    <x:row r="1085" ht="44" customHeight="1">
      <x:c r="A1085" s="4" t="str">
        <x:v>REQ-4b36047617a5</x:v>
      </x:c>
      <x:c r="B1085" s="4" t="str">
        <x:v>直播</x:v>
      </x:c>
      <x:c r="C1085" s="4" t="n">
        <x:v>1742</x:v>
      </x:c>
      <x:c r="D1085" s="4" t="str">
        <x:v>关系状态：分别读取关注、好友、粉丝团和拉黑关系。</x:v>
      </x:c>
      <x:c r="E1085" s="4" t="str">
        <x:v>整段分支核验未闭合</x:v>
      </x:c>
      <x:c r="F1085" s="4" t="str">
        <x:v>USER-0747</x:v>
      </x:c>
      <x:c r="G1085" s="4" t="str">
        <x:v>本段剩余子句、条件组合及状态后续影响仍需与独立规则逐项闭合；这是生成覆盖缺口，不是产品决策缺失。</x:v>
      </x:c>
    </x:row>
    <x:row r="1086" ht="44" customHeight="1">
      <x:c r="A1086" s="4" t="str">
        <x:v>REQ-a17f58e5344e</x:v>
      </x:c>
      <x:c r="B1086" s="4" t="str">
        <x:v>直播</x:v>
      </x:c>
      <x:c r="C1086" s="4" t="n">
        <x:v>1743</x:v>
      </x:c>
      <x:c r="D1086" s="4" t="str">
        <x:v>用户与主播共用账号和社交关系；拉黑后不能关注、申请好友、私信、观看直播或加入粉丝团。</x:v>
      </x:c>
      <x:c r="E1086" s="4" t="str">
        <x:v>整段分支核验未闭合</x:v>
      </x:c>
      <x:c r="F1086" s="4" t="str">
        <x:v>USER-0747</x:v>
      </x:c>
      <x:c r="G1086" s="4" t="str">
        <x:v>本段剩余子句、条件组合及状态后续影响仍需与独立规则逐项闭合；这是生成覆盖缺口，不是产品决策缺失。</x:v>
      </x:c>
    </x:row>
    <x:row r="1087" ht="44" customHeight="1">
      <x:c r="A1087" s="4" t="str">
        <x:v>REQ-f6baa5b5497f</x:v>
      </x:c>
      <x:c r="B1087" s="4" t="str">
        <x:v>直播</x:v>
      </x:c>
      <x:c r="C1087" s="4" t="n">
        <x:v>1744</x:v>
      </x:c>
      <x:c r="D1087" s="4" t="str">
        <x:v>进入主页、关注、申请好友、私信和举报均作用于当前主播账号；状态变更后同步更新直播间入口。</x:v>
      </x:c>
      <x:c r="E1087" s="4" t="str">
        <x:v>整段分支核验未闭合</x:v>
      </x:c>
      <x:c r="F1087" s="4" t="str">
        <x:v>USER-0747</x:v>
      </x:c>
      <x:c r="G1087" s="4" t="str">
        <x:v>本段剩余子句、条件组合及状态后续影响仍需与独立规则逐项闭合；这是生成覆盖缺口，不是产品决策缺失。</x:v>
      </x:c>
    </x:row>
    <x:row r="1088" ht="44" customHeight="1">
      <x:c r="A1088" s="4" t="str">
        <x:v>REQ-0dc836b4c15d</x:v>
      </x:c>
      <x:c r="B1088" s="4" t="str">
        <x:v>直播</x:v>
      </x:c>
      <x:c r="C1088" s="4" t="n">
        <x:v>1748</x:v>
      </x:c>
      <x:c r="D1088" s="4" t="str">
        <x:v>统计范围：当前直播场次的真实金币有效贡献包含当前在线和已经离线的用户；运营虚拟金币榜单范围见 PENDING-virtual-board。</x:v>
      </x:c>
      <x:c r="E1088" s="4" t="str">
        <x:v>整段分支核验未闭合</x:v>
      </x:c>
      <x:c r="F1088" s="4" t="str">
        <x:v>USER-0721</x:v>
      </x:c>
      <x:c r="G1088" s="4" t="str">
        <x:v>来源同时包含尚未决定的业务范围，见对应问题。</x:v>
      </x:c>
    </x:row>
    <x:row r="1089" ht="44" customHeight="1">
      <x:c r="A1089" s="4" t="str">
        <x:v>REQ-ca2bec752921</x:v>
      </x:c>
      <x:c r="B1089" s="4" t="str">
        <x:v>直播</x:v>
      </x:c>
      <x:c r="C1089" s="4" t="n">
        <x:v>1749</x:v>
      </x:c>
      <x:c r="D1089" s="4" t="str">
        <x:v>榜单数量：完成全部排序后显示前 99 名；第 99 名与第 100 名贡献值相同时，继续按后续条件确定顺序。</x:v>
      </x:c>
      <x:c r="E1089" s="4" t="str">
        <x:v>整段分支核验未闭合</x:v>
      </x:c>
      <x:c r="F1089" s="4" t="str">
        <x:v>USER-0715、USER-0716、USER-0717、USER-0718、USER-0719、USER-0720</x:v>
      </x:c>
      <x:c r="G1089" s="4" t="str">
        <x:v>本段剩余子句、条件组合及状态后续影响仍需与独立规则逐项闭合；这是生成覆盖缺口，不是产品决策缺失。</x:v>
      </x:c>
    </x:row>
    <x:row r="1090" ht="57" customHeight="1">
      <x:c r="A1090" s="4" t="str">
        <x:v>REQ-d641aedb45b9</x:v>
      </x:c>
      <x:c r="B1090" s="4" t="str">
        <x:v>直播</x:v>
      </x:c>
      <x:c r="C1090" s="4" t="n">
        <x:v>1750</x:v>
      </x:c>
      <x:c r="D1090" s="4" t="str">
        <x:v>排名：依次按本场累计贡献值、当前主播粉丝团内的粉丝等级、财富等级从高到低排序，仍相同时按用户 ID 数字部分从小到大排序；不设并列名次。</x:v>
      </x:c>
      <x:c r="E1090" s="4" t="str">
        <x:v>整段分支核验未闭合</x:v>
      </x:c>
      <x:c r="F1090" s="4" t="str">
        <x:v>USER-0715、USER-0716、USER-0717、USER-0718</x:v>
      </x:c>
      <x:c r="G1090" s="4" t="str">
        <x:v>本段剩余子句、条件组合及状态后续影响仍需与独立规则逐项闭合；这是生成覆盖缺口，不是产品决策缺失。</x:v>
      </x:c>
    </x:row>
    <x:row r="1091" ht="44" customHeight="1">
      <x:c r="A1091" s="4" t="str">
        <x:v>REQ-b614f798a960</x:v>
      </x:c>
      <x:c r="B1091" s="4" t="str">
        <x:v>直播</x:v>
      </x:c>
      <x:c r="C1091" s="4" t="n">
        <x:v>1751</x:v>
      </x:c>
      <x:c r="D1091" s="4" t="str">
        <x:v>用户身份：展示头像、昵称、财富等级、粉丝等级、灯牌和亲密度；无对应身份时不展示。</x:v>
      </x:c>
      <x:c r="E1091" s="4" t="str">
        <x:v>尚未建立场景映射</x:v>
      </x:c>
      <x:c r="F1091" s="4" t="str"/>
      <x:c r="G1091" s="4" t="str">
        <x:v>本轮独立来源库保留该已知条款，但尚未建立可核验的正式场景映射；不是无业务依据，也不转为产品待确认。</x:v>
      </x:c>
    </x:row>
    <x:row r="1092" ht="44" customHeight="1">
      <x:c r="A1092" s="4" t="str">
        <x:v>REQ-2bbd67ce639a</x:v>
      </x:c>
      <x:c r="B1092" s="4" t="str">
        <x:v>直播</x:v>
      </x:c>
      <x:c r="C1092" s="4" t="n">
        <x:v>1752</x:v>
      </x:c>
      <x:c r="D1092" s="4" t="str">
        <x:v>禁言状态：当前场次被禁言用户展示禁言标识。</x:v>
      </x:c>
      <x:c r="E1092" s="4" t="str">
        <x:v>尚未建立场景映射</x:v>
      </x:c>
      <x:c r="F1092" s="4" t="str"/>
      <x:c r="G1092" s="4" t="str">
        <x:v>本轮独立来源库保留该已知条款，但尚未建立可核验的正式场景映射；不是无业务依据，也不转为产品待确认。</x:v>
      </x:c>
    </x:row>
    <x:row r="1093" ht="44" customHeight="1">
      <x:c r="A1093" s="4" t="str">
        <x:v>REQ-97187d7ee032</x:v>
      </x:c>
      <x:c r="B1093" s="4" t="str">
        <x:v>直播</x:v>
      </x:c>
      <x:c r="C1093" s="4" t="n">
        <x:v>1753</x:v>
      </x:c>
      <x:c r="D1093" s="4" t="str">
        <x:v>本场贡献榜按当前场次累计真实金币贡献；用户离开直播间后仍保留本场贡献值和排名。运营虚拟金币范围见 PENDING-virtual-board。</x:v>
      </x:c>
      <x:c r="E1093" s="4" t="str">
        <x:v>整段分支核验未闭合</x:v>
      </x:c>
      <x:c r="F1093" s="4" t="str">
        <x:v>USER-0715、USER-0716、USER-0717、USER-0718、USER-0721</x:v>
      </x:c>
      <x:c r="G1093" s="4" t="str">
        <x:v>来源同时包含尚未决定的业务范围，见对应问题。</x:v>
      </x:c>
    </x:row>
    <x:row r="1094" ht="44" customHeight="1">
      <x:c r="A1094" s="4" t="str">
        <x:v>REQ-c5411596f1d1</x:v>
      </x:c>
      <x:c r="B1094" s="4" t="str">
        <x:v>直播</x:v>
      </x:c>
      <x:c r="C1094" s="4" t="n">
        <x:v>1754</x:v>
      </x:c>
      <x:c r="D1094" s="4" t="str">
        <x:v>粉丝等级或财富等级缺失时按 0 级参与排序；排名按完整排序结果连续编号。</x:v>
      </x:c>
      <x:c r="E1094" s="4" t="str">
        <x:v>整段分支核验未闭合</x:v>
      </x:c>
      <x:c r="F1094" s="4" t="str">
        <x:v>USER-0715、USER-0716、USER-0717、USER-0718</x:v>
      </x:c>
      <x:c r="G1094" s="4" t="str">
        <x:v>本段剩余子句、条件组合及状态后续影响仍需与独立规则逐项闭合；这是生成覆盖缺口，不是产品决策缺失。</x:v>
      </x:c>
    </x:row>
    <x:row r="1095" ht="44" customHeight="1">
      <x:c r="A1095" s="4" t="str">
        <x:v>REQ-9de8ffee4407</x:v>
      </x:c>
      <x:c r="B1095" s="4" t="str">
        <x:v>直播</x:v>
      </x:c>
      <x:c r="C1095" s="4" t="n">
        <x:v>1755</x:v>
      </x:c>
      <x:c r="D1095" s="4" t="str">
        <x:v>当前场次贡献值按成功送出礼物价值累计；幸运礼物按单价 × 送出数量计算，返奖不冲减贡献值。</x:v>
      </x:c>
      <x:c r="E1095" s="4" t="str">
        <x:v>整段分支核验未闭合</x:v>
      </x:c>
      <x:c r="F1095" s="4" t="str">
        <x:v>USER-0722</x:v>
      </x:c>
      <x:c r="G1095" s="4" t="str">
        <x:v>本段剩余子句、条件组合及状态后续影响仍需与独立规则逐项闭合；这是生成覆盖缺口，不是产品决策缺失。</x:v>
      </x:c>
    </x:row>
    <x:row r="1096" ht="44" customHeight="1">
      <x:c r="A1096" s="4" t="str">
        <x:v>REQ-6d8fdcaf95b2</x:v>
      </x:c>
      <x:c r="B1096" s="4" t="str">
        <x:v>直播</x:v>
      </x:c>
      <x:c r="C1096" s="4" t="n">
        <x:v>1756</x:v>
      </x:c>
      <x:c r="D1096" s="4" t="str">
        <x:v>失败或撤销赠送不计入贡献；有效消费冲正后重新计算贡献值和排名。充值退款不撤销已完成的礼物消费。</x:v>
      </x:c>
      <x:c r="E1096" s="4" t="str">
        <x:v>整段分支核验未闭合</x:v>
      </x:c>
      <x:c r="F1096" s="4" t="str">
        <x:v>USER-0715、USER-0716、USER-0717、USER-0718</x:v>
      </x:c>
      <x:c r="G1096" s="4" t="str">
        <x:v>本段剩余子句、条件组合及状态后续影响仍需与独立规则逐项闭合；这是生成覆盖缺口，不是产品决策缺失。</x:v>
      </x:c>
    </x:row>
    <x:row r="1097" ht="44" customHeight="1">
      <x:c r="A1097" s="4" t="str">
        <x:v>REQ-ac295ec06da1</x:v>
      </x:c>
      <x:c r="B1097" s="4" t="str">
        <x:v>直播</x:v>
      </x:c>
      <x:c r="C1097" s="4" t="n">
        <x:v>1757</x:v>
      </x:c>
      <x:c r="D1097" s="4" t="str">
        <x:v>场次结束后榜单保留为历史快照。账号注销后保留历史贡献，名称显示“账号已注销”，且不能进入主页。</x:v>
      </x:c>
      <x:c r="E1097" s="4" t="str">
        <x:v>整段分支核验未闭合</x:v>
      </x:c>
      <x:c r="F1097" s="4" t="str">
        <x:v>USER-0723、USER-0724</x:v>
      </x:c>
      <x:c r="G1097" s="4" t="str">
        <x:v>本段剩余子句、条件组合及状态后续影响仍需与独立规则逐项闭合；这是生成覆盖缺口，不是产品决策缺失。</x:v>
      </x:c>
    </x:row>
    <x:row r="1098" ht="44" customHeight="1">
      <x:c r="A1098" s="4" t="str">
        <x:v>REQ-1a53896d30e7</x:v>
      </x:c>
      <x:c r="B1098" s="4" t="str">
        <x:v>直播</x:v>
      </x:c>
      <x:c r="C1098" s="4" t="n">
        <x:v>1758</x:v>
      </x:c>
      <x:c r="D1098" s="4" t="str">
        <x:v>切换至观众 -&gt; 展示当前在线观众；点击用户 -&gt; 打开主播权限资料卡；私信 -&gt; 进入与该用户的单聊。</x:v>
      </x:c>
      <x:c r="E1098" s="4" t="str">
        <x:v>尚未建立场景映射</x:v>
      </x:c>
      <x:c r="F1098" s="4" t="str"/>
      <x:c r="G1098" s="4" t="str">
        <x:v>本轮独立来源库保留该已知条款，但尚未建立可核验的正式场景映射；不是无业务依据，也不转为产品待确认。</x:v>
      </x:c>
    </x:row>
    <x:row r="1099" ht="44" customHeight="1">
      <x:c r="A1099" s="4" t="str">
        <x:v>REQ-75ca663f5469</x:v>
      </x:c>
      <x:c r="B1099" s="4" t="str">
        <x:v>直播</x:v>
      </x:c>
      <x:c r="C1099" s="4" t="n">
        <x:v>1763</x:v>
      </x:c>
      <x:c r="D1099" s="4" t="str">
        <x:v>用户：展示头像和昵称；仅包含当前仍在线的观众。</x:v>
      </x:c>
      <x:c r="E1099" s="4" t="str">
        <x:v>尚未建立场景映射</x:v>
      </x:c>
      <x:c r="F1099" s="4" t="str"/>
      <x:c r="G1099" s="4" t="str">
        <x:v>本轮独立来源库保留该已知条款，但尚未建立可核验的正式场景映射；不是无业务依据，也不转为产品待确认。</x:v>
      </x:c>
    </x:row>
    <x:row r="1100" ht="44" customHeight="1">
      <x:c r="A1100" s="4" t="str">
        <x:v>REQ-1588ce2d4e7d</x:v>
      </x:c>
      <x:c r="B1100" s="4" t="str">
        <x:v>直播</x:v>
      </x:c>
      <x:c r="C1100" s="4" t="n">
        <x:v>1764</x:v>
      </x:c>
      <x:c r="D1100" s="4" t="str">
        <x:v>财富等级：按累计充值/消费成长值匹配后台等级配置；前端展示服务端等级，无数据时不展示。</x:v>
      </x:c>
      <x:c r="E1100" s="4" t="str">
        <x:v>尚未建立场景映射</x:v>
      </x:c>
      <x:c r="F1100" s="4" t="str"/>
      <x:c r="G1100" s="4" t="str">
        <x:v>本轮独立来源库保留该已知条款，但尚未建立可核验的正式场景映射；不是无业务依据，也不转为产品待确认。</x:v>
      </x:c>
    </x:row>
    <x:row r="1101" ht="44" customHeight="1">
      <x:c r="A1101" s="4" t="str">
        <x:v>REQ-dfcfbb57f874</x:v>
      </x:c>
      <x:c r="B1101" s="4" t="str">
        <x:v>直播</x:v>
      </x:c>
      <x:c r="C1101" s="4" t="n">
        <x:v>1765</x:v>
      </x:c>
      <x:c r="D1101" s="4" t="str">
        <x:v>灯牌/粉丝等级/亲密度：用户属于当前主播粉丝团时展示；无有效团籍时不展示。</x:v>
      </x:c>
      <x:c r="E1101" s="4" t="str">
        <x:v>整段分支核验未闭合</x:v>
      </x:c>
      <x:c r="F1101" s="4" t="str">
        <x:v>USER-0735</x:v>
      </x:c>
      <x:c r="G1101" s="4" t="str">
        <x:v>本段剩余子句、条件组合及状态后续影响仍需与独立规则逐项闭合；这是生成覆盖缺口，不是产品决策缺失。</x:v>
      </x:c>
    </x:row>
    <x:row r="1102" ht="44" customHeight="1">
      <x:c r="A1102" s="4" t="str">
        <x:v>REQ-b989ba5f4b18</x:v>
      </x:c>
      <x:c r="B1102" s="4" t="str">
        <x:v>直播</x:v>
      </x:c>
      <x:c r="C1102" s="4" t="n">
        <x:v>1766</x:v>
      </x:c>
      <x:c r="D1102" s="4" t="str">
        <x:v>停留时长：用户在本场次直播间在线的累计时长。</x:v>
      </x:c>
      <x:c r="E1102" s="4" t="str">
        <x:v>尚未建立场景映射</x:v>
      </x:c>
      <x:c r="F1102" s="4" t="str"/>
      <x:c r="G1102" s="4" t="str">
        <x:v>本轮独立来源库保留该已知条款，但尚未建立可核验的正式场景映射；不是无业务依据，也不转为产品待确认。</x:v>
      </x:c>
    </x:row>
    <x:row r="1103" ht="44" customHeight="1">
      <x:c r="A1103" s="4" t="str">
        <x:v>REQ-308e1c0a8899</x:v>
      </x:c>
      <x:c r="B1103" s="4" t="str">
        <x:v>直播</x:v>
      </x:c>
      <x:c r="C1103" s="4" t="n">
        <x:v>1767</x:v>
      </x:c>
      <x:c r="D1103" s="4" t="str">
        <x:v>在线观众贡献：展示当前在线观众在本场累计的有效贡献值；已经离线的用户不在本列表展示。</x:v>
      </x:c>
      <x:c r="E1103" s="4" t="str">
        <x:v>尚未建立场景映射</x:v>
      </x:c>
      <x:c r="F1103" s="4" t="str"/>
      <x:c r="G1103" s="4" t="str">
        <x:v>本轮独立来源库保留该已知条款，但尚未建立可核验的正式场景映射；不是无业务依据，也不转为产品待确认。</x:v>
      </x:c>
    </x:row>
    <x:row r="1104" ht="44" customHeight="1">
      <x:c r="A1104" s="4" t="str">
        <x:v>REQ-dd5c94f29b4f</x:v>
      </x:c>
      <x:c r="B1104" s="4" t="str">
        <x:v>直播</x:v>
      </x:c>
      <x:c r="C1104" s="4" t="n">
        <x:v>1768</x:v>
      </x:c>
      <x:c r="D1104" s="4" t="str">
        <x:v>禁言状态：当前场次被禁言时展示禁言标识。</x:v>
      </x:c>
      <x:c r="E1104" s="4" t="str">
        <x:v>尚未建立场景映射</x:v>
      </x:c>
      <x:c r="F1104" s="4" t="str"/>
      <x:c r="G1104" s="4" t="str">
        <x:v>本轮独立来源库保留该已知条款，但尚未建立可核验的正式场景映射；不是无业务依据，也不转为产品待确认。</x:v>
      </x:c>
    </x:row>
    <x:row r="1105" ht="44" customHeight="1">
      <x:c r="A1105" s="4" t="str">
        <x:v>REQ-4bdbfbdd6c9a</x:v>
      </x:c>
      <x:c r="B1105" s="4" t="str">
        <x:v>直播</x:v>
      </x:c>
      <x:c r="C1105" s="4" t="n">
        <x:v>1769</x:v>
      </x:c>
      <x:c r="D1105" s="4" t="str">
        <x:v>在线观众列表只统计当前在线用户；用户离线后从本列表移除，但其贡献仍保留在本场贡献榜。</x:v>
      </x:c>
      <x:c r="E1105" s="4" t="str">
        <x:v>尚未建立场景映射</x:v>
      </x:c>
      <x:c r="F1105" s="4" t="str"/>
      <x:c r="G1105" s="4" t="str">
        <x:v>本轮独立来源库保留该已知条款，但尚未建立可核验的正式场景映射；不是无业务依据，也不转为产品待确认。</x:v>
      </x:c>
    </x:row>
    <x:row r="1106" ht="44" customHeight="1">
      <x:c r="A1106" s="4" t="str">
        <x:v>REQ-e7a516b36cee</x:v>
      </x:c>
      <x:c r="B1106" s="4" t="str">
        <x:v>直播</x:v>
      </x:c>
      <x:c r="C1106" s="4" t="n">
        <x:v>1770</x:v>
      </x:c>
      <x:c r="D1106" s="4" t="str">
        <x:v>列表随进入、离开和踢出实时更新；踢出后立即移除且本场不可重进。</x:v>
      </x:c>
      <x:c r="E1106" s="4" t="str">
        <x:v>尚未建立场景映射</x:v>
      </x:c>
      <x:c r="F1106" s="4" t="str"/>
      <x:c r="G1106" s="4" t="str">
        <x:v>本轮独立来源库保留该已知条款，但尚未建立可核验的正式场景映射；不是无业务依据，也不转为产品待确认。</x:v>
      </x:c>
    </x:row>
    <x:row r="1107" ht="57" customHeight="1">
      <x:c r="A1107" s="4" t="str">
        <x:v>REQ-c54be6966791</x:v>
      </x:c>
      <x:c r="B1107" s="4" t="str">
        <x:v>直播</x:v>
      </x:c>
      <x:c r="C1107" s="4" t="n">
        <x:v>1771</x:v>
      </x:c>
      <x:c r="D1107" s="4" t="str">
        <x:v>按贡献时，依次按本场贡献值、粉丝等级、财富等级从高到低排序，仍相同时按用户 ID 数字部分从小到大排序。</x:v>
      </x:c>
      <x:c r="E1107" s="4" t="str">
        <x:v>整段分支核验未闭合</x:v>
      </x:c>
      <x:c r="F1107" s="4" t="str">
        <x:v>USER-0725、USER-0726、USER-0727、USER-0728、USER-0729、USER-0730、USER-0731、USER-0732、USER-0733</x:v>
      </x:c>
      <x:c r="G1107" s="4" t="str">
        <x:v>本段剩余子句、条件组合及状态后续影响仍需与独立规则逐项闭合；这是生成覆盖缺口，不是产品决策缺失。</x:v>
      </x:c>
    </x:row>
    <x:row r="1108" ht="57" customHeight="1">
      <x:c r="A1108" s="4" t="str">
        <x:v>REQ-bd7034620e3a</x:v>
      </x:c>
      <x:c r="B1108" s="4" t="str">
        <x:v>直播</x:v>
      </x:c>
      <x:c r="C1108" s="4" t="n">
        <x:v>1772</x:v>
      </x:c>
      <x:c r="D1108" s="4" t="str">
        <x:v>按停留时长时，依次按本场累计在线时长、本场贡献值、粉丝等级、财富等级从高到低排序，仍相同时按用户 ID 数字部分从小到大排序。</x:v>
      </x:c>
      <x:c r="E1108" s="4" t="str">
        <x:v>整段分支核验未闭合</x:v>
      </x:c>
      <x:c r="F1108" s="4" t="str">
        <x:v>USER-0725、USER-0726、USER-0727、USER-0728、USER-0729、USER-0730、USER-0731、USER-0732、USER-0733</x:v>
      </x:c>
      <x:c r="G1108" s="4" t="str">
        <x:v>本段剩余子句、条件组合及状态后续影响仍需与独立规则逐项闭合；这是生成覆盖缺口，不是产品决策缺失。</x:v>
      </x:c>
    </x:row>
    <x:row r="1109" ht="44" customHeight="1">
      <x:c r="A1109" s="4" t="str">
        <x:v>REQ-f5c9c76a625a</x:v>
      </x:c>
      <x:c r="B1109" s="4" t="str">
        <x:v>直播</x:v>
      </x:c>
      <x:c r="C1109" s="4" t="n">
        <x:v>1773</x:v>
      </x:c>
      <x:c r="D1109" s="4" t="str">
        <x:v>粉丝等级或财富等级缺失时按 0 级参与排序；排序只改变展示顺序，不改变用户身份、权限和处置状态。</x:v>
      </x:c>
      <x:c r="E1109" s="4" t="str">
        <x:v>尚未建立场景映射</x:v>
      </x:c>
      <x:c r="F1109" s="4" t="str"/>
      <x:c r="G1109" s="4" t="str">
        <x:v>本轮独立来源库保留该已知条款，但尚未建立可核验的正式场景映射；不是无业务依据，也不转为产品待确认。</x:v>
      </x:c>
    </x:row>
    <x:row r="1110" ht="44" customHeight="1">
      <x:c r="A1110" s="4" t="str">
        <x:v>REQ-5054f5f63ecd</x:v>
      </x:c>
      <x:c r="B1110" s="4" t="str">
        <x:v>直播</x:v>
      </x:c>
      <x:c r="C1110" s="4" t="n">
        <x:v>1774</x:v>
      </x:c>
      <x:c r="D1110" s="4" t="str">
        <x:v>房管身份单独维护；取消房管后用户仍可作为普通观众留在列表。</x:v>
      </x:c>
      <x:c r="E1110" s="4" t="str">
        <x:v>整段分支核验未闭合</x:v>
      </x:c>
      <x:c r="F1110" s="4" t="str">
        <x:v>USER-0734</x:v>
      </x:c>
      <x:c r="G1110" s="4" t="str">
        <x:v>本段剩余子句、条件组合及状态后续影响仍需与独立规则逐项闭合；这是生成覆盖缺口，不是产品决策缺失。</x:v>
      </x:c>
    </x:row>
    <x:row r="1111" ht="44" customHeight="1">
      <x:c r="A1111" s="4" t="str">
        <x:v>REQ-c6e10e34854a</x:v>
      </x:c>
      <x:c r="B1111" s="4" t="str">
        <x:v>直播</x:v>
      </x:c>
      <x:c r="C1111" s="4" t="n">
        <x:v>1775</x:v>
      </x:c>
      <x:c r="D1111" s="4" t="str">
        <x:v>切换贡献 TOP10/观众 -&gt; 在当前弹层切换榜单和在线列表。</x:v>
      </x:c>
      <x:c r="E1111" s="4" t="str">
        <x:v>尚未建立场景映射</x:v>
      </x:c>
      <x:c r="F1111" s="4" t="str"/>
      <x:c r="G1111" s="4" t="str">
        <x:v>本轮独立来源库保留该已知条款，但尚未建立可核验的正式场景映射；不是无业务依据，也不转为产品待确认。</x:v>
      </x:c>
    </x:row>
    <x:row r="1112" ht="44" customHeight="1">
      <x:c r="A1112" s="4" t="str">
        <x:v>REQ-83a1d7cf23e6</x:v>
      </x:c>
      <x:c r="B1112" s="4" t="str">
        <x:v>直播</x:v>
      </x:c>
      <x:c r="C1112" s="4" t="n">
        <x:v>1776</x:v>
      </x:c>
      <x:c r="D1112" s="4" t="str">
        <x:v>切换按贡献/按停留时长 -&gt; 立即重排，不关闭弹层。</x:v>
      </x:c>
      <x:c r="E1112" s="4" t="str">
        <x:v>尚未建立场景映射</x:v>
      </x:c>
      <x:c r="F1112" s="4" t="str"/>
      <x:c r="G1112" s="4" t="str">
        <x:v>本轮独立来源库保留该已知条款，但尚未建立可核验的正式场景映射；不是无业务依据，也不转为产品待确认。</x:v>
      </x:c>
    </x:row>
    <x:row r="1113" ht="44" customHeight="1">
      <x:c r="A1113" s="4" t="str">
        <x:v>REQ-20675b67160f</x:v>
      </x:c>
      <x:c r="B1113" s="4" t="str">
        <x:v>直播</x:v>
      </x:c>
      <x:c r="C1113" s="4" t="n">
        <x:v>1777</x:v>
      </x:c>
      <x:c r="D1113" s="4" t="str">
        <x:v>点击私信 -&gt; 进入与该用户的单聊；发送权限仍按好友和拉黑关系校验。</x:v>
      </x:c>
      <x:c r="E1113" s="4" t="str">
        <x:v>尚未建立场景映射</x:v>
      </x:c>
      <x:c r="F1113" s="4" t="str"/>
      <x:c r="G1113" s="4" t="str">
        <x:v>本轮独立来源库保留该已知条款，但尚未建立可核验的正式场景映射；不是无业务依据，也不转为产品待确认。</x:v>
      </x:c>
    </x:row>
    <x:row r="1114" ht="44" customHeight="1">
      <x:c r="A1114" s="4" t="str">
        <x:v>REQ-d261bc4d304f</x:v>
      </x:c>
      <x:c r="B1114" s="4" t="str">
        <x:v>直播</x:v>
      </x:c>
      <x:c r="C1114" s="4" t="n">
        <x:v>1778</x:v>
      </x:c>
      <x:c r="D1114" s="4" t="str">
        <x:v>点击用户 -&gt; 打开主播权限资料卡；关闭 -&gt; 返回直播间且保留直播状态。</x:v>
      </x:c>
      <x:c r="E1114" s="4" t="str">
        <x:v>尚未建立场景映射</x:v>
      </x:c>
      <x:c r="F1114" s="4" t="str"/>
      <x:c r="G1114" s="4" t="str">
        <x:v>本轮独立来源库保留该已知条款，但尚未建立可核验的正式场景映射；不是无业务依据，也不转为产品待确认。</x:v>
      </x:c>
    </x:row>
    <x:row r="1115" ht="44" customHeight="1">
      <x:c r="A1115" s="4" t="str">
        <x:v>REQ-d6b7442a2603</x:v>
      </x:c>
      <x:c r="B1115" s="4" t="str">
        <x:v>直播</x:v>
      </x:c>
      <x:c r="C1115" s="4" t="n">
        <x:v>1782</x:v>
      </x:c>
      <x:c r="D1115" s="4" t="str">
        <x:v>用户：展示头像、昵称及执行禁言时的身份信息。</x:v>
      </x:c>
      <x:c r="E1115" s="4" t="str">
        <x:v>尚未建立场景映射</x:v>
      </x:c>
      <x:c r="F1115" s="4" t="str"/>
      <x:c r="G1115" s="4" t="str">
        <x:v>本轮独立来源库保留该已知条款，但尚未建立可核验的正式场景映射；不是无业务依据，也不转为产品待确认。</x:v>
      </x:c>
    </x:row>
    <x:row r="1116" ht="44" customHeight="1">
      <x:c r="A1116" s="4" t="str">
        <x:v>REQ-44ec20cb5bff</x:v>
      </x:c>
      <x:c r="B1116" s="4" t="str">
        <x:v>直播</x:v>
      </x:c>
      <x:c r="C1116" s="4" t="n">
        <x:v>1783</x:v>
      </x:c>
      <x:c r="D1116" s="4" t="str">
        <x:v>操作人：记录执行禁言的主播或房管。</x:v>
      </x:c>
      <x:c r="E1116" s="4" t="str">
        <x:v>尚未建立场景映射</x:v>
      </x:c>
      <x:c r="F1116" s="4" t="str"/>
      <x:c r="G1116" s="4" t="str">
        <x:v>本轮独立来源库保留该已知条款，但尚未建立可核验的正式场景映射；不是无业务依据，也不转为产品待确认。</x:v>
      </x:c>
    </x:row>
    <x:row r="1117" ht="44" customHeight="1">
      <x:c r="A1117" s="4" t="str">
        <x:v>REQ-26cd3af5bbb1</x:v>
      </x:c>
      <x:c r="B1117" s="4" t="str">
        <x:v>直播</x:v>
      </x:c>
      <x:c r="C1117" s="4" t="n">
        <x:v>1784</x:v>
      </x:c>
      <x:c r="D1117" s="4" t="str">
        <x:v>禁言状态：仅关联当前直播场次。</x:v>
      </x:c>
      <x:c r="E1117" s="4" t="str">
        <x:v>尚未建立场景映射</x:v>
      </x:c>
      <x:c r="F1117" s="4" t="str"/>
      <x:c r="G1117" s="4" t="str">
        <x:v>本轮独立来源库保留该已知条款，但尚未建立可核验的正式场景映射；不是无业务依据，也不转为产品待确认。</x:v>
      </x:c>
    </x:row>
    <x:row r="1118" ht="44" customHeight="1">
      <x:c r="A1118" s="4" t="str">
        <x:v>REQ-a5c4d32cf5b0</x:v>
      </x:c>
      <x:c r="B1118" s="4" t="str">
        <x:v>直播</x:v>
      </x:c>
      <x:c r="C1118" s="4" t="n">
        <x:v>1785</x:v>
      </x:c>
      <x:c r="D1118" s="4" t="str">
        <x:v>仅展示当前场次仍处于禁言状态的用户。</x:v>
      </x:c>
      <x:c r="E1118" s="4" t="str">
        <x:v>整段分支核验未闭合</x:v>
      </x:c>
      <x:c r="F1118" s="4" t="str">
        <x:v>USER-0736、USER-0737</x:v>
      </x:c>
      <x:c r="G1118" s="4" t="str">
        <x:v>本段剩余子句、条件组合及状态后续影响仍需与独立规则逐项闭合；这是生成覆盖缺口，不是产品决策缺失。</x:v>
      </x:c>
    </x:row>
    <x:row r="1119" ht="44" customHeight="1">
      <x:c r="A1119" s="4" t="str">
        <x:v>REQ-bd789fc1319f</x:v>
      </x:c>
      <x:c r="B1119" s="4" t="str">
        <x:v>直播</x:v>
      </x:c>
      <x:c r="C1119" s="4" t="n">
        <x:v>1786</x:v>
      </x:c>
      <x:c r="D1119" s="4" t="str">
        <x:v>场次结束后全部本场禁言失效，下一场默认恢复。</x:v>
      </x:c>
      <x:c r="E1119" s="4" t="str">
        <x:v>尚未建立场景映射</x:v>
      </x:c>
      <x:c r="F1119" s="4" t="str"/>
      <x:c r="G1119" s="4" t="str">
        <x:v>本轮独立来源库保留该已知条款，但尚未建立可核验的正式场景映射；不是无业务依据，也不转为产品待确认。</x:v>
      </x:c>
    </x:row>
    <x:row r="1120" ht="44" customHeight="1">
      <x:c r="A1120" s="4" t="str">
        <x:v>REQ-f03b4e917469</x:v>
      </x:c>
      <x:c r="B1120" s="4" t="str">
        <x:v>直播</x:v>
      </x:c>
      <x:c r="C1120" s="4" t="n">
        <x:v>1787</x:v>
      </x:c>
      <x:c r="D1120" s="4" t="str">
        <x:v>用户离开直播间不自动解除禁言；本场重进后继续生效。</x:v>
      </x:c>
      <x:c r="E1120" s="4" t="str">
        <x:v>整段分支核验未闭合</x:v>
      </x:c>
      <x:c r="F1120" s="4" t="str">
        <x:v>USER-0736、USER-0737</x:v>
      </x:c>
      <x:c r="G1120" s="4" t="str">
        <x:v>本段剩余子句、条件组合及状态后续影响仍需与独立规则逐项闭合；这是生成覆盖缺口，不是产品决策缺失。</x:v>
      </x:c>
    </x:row>
    <x:row r="1121" ht="44" customHeight="1">
      <x:c r="A1121" s="4" t="str">
        <x:v>REQ-64a7e2a16f10</x:v>
      </x:c>
      <x:c r="B1121" s="4" t="str">
        <x:v>直播</x:v>
      </x:c>
      <x:c r="C1121" s="4" t="n">
        <x:v>1788</x:v>
      </x:c>
      <x:c r="D1121" s="4" t="str">
        <x:v>恢复发言 -&gt; 打开确认视图；确认成功后移出列表并同步更新资料卡和评论输入状态；请求失败时保持禁言并提示“请求失败”。</x:v>
      </x:c>
      <x:c r="E1121" s="4" t="str">
        <x:v>尚未建立场景映射</x:v>
      </x:c>
      <x:c r="F1121" s="4" t="str"/>
      <x:c r="G1121" s="4" t="str">
        <x:v>本轮独立来源库保留该已知条款，但尚未建立可核验的正式场景映射；不是无业务依据，也不转为产品待确认。</x:v>
      </x:c>
    </x:row>
    <x:row r="1122" ht="44" customHeight="1">
      <x:c r="A1122" s="4" t="str">
        <x:v>REQ-0ef5361aead4</x:v>
      </x:c>
      <x:c r="B1122" s="4" t="str">
        <x:v>直播</x:v>
      </x:c>
      <x:c r="C1122" s="4" t="n">
        <x:v>1792</x:v>
      </x:c>
      <x:c r="D1122" s="4" t="str">
        <x:v>仅可恢复当前场次仍被禁言的用户；用户已恢复或场次已结束时不重复执行。</x:v>
      </x:c>
      <x:c r="E1122" s="4" t="str">
        <x:v>整段分支核验未闭合</x:v>
      </x:c>
      <x:c r="F1122" s="4" t="str">
        <x:v>USER-0595、USER-0596</x:v>
      </x:c>
      <x:c r="G1122" s="4" t="str">
        <x:v>本段剩余子句、条件组合及状态后续影响仍需与独立规则逐项闭合；这是生成覆盖缺口，不是产品决策缺失。</x:v>
      </x:c>
    </x:row>
    <x:row r="1123" ht="44" customHeight="1">
      <x:c r="A1123" s="4" t="str">
        <x:v>REQ-26841d4c5bb2</x:v>
      </x:c>
      <x:c r="B1123" s="4" t="str">
        <x:v>直播</x:v>
      </x:c>
      <x:c r="C1123" s="4" t="n">
        <x:v>1793</x:v>
      </x:c>
      <x:c r="D1123" s="4" t="str">
        <x:v>确认 -&gt; 解除本场禁言、移出禁言列表并恢复公屏输入；取消、关闭或请求失败 -&gt; 保持原状态并给出结果反馈。</x:v>
      </x:c>
      <x:c r="E1123" s="4" t="str">
        <x:v>整段分支核验未闭合</x:v>
      </x:c>
      <x:c r="F1123" s="4" t="str">
        <x:v>USER-0595、USER-0596、USER-0597</x:v>
      </x:c>
      <x:c r="G1123" s="4" t="str">
        <x:v>本段剩余子句、条件组合及状态后续影响仍需与独立规则逐项闭合；这是生成覆盖缺口，不是产品决策缺失。</x:v>
      </x:c>
    </x:row>
    <x:row r="1124" ht="44" customHeight="1">
      <x:c r="A1124" s="4" t="str">
        <x:v>REQ-fb165905feb1</x:v>
      </x:c>
      <x:c r="B1124" s="4" t="str">
        <x:v>直播</x:v>
      </x:c>
      <x:c r="C1124" s="4" t="n">
        <x:v>1797</x:v>
      </x:c>
      <x:c r="D1124" s="4" t="str">
        <x:v>用户资料：展示头像、昵称、用户 ID、财富等级和粉丝团身份。</x:v>
      </x:c>
      <x:c r="E1124" s="4" t="str">
        <x:v>尚未建立场景映射</x:v>
      </x:c>
      <x:c r="F1124" s="4" t="str"/>
      <x:c r="G1124" s="4" t="str">
        <x:v>本轮独立来源库保留该已知条款，但尚未建立可核验的正式场景映射；不是无业务依据，也不转为产品待确认。</x:v>
      </x:c>
    </x:row>
    <x:row r="1125" ht="44" customHeight="1">
      <x:c r="A1125" s="4" t="str">
        <x:v>REQ-f9c368552fe8</x:v>
      </x:c>
      <x:c r="B1125" s="4" t="str">
        <x:v>直播</x:v>
      </x:c>
      <x:c r="C1125" s="4" t="n">
        <x:v>1798</x:v>
      </x:c>
      <x:c r="D1125" s="4" t="str">
        <x:v>房管状态：读取该用户与当前主播的长期房管关系。</x:v>
      </x:c>
      <x:c r="E1125" s="4" t="str">
        <x:v>尚未建立场景映射</x:v>
      </x:c>
      <x:c r="F1125" s="4" t="str"/>
      <x:c r="G1125" s="4" t="str">
        <x:v>本轮独立来源库保留该已知条款，但尚未建立可核验的正式场景映射；不是无业务依据，也不转为产品待确认。</x:v>
      </x:c>
    </x:row>
    <x:row r="1126" ht="44" customHeight="1">
      <x:c r="A1126" s="4" t="str">
        <x:v>REQ-e6f248de1637</x:v>
      </x:c>
      <x:c r="B1126" s="4" t="str">
        <x:v>直播</x:v>
      </x:c>
      <x:c r="C1126" s="4" t="n">
        <x:v>1799</x:v>
      </x:c>
      <x:c r="D1126" s="4" t="str">
        <x:v>本场状态：展示在线、禁言和踢出状态。</x:v>
      </x:c>
      <x:c r="E1126" s="4" t="str">
        <x:v>尚未建立场景映射</x:v>
      </x:c>
      <x:c r="F1126" s="4" t="str"/>
      <x:c r="G1126" s="4" t="str">
        <x:v>本轮独立来源库保留该已知条款，但尚未建立可核验的正式场景映射；不是无业务依据，也不转为产品待确认。</x:v>
      </x:c>
    </x:row>
    <x:row r="1127" ht="44" customHeight="1">
      <x:c r="A1127" s="4" t="str">
        <x:v>REQ-3712a1e7b851</x:v>
      </x:c>
      <x:c r="B1127" s="4" t="str">
        <x:v>直播</x:v>
      </x:c>
      <x:c r="C1127" s="4" t="n">
        <x:v>1800</x:v>
      </x:c>
      <x:c r="D1127" s="4" t="str">
        <x:v>主播可使用快捷答谢、私信、@、举报，并设置或取消房管、禁言和踢出。</x:v>
      </x:c>
      <x:c r="E1127" s="4" t="str">
        <x:v>尚未建立场景映射</x:v>
      </x:c>
      <x:c r="F1127" s="4" t="str"/>
      <x:c r="G1127" s="4" t="str">
        <x:v>本轮独立来源库保留该已知条款，但尚未建立可核验的正式场景映射；不是无业务依据，也不转为产品待确认。</x:v>
      </x:c>
    </x:row>
    <x:row r="1128" ht="44" customHeight="1">
      <x:c r="A1128" s="4" t="str">
        <x:v>REQ-fbdd86f2bdcf</x:v>
      </x:c>
      <x:c r="B1128" s="4" t="str">
        <x:v>直播</x:v>
      </x:c>
      <x:c r="C1128" s="4" t="n">
        <x:v>1801</x:v>
      </x:c>
      <x:c r="D1128" s="4" t="str">
        <x:v>快捷答谢只预填公屏文案，不赠送礼物、不自动发送。</x:v>
      </x:c>
      <x:c r="E1128" s="4" t="str">
        <x:v>尚未建立场景映射</x:v>
      </x:c>
      <x:c r="F1128" s="4" t="str"/>
      <x:c r="G1128" s="4" t="str">
        <x:v>本轮独立来源库保留该已知条款，但尚未建立可核验的正式场景映射；不是无业务依据，也不转为产品待确认。</x:v>
      </x:c>
    </x:row>
    <x:row r="1129" ht="44" customHeight="1">
      <x:c r="A1129" s="4" t="str">
        <x:v>REQ-30c04f250716</x:v>
      </x:c>
      <x:c r="B1129" s="4" t="str">
        <x:v>直播</x:v>
      </x:c>
      <x:c r="C1129" s="4" t="n">
        <x:v>1802</x:v>
      </x:c>
      <x:c r="D1129" s="4" t="str">
        <x:v>房管最多 3 人；双方存在拉黑关系或目标已被踢出时不可新增房管。</x:v>
      </x:c>
      <x:c r="E1129" s="4" t="str">
        <x:v>尚未建立场景映射</x:v>
      </x:c>
      <x:c r="F1129" s="4" t="str"/>
      <x:c r="G1129" s="4" t="str">
        <x:v>本轮独立来源库保留该已知条款，但尚未建立可核验的正式场景映射；不是无业务依据，也不转为产品待确认。</x:v>
      </x:c>
    </x:row>
    <x:row r="1130" ht="44" customHeight="1">
      <x:c r="A1130" s="4" t="str">
        <x:v>REQ-50aaf6e7f126</x:v>
      </x:c>
      <x:c r="B1130" s="4" t="str">
        <x:v>直播</x:v>
      </x:c>
      <x:c r="C1130" s="4" t="n">
        <x:v>1803</x:v>
      </x:c>
      <x:c r="D1130" s="4" t="str">
        <x:v>禁言和踢出只作用于当前场次；房管授权长期有效。</x:v>
      </x:c>
      <x:c r="E1130" s="4" t="str">
        <x:v>尚未建立场景映射</x:v>
      </x:c>
      <x:c r="F1130" s="4" t="str"/>
      <x:c r="G1130" s="4" t="str">
        <x:v>本轮独立来源库保留该已知条款，但尚未建立可核验的正式场景映射；不是无业务依据，也不转为产品待确认。</x:v>
      </x:c>
    </x:row>
    <x:row r="1131" ht="44" customHeight="1">
      <x:c r="A1131" s="4" t="str">
        <x:v>REQ-0448a822e711</x:v>
      </x:c>
      <x:c r="B1131" s="4" t="str">
        <x:v>直播</x:v>
      </x:c>
      <x:c r="C1131" s="4" t="n">
        <x:v>1804</x:v>
      </x:c>
      <x:c r="D1131" s="4" t="str">
        <x:v>目标处于巡房会话时不展示拉黑和踢出操作，服务端拒绝相关请求。</x:v>
      </x:c>
      <x:c r="E1131" s="4" t="str">
        <x:v>整段分支核验未闭合</x:v>
      </x:c>
      <x:c r="F1131" s="4" t="str">
        <x:v>USER-0738</x:v>
      </x:c>
      <x:c r="G1131" s="4" t="str">
        <x:v>本段剩余子句、条件组合及状态后续影响仍需与独立规则逐项闭合；这是生成覆盖缺口，不是产品决策缺失。</x:v>
      </x:c>
    </x:row>
    <x:row r="1132" ht="57" customHeight="1">
      <x:c r="A1132" s="4" t="str">
        <x:v>REQ-4c226126ff33</x:v>
      </x:c>
      <x:c r="B1132" s="4" t="str">
        <x:v>直播</x:v>
      </x:c>
      <x:c r="C1132" s="4" t="n">
        <x:v>1805</x:v>
      </x:c>
      <x:c r="D1132" s="4" t="str">
        <x:v>点击答谢 -&gt; 关闭资料卡并预填答谢文案；设置或取消房管、禁言或恢复发言、踢出 -&gt; 使用同一确认弹窗；房管达到上限 -&gt; 不执行并提示“已达3人上限”；状态变更后同步更新在线列表、禁言列表和资料卡。</x:v>
      </x:c>
      <x:c r="E1132" s="4" t="str">
        <x:v>整段分支核验未闭合</x:v>
      </x:c>
      <x:c r="F1132" s="4" t="str">
        <x:v>USER-0739</x:v>
      </x:c>
      <x:c r="G1132" s="4" t="str">
        <x:v>本段剩余子句、条件组合及状态后续影响仍需与独立规则逐项闭合；这是生成覆盖缺口，不是产品决策缺失。</x:v>
      </x:c>
    </x:row>
    <x:row r="1133" ht="44" customHeight="1">
      <x:c r="A1133" s="4" t="str">
        <x:v>REQ-b3eec5b5991d</x:v>
      </x:c>
      <x:c r="B1133" s="4" t="str">
        <x:v>直播</x:v>
      </x:c>
      <x:c r="C1133" s="4" t="n">
        <x:v>1809</x:v>
      </x:c>
      <x:c r="D1133" s="4" t="str">
        <x:v>答谢对象：使用当前资料卡用户昵称，并以 @用户名 开头。</x:v>
      </x:c>
      <x:c r="E1133" s="4" t="str">
        <x:v>尚未建立场景映射</x:v>
      </x:c>
      <x:c r="F1133" s="4" t="str"/>
      <x:c r="G1133" s="4" t="str">
        <x:v>本轮独立来源库保留该已知条款，但尚未建立可核验的正式场景映射；不是无业务依据，也不转为产品待确认。</x:v>
      </x:c>
    </x:row>
    <x:row r="1134" ht="44" customHeight="1">
      <x:c r="A1134" s="4" t="str">
        <x:v>REQ-29f1904d9d95</x:v>
      </x:c>
      <x:c r="B1134" s="4" t="str">
        <x:v>直播</x:v>
      </x:c>
      <x:c r="C1134" s="4" t="n">
        <x:v>1810</x:v>
      </x:c>
      <x:c r="D1134" s="4" t="str">
        <x:v>答谢语：固定预填“谢谢你送的礼物！”，主播可在发送前修改。</x:v>
      </x:c>
      <x:c r="E1134" s="4" t="str">
        <x:v>整段分支核验未闭合</x:v>
      </x:c>
      <x:c r="F1134" s="4" t="str">
        <x:v>USER-0598、USER-0599、USER-0600</x:v>
      </x:c>
      <x:c r="G1134" s="4" t="str">
        <x:v>本段剩余子句、条件组合及状态后续影响仍需与独立规则逐项闭合；这是生成覆盖缺口，不是产品决策缺失。</x:v>
      </x:c>
    </x:row>
    <x:row r="1135" ht="44" customHeight="1">
      <x:c r="A1135" s="4" t="str">
        <x:v>REQ-255b690d719b</x:v>
      </x:c>
      <x:c r="B1135" s="4" t="str">
        <x:v>直播</x:v>
      </x:c>
      <x:c r="C1135" s="4" t="n">
        <x:v>1811</x:v>
      </x:c>
      <x:c r="D1135" s="4" t="str">
        <x:v>快捷答谢本质为公屏文案预填，不赠送礼物，不产生礼物记录，也不自动发送。</x:v>
      </x:c>
      <x:c r="E1135" s="4" t="str">
        <x:v>整段分支核验未闭合</x:v>
      </x:c>
      <x:c r="F1135" s="4" t="str">
        <x:v>USER-0598、USER-0599、USER-0600</x:v>
      </x:c>
      <x:c r="G1135" s="4" t="str">
        <x:v>本段剩余子句、条件组合及状态后续影响仍需与独立规则逐项闭合；这是生成覆盖缺口，不是产品决策缺失。</x:v>
      </x:c>
    </x:row>
    <x:row r="1136" ht="57" customHeight="1">
      <x:c r="A1136" s="4" t="str">
        <x:v>REQ-c99d1c5027bc</x:v>
      </x:c>
      <x:c r="B1136" s="4" t="str">
        <x:v>直播</x:v>
      </x:c>
      <x:c r="C1136" s="4" t="n">
        <x:v>1812</x:v>
      </x:c>
      <x:c r="D1136" s="4" t="str">
        <x:v>点击答谢 -&gt; 关闭资料卡并返回直播间输入区 -&gt; 预填“@用户名 谢谢你送的礼物！”并聚焦输入框 -&gt; 主播修改或直接点击发送后才写入公屏。</x:v>
      </x:c>
      <x:c r="E1136" s="4" t="str">
        <x:v>整段分支核验未闭合</x:v>
      </x:c>
      <x:c r="F1136" s="4" t="str">
        <x:v>USER-0598、USER-0599、USER-0600</x:v>
      </x:c>
      <x:c r="G1136" s="4" t="str">
        <x:v>本段剩余子句、条件组合及状态后续影响仍需与独立规则逐项闭合；这是生成覆盖缺口，不是产品决策缺失。</x:v>
      </x:c>
    </x:row>
    <x:row r="1137" ht="44" customHeight="1">
      <x:c r="A1137" s="4" t="str">
        <x:v>REQ-ff153d502611</x:v>
      </x:c>
      <x:c r="B1137" s="4" t="str">
        <x:v>直播</x:v>
      </x:c>
      <x:c r="C1137" s="4" t="n">
        <x:v>1816</x:v>
      </x:c>
      <x:c r="D1137" s="4" t="str">
        <x:v>重点标签：可标记新粉丝、本场贡献最高、未加入粉丝团；同一用户可命中多个标签。</x:v>
      </x:c>
      <x:c r="E1137" s="4" t="str">
        <x:v>整段分支核验未闭合</x:v>
      </x:c>
      <x:c r="F1137" s="4" t="str">
        <x:v>USER-0740、USER-0741、USER-0742</x:v>
      </x:c>
      <x:c r="G1137" s="4" t="str">
        <x:v>本段剩余子句、条件组合及状态后续影响仍需与独立规则逐项闭合；这是生成覆盖缺口，不是产品决策缺失。</x:v>
      </x:c>
    </x:row>
    <x:row r="1138" ht="44" customHeight="1">
      <x:c r="A1138" s="4" t="str">
        <x:v>REQ-2e624b28feca</x:v>
      </x:c>
      <x:c r="B1138" s="4" t="str">
        <x:v>直播</x:v>
      </x:c>
      <x:c r="C1138" s="4" t="n">
        <x:v>1817</x:v>
      </x:c>
      <x:c r="D1138" s="4" t="str">
        <x:v>用户信息：展示头像、昵称、财富等级、粉丝身份和本场贡献。</x:v>
      </x:c>
      <x:c r="E1138" s="4" t="str">
        <x:v>尚未建立场景映射</x:v>
      </x:c>
      <x:c r="F1138" s="4" t="str"/>
      <x:c r="G1138" s="4" t="str">
        <x:v>本轮独立来源库保留该已知条款，但尚未建立可核验的正式场景映射；不是无业务依据，也不转为产品待确认。</x:v>
      </x:c>
    </x:row>
    <x:row r="1139" ht="44" customHeight="1">
      <x:c r="A1139" s="4" t="str">
        <x:v>REQ-a1d053f257e3</x:v>
      </x:c>
      <x:c r="B1139" s="4" t="str">
        <x:v>直播</x:v>
      </x:c>
      <x:c r="C1139" s="4" t="n">
        <x:v>1818</x:v>
      </x:c>
      <x:c r="D1139" s="4" t="str">
        <x:v>重点观众根据当前场次和粉丝关系实时计算，不是人工授权身份。</x:v>
      </x:c>
      <x:c r="E1139" s="4" t="str">
        <x:v>尚未建立场景映射</x:v>
      </x:c>
      <x:c r="F1139" s="4" t="str"/>
      <x:c r="G1139" s="4" t="str">
        <x:v>本轮独立来源库保留该已知条款，但尚未建立可核验的正式场景映射；不是无业务依据，也不转为产品待确认。</x:v>
      </x:c>
    </x:row>
    <x:row r="1140" ht="44" customHeight="1">
      <x:c r="A1140" s="4" t="str">
        <x:v>REQ-d43c0b4437c9</x:v>
      </x:c>
      <x:c r="B1140" s="4" t="str">
        <x:v>直播</x:v>
      </x:c>
      <x:c r="C1140" s="4" t="n">
        <x:v>1819</x:v>
      </x:c>
      <x:c r="D1140" s="4" t="str">
        <x:v>标签只用于主播识别，不改变用户权限；用户离线后从当前列表移除。</x:v>
      </x:c>
      <x:c r="E1140" s="4" t="str">
        <x:v>整段分支核验未闭合</x:v>
      </x:c>
      <x:c r="F1140" s="4" t="str">
        <x:v>USER-0743</x:v>
      </x:c>
      <x:c r="G1140" s="4" t="str">
        <x:v>本段剩余子句、条件组合及状态后续影响仍需与独立规则逐项闭合；这是生成覆盖缺口，不是产品决策缺失。</x:v>
      </x:c>
    </x:row>
    <x:row r="1141" ht="44" customHeight="1">
      <x:c r="A1141" s="4" t="str">
        <x:v>REQ-b506e33894b6</x:v>
      </x:c>
      <x:c r="B1141" s="4" t="str">
        <x:v>直播</x:v>
      </x:c>
      <x:c r="C1141" s="4" t="n">
        <x:v>1820</x:v>
      </x:c>
      <x:c r="D1141" s="4" t="str">
        <x:v>点击用户 -&gt; 打开主播权限资料卡；私信或 @ -&gt; 作用于所选用户。</x:v>
      </x:c>
      <x:c r="E1141" s="4" t="str">
        <x:v>尚未建立场景映射</x:v>
      </x:c>
      <x:c r="F1141" s="4" t="str"/>
      <x:c r="G1141" s="4" t="str">
        <x:v>本轮独立来源库保留该已知条款，但尚未建立可核验的正式场景映射；不是无业务依据，也不转为产品待确认。</x:v>
      </x:c>
    </x:row>
    <x:row r="1142" ht="44" customHeight="1">
      <x:c r="A1142" s="4" t="str">
        <x:v>REQ-5c70fc647de5</x:v>
      </x:c>
      <x:c r="B1142" s="4" t="str">
        <x:v>直播</x:v>
      </x:c>
      <x:c r="C1142" s="4" t="n">
        <x:v>1824</x:v>
      </x:c>
      <x:c r="D1142" s="4" t="str">
        <x:v>主播：展示头像、昵称、主播 ID 和当前直播状态。</x:v>
      </x:c>
      <x:c r="E1142" s="4" t="str">
        <x:v>尚未建立场景映射</x:v>
      </x:c>
      <x:c r="F1142" s="4" t="str"/>
      <x:c r="G1142" s="4" t="str">
        <x:v>本轮独立来源库保留该已知条款，但尚未建立可核验的正式场景映射；不是无业务依据，也不转为产品待确认。</x:v>
      </x:c>
    </x:row>
    <x:row r="1143" ht="44" customHeight="1">
      <x:c r="A1143" s="4" t="str">
        <x:v>REQ-f9623e60781e</x:v>
      </x:c>
      <x:c r="B1143" s="4" t="str">
        <x:v>直播</x:v>
      </x:c>
      <x:c r="C1143" s="4" t="n">
        <x:v>1825</x:v>
      </x:c>
      <x:c r="D1143" s="4" t="str">
        <x:v>邀请状态：可为可邀请、邀请中、已接受、已拒绝或已失效。</x:v>
      </x:c>
      <x:c r="E1143" s="4" t="str">
        <x:v>整段分支核验未闭合</x:v>
      </x:c>
      <x:c r="F1143" s="4" t="str">
        <x:v>USER-0360、USER-0361、USER-0367</x:v>
      </x:c>
      <x:c r="G1143" s="4" t="str">
        <x:v>本段剩余子句、条件组合及状态后续影响仍需与独立规则逐项闭合；这是生成覆盖缺口，不是产品决策缺失。</x:v>
      </x:c>
    </x:row>
    <x:row r="1144" ht="44" customHeight="1">
      <x:c r="A1144" s="4" t="str">
        <x:v>REQ-250e13b31320</x:v>
      </x:c>
      <x:c r="B1144" s="4" t="str">
        <x:v>直播</x:v>
      </x:c>
      <x:c r="C1144" s="4" t="n">
        <x:v>1826</x:v>
      </x:c>
      <x:c r="D1144" s="4" t="str">
        <x:v>仅普通房支持连麦，固定两位主播，不支持观众上麦。</x:v>
      </x:c>
      <x:c r="E1144" s="4" t="str">
        <x:v>整段分支核验未闭合</x:v>
      </x:c>
      <x:c r="F1144" s="4" t="str">
        <x:v>USER-0360</x:v>
      </x:c>
      <x:c r="G1144" s="4" t="str">
        <x:v>本段剩余子句、条件组合及状态后续影响仍需与独立规则逐项闭合；这是生成覆盖缺口，不是产品决策缺失。</x:v>
      </x:c>
    </x:row>
    <x:row r="1145" ht="44" customHeight="1">
      <x:c r="A1145" s="4" t="str">
        <x:v>REQ-fcf4f0b8f117</x:v>
      </x:c>
      <x:c r="B1145" s="4" t="str">
        <x:v>直播</x:v>
      </x:c>
      <x:c r="C1145" s="4" t="n">
        <x:v>1827</x:v>
      </x:c>
      <x:c r="D1145" s="4" t="str">
        <x:v>双方须正在直播、均未处于连麦中且不存在账号拉黑关系。</x:v>
      </x:c>
      <x:c r="E1145" s="4" t="str">
        <x:v>整段分支核验未闭合</x:v>
      </x:c>
      <x:c r="F1145" s="4" t="str">
        <x:v>USER-0360</x:v>
      </x:c>
      <x:c r="G1145" s="4" t="str">
        <x:v>本段剩余子句、条件组合及状态后续影响仍需与独立规则逐项闭合；这是生成覆盖缺口，不是产品决策缺失。</x:v>
      </x:c>
    </x:row>
    <x:row r="1146" ht="44" customHeight="1">
      <x:c r="A1146" s="4" t="str">
        <x:v>REQ-00c732684671</x:v>
      </x:c>
      <x:c r="B1146" s="4" t="str">
        <x:v>直播</x:v>
      </x:c>
      <x:c r="C1146" s="4" t="n">
        <x:v>1828</x:v>
      </x:c>
      <x:c r="D1146" s="4" t="str">
        <x:v>发起方同一时间只能存在 1 个待处理邀请；接收方可以收到多个邀请。</x:v>
      </x:c>
      <x:c r="E1146" s="4" t="str">
        <x:v>整段分支核验未闭合</x:v>
      </x:c>
      <x:c r="F1146" s="4" t="str">
        <x:v>USER-0360、USER-0361、USER-0367</x:v>
      </x:c>
      <x:c r="G1146" s="4" t="str">
        <x:v>本段剩余子句、条件组合及状态后续影响仍需与独立规则逐项闭合；这是生成覆盖缺口，不是产品决策缺失。</x:v>
      </x:c>
    </x:row>
    <x:row r="1147" ht="44" customHeight="1">
      <x:c r="A1147" s="4" t="str">
        <x:v>REQ-fed69bde9ff8</x:v>
      </x:c>
      <x:c r="B1147" s="4" t="str">
        <x:v>直播</x:v>
      </x:c>
      <x:c r="C1147" s="4" t="n">
        <x:v>1829</x:v>
      </x:c>
      <x:c r="D1147" s="4" t="str">
        <x:v>任一方结束直播、变更为受限房型或进入连麦 -&gt; 不再满足的邀请失效。</x:v>
      </x:c>
      <x:c r="E1147" s="4" t="str">
        <x:v>整段分支核验未闭合</x:v>
      </x:c>
      <x:c r="F1147" s="4" t="str">
        <x:v>USER-0360、USER-0361、USER-0367</x:v>
      </x:c>
      <x:c r="G1147" s="4" t="str">
        <x:v>本段剩余子句、条件组合及状态后续影响仍需与独立规则逐项闭合；这是生成覆盖缺口，不是产品决策缺失。</x:v>
      </x:c>
    </x:row>
    <x:row r="1148" ht="57" customHeight="1">
      <x:c r="A1148" s="4" t="str">
        <x:v>REQ-b5c3e7b92403</x:v>
      </x:c>
      <x:c r="B1148" s="4" t="str">
        <x:v>直播</x:v>
      </x:c>
      <x:c r="C1148" s="4" t="n">
        <x:v>1830</x:v>
      </x:c>
      <x:c r="D1148" s="4" t="str">
        <x:v>邀请成功 -&gt; 标记邀请中并禁止重复发送；搜索无结果或主播未在普通房直播 -&gt; 显示“查询结果为空或主播未在普通房直播”；请求失败 -&gt; 不生成邀请并提示“请求失败”；搜索结果在固定高度覆盖层展示。</x:v>
      </x:c>
      <x:c r="E1148" s="4" t="str">
        <x:v>整段分支核验未闭合</x:v>
      </x:c>
      <x:c r="F1148" s="4" t="str">
        <x:v>USER-0360、USER-0361、USER-0367</x:v>
      </x:c>
      <x:c r="G1148" s="4" t="str">
        <x:v>本段剩余子句、条件组合及状态后续影响仍需与独立规则逐项闭合；这是生成覆盖缺口，不是产品决策缺失。</x:v>
      </x:c>
    </x:row>
    <x:row r="1149" ht="44" customHeight="1">
      <x:c r="A1149" s="4" t="str">
        <x:v>REQ-df6f8435c673</x:v>
      </x:c>
      <x:c r="B1149" s="4" t="str">
        <x:v>直播</x:v>
      </x:c>
      <x:c r="C1149" s="4" t="n">
        <x:v>1834</x:v>
      </x:c>
      <x:c r="D1149" s="4" t="str">
        <x:v>搜索关键词：必填，支持主播 ID 或昵称，去除首尾空格后匹配。</x:v>
      </x:c>
      <x:c r="E1149" s="4" t="str">
        <x:v>尚未建立场景映射</x:v>
      </x:c>
      <x:c r="F1149" s="4" t="str"/>
      <x:c r="G1149" s="4" t="str">
        <x:v>本轮独立来源库保留该已知条款，但尚未建立可核验的正式场景映射；不是无业务依据，也不转为产品待确认。</x:v>
      </x:c>
    </x:row>
    <x:row r="1150" ht="44" customHeight="1">
      <x:c r="A1150" s="4" t="str">
        <x:v>REQ-5830c74dc05c</x:v>
      </x:c>
      <x:c r="B1150" s="4" t="str">
        <x:v>直播</x:v>
      </x:c>
      <x:c r="C1150" s="4" t="n">
        <x:v>1835</x:v>
      </x:c>
      <x:c r="D1150" s="4" t="str">
        <x:v>搜索结果：展示主播身份、开播状态和可邀请状态。</x:v>
      </x:c>
      <x:c r="E1150" s="4" t="str">
        <x:v>尚未建立场景映射</x:v>
      </x:c>
      <x:c r="F1150" s="4" t="str"/>
      <x:c r="G1150" s="4" t="str">
        <x:v>本轮独立来源库保留该已知条款，但尚未建立可核验的正式场景映射；不是无业务依据，也不转为产品待确认。</x:v>
      </x:c>
    </x:row>
    <x:row r="1151" ht="44" customHeight="1">
      <x:c r="A1151" s="4" t="str">
        <x:v>REQ-dce26fcff56a</x:v>
      </x:c>
      <x:c r="B1151" s="4" t="str">
        <x:v>直播</x:v>
      </x:c>
      <x:c r="C1151" s="4" t="n">
        <x:v>1836</x:v>
      </x:c>
      <x:c r="D1151" s="4" t="str">
        <x:v>仅返回当前在普通房直播、未连麦且双方无账号拉黑关系的主播。</x:v>
      </x:c>
      <x:c r="E1151" s="4" t="str">
        <x:v>整段分支核验未闭合</x:v>
      </x:c>
      <x:c r="F1151" s="4" t="str">
        <x:v>USER-0601</x:v>
      </x:c>
      <x:c r="G1151" s="4" t="str">
        <x:v>本段剩余子句、条件组合及状态后续影响仍需与独立规则逐项闭合；这是生成覆盖缺口，不是产品决策缺失。</x:v>
      </x:c>
    </x:row>
    <x:row r="1152" ht="57" customHeight="1">
      <x:c r="A1152" s="4" t="str">
        <x:v>REQ-a49ccecb1483</x:v>
      </x:c>
      <x:c r="B1152" s="4" t="str">
        <x:v>直播</x:v>
      </x:c>
      <x:c r="C1152" s="4" t="n">
        <x:v>1837</x:v>
      </x:c>
      <x:c r="D1152" s="4" t="str">
        <x:v>关键词为空 -&gt; 返回未搜索状态；无匹配或主播未在普通房直播 -&gt; 显示“查询结果为空或主播未在普通房直播”；点击结果 -&gt; 发送邀请；已有发出的请求 -&gt; 提示“已有发出请求，请先取消”。</x:v>
      </x:c>
      <x:c r="E1152" s="4" t="str">
        <x:v>整段分支核验未闭合</x:v>
      </x:c>
      <x:c r="F1152" s="4" t="str">
        <x:v>USER-0601、USER-0602</x:v>
      </x:c>
      <x:c r="G1152" s="4" t="str">
        <x:v>本段剩余子句、条件组合及状态后续影响仍需与独立规则逐项闭合；这是生成覆盖缺口，不是产品决策缺失。</x:v>
      </x:c>
    </x:row>
    <x:row r="1153" ht="44" customHeight="1">
      <x:c r="A1153" s="4" t="str">
        <x:v>REQ-9fa5cc4e0691</x:v>
      </x:c>
      <x:c r="B1153" s="4" t="str">
        <x:v>直播</x:v>
      </x:c>
      <x:c r="C1153" s="4" t="n">
        <x:v>1841</x:v>
      </x:c>
      <x:c r="D1153" s="4" t="str">
        <x:v>邀请主播：展示头像、昵称和当前待处理邀请数。</x:v>
      </x:c>
      <x:c r="E1153" s="4" t="str">
        <x:v>整段分支核验未闭合</x:v>
      </x:c>
      <x:c r="F1153" s="4" t="str">
        <x:v>USER-0362、USER-0363、USER-0366</x:v>
      </x:c>
      <x:c r="G1153" s="4" t="str">
        <x:v>本段剩余子句、条件组合及状态后续影响仍需与独立规则逐项闭合；这是生成覆盖缺口，不是产品决策缺失。</x:v>
      </x:c>
    </x:row>
    <x:row r="1154" ht="44" customHeight="1">
      <x:c r="A1154" s="4" t="str">
        <x:v>REQ-710201f95e6c</x:v>
      </x:c>
      <x:c r="B1154" s="4" t="str">
        <x:v>直播</x:v>
      </x:c>
      <x:c r="C1154" s="4" t="n">
        <x:v>1842</x:v>
      </x:c>
      <x:c r="D1154" s="4" t="str">
        <x:v>有效状态：邀请双方仍在播、未连麦且房型为普通房时有效。</x:v>
      </x:c>
      <x:c r="E1154" s="4" t="str">
        <x:v>整段分支核验未闭合</x:v>
      </x:c>
      <x:c r="F1154" s="4" t="str">
        <x:v>USER-0362、USER-0363、USER-0366</x:v>
      </x:c>
      <x:c r="G1154" s="4" t="str">
        <x:v>本段剩余子句、条件组合及状态后续影响仍需与独立规则逐项闭合；这是生成覆盖缺口，不是产品决策缺失。</x:v>
      </x:c>
    </x:row>
    <x:row r="1155" ht="44" customHeight="1">
      <x:c r="A1155" s="4" t="str">
        <x:v>REQ-2ca651adc6a8</x:v>
      </x:c>
      <x:c r="B1155" s="4" t="str">
        <x:v>直播</x:v>
      </x:c>
      <x:c r="C1155" s="4" t="n">
        <x:v>1843</x:v>
      </x:c>
      <x:c r="D1155" s="4" t="str">
        <x:v>仅展示当前有效邀请；失效邀请立即关闭或从列表移除。</x:v>
      </x:c>
      <x:c r="E1155" s="4" t="str">
        <x:v>整段分支核验未闭合</x:v>
      </x:c>
      <x:c r="F1155" s="4" t="str">
        <x:v>USER-0362、USER-0363、USER-0364、USER-0365、USER-0366</x:v>
      </x:c>
      <x:c r="G1155" s="4" t="str">
        <x:v>本段剩余子句、条件组合及状态后续影响仍需与独立规则逐项闭合；这是生成覆盖缺口，不是产品决策缺失。</x:v>
      </x:c>
    </x:row>
    <x:row r="1156" ht="44" customHeight="1">
      <x:c r="A1156" s="4" t="str">
        <x:v>REQ-834d5ef87be0</x:v>
      </x:c>
      <x:c r="B1156" s="4" t="str">
        <x:v>直播</x:v>
      </x:c>
      <x:c r="C1156" s="4" t="n">
        <x:v>1844</x:v>
      </x:c>
      <x:c r="D1156" s="4" t="str">
        <x:v>单个邀请提示停留 4 秒；新增邀请更新当前提示，不重复叠加。</x:v>
      </x:c>
      <x:c r="E1156" s="4" t="str">
        <x:v>整段分支核验未闭合</x:v>
      </x:c>
      <x:c r="F1156" s="4" t="str">
        <x:v>USER-0362、USER-0363、USER-0366</x:v>
      </x:c>
      <x:c r="G1156" s="4" t="str">
        <x:v>本段剩余子句、条件组合及状态后续影响仍需与独立规则逐项闭合；这是生成覆盖缺口，不是产品决策缺失。</x:v>
      </x:c>
    </x:row>
    <x:row r="1157" ht="44" customHeight="1">
      <x:c r="A1157" s="4" t="str">
        <x:v>REQ-1a86c568fda4</x:v>
      </x:c>
      <x:c r="B1157" s="4" t="str">
        <x:v>直播</x:v>
      </x:c>
      <x:c r="C1157" s="4" t="n">
        <x:v>1845</x:v>
      </x:c>
      <x:c r="D1157" s="4" t="str">
        <x:v>接受一条邀请并建立连麦后，自己发出的邀请失效，其他收到的邀请保留；连麦中不能接受其他邀请或发起新邀请。</x:v>
      </x:c>
      <x:c r="E1157" s="4" t="str">
        <x:v>整段分支核验未闭合</x:v>
      </x:c>
      <x:c r="F1157" s="4" t="str">
        <x:v>USER-0362、USER-0363、USER-0364、USER-0365、USER-0366</x:v>
      </x:c>
      <x:c r="G1157" s="4" t="str">
        <x:v>本段剩余子句、条件组合及状态后续影响仍需与独立规则逐项闭合；这是生成覆盖缺口，不是产品决策缺失。</x:v>
      </x:c>
    </x:row>
    <x:row r="1158" ht="44" customHeight="1">
      <x:c r="A1158" s="4" t="str">
        <x:v>REQ-7ccdccc5eb39</x:v>
      </x:c>
      <x:c r="B1158" s="4" t="str">
        <x:v>直播</x:v>
      </x:c>
      <x:c r="C1158" s="4" t="n">
        <x:v>1846</x:v>
      </x:c>
      <x:c r="D1158" s="4" t="str">
        <x:v>接受 -&gt; 再次校验条件后建立连麦；拒绝 -&gt; 关闭该邀请；点击提示 -&gt; 打开全部待处理邀请；处理后同步更新数量。</x:v>
      </x:c>
      <x:c r="E1158" s="4" t="str">
        <x:v>整段分支核验未闭合</x:v>
      </x:c>
      <x:c r="F1158" s="4" t="str">
        <x:v>USER-0362、USER-0363、USER-0364、USER-0365、USER-0366</x:v>
      </x:c>
      <x:c r="G1158" s="4" t="str">
        <x:v>本段剩余子句、条件组合及状态后续影响仍需与独立规则逐项闭合；这是生成覆盖缺口，不是产品决策缺失。</x:v>
      </x:c>
    </x:row>
    <x:row r="1159" ht="44" customHeight="1">
      <x:c r="A1159" s="4" t="str">
        <x:v>REQ-81268f52c87e</x:v>
      </x:c>
      <x:c r="B1159" s="4" t="str">
        <x:v>直播</x:v>
      </x:c>
      <x:c r="C1159" s="4" t="n">
        <x:v>1850</x:v>
      </x:c>
      <x:c r="D1159" s="4" t="str">
        <x:v>接收对象：可选当前主播粉丝群或好友；无权限对象不展示。</x:v>
      </x:c>
      <x:c r="E1159" s="4" t="str">
        <x:v>尚未建立场景映射</x:v>
      </x:c>
      <x:c r="F1159" s="4" t="str"/>
      <x:c r="G1159" s="4" t="str">
        <x:v>本轮独立来源库保留该已知条款，但尚未建立可核验的正式场景映射；不是无业务依据，也不转为产品待确认。</x:v>
      </x:c>
    </x:row>
    <x:row r="1160" ht="44" customHeight="1">
      <x:c r="A1160" s="4" t="str">
        <x:v>REQ-88879db53cf1</x:v>
      </x:c>
      <x:c r="B1160" s="4" t="str">
        <x:v>直播</x:v>
      </x:c>
      <x:c r="C1160" s="4" t="n">
        <x:v>1851</x:v>
      </x:c>
      <x:c r="D1160" s="4" t="str">
        <x:v>分享内容：使用当前直播场次标题、封面和房间入口。</x:v>
      </x:c>
      <x:c r="E1160" s="4" t="str">
        <x:v>整段分支核验未闭合</x:v>
      </x:c>
      <x:c r="F1160" s="4" t="str">
        <x:v>USER-0603</x:v>
      </x:c>
      <x:c r="G1160" s="4" t="str">
        <x:v>本段剩余子句、条件组合及状态后续影响仍需与独立规则逐项闭合；这是生成覆盖缺口，不是产品决策缺失。</x:v>
      </x:c>
    </x:row>
    <x:row r="1161" ht="44" customHeight="1">
      <x:c r="A1161" s="4" t="str">
        <x:v>REQ-531c82c6382d</x:v>
      </x:c>
      <x:c r="B1161" s="4" t="str">
        <x:v>直播</x:v>
      </x:c>
      <x:c r="C1161" s="4" t="n">
        <x:v>1852</x:v>
      </x:c>
      <x:c r="D1161" s="4" t="str">
        <x:v>分享不绕过门票、密码、拉黑、封禁和本场踢出校验；接收人仍按进入规则处理。</x:v>
      </x:c>
      <x:c r="E1161" s="4" t="str">
        <x:v>整段分支核验未闭合</x:v>
      </x:c>
      <x:c r="F1161" s="4" t="str">
        <x:v>USER-0603</x:v>
      </x:c>
      <x:c r="G1161" s="4" t="str">
        <x:v>本段剩余子句、条件组合及状态后续影响仍需与独立规则逐项闭合；这是生成覆盖缺口，不是产品决策缺失。</x:v>
      </x:c>
    </x:row>
    <x:row r="1162" ht="44" customHeight="1">
      <x:c r="A1162" s="4" t="str">
        <x:v>REQ-24a770ddc379</x:v>
      </x:c>
      <x:c r="B1162" s="4" t="str">
        <x:v>直播</x:v>
      </x:c>
      <x:c r="C1162" s="4" t="n">
        <x:v>1853</x:v>
      </x:c>
      <x:c r="D1162" s="4" t="str">
        <x:v>选择对象并确认 -&gt; 发送直播房间卡片并提示成功；取消或关闭 -&gt; 不生成消息；发送失败 -&gt; 不生成消息并提示“发送失败”。</x:v>
      </x:c>
      <x:c r="E1162" s="4" t="str">
        <x:v>整段分支核验未闭合</x:v>
      </x:c>
      <x:c r="F1162" s="4" t="str">
        <x:v>USER-0603、USER-0604</x:v>
      </x:c>
      <x:c r="G1162" s="4" t="str">
        <x:v>本段剩余子句、条件组合及状态后续影响仍需与独立规则逐项闭合；这是生成覆盖缺口，不是产品决策缺失。</x:v>
      </x:c>
    </x:row>
    <x:row r="1163" ht="44" customHeight="1">
      <x:c r="A1163" s="4" t="str">
        <x:v>REQ-99aefa286dad</x:v>
      </x:c>
      <x:c r="B1163" s="4" t="str">
        <x:v>直播</x:v>
      </x:c>
      <x:c r="C1163" s="4" t="n">
        <x:v>1857</x:v>
      </x:c>
      <x:c r="D1163" s="4" t="str">
        <x:v>美颜参数仅影响主播画面。</x:v>
      </x:c>
      <x:c r="E1163" s="4" t="str">
        <x:v>尚未建立场景映射</x:v>
      </x:c>
      <x:c r="F1163" s="4" t="str"/>
      <x:c r="G1163" s="4" t="str">
        <x:v>本轮独立来源库保留该已知条款，但尚未建立可核验的正式场景映射；不是无业务依据，也不转为产品待确认。</x:v>
      </x:c>
    </x:row>
    <x:row r="1164" ht="44" customHeight="1">
      <x:c r="A1164" s="4" t="str">
        <x:v>REQ-c6ad3af08593</x:v>
      </x:c>
      <x:c r="B1164" s="4" t="str">
        <x:v>直播</x:v>
      </x:c>
      <x:c r="C1164" s="4" t="n">
        <x:v>1858</x:v>
      </x:c>
      <x:c r="D1164" s="4" t="str">
        <x:v>禁用用户读取当前场次禁言列表。</x:v>
      </x:c>
      <x:c r="E1164" s="4" t="str">
        <x:v>尚未建立场景映射</x:v>
      </x:c>
      <x:c r="F1164" s="4" t="str"/>
      <x:c r="G1164" s="4" t="str">
        <x:v>本轮独立来源库保留该已知条款，但尚未建立可核验的正式场景映射；不是无业务依据，也不转为产品待确认。</x:v>
      </x:c>
    </x:row>
    <x:row r="1165" ht="44" customHeight="1">
      <x:c r="A1165" s="4" t="str">
        <x:v>REQ-67952e2adc44</x:v>
      </x:c>
      <x:c r="B1165" s="4" t="str">
        <x:v>直播</x:v>
      </x:c>
      <x:c r="C1165" s="4" t="n">
        <x:v>1859</x:v>
      </x:c>
      <x:c r="D1165" s="4" t="str">
        <x:v>房间密码仅密码房可修改；普通房和门票房入口不可用。</x:v>
      </x:c>
      <x:c r="E1165" s="4" t="str">
        <x:v>尚未建立场景映射</x:v>
      </x:c>
      <x:c r="F1165" s="4" t="str"/>
      <x:c r="G1165" s="4" t="str">
        <x:v>本轮独立来源库保留该已知条款，但尚未建立可核验的正式场景映射；不是无业务依据，也不转为产品待确认。</x:v>
      </x:c>
    </x:row>
    <x:row r="1166" ht="44" customHeight="1">
      <x:c r="A1166" s="4" t="str">
        <x:v>REQ-a85d012601bf</x:v>
      </x:c>
      <x:c r="B1166" s="4" t="str">
        <x:v>直播</x:v>
      </x:c>
      <x:c r="C1166" s="4" t="n">
        <x:v>1860</x:v>
      </x:c>
      <x:c r="D1166" s="4" t="str">
        <x:v>清屏只清除主播当前设备显示，不删除服务端消息。</x:v>
      </x:c>
      <x:c r="E1166" s="4" t="str">
        <x:v>整段分支核验未闭合</x:v>
      </x:c>
      <x:c r="F1166" s="4" t="str">
        <x:v>USER-0593、USER-0594</x:v>
      </x:c>
      <x:c r="G1166" s="4" t="str">
        <x:v>本段剩余子句、条件组合及状态后续影响仍需与独立规则逐项闭合；这是生成覆盖缺口，不是产品决策缺失。</x:v>
      </x:c>
    </x:row>
    <x:row r="1167" ht="44" customHeight="1">
      <x:c r="A1167" s="4" t="str">
        <x:v>REQ-4756a9dfab09</x:v>
      </x:c>
      <x:c r="B1167" s="4" t="str">
        <x:v>直播</x:v>
      </x:c>
      <x:c r="C1167" s="4" t="n">
        <x:v>1861</x:v>
      </x:c>
      <x:c r="D1167" s="4" t="str">
        <x:v>选择功能 -&gt; 打开对应设置或视图；转发 -&gt; 进入接收对象视图；点击遮罩或关闭 -&gt; 返回直播间。</x:v>
      </x:c>
      <x:c r="E1167" s="4" t="str">
        <x:v>尚未建立场景映射</x:v>
      </x:c>
      <x:c r="F1167" s="4" t="str"/>
      <x:c r="G1167" s="4" t="str">
        <x:v>本轮独立来源库保留该已知条款，但尚未建立可核验的正式场景映射；不是无业务依据，也不转为产品待确认。</x:v>
      </x:c>
    </x:row>
    <x:row r="1168" ht="44" customHeight="1">
      <x:c r="A1168" s="4" t="str">
        <x:v>REQ-fd0092181557</x:v>
      </x:c>
      <x:c r="B1168" s="4" t="str">
        <x:v>直播</x:v>
      </x:c>
      <x:c r="C1168" s="4" t="n">
        <x:v>1865</x:v>
      </x:c>
      <x:c r="D1168" s="4" t="str">
        <x:v>结束直播会关闭当前场次，使连麦、待处理邀请、门票和本场禁言/踢出状态失效；历史消息、消费、处置和收益记录保留。</x:v>
      </x:c>
      <x:c r="E1168" s="4" t="str">
        <x:v>整段分支核验未闭合</x:v>
      </x:c>
      <x:c r="F1168" s="4" t="str">
        <x:v>USER-0401、USER-0402、USER-0403、USER-0404、USER-0605</x:v>
      </x:c>
      <x:c r="G1168" s="4" t="str">
        <x:v>本段剩余子句、条件组合及状态后续影响仍需与独立规则逐项闭合；这是生成覆盖缺口，不是产品决策缺失。</x:v>
      </x:c>
    </x:row>
    <x:row r="1169" ht="44" customHeight="1">
      <x:c r="A1169" s="4" t="str">
        <x:v>REQ-8576b6c9d4ef</x:v>
      </x:c>
      <x:c r="B1169" s="4" t="str">
        <x:v>直播</x:v>
      </x:c>
      <x:c r="C1169" s="4" t="n">
        <x:v>1866</x:v>
      </x:c>
      <x:c r="D1169" s="4" t="str">
        <x:v>确认 -&gt; 结束场次并进入主播结束页；取消或关闭 -&gt; 返回直播间继续直播；重复确认只处理一次。</x:v>
      </x:c>
      <x:c r="E1169" s="4" t="str">
        <x:v>整段分支核验未闭合</x:v>
      </x:c>
      <x:c r="F1169" s="4" t="str">
        <x:v>USER-0605、USER-0606</x:v>
      </x:c>
      <x:c r="G1169" s="4" t="str">
        <x:v>本段剩余子句、条件组合及状态后续影响仍需与独立规则逐项闭合；这是生成覆盖缺口，不是产品决策缺失。</x:v>
      </x:c>
    </x:row>
    <x:row r="1170" ht="44" customHeight="1">
      <x:c r="A1170" s="4" t="str">
        <x:v>REQ-5075653b7fff</x:v>
      </x:c>
      <x:c r="B1170" s="4" t="str">
        <x:v>直播</x:v>
      </x:c>
      <x:c r="C1170" s="4" t="n">
        <x:v>1870</x:v>
      </x:c>
      <x:c r="D1170" s="4" t="str">
        <x:v>密码房不提供连麦入口。</x:v>
      </x:c>
      <x:c r="E1170" s="4" t="str">
        <x:v>整段分支核验未闭合</x:v>
      </x:c>
      <x:c r="F1170" s="4" t="str">
        <x:v>USER-0750</x:v>
      </x:c>
      <x:c r="G1170" s="4" t="str">
        <x:v>本段剩余子句、条件组合及状态后续影响仍需与独立规则逐项闭合；这是生成覆盖缺口，不是产品决策缺失。</x:v>
      </x:c>
    </x:row>
    <x:row r="1171" ht="44" customHeight="1">
      <x:c r="A1171" s="4" t="str">
        <x:v>REQ-40d93242f27b</x:v>
      </x:c>
      <x:c r="B1171" s="4" t="str">
        <x:v>直播</x:v>
      </x:c>
      <x:c r="C1171" s="4" t="n">
        <x:v>1871</x:v>
      </x:c>
      <x:c r="D1171" s="4" t="str">
        <x:v>可使用美颜、禁用用户、修改本场密码、访问范围、清屏和转发。</x:v>
      </x:c>
      <x:c r="E1171" s="4" t="str">
        <x:v>尚未建立场景映射</x:v>
      </x:c>
      <x:c r="F1171" s="4" t="str"/>
      <x:c r="G1171" s="4" t="str">
        <x:v>本轮独立来源库保留该已知条款，但尚未建立可核验的正式场景映射；不是无业务依据，也不转为产品待确认。</x:v>
      </x:c>
    </x:row>
    <x:row r="1172" ht="44" customHeight="1">
      <x:c r="A1172" s="4" t="str">
        <x:v>REQ-86af49d72cf5</x:v>
      </x:c>
      <x:c r="B1172" s="4" t="str">
        <x:v>直播</x:v>
      </x:c>
      <x:c r="C1172" s="4" t="n">
        <x:v>1872</x:v>
      </x:c>
      <x:c r="D1172" s="4" t="str">
        <x:v>主播修改密码后，已通过旧密码验证的在线用户不强制退出；用户退出后再次进入，必须输入新密码。</x:v>
      </x:c>
      <x:c r="E1172" s="4" t="str">
        <x:v>尚未建立场景映射</x:v>
      </x:c>
      <x:c r="F1172" s="4" t="str"/>
      <x:c r="G1172" s="4" t="str">
        <x:v>本轮独立来源库保留该已知条款，但尚未建立可核验的正式场景映射；不是无业务依据，也不转为产品待确认。</x:v>
      </x:c>
    </x:row>
    <x:row r="1173" ht="44" customHeight="1">
      <x:c r="A1173" s="4" t="str">
        <x:v>REQ-c5fadd4364b6</x:v>
      </x:c>
      <x:c r="B1173" s="4" t="str">
        <x:v>直播</x:v>
      </x:c>
      <x:c r="C1173" s="4" t="n">
        <x:v>1873</x:v>
      </x:c>
      <x:c r="D1173" s="4" t="str">
        <x:v>选择访问范围或房间密码 -&gt; 打开对应视图；其他操作沿用主播直播间规则；关闭 -&gt; 返回直播间。</x:v>
      </x:c>
      <x:c r="E1173" s="4" t="str">
        <x:v>尚未建立场景映射</x:v>
      </x:c>
      <x:c r="F1173" s="4" t="str"/>
      <x:c r="G1173" s="4" t="str">
        <x:v>本轮独立来源库保留该已知条款，但尚未建立可核验的正式场景映射；不是无业务依据，也不转为产品待确认。</x:v>
      </x:c>
    </x:row>
    <x:row r="1174" ht="44" customHeight="1">
      <x:c r="A1174" s="4" t="str">
        <x:v>REQ-a4b2f7b4767c</x:v>
      </x:c>
      <x:c r="B1174" s="4" t="str">
        <x:v>直播</x:v>
      </x:c>
      <x:c r="C1174" s="4" t="n">
        <x:v>1877</x:v>
      </x:c>
      <x:c r="D1174" s="4" t="str">
        <x:v>房间密码：必填，必须为 4-12 个数字，归属当前直播场次。</x:v>
      </x:c>
      <x:c r="E1174" s="4" t="str">
        <x:v>整段分支核验未闭合</x:v>
      </x:c>
      <x:c r="F1174" s="4" t="str">
        <x:v>USER-0588</x:v>
      </x:c>
      <x:c r="G1174" s="4" t="str">
        <x:v>本段剩余子句、条件组合及状态后续影响仍需与独立规则逐项闭合；这是生成覆盖缺口，不是产品决策缺失。</x:v>
      </x:c>
    </x:row>
    <x:row r="1175" ht="44" customHeight="1">
      <x:c r="A1175" s="4" t="str">
        <x:v>REQ-09b3f94b60db</x:v>
      </x:c>
      <x:c r="B1175" s="4" t="str">
        <x:v>直播</x:v>
      </x:c>
      <x:c r="C1175" s="4" t="n">
        <x:v>1878</x:v>
      </x:c>
      <x:c r="D1175" s="4" t="str">
        <x:v>主播修改密码后，已通过旧密码验证的在线用户不强制退出；用户退出后再次进入，必须输入新密码。</x:v>
      </x:c>
      <x:c r="E1175" s="4" t="str">
        <x:v>整段分支核验未闭合</x:v>
      </x:c>
      <x:c r="F1175" s="4" t="str">
        <x:v>USER-0588</x:v>
      </x:c>
      <x:c r="G1175" s="4" t="str">
        <x:v>本段剩余子句、条件组合及状态后续影响仍需与独立规则逐项闭合；这是生成覆盖缺口，不是产品决策缺失。</x:v>
      </x:c>
    </x:row>
    <x:row r="1176" ht="57" customHeight="1">
      <x:c r="A1176" s="4" t="str">
        <x:v>REQ-20f02ee2cc80</x:v>
      </x:c>
      <x:c r="B1176" s="4" t="str">
        <x:v>直播</x:v>
      </x:c>
      <x:c r="C1176" s="4" t="n">
        <x:v>1879</x:v>
      </x:c>
      <x:c r="D1176" s="4" t="str">
        <x:v>密码不是 4-12 个数字 -&gt; 不保存、保留输入并提示“密码必须是4-12个数字”；保存成功 -&gt; 更新本场有效密码并关闭视图；取消 -&gt; 保留原密码。</x:v>
      </x:c>
      <x:c r="E1176" s="4" t="str">
        <x:v>整段分支核验未闭合</x:v>
      </x:c>
      <x:c r="F1176" s="4" t="str">
        <x:v>USER-0588、USER-0589</x:v>
      </x:c>
      <x:c r="G1176" s="4" t="str">
        <x:v>本段剩余子句、条件组合及状态后续影响仍需与独立规则逐项闭合；这是生成覆盖缺口，不是产品决策缺失。</x:v>
      </x:c>
    </x:row>
    <x:row r="1177" ht="44" customHeight="1">
      <x:c r="A1177" s="4" t="str">
        <x:v>REQ-068797d40d88</x:v>
      </x:c>
      <x:c r="B1177" s="4" t="str">
        <x:v>直播</x:v>
      </x:c>
      <x:c r="C1177" s="4" t="n">
        <x:v>1883</x:v>
      </x:c>
      <x:c r="D1177" s="4" t="str">
        <x:v>在广场展示：默认读取上次确认值；无历史时默认开启。</x:v>
      </x:c>
      <x:c r="E1177" s="4" t="str">
        <x:v>尚未建立场景映射</x:v>
      </x:c>
      <x:c r="F1177" s="4" t="str"/>
      <x:c r="G1177" s="4" t="str">
        <x:v>本轮独立来源库保留该已知条款，但尚未建立可核验的正式场景映射；不是无业务依据，也不转为产品待确认。</x:v>
      </x:c>
    </x:row>
    <x:row r="1178" ht="44" customHeight="1">
      <x:c r="A1178" s="4" t="str">
        <x:v>REQ-cbb4675278fd</x:v>
      </x:c>
      <x:c r="B1178" s="4" t="str">
        <x:v>直播</x:v>
      </x:c>
      <x:c r="C1178" s="4" t="n">
        <x:v>1884</x:v>
      </x:c>
      <x:c r="D1178" s="4" t="str">
        <x:v>仅粉丝团成员可进入直播间：默认读取上次确认值；无历史时默认关闭。</x:v>
      </x:c>
      <x:c r="E1178" s="4" t="str">
        <x:v>尚未建立场景映射</x:v>
      </x:c>
      <x:c r="F1178" s="4" t="str"/>
      <x:c r="G1178" s="4" t="str">
        <x:v>本轮独立来源库保留该已知条款，但尚未建立可核验的正式场景映射；不是无业务依据，也不转为产品待确认。</x:v>
      </x:c>
    </x:row>
    <x:row r="1179" ht="44" customHeight="1">
      <x:c r="A1179" s="4" t="str">
        <x:v>REQ-9d00b29113b9</x:v>
      </x:c>
      <x:c r="B1179" s="4" t="str">
        <x:v>直播</x:v>
      </x:c>
      <x:c r="C1179" s="4" t="n">
        <x:v>1885</x:v>
      </x:c>
      <x:c r="D1179" s="4" t="str">
        <x:v>仅修改当前密码房的访问范围；两个开关相互独立，并将确认值保存为下次默认值。</x:v>
      </x:c>
      <x:c r="E1179" s="4" t="str">
        <x:v>尚未建立场景映射</x:v>
      </x:c>
      <x:c r="F1179" s="4" t="str"/>
      <x:c r="G1179" s="4" t="str">
        <x:v>本轮独立来源库保留该已知条款，但尚未建立可核验的正式场景映射；不是无业务依据，也不转为产品待确认。</x:v>
      </x:c>
    </x:row>
    <x:row r="1180" ht="44" customHeight="1">
      <x:c r="A1180" s="4" t="str">
        <x:v>REQ-9ff44d48307f</x:v>
      </x:c>
      <x:c r="B1180" s="4" t="str">
        <x:v>直播</x:v>
      </x:c>
      <x:c r="C1180" s="4" t="n">
        <x:v>1886</x:v>
      </x:c>
      <x:c r="D1180" s="4" t="str">
        <x:v>成员限制只对后续进房生效；已在房内的非成员不退出，离开后再次进入时拦截。</x:v>
      </x:c>
      <x:c r="E1180" s="4" t="str">
        <x:v>整段分支核验未闭合</x:v>
      </x:c>
      <x:c r="F1180" s="4" t="str">
        <x:v>USER-0590</x:v>
      </x:c>
      <x:c r="G1180" s="4" t="str">
        <x:v>本段剩余子句、条件组合及状态后续影响仍需与独立规则逐项闭合；这是生成覆盖缺口，不是产品决策缺失。</x:v>
      </x:c>
    </x:row>
    <x:row r="1181" ht="44" customHeight="1">
      <x:c r="A1181" s="4" t="str">
        <x:v>REQ-d1ec9589dc51</x:v>
      </x:c>
      <x:c r="B1181" s="4" t="str">
        <x:v>直播</x:v>
      </x:c>
      <x:c r="C1181" s="4" t="n">
        <x:v>1887</x:v>
      </x:c>
      <x:c r="D1181" s="4" t="str">
        <x:v>成员仍需通过房间密码校验；主播未创建粉丝团时不可开启。</x:v>
      </x:c>
      <x:c r="E1181" s="4" t="str">
        <x:v>整段分支核验未闭合</x:v>
      </x:c>
      <x:c r="F1181" s="4" t="str">
        <x:v>USER-0323</x:v>
      </x:c>
      <x:c r="G1181" s="4" t="str">
        <x:v>本段剩余子句、条件组合及状态后续影响仍需与独立规则逐项闭合；这是生成覆盖缺口，不是产品决策缺失。</x:v>
      </x:c>
    </x:row>
    <x:row r="1182" ht="44" customHeight="1">
      <x:c r="A1182" s="4" t="str">
        <x:v>REQ-99988c5196e4</x:v>
      </x:c>
      <x:c r="B1182" s="4" t="str">
        <x:v>直播</x:v>
      </x:c>
      <x:c r="C1182" s="4" t="n">
        <x:v>1888</x:v>
      </x:c>
      <x:c r="D1182" s="4" t="str">
        <x:v>点击确认 -&gt; 设置生效并关闭；关闭或点击遮罩 -&gt; 不保存。</x:v>
      </x:c>
      <x:c r="E1182" s="4" t="str">
        <x:v>尚未建立场景映射</x:v>
      </x:c>
      <x:c r="F1182" s="4" t="str"/>
      <x:c r="G1182" s="4" t="str">
        <x:v>本轮独立来源库保留该已知条款，但尚未建立可核验的正式场景映射；不是无业务依据，也不转为产品待确认。</x:v>
      </x:c>
    </x:row>
    <x:row r="1183" ht="44" customHeight="1">
      <x:c r="A1183" s="4" t="str">
        <x:v>REQ-c0af0b921588</x:v>
      </x:c>
      <x:c r="B1183" s="4" t="str">
        <x:v>直播</x:v>
      </x:c>
      <x:c r="C1183" s="4" t="n">
        <x:v>1892</x:v>
      </x:c>
      <x:c r="D1183" s="4" t="str">
        <x:v>连麦中仍可使用美颜、观众管理、清屏和转发。</x:v>
      </x:c>
      <x:c r="E1183" s="4" t="str">
        <x:v>尚未建立场景映射</x:v>
      </x:c>
      <x:c r="F1183" s="4" t="str"/>
      <x:c r="G1183" s="4" t="str">
        <x:v>本轮独立来源库保留该已知条款，但尚未建立可核验的正式场景映射；不是无业务依据，也不转为产品待确认。</x:v>
      </x:c>
    </x:row>
    <x:row r="1184" ht="44" customHeight="1">
      <x:c r="A1184" s="4" t="str">
        <x:v>REQ-7e68a3a874e3</x:v>
      </x:c>
      <x:c r="B1184" s="4" t="str">
        <x:v>直播</x:v>
      </x:c>
      <x:c r="C1184" s="4" t="n">
        <x:v>1893</x:v>
      </x:c>
      <x:c r="D1184" s="4" t="str">
        <x:v>连麦期间不得切换为门票房或密码房，也不得再次发起连麦。</x:v>
      </x:c>
      <x:c r="E1184" s="4" t="str">
        <x:v>整段分支核验未闭合</x:v>
      </x:c>
      <x:c r="F1184" s="4" t="str">
        <x:v>USER-0607</x:v>
      </x:c>
      <x:c r="G1184" s="4" t="str">
        <x:v>本段剩余子句、条件组合及状态后续影响仍需与独立规则逐项闭合；这是生成覆盖缺口，不是产品决策缺失。</x:v>
      </x:c>
    </x:row>
    <x:row r="1185" ht="44" customHeight="1">
      <x:c r="A1185" s="4" t="str">
        <x:v>REQ-f807b7375218</x:v>
      </x:c>
      <x:c r="B1185" s="4" t="str">
        <x:v>直播</x:v>
      </x:c>
      <x:c r="C1185" s="4" t="n">
        <x:v>1894</x:v>
      </x:c>
      <x:c r="D1185" s="4" t="str">
        <x:v>选择观众管理或转发 -&gt; 打开对应视图且不中断连麦；尝试受限操作 -&gt; 不执行并提示先退出连麦。</x:v>
      </x:c>
      <x:c r="E1185" s="4" t="str">
        <x:v>尚未建立场景映射</x:v>
      </x:c>
      <x:c r="F1185" s="4" t="str"/>
      <x:c r="G1185" s="4" t="str">
        <x:v>本轮独立来源库保留该已知条款，但尚未建立可核验的正式场景映射；不是无业务依据，也不转为产品待确认。</x:v>
      </x:c>
    </x:row>
    <x:row r="1186" ht="44" customHeight="1">
      <x:c r="A1186" s="4" t="str">
        <x:v>REQ-6516ede9aac0</x:v>
      </x:c>
      <x:c r="B1186" s="4" t="str">
        <x:v>直播</x:v>
      </x:c>
      <x:c r="C1186" s="4" t="n">
        <x:v>1898</x:v>
      </x:c>
      <x:c r="D1186" s="4" t="str">
        <x:v>主动退出只结束双方连麦关系，不结束任何一方的直播场次；本场贡献、消息和观众数据继续累计。</x:v>
      </x:c>
      <x:c r="E1186" s="4" t="str">
        <x:v>整段分支核验未闭合</x:v>
      </x:c>
      <x:c r="F1186" s="4" t="str">
        <x:v>USER-0369、USER-0370</x:v>
      </x:c>
      <x:c r="G1186" s="4" t="str">
        <x:v>本段剩余子句、条件组合及状态后续影响仍需与独立规则逐项闭合；这是生成覆盖缺口，不是产品决策缺失。</x:v>
      </x:c>
    </x:row>
    <x:row r="1187" ht="44" customHeight="1">
      <x:c r="A1187" s="4" t="str">
        <x:v>REQ-9669e16fa307</x:v>
      </x:c>
      <x:c r="B1187" s="4" t="str">
        <x:v>直播</x:v>
      </x:c>
      <x:c r="C1187" s="4" t="n">
        <x:v>1899</x:v>
      </x:c>
      <x:c r="D1187" s="4" t="str">
        <x:v>确认 -&gt; 双方退出连麦画面并恢复各自单人直播；取消或关闭 -&gt; 保持连麦；请求失败 -&gt; 保持当前画面并提示“退出失败”。</x:v>
      </x:c>
      <x:c r="E1187" s="4" t="str">
        <x:v>整段分支核验未闭合</x:v>
      </x:c>
      <x:c r="F1187" s="4" t="str">
        <x:v>USER-0369、USER-0370、USER-0371、USER-0608、USER-0609</x:v>
      </x:c>
      <x:c r="G1187" s="4" t="str">
        <x:v>本段剩余子句、条件组合及状态后续影响仍需与独立规则逐项闭合；这是生成覆盖缺口，不是产品决策缺失。</x:v>
      </x:c>
    </x:row>
    <x:row r="1188" ht="44" customHeight="1">
      <x:c r="A1188" s="4" t="str">
        <x:v>REQ-9ecc2ec4021b</x:v>
      </x:c>
      <x:c r="B1188" s="4" t="str">
        <x:v>首页与发现</x:v>
      </x:c>
      <x:c r="C1188" s="4" t="n">
        <x:v>1904</x:v>
      </x:c>
      <x:c r="D1188" s="4" t="str">
        <x:v>签到 / 任务奖励：展示当前账号的签到及任务奖励。</x:v>
      </x:c>
      <x:c r="E1188" s="4" t="str">
        <x:v>尚未建立场景映射</x:v>
      </x:c>
      <x:c r="F1188" s="4" t="str"/>
      <x:c r="G1188" s="4" t="str">
        <x:v>本轮独立来源库保留该已知条款，但尚未建立可核验的正式场景映射；不是无业务依据，也不转为产品待确认。</x:v>
      </x:c>
    </x:row>
    <x:row r="1189" ht="44" customHeight="1">
      <x:c r="A1189" s="4" t="str">
        <x:v>REQ-9d8161e2d2a2</x:v>
      </x:c>
      <x:c r="B1189" s="4" t="str">
        <x:v>首页与发现</x:v>
      </x:c>
      <x:c r="C1189" s="4" t="n">
        <x:v>1905</x:v>
      </x:c>
      <x:c r="D1189" s="4" t="str">
        <x:v>领取状态：当前视图中均为已领取，不可重复领取。</x:v>
      </x:c>
      <x:c r="E1189" s="4" t="str">
        <x:v>尚未建立场景映射</x:v>
      </x:c>
      <x:c r="F1189" s="4" t="str"/>
      <x:c r="G1189" s="4" t="str">
        <x:v>本轮独立来源库保留该已知条款，但尚未建立可核验的正式场景映射；不是无业务依据，也不转为产品待确认。</x:v>
      </x:c>
    </x:row>
    <x:row r="1190" ht="44" customHeight="1">
      <x:c r="A1190" s="4" t="str">
        <x:v>REQ-79150d93c909</x:v>
      </x:c>
      <x:c r="B1190" s="4" t="str">
        <x:v>首页与发现</x:v>
      </x:c>
      <x:c r="C1190" s="4" t="n">
        <x:v>1906</x:v>
      </x:c>
      <x:c r="D1190" s="4" t="str">
        <x:v>已领取奖励不可再次领取；领取状态按任务实例保存。</x:v>
      </x:c>
      <x:c r="E1190" s="4" t="str">
        <x:v>尚未建立场景映射</x:v>
      </x:c>
      <x:c r="F1190" s="4" t="str"/>
      <x:c r="G1190" s="4" t="str">
        <x:v>本轮独立来源库保留该已知条款，但尚未建立可核验的正式场景映射；不是无业务依据，也不转为产品待确认。</x:v>
      </x:c>
    </x:row>
    <x:row r="1191" ht="44" customHeight="1">
      <x:c r="A1191" s="4" t="str">
        <x:v>REQ-dd6d795f15ac</x:v>
      </x:c>
      <x:c r="B1191" s="4" t="str">
        <x:v>首页与发现</x:v>
      </x:c>
      <x:c r="C1191" s="4" t="n">
        <x:v>1907</x:v>
      </x:c>
      <x:c r="D1191" s="4" t="str">
        <x:v>金币奖励领取后进入钱包，并生成金币资产记录。</x:v>
      </x:c>
      <x:c r="E1191" s="4" t="str">
        <x:v>尚未建立场景映射</x:v>
      </x:c>
      <x:c r="F1191" s="4" t="str"/>
      <x:c r="G1191" s="4" t="str">
        <x:v>本轮独立来源库保留该已知条款，但尚未建立可核验的正式场景映射；不是无业务依据，也不转为产品待确认。</x:v>
      </x:c>
    </x:row>
    <x:row r="1192" ht="44" customHeight="1">
      <x:c r="A1192" s="4" t="str">
        <x:v>REQ-766a354bc835</x:v>
      </x:c>
      <x:c r="B1192" s="4" t="str">
        <x:v>首页与发现</x:v>
      </x:c>
      <x:c r="C1192" s="4" t="n">
        <x:v>1908</x:v>
      </x:c>
      <x:c r="D1192" s="4" t="str">
        <x:v>任务配置后续变更不重复补发已领取实例。</x:v>
      </x:c>
      <x:c r="E1192" s="4" t="str">
        <x:v>整段分支核验未闭合</x:v>
      </x:c>
      <x:c r="F1192" s="4" t="str">
        <x:v>USER-0692、USER-0693</x:v>
      </x:c>
      <x:c r="G1192" s="4" t="str">
        <x:v>本段剩余子句、条件组合及状态后续影响仍需与独立规则逐项闭合；这是生成覆盖缺口，不是产品决策缺失。</x:v>
      </x:c>
    </x:row>
    <x:row r="1193" ht="44" customHeight="1">
      <x:c r="A1193" s="4" t="str">
        <x:v>REQ-0a3b19c8f769</x:v>
      </x:c>
      <x:c r="B1193" s="4" t="str">
        <x:v>首页与发现</x:v>
      </x:c>
      <x:c r="C1193" s="4" t="n">
        <x:v>1909</x:v>
      </x:c>
      <x:c r="D1193" s="4" t="str">
        <x:v>已领取项保持禁用，不重复发放资产。</x:v>
      </x:c>
      <x:c r="E1193" s="4" t="str">
        <x:v>尚未建立场景映射</x:v>
      </x:c>
      <x:c r="F1193" s="4" t="str"/>
      <x:c r="G1193" s="4" t="str">
        <x:v>本轮独立来源库保留该已知条款，但尚未建立可核验的正式场景映射；不是无业务依据，也不转为产品待确认。</x:v>
      </x:c>
    </x:row>
    <x:row r="1194" ht="44" customHeight="1">
      <x:c r="A1194" s="4" t="str">
        <x:v>REQ-fb3af64eb689</x:v>
      </x:c>
      <x:c r="B1194" s="4" t="str">
        <x:v>首页与发现</x:v>
      </x:c>
      <x:c r="C1194" s="4" t="n">
        <x:v>1914</x:v>
      </x:c>
      <x:c r="D1194" s="4" t="str">
        <x:v>分享方式：复制链接、发送给好友、保存图片。</x:v>
      </x:c>
      <x:c r="E1194" s="4" t="str">
        <x:v>整段分支核验未闭合</x:v>
      </x:c>
      <x:c r="F1194" s="4" t="str">
        <x:v>USER-0488、USER-0489</x:v>
      </x:c>
      <x:c r="G1194" s="4" t="str">
        <x:v>本段剩余子句、条件组合及状态后续影响仍需与独立规则逐项闭合；这是生成覆盖缺口，不是产品决策缺失。</x:v>
      </x:c>
    </x:row>
    <x:row r="1195" ht="44" customHeight="1">
      <x:c r="A1195" s="4" t="str">
        <x:v>REQ-8331dedb9c7b</x:v>
      </x:c>
      <x:c r="B1195" s="4" t="str">
        <x:v>首页与发现</x:v>
      </x:c>
      <x:c r="C1195" s="4" t="n">
        <x:v>1915</x:v>
      </x:c>
      <x:c r="D1195" s="4" t="str">
        <x:v>分享内容关联当前账号的邀请信息；分享动作本身不计为成功邀请。</x:v>
      </x:c>
      <x:c r="E1195" s="4" t="str">
        <x:v>整段分支核验未闭合</x:v>
      </x:c>
      <x:c r="F1195" s="4" t="str">
        <x:v>USER-0485、USER-0486、USER-0487</x:v>
      </x:c>
      <x:c r="G1195" s="4" t="str">
        <x:v>本段剩余子句、条件组合及状态后续影响仍需与独立规则逐项闭合；这是生成覆盖缺口，不是产品决策缺失。</x:v>
      </x:c>
    </x:row>
    <x:row r="1196" ht="44" customHeight="1">
      <x:c r="A1196" s="4" t="str">
        <x:v>REQ-f02ca831c50d</x:v>
      </x:c>
      <x:c r="B1196" s="4" t="str">
        <x:v>首页与发现</x:v>
      </x:c>
      <x:c r="C1196" s="4" t="n">
        <x:v>1916</x:v>
      </x:c>
      <x:c r="D1196" s="4" t="str">
        <x:v>复制链接 -&gt; 提示“复制成功”。</x:v>
      </x:c>
      <x:c r="E1196" s="4" t="str">
        <x:v>整段分支核验未闭合</x:v>
      </x:c>
      <x:c r="F1196" s="4" t="str">
        <x:v>USER-0488</x:v>
      </x:c>
      <x:c r="G1196" s="4" t="str">
        <x:v>本段剩余子句、条件组合及状态后续影响仍需与独立规则逐项闭合；这是生成覆盖缺口，不是产品决策缺失。</x:v>
      </x:c>
    </x:row>
    <x:row r="1197" ht="44" customHeight="1">
      <x:c r="A1197" s="4" t="str">
        <x:v>REQ-1c675ff25b98</x:v>
      </x:c>
      <x:c r="B1197" s="4" t="str">
        <x:v>首页与发现</x:v>
      </x:c>
      <x:c r="C1197" s="4" t="n">
        <x:v>1917</x:v>
      </x:c>
      <x:c r="D1197" s="4" t="str">
        <x:v>发送给好友 -&gt; 调起系统分享能力。</x:v>
      </x:c>
      <x:c r="E1197" s="4" t="str">
        <x:v>整段分支核验未闭合</x:v>
      </x:c>
      <x:c r="F1197" s="4" t="str">
        <x:v>USER-0489</x:v>
      </x:c>
      <x:c r="G1197" s="4" t="str">
        <x:v>本段剩余子句、条件组合及状态后续影响仍需与独立规则逐项闭合；这是生成覆盖缺口，不是产品决策缺失。</x:v>
      </x:c>
    </x:row>
    <x:row r="1198" ht="44" customHeight="1">
      <x:c r="A1198" s="4" t="str">
        <x:v>REQ-302147eb36d7</x:v>
      </x:c>
      <x:c r="B1198" s="4" t="str">
        <x:v>首页与发现</x:v>
      </x:c>
      <x:c r="C1198" s="4" t="n">
        <x:v>1918</x:v>
      </x:c>
      <x:c r="D1198" s="4" t="str">
        <x:v>保存图片 -&gt; 给出保存结果反馈。</x:v>
      </x:c>
      <x:c r="E1198" s="4" t="str">
        <x:v>尚未建立场景映射</x:v>
      </x:c>
      <x:c r="F1198" s="4" t="str"/>
      <x:c r="G1198" s="4" t="str">
        <x:v>本轮独立来源库保留该已知条款，但尚未建立可核验的正式场景映射；不是无业务依据，也不转为产品待确认。</x:v>
      </x:c>
    </x:row>
    <x:row r="1199" ht="44" customHeight="1">
      <x:c r="A1199" s="4" t="str">
        <x:v>REQ-c4b268c81d8b</x:v>
      </x:c>
      <x:c r="B1199" s="4" t="str">
        <x:v>首页与发现</x:v>
      </x:c>
      <x:c r="C1199" s="4" t="n">
        <x:v>1919</x:v>
      </x:c>
      <x:c r="D1199" s="4" t="str">
        <x:v>点击取消或遮罩 -&gt; 关闭分享选项。</x:v>
      </x:c>
      <x:c r="E1199" s="4" t="str">
        <x:v>尚未建立场景映射</x:v>
      </x:c>
      <x:c r="F1199" s="4" t="str"/>
      <x:c r="G1199" s="4" t="str">
        <x:v>本轮独立来源库保留该已知条款，但尚未建立可核验的正式场景映射；不是无业务依据，也不转为产品待确认。</x:v>
      </x:c>
    </x:row>
    <x:row r="1200" ht="44" customHeight="1">
      <x:c r="A1200" s="4" t="str">
        <x:v>REQ-b749819a362c</x:v>
      </x:c>
      <x:c r="B1200" s="4" t="str">
        <x:v>消息与社交</x:v>
      </x:c>
      <x:c r="C1200" s="4" t="n">
        <x:v>1924</x:v>
      </x:c>
      <x:c r="D1200" s="4" t="str">
        <x:v>会话：展示粉丝团名称、主播头像、最后一条消息和未读数。</x:v>
      </x:c>
      <x:c r="E1200" s="4" t="str">
        <x:v>尚未建立场景映射</x:v>
      </x:c>
      <x:c r="F1200" s="4" t="str"/>
      <x:c r="G1200" s="4" t="str">
        <x:v>本轮独立来源库保留该已知条款，但尚未建立可核验的正式场景映射；不是无业务依据，也不转为产品待确认。</x:v>
      </x:c>
    </x:row>
    <x:row r="1201" ht="44" customHeight="1">
      <x:c r="A1201" s="4" t="str">
        <x:v>REQ-1aba695437ae</x:v>
      </x:c>
      <x:c r="B1201" s="4" t="str">
        <x:v>消息与社交</x:v>
      </x:c>
      <x:c r="C1201" s="4" t="n">
        <x:v>1925</x:v>
      </x:c>
      <x:c r="D1201" s="4" t="str">
        <x:v>群成员状态：读取当前有效团籍；团籍与群籍同步。</x:v>
      </x:c>
      <x:c r="E1201" s="4" t="str">
        <x:v>尚未建立场景映射</x:v>
      </x:c>
      <x:c r="F1201" s="4" t="str"/>
      <x:c r="G1201" s="4" t="str">
        <x:v>本轮独立来源库保留该已知条款，但尚未建立可核验的正式场景映射；不是无业务依据，也不转为产品待确认。</x:v>
      </x:c>
    </x:row>
    <x:row r="1202" ht="44" customHeight="1">
      <x:c r="A1202" s="4" t="str">
        <x:v>REQ-58f472356186</x:v>
      </x:c>
      <x:c r="B1202" s="4" t="str">
        <x:v>消息与社交</x:v>
      </x:c>
      <x:c r="C1202" s="4" t="n">
        <x:v>1926</x:v>
      </x:c>
      <x:c r="D1202" s="4" t="str">
        <x:v>粉丝群会话与私信分开；只有有效团籍用户可进入。主动退出、被移出或拉黑主播后立即失去群聊权限。</x:v>
      </x:c>
      <x:c r="E1202" s="4" t="str">
        <x:v>尚未建立场景映射</x:v>
      </x:c>
      <x:c r="F1202" s="4" t="str"/>
      <x:c r="G1202" s="4" t="str">
        <x:v>本轮独立来源库保留该已知条款，但尚未建立可核验的正式场景映射；不是无业务依据，也不转为产品待确认。</x:v>
      </x:c>
    </x:row>
    <x:row r="1203" ht="44" customHeight="1">
      <x:c r="A1203" s="4" t="str">
        <x:v>REQ-12b73498ee66</x:v>
      </x:c>
      <x:c r="B1203" s="4" t="str">
        <x:v>消息与社交</x:v>
      </x:c>
      <x:c r="C1203" s="4" t="n">
        <x:v>1927</x:v>
      </x:c>
      <x:c r="D1203" s="4" t="str">
        <x:v>数据范围：当前账号有效团籍对应的粉丝群会话；按最后消息时间倒序，时间相同时按会话 ID 从大到小排序。</x:v>
      </x:c>
      <x:c r="E1203" s="4" t="str">
        <x:v>整段分支核验未闭合</x:v>
      </x:c>
      <x:c r="F1203" s="4" t="str">
        <x:v>USER-0768</x:v>
      </x:c>
      <x:c r="G1203" s="4" t="str">
        <x:v>本段剩余子句、条件组合及状态后续影响仍需与独立规则逐项闭合；这是生成覆盖缺口，不是产品决策缺失。</x:v>
      </x:c>
    </x:row>
    <x:row r="1204" ht="44" customHeight="1">
      <x:c r="A1204" s="4" t="str">
        <x:v>REQ-b50d6a9e70fe</x:v>
      </x:c>
      <x:c r="B1204" s="4" t="str">
        <x:v>消息与社交</x:v>
      </x:c>
      <x:c r="C1204" s="4" t="n">
        <x:v>1928</x:v>
      </x:c>
      <x:c r="D1204" s="4" t="str">
        <x:v>进入会话 -&gt; 清除当前会话未读数；团籍失效后立即从消息列表移除，不再保留入口。</x:v>
      </x:c>
      <x:c r="E1204" s="4" t="str">
        <x:v>整段分支核验未闭合</x:v>
      </x:c>
      <x:c r="F1204" s="4" t="str">
        <x:v>USER-0680、USER-0681</x:v>
      </x:c>
      <x:c r="G1204" s="4" t="str">
        <x:v>本段剩余子句、条件组合及状态后续影响仍需与独立规则逐项闭合；这是生成覆盖缺口，不是产品决策缺失。</x:v>
      </x:c>
    </x:row>
    <x:row r="1205" ht="44" customHeight="1">
      <x:c r="A1205" s="4" t="str">
        <x:v>REQ-fd6c62574131</x:v>
      </x:c>
      <x:c r="B1205" s="4" t="str">
        <x:v>消息与社交</x:v>
      </x:c>
      <x:c r="C1205" s="4" t="n">
        <x:v>1933</x:v>
      </x:c>
      <x:c r="D1205" s="4" t="str">
        <x:v>账号资料 / 社交数据：沿用当前用户主页的数据。</x:v>
      </x:c>
      <x:c r="E1205" s="4" t="str">
        <x:v>尚未建立场景映射</x:v>
      </x:c>
      <x:c r="F1205" s="4" t="str"/>
      <x:c r="G1205" s="4" t="str">
        <x:v>本轮独立来源库保留该已知条款，但尚未建立可核验的正式场景映射；不是无业务依据，也不转为产品待确认。</x:v>
      </x:c>
    </x:row>
    <x:row r="1206" ht="44" customHeight="1">
      <x:c r="A1206" s="4" t="str">
        <x:v>REQ-1a0ff54cb54b</x:v>
      </x:c>
      <x:c r="B1206" s="4" t="str">
        <x:v>消息与社交</x:v>
      </x:c>
      <x:c r="C1206" s="4" t="n">
        <x:v>1934</x:v>
      </x:c>
      <x:c r="D1206" s="4" t="str">
        <x:v>好友状态：当前双方已建立好友关系，提供删除好友操作。</x:v>
      </x:c>
      <x:c r="E1206" s="4" t="str">
        <x:v>尚未建立场景映射</x:v>
      </x:c>
      <x:c r="F1206" s="4" t="str"/>
      <x:c r="G1206" s="4" t="str">
        <x:v>本轮独立来源库保留该已知条款，但尚未建立可核验的正式场景映射；不是无业务依据，也不转为产品待确认。</x:v>
      </x:c>
    </x:row>
    <x:row r="1207" ht="44" customHeight="1">
      <x:c r="A1207" s="4" t="str">
        <x:v>REQ-a83aeaa009e6</x:v>
      </x:c>
      <x:c r="B1207" s="4" t="str">
        <x:v>消息与社交</x:v>
      </x:c>
      <x:c r="C1207" s="4" t="n">
        <x:v>1935</x:v>
      </x:c>
      <x:c r="D1207" s="4" t="str">
        <x:v>好友关系建立后双方可持续私信，关注关系仍独立管理。</x:v>
      </x:c>
      <x:c r="E1207" s="4" t="str">
        <x:v>尚未建立场景映射</x:v>
      </x:c>
      <x:c r="F1207" s="4" t="str"/>
      <x:c r="G1207" s="4" t="str">
        <x:v>本轮独立来源库保留该已知条款，但尚未建立可核验的正式场景映射；不是无业务依据，也不转为产品待确认。</x:v>
      </x:c>
    </x:row>
    <x:row r="1208" ht="44" customHeight="1">
      <x:c r="A1208" s="4" t="str">
        <x:v>REQ-eebc6e392955</x:v>
      </x:c>
      <x:c r="B1208" s="4" t="str">
        <x:v>消息与社交</x:v>
      </x:c>
      <x:c r="C1208" s="4" t="n">
        <x:v>1936</x:v>
      </x:c>
      <x:c r="D1208" s="4" t="str">
        <x:v>删除好友只解除好友关系并清空双方聊天记录，不自动取消关注。</x:v>
      </x:c>
      <x:c r="E1208" s="4" t="str">
        <x:v>整段分支核验未闭合</x:v>
      </x:c>
      <x:c r="F1208" s="4" t="str">
        <x:v>USER-0751</x:v>
      </x:c>
      <x:c r="G1208" s="4" t="str">
        <x:v>本段剩余子句、条件组合及状态后续影响仍需与独立规则逐项闭合；这是生成覆盖缺口，不是产品决策缺失。</x:v>
      </x:c>
    </x:row>
    <x:row r="1209" ht="44" customHeight="1">
      <x:c r="A1209" s="4" t="str">
        <x:v>REQ-2e9b84451f00</x:v>
      </x:c>
      <x:c r="B1209" s="4" t="str">
        <x:v>消息与社交</x:v>
      </x:c>
      <x:c r="C1209" s="4" t="n">
        <x:v>1937</x:v>
      </x:c>
      <x:c r="D1209" s="4" t="str">
        <x:v>任一方拉黑时好友关系立即解除，并删除双方私信会话和聊天记录。</x:v>
      </x:c>
      <x:c r="E1209" s="4" t="str">
        <x:v>尚未建立场景映射</x:v>
      </x:c>
      <x:c r="F1209" s="4" t="str"/>
      <x:c r="G1209" s="4" t="str">
        <x:v>本轮独立来源库保留该已知条款，但尚未建立可核验的正式场景映射；不是无业务依据，也不转为产品待确认。</x:v>
      </x:c>
    </x:row>
    <x:row r="1210" ht="44" customHeight="1">
      <x:c r="A1210" s="4" t="str">
        <x:v>REQ-5e8b58e43195</x:v>
      </x:c>
      <x:c r="B1210" s="4" t="str">
        <x:v>消息与社交</x:v>
      </x:c>
      <x:c r="C1210" s="4" t="n">
        <x:v>1938</x:v>
      </x:c>
      <x:c r="D1210" s="4" t="str">
        <x:v>私信 -&gt; 进入单聊；删除好友 -&gt; 二次确认后更新主页关系状态；关注或取消关注 -&gt; 仅更新关注关系。</x:v>
      </x:c>
      <x:c r="E1210" s="4" t="str">
        <x:v>尚未建立场景映射</x:v>
      </x:c>
      <x:c r="F1210" s="4" t="str"/>
      <x:c r="G1210" s="4" t="str">
        <x:v>本轮独立来源库保留该已知条款，但尚未建立可核验的正式场景映射；不是无业务依据，也不转为产品待确认。</x:v>
      </x:c>
    </x:row>
    <x:row r="1211" ht="44" customHeight="1">
      <x:c r="A1211" s="4" t="str">
        <x:v>REQ-43d2f18f40e8</x:v>
      </x:c>
      <x:c r="B1211" s="4" t="str">
        <x:v>消息与社交</x:v>
      </x:c>
      <x:c r="C1211" s="4" t="n">
        <x:v>1943</x:v>
      </x:c>
      <x:c r="D1211" s="4" t="str">
        <x:v>账号资料：沿用当前查看对象的资料。</x:v>
      </x:c>
      <x:c r="E1211" s="4" t="str">
        <x:v>尚未建立场景映射</x:v>
      </x:c>
      <x:c r="F1211" s="4" t="str"/>
      <x:c r="G1211" s="4" t="str">
        <x:v>本轮独立来源库保留该已知条款，但尚未建立可核验的正式场景映射；不是无业务依据，也不转为产品待确认。</x:v>
      </x:c>
    </x:row>
    <x:row r="1212" ht="57" customHeight="1">
      <x:c r="A1212" s="4" t="str">
        <x:v>REQ-4911c9f85e5d</x:v>
      </x:c>
      <x:c r="B1212" s="4" t="str">
        <x:v>消息与社交</x:v>
      </x:c>
      <x:c r="C1212" s="4" t="n">
        <x:v>1944</x:v>
      </x:c>
      <x:c r="D1212" s="4" t="str">
        <x:v>拉黑状态：当前账号已拉黑该对象，隐藏关注、好友和私信操作。</x:v>
      </x:c>
      <x:c r="E1212" s="4" t="str">
        <x:v>整段分支核验未闭合</x:v>
      </x:c>
      <x:c r="F1212" s="4" t="str">
        <x:v>USER-0271、USER-0272、USER-0273、USER-0274、USER-0665、USER-0666、USER-0667</x:v>
      </x:c>
      <x:c r="G1212" s="4" t="str">
        <x:v>本段剩余子句、条件组合及状态后续影响仍需与独立规则逐项闭合；这是生成覆盖缺口，不是产品决策缺失。</x:v>
      </x:c>
    </x:row>
    <x:row r="1213" ht="57" customHeight="1">
      <x:c r="A1213" s="4" t="str">
        <x:v>REQ-02339b59cf43</x:v>
      </x:c>
      <x:c r="B1213" s="4" t="str">
        <x:v>消息与社交</x:v>
      </x:c>
      <x:c r="C1213" s="4" t="n">
        <x:v>1945</x:v>
      </x:c>
      <x:c r="D1213" s="4" t="str">
        <x:v>双方不能搜索、关注、申请好友、私信或进入对方主持的直播间。</x:v>
      </x:c>
      <x:c r="E1213" s="4" t="str">
        <x:v>整段分支核验未闭合</x:v>
      </x:c>
      <x:c r="F1213" s="4" t="str">
        <x:v>USER-0271、USER-0272、USER-0273、USER-0274、USER-0665、USER-0666、USER-0667</x:v>
      </x:c>
      <x:c r="G1213" s="4" t="str">
        <x:v>本段剩余子句、条件组合及状态后续影响仍需与独立规则逐项闭合；这是生成覆盖缺口，不是产品决策缺失。</x:v>
      </x:c>
    </x:row>
    <x:row r="1214" ht="44" customHeight="1">
      <x:c r="A1214" s="4" t="str">
        <x:v>REQ-cc9e49e80e24</x:v>
      </x:c>
      <x:c r="B1214" s="4" t="str">
        <x:v>消息与社交</x:v>
      </x:c>
      <x:c r="C1214" s="4" t="n">
        <x:v>1946</x:v>
      </x:c>
      <x:c r="D1214" s="4" t="str">
        <x:v>已有关注、好友、好友申请和加入对方粉丝团的关系立即解除；双方私信会话和聊天记录清空。</x:v>
      </x:c>
      <x:c r="E1214" s="4" t="str">
        <x:v>整段分支核验未闭合</x:v>
      </x:c>
      <x:c r="F1214" s="4" t="str">
        <x:v>USER-0271、USER-0272、USER-0273、USER-0274</x:v>
      </x:c>
      <x:c r="G1214" s="4" t="str">
        <x:v>本段剩余子句、条件组合及状态后续影响仍需与独立规则逐项闭合；这是生成覆盖缺口，不是产品决策缺失。</x:v>
      </x:c>
    </x:row>
    <x:row r="1215" ht="44" customHeight="1">
      <x:c r="A1215" s="4" t="str">
        <x:v>REQ-abc9a04b4c60</x:v>
      </x:c>
      <x:c r="B1215" s="4" t="str">
        <x:v>消息与社交</x:v>
      </x:c>
      <x:c r="C1215" s="4" t="n">
        <x:v>1947</x:v>
      </x:c>
      <x:c r="D1215" s="4" t="str">
        <x:v>取消拉黑只解除当前拉黑记录，不恢复任何历史关系、会话、聊天记录、粉丝等级或亲密度。</x:v>
      </x:c>
      <x:c r="E1215" s="4" t="str">
        <x:v>整段分支核验未闭合</x:v>
      </x:c>
      <x:c r="F1215" s="4" t="str">
        <x:v>USER-0271、USER-0272、USER-0273、USER-0274、USER-0668</x:v>
      </x:c>
      <x:c r="G1215" s="4" t="str">
        <x:v>本段剩余子句、条件组合及状态后续影响仍需与独立规则逐项闭合；这是生成覆盖缺口，不是产品决策缺失。</x:v>
      </x:c>
    </x:row>
    <x:row r="1216" ht="57" customHeight="1">
      <x:c r="A1216" s="4" t="str">
        <x:v>REQ-586155102c1f</x:v>
      </x:c>
      <x:c r="B1216" s="4" t="str">
        <x:v>消息与社交</x:v>
      </x:c>
      <x:c r="C1216" s="4" t="n">
        <x:v>1948</x:v>
      </x:c>
      <x:c r="D1216" s="4" t="str">
        <x:v>拉黑状态下隐藏关注、好友和私信操作；取消拉黑确认 -&gt; 恢复可操作状态，但关系均显示未建立。</x:v>
      </x:c>
      <x:c r="E1216" s="4" t="str">
        <x:v>整段分支核验未闭合</x:v>
      </x:c>
      <x:c r="F1216" s="4" t="str">
        <x:v>USER-0271、USER-0272、USER-0273、USER-0274、USER-0665、USER-0666、USER-0667、USER-0668</x:v>
      </x:c>
      <x:c r="G1216" s="4" t="str">
        <x:v>本段剩余子句、条件组合及状态后续影响仍需与独立规则逐项闭合；这是生成覆盖缺口，不是产品决策缺失。</x:v>
      </x:c>
    </x:row>
    <x:row r="1217" ht="44" customHeight="1">
      <x:c r="A1217" s="4" t="str">
        <x:v>REQ-0e212575798c</x:v>
      </x:c>
      <x:c r="B1217" s="4" t="str">
        <x:v>消息与社交</x:v>
      </x:c>
      <x:c r="C1217" s="4" t="n">
        <x:v>1953</x:v>
      </x:c>
      <x:c r="D1217" s="4" t="str">
        <x:v>确认对象：展示当前要拉黑的账号昵称。</x:v>
      </x:c>
      <x:c r="E1217" s="4" t="str">
        <x:v>尚未建立场景映射</x:v>
      </x:c>
      <x:c r="F1217" s="4" t="str"/>
      <x:c r="G1217" s="4" t="str">
        <x:v>本轮独立来源库保留该已知条款，但尚未建立可核验的正式场景映射；不是无业务依据，也不转为产品待确认。</x:v>
      </x:c>
    </x:row>
    <x:row r="1218" ht="44" customHeight="1">
      <x:c r="A1218" s="4" t="str">
        <x:v>REQ-3f6a2f729865</x:v>
      </x:c>
      <x:c r="B1218" s="4" t="str">
        <x:v>消息与社交</x:v>
      </x:c>
      <x:c r="C1218" s="4" t="n">
        <x:v>1954</x:v>
      </x:c>
      <x:c r="D1218" s="4" t="str">
        <x:v>后果说明：提示拉黑后的关系和聊天限制。</x:v>
      </x:c>
      <x:c r="E1218" s="4" t="str">
        <x:v>整段分支核验未闭合</x:v>
      </x:c>
      <x:c r="F1218" s="4" t="str">
        <x:v>USER-0664</x:v>
      </x:c>
      <x:c r="G1218" s="4" t="str">
        <x:v>本段剩余子句、条件组合及状态后续影响仍需与独立规则逐项闭合；这是生成覆盖缺口，不是产品决策缺失。</x:v>
      </x:c>
    </x:row>
    <x:row r="1219" ht="44" customHeight="1">
      <x:c r="A1219" s="4" t="str">
        <x:v>REQ-8ed00684c40e</x:v>
      </x:c>
      <x:c r="B1219" s="4" t="str">
        <x:v>消息与社交</x:v>
      </x:c>
      <x:c r="C1219" s="4" t="n">
        <x:v>1955</x:v>
      </x:c>
      <x:c r="D1219" s="4" t="str">
        <x:v>确认拉黑后同步解除双方关注、好友和加入对方粉丝团的关系，使好友申请失效，并删除双方私信会话和聊天记录。</x:v>
      </x:c>
      <x:c r="E1219" s="4" t="str">
        <x:v>整段分支核验未闭合</x:v>
      </x:c>
      <x:c r="F1219" s="4" t="str">
        <x:v>USER-0664</x:v>
      </x:c>
      <x:c r="G1219" s="4" t="str">
        <x:v>本段剩余子句、条件组合及状态后续影响仍需与独立规则逐项闭合；这是生成覆盖缺口，不是产品决策缺失。</x:v>
      </x:c>
    </x:row>
    <x:row r="1220" ht="44" customHeight="1">
      <x:c r="A1220" s="4" t="str">
        <x:v>REQ-38cca962f38b</x:v>
      </x:c>
      <x:c r="B1220" s="4" t="str">
        <x:v>消息与社交</x:v>
      </x:c>
      <x:c r="C1220" s="4" t="n">
        <x:v>1956</x:v>
      </x:c>
      <x:c r="D1220" s="4" t="str">
        <x:v>确认拉黑 -&gt; 执行并切换为拉黑状态；取消或关闭 -&gt; 不改变现有关系。</x:v>
      </x:c>
      <x:c r="E1220" s="4" t="str">
        <x:v>整段分支核验未闭合</x:v>
      </x:c>
      <x:c r="F1220" s="4" t="str">
        <x:v>USER-0660、USER-0661、USER-0662、USER-0663</x:v>
      </x:c>
      <x:c r="G1220" s="4" t="str">
        <x:v>本段剩余子句、条件组合及状态后续影响仍需与独立规则逐项闭合；这是生成覆盖缺口，不是产品决策缺失。</x:v>
      </x:c>
    </x:row>
    <x:row r="1221" ht="44" customHeight="1">
      <x:c r="A1221" s="4" t="str">
        <x:v>REQ-021b938a9ceb</x:v>
      </x:c>
      <x:c r="B1221" s="4" t="str">
        <x:v>消息与社交</x:v>
      </x:c>
      <x:c r="C1221" s="4" t="n">
        <x:v>1961</x:v>
      </x:c>
      <x:c r="D1221" s="4" t="str">
        <x:v>确认对象：展示当前要拉黑的账号昵称。</x:v>
      </x:c>
      <x:c r="E1221" s="4" t="str">
        <x:v>尚未建立场景映射</x:v>
      </x:c>
      <x:c r="F1221" s="4" t="str"/>
      <x:c r="G1221" s="4" t="str">
        <x:v>本轮独立来源库保留该已知条款，但尚未建立可核验的正式场景映射；不是无业务依据，也不转为产品待确认。</x:v>
      </x:c>
    </x:row>
    <x:row r="1222" ht="44" customHeight="1">
      <x:c r="A1222" s="4" t="str">
        <x:v>REQ-24696928cf80</x:v>
      </x:c>
      <x:c r="B1222" s="4" t="str">
        <x:v>消息与社交</x:v>
      </x:c>
      <x:c r="C1222" s="4" t="n">
        <x:v>1962</x:v>
      </x:c>
      <x:c r="D1222" s="4" t="str">
        <x:v>后果说明：提示拉黑后的关系和聊天限制。</x:v>
      </x:c>
      <x:c r="E1222" s="4" t="str">
        <x:v>整段分支核验未闭合</x:v>
      </x:c>
      <x:c r="F1222" s="4" t="str">
        <x:v>USER-0664</x:v>
      </x:c>
      <x:c r="G1222" s="4" t="str">
        <x:v>本段剩余子句、条件组合及状态后续影响仍需与独立规则逐项闭合；这是生成覆盖缺口，不是产品决策缺失。</x:v>
      </x:c>
    </x:row>
    <x:row r="1223" ht="44" customHeight="1">
      <x:c r="A1223" s="4" t="str">
        <x:v>REQ-6690e4018de2</x:v>
      </x:c>
      <x:c r="B1223" s="4" t="str">
        <x:v>消息与社交</x:v>
      </x:c>
      <x:c r="C1223" s="4" t="n">
        <x:v>1963</x:v>
      </x:c>
      <x:c r="D1223" s="4" t="str">
        <x:v>主播与用户共用账号关系；拉黑后果与用户主页一致。</x:v>
      </x:c>
      <x:c r="E1223" s="4" t="str">
        <x:v>整段分支核验未闭合</x:v>
      </x:c>
      <x:c r="F1223" s="4" t="str">
        <x:v>USER-0664</x:v>
      </x:c>
      <x:c r="G1223" s="4" t="str">
        <x:v>本段剩余子句、条件组合及状态后续影响仍需与独立规则逐项闭合；这是生成覆盖缺口，不是产品决策缺失。</x:v>
      </x:c>
    </x:row>
    <x:row r="1224" ht="44" customHeight="1">
      <x:c r="A1224" s="4" t="str">
        <x:v>REQ-255f93b3ae45</x:v>
      </x:c>
      <x:c r="B1224" s="4" t="str">
        <x:v>消息与社交</x:v>
      </x:c>
      <x:c r="C1224" s="4" t="n">
        <x:v>1964</x:v>
      </x:c>
      <x:c r="D1224" s="4" t="str">
        <x:v>确认拉黑 -&gt; 执行并切换为拉黑状态；取消或关闭 -&gt; 不改变现有关系。</x:v>
      </x:c>
      <x:c r="E1224" s="4" t="str">
        <x:v>整段分支核验未闭合</x:v>
      </x:c>
      <x:c r="F1224" s="4" t="str">
        <x:v>USER-0660、USER-0661、USER-0662、USER-0663</x:v>
      </x:c>
      <x:c r="G1224" s="4" t="str">
        <x:v>本段剩余子句、条件组合及状态后续影响仍需与独立规则逐项闭合；这是生成覆盖缺口，不是产品决策缺失。</x:v>
      </x:c>
    </x:row>
    <x:row r="1225" ht="44" customHeight="1">
      <x:c r="A1225" s="4" t="str">
        <x:v>REQ-d9b5c1056043</x:v>
      </x:c>
      <x:c r="B1225" s="4" t="str">
        <x:v>消息与社交</x:v>
      </x:c>
      <x:c r="C1225" s="4" t="n">
        <x:v>1969</x:v>
      </x:c>
      <x:c r="D1225" s="4" t="str">
        <x:v>确认对象：展示当前要拉黑的账号昵称。</x:v>
      </x:c>
      <x:c r="E1225" s="4" t="str">
        <x:v>尚未建立场景映射</x:v>
      </x:c>
      <x:c r="F1225" s="4" t="str"/>
      <x:c r="G1225" s="4" t="str">
        <x:v>本轮独立来源库保留该已知条款，但尚未建立可核验的正式场景映射；不是无业务依据，也不转为产品待确认。</x:v>
      </x:c>
    </x:row>
    <x:row r="1226" ht="44" customHeight="1">
      <x:c r="A1226" s="4" t="str">
        <x:v>REQ-d2a042417034</x:v>
      </x:c>
      <x:c r="B1226" s="4" t="str">
        <x:v>消息与社交</x:v>
      </x:c>
      <x:c r="C1226" s="4" t="n">
        <x:v>1970</x:v>
      </x:c>
      <x:c r="D1226" s="4" t="str">
        <x:v>后果说明：提示拉黑后的关系和聊天限制。</x:v>
      </x:c>
      <x:c r="E1226" s="4" t="str">
        <x:v>整段分支核验未闭合</x:v>
      </x:c>
      <x:c r="F1226" s="4" t="str">
        <x:v>USER-0664</x:v>
      </x:c>
      <x:c r="G1226" s="4" t="str">
        <x:v>本段剩余子句、条件组合及状态后续影响仍需与独立规则逐项闭合；这是生成覆盖缺口，不是产品决策缺失。</x:v>
      </x:c>
    </x:row>
    <x:row r="1227" ht="44" customHeight="1">
      <x:c r="A1227" s="4" t="str">
        <x:v>REQ-bf0e1564d12b</x:v>
      </x:c>
      <x:c r="B1227" s="4" t="str">
        <x:v>消息与社交</x:v>
      </x:c>
      <x:c r="C1227" s="4" t="n">
        <x:v>1971</x:v>
      </x:c>
      <x:c r="D1227" s="4" t="str">
        <x:v>确认拉黑后删除双方私信会话并清空聊天记录，同时按账号拉黑规则解除相关关系。</x:v>
      </x:c>
      <x:c r="E1227" s="4" t="str">
        <x:v>整段分支核验未闭合</x:v>
      </x:c>
      <x:c r="F1227" s="4" t="str">
        <x:v>USER-0664</x:v>
      </x:c>
      <x:c r="G1227" s="4" t="str">
        <x:v>本段剩余子句、条件组合及状态后续影响仍需与独立规则逐项闭合；这是生成覆盖缺口，不是产品决策缺失。</x:v>
      </x:c>
    </x:row>
    <x:row r="1228" ht="44" customHeight="1">
      <x:c r="A1228" s="4" t="str">
        <x:v>REQ-4b0b89a9c815</x:v>
      </x:c>
      <x:c r="B1228" s="4" t="str">
        <x:v>消息与社交</x:v>
      </x:c>
      <x:c r="C1228" s="4" t="n">
        <x:v>1972</x:v>
      </x:c>
      <x:c r="D1228" s="4" t="str">
        <x:v>确认拉黑 -&gt; 执行并退出当前会话；取消或关闭 -&gt; 不改变现有关系。</x:v>
      </x:c>
      <x:c r="E1228" s="4" t="str">
        <x:v>整段分支核验未闭合</x:v>
      </x:c>
      <x:c r="F1228" s="4" t="str">
        <x:v>USER-0660、USER-0661、USER-0662、USER-0663</x:v>
      </x:c>
      <x:c r="G1228" s="4" t="str">
        <x:v>本段剩余子句、条件组合及状态后续影响仍需与独立规则逐项闭合；这是生成覆盖缺口，不是产品决策缺失。</x:v>
      </x:c>
    </x:row>
    <x:row r="1229" ht="44" customHeight="1">
      <x:c r="A1229" s="4" t="str">
        <x:v>REQ-70169de03bcb</x:v>
      </x:c>
      <x:c r="B1229" s="4" t="str">
        <x:v>主播管理</x:v>
      </x:c>
      <x:c r="C1229" s="4" t="n">
        <x:v>1977</x:v>
      </x:c>
      <x:c r="D1229" s="4" t="str">
        <x:v>直播分类：必选，名称、排序和上下架状态由平台配置。</x:v>
      </x:c>
      <x:c r="E1229" s="4" t="str">
        <x:v>整段分支核验未闭合</x:v>
      </x:c>
      <x:c r="F1229" s="4" t="str">
        <x:v>USER-0694</x:v>
      </x:c>
      <x:c r="G1229" s="4" t="str">
        <x:v>本段剩余子句、条件组合及状态后续影响仍需与独立规则逐项闭合；这是生成覆盖缺口，不是产品决策缺失。</x:v>
      </x:c>
    </x:row>
    <x:row r="1230" ht="44" customHeight="1">
      <x:c r="A1230" s="4" t="str">
        <x:v>REQ-1764da61e3f5</x:v>
      </x:c>
      <x:c r="B1230" s="4" t="str">
        <x:v>主播管理</x:v>
      </x:c>
      <x:c r="C1230" s="4" t="n">
        <x:v>1978</x:v>
      </x:c>
      <x:c r="D1230" s="4" t="str">
        <x:v>分类归属本次直播场次；已下架分类不可新选，历史场次仍保留原分类快照。</x:v>
      </x:c>
      <x:c r="E1230" s="4" t="str">
        <x:v>整段分支核验未闭合</x:v>
      </x:c>
      <x:c r="F1230" s="4" t="str">
        <x:v>USER-0694、USER-0695</x:v>
      </x:c>
      <x:c r="G1230" s="4" t="str">
        <x:v>本段剩余子句、条件组合及状态后续影响仍需与独立规则逐项闭合；这是生成覆盖缺口，不是产品决策缺失。</x:v>
      </x:c>
    </x:row>
    <x:row r="1231" ht="44" customHeight="1">
      <x:c r="A1231" s="4" t="str">
        <x:v>REQ-138a520f76a0</x:v>
      </x:c>
      <x:c r="B1231" s="4" t="str">
        <x:v>主播管理</x:v>
      </x:c>
      <x:c r="C1231" s="4" t="n">
        <x:v>1979</x:v>
      </x:c>
      <x:c r="D1231" s="4" t="str">
        <x:v>数据范围：平台当前已启用的直播分类；按平台配置顺序展示。</x:v>
      </x:c>
      <x:c r="E1231" s="4" t="str">
        <x:v>整段分支核验未闭合</x:v>
      </x:c>
      <x:c r="F1231" s="4" t="str">
        <x:v>USER-0694</x:v>
      </x:c>
      <x:c r="G1231" s="4" t="str">
        <x:v>本段剩余子句、条件组合及状态后续影响仍需与独立规则逐项闭合；这是生成覆盖缺口，不是产品决策缺失。</x:v>
      </x:c>
    </x:row>
    <x:row r="1232" ht="44" customHeight="1">
      <x:c r="A1232" s="4" t="str">
        <x:v>REQ-2c08ab173cfb</x:v>
      </x:c>
      <x:c r="B1232" s="4" t="str">
        <x:v>主播管理</x:v>
      </x:c>
      <x:c r="C1232" s="4" t="n">
        <x:v>1980</x:v>
      </x:c>
      <x:c r="D1232" s="4" t="str">
        <x:v>选择分类 -&gt; 回填并关闭视图；关闭未选择 -&gt; 保留原分类。</x:v>
      </x:c>
      <x:c r="E1232" s="4" t="str">
        <x:v>整段分支核验未闭合</x:v>
      </x:c>
      <x:c r="F1232" s="4" t="str">
        <x:v>USER-0695</x:v>
      </x:c>
      <x:c r="G1232" s="4" t="str">
        <x:v>本段剩余子句、条件组合及状态后续影响仍需与独立规则逐项闭合；这是生成覆盖缺口，不是产品决策缺失。</x:v>
      </x:c>
    </x:row>
    <x:row r="1233" ht="44" customHeight="1">
      <x:c r="A1233" s="4" t="str">
        <x:v>REQ-573171c66dc7</x:v>
      </x:c>
      <x:c r="B1233" s="4" t="str">
        <x:v>主播管理</x:v>
      </x:c>
      <x:c r="C1233" s="4" t="n">
        <x:v>1985</x:v>
      </x:c>
      <x:c r="D1233" s="4" t="str">
        <x:v>房型：当前选中普通房，无门票或密码必填项。</x:v>
      </x:c>
      <x:c r="E1233" s="4" t="str">
        <x:v>尚未建立场景映射</x:v>
      </x:c>
      <x:c r="F1233" s="4" t="str"/>
      <x:c r="G1233" s="4" t="str">
        <x:v>本轮独立来源库保留该已知条款，但尚未建立可核验的正式场景映射；不是无业务依据，也不转为产品待确认。</x:v>
      </x:c>
    </x:row>
    <x:row r="1234" ht="44" customHeight="1">
      <x:c r="A1234" s="4" t="str">
        <x:v>REQ-64e92abb7f2e</x:v>
      </x:c>
      <x:c r="B1234" s="4" t="str">
        <x:v>主播管理</x:v>
      </x:c>
      <x:c r="C1234" s="4" t="n">
        <x:v>1986</x:v>
      </x:c>
      <x:c r="D1234" s="4" t="str">
        <x:v>账号可用、与主播无拉黑关系且未被本场踢出的用户可免费进入。</x:v>
      </x:c>
      <x:c r="E1234" s="4" t="str">
        <x:v>尚未建立场景映射</x:v>
      </x:c>
      <x:c r="F1234" s="4" t="str"/>
      <x:c r="G1234" s="4" t="str">
        <x:v>本轮独立来源库保留该已知条款，但尚未建立可核验的正式场景映射；不是无业务依据，也不转为产品待确认。</x:v>
      </x:c>
    </x:row>
    <x:row r="1235" ht="44" customHeight="1">
      <x:c r="A1235" s="4" t="str">
        <x:v>REQ-bab7a8f221e5</x:v>
      </x:c>
      <x:c r="B1235" s="4" t="str">
        <x:v>主播管理</x:v>
      </x:c>
      <x:c r="C1235" s="4" t="n">
        <x:v>1987</x:v>
      </x:c>
      <x:c r="D1235" s="4" t="str">
        <x:v>普通房支持固定两位主播连麦，不支持观众上麦。</x:v>
      </x:c>
      <x:c r="E1235" s="4" t="str">
        <x:v>尚未建立场景映射</x:v>
      </x:c>
      <x:c r="F1235" s="4" t="str"/>
      <x:c r="G1235" s="4" t="str">
        <x:v>本轮独立来源库保留该已知条款，但尚未建立可核验的正式场景映射；不是无业务依据，也不转为产品待确认。</x:v>
      </x:c>
    </x:row>
    <x:row r="1236" ht="44" customHeight="1">
      <x:c r="A1236" s="4" t="str">
        <x:v>REQ-681920ccd67d</x:v>
      </x:c>
      <x:c r="B1236" s="4" t="str">
        <x:v>主播管理</x:v>
      </x:c>
      <x:c r="C1236" s="4" t="n">
        <x:v>1988</x:v>
      </x:c>
      <x:c r="D1236" s="4" t="str">
        <x:v>房型归属本次直播场次，历史场次不随修改变化。</x:v>
      </x:c>
      <x:c r="E1236" s="4" t="str">
        <x:v>尚未建立场景映射</x:v>
      </x:c>
      <x:c r="F1236" s="4" t="str"/>
      <x:c r="G1236" s="4" t="str">
        <x:v>本轮独立来源库保留该已知条款，但尚未建立可核验的正式场景映射；不是无业务依据，也不转为产品待确认。</x:v>
      </x:c>
    </x:row>
    <x:row r="1237" ht="44" customHeight="1">
      <x:c r="A1237" s="4" t="str">
        <x:v>REQ-63b73dc008c4</x:v>
      </x:c>
      <x:c r="B1237" s="4" t="str">
        <x:v>主播管理</x:v>
      </x:c>
      <x:c r="C1237" s="4" t="n">
        <x:v>1989</x:v>
      </x:c>
      <x:c r="D1237" s="4" t="str">
        <x:v>选择普通房 -&gt; 清除门票和密码必填校验；确认 -&gt; 回填房型并关闭视图。</x:v>
      </x:c>
      <x:c r="E1237" s="4" t="str">
        <x:v>整段分支核验未闭合</x:v>
      </x:c>
      <x:c r="F1237" s="4" t="str">
        <x:v>USER-0696</x:v>
      </x:c>
      <x:c r="G1237" s="4" t="str">
        <x:v>本段剩余子句、条件组合及状态后续影响仍需与独立规则逐项闭合；这是生成覆盖缺口，不是产品决策缺失。</x:v>
      </x:c>
    </x:row>
    <x:row r="1238" ht="44" customHeight="1">
      <x:c r="A1238" s="4" t="str">
        <x:v>REQ-4ec3abe6a8f5</x:v>
      </x:c>
      <x:c r="B1238" s="4" t="str">
        <x:v>主播管理</x:v>
      </x:c>
      <x:c r="C1238" s="4" t="n">
        <x:v>1994</x:v>
      </x:c>
      <x:c r="D1238" s="4" t="str">
        <x:v>门票价格：必选；后台已启用的价格档位全部平铺展示，按后台排序，只能单选。</x:v>
      </x:c>
      <x:c r="E1238" s="4" t="str">
        <x:v>整段分支核验未闭合</x:v>
      </x:c>
      <x:c r="F1238" s="4" t="str">
        <x:v>USER-0324、USER-0325</x:v>
      </x:c>
      <x:c r="G1238" s="4" t="str">
        <x:v>本段剩余子句、条件组合及状态后续影响仍需与独立规则逐项闭合；这是生成覆盖缺口，不是产品决策缺失。</x:v>
      </x:c>
    </x:row>
    <x:row r="1239" ht="44" customHeight="1">
      <x:c r="A1239" s="4" t="str">
        <x:v>REQ-65340745223f</x:v>
      </x:c>
      <x:c r="B1239" s="4" t="str">
        <x:v>主播管理</x:v>
      </x:c>
      <x:c r="C1239" s="4" t="n">
        <x:v>1995</x:v>
      </x:c>
      <x:c r="D1239" s="4" t="str">
        <x:v>门票房受平台功能开关控制，关闭时不可选择。</x:v>
      </x:c>
      <x:c r="E1239" s="4" t="str">
        <x:v>整段分支核验未闭合</x:v>
      </x:c>
      <x:c r="F1239" s="4" t="str">
        <x:v>USER-0326</x:v>
      </x:c>
      <x:c r="G1239" s="4" t="str">
        <x:v>本段剩余子句、条件组合及状态后续影响仍需与独立规则逐项闭合；这是生成覆盖缺口，不是产品决策缺失。</x:v>
      </x:c>
    </x:row>
    <x:row r="1240" ht="44" customHeight="1">
      <x:c r="A1240" s="4" t="str">
        <x:v>REQ-ca2877e2e19c</x:v>
      </x:c>
      <x:c r="B1240" s="4" t="str">
        <x:v>主播管理</x:v>
      </x:c>
      <x:c r="C1240" s="4" t="n">
        <x:v>1996</x:v>
      </x:c>
      <x:c r="D1240" s="4" t="str">
        <x:v>选中的价格保存到当前场次；后台后续调整档位不影响已创建场次。同场重复进入不收费；场次结束或被踢出后失效且不退款。</x:v>
      </x:c>
      <x:c r="E1240" s="4" t="str">
        <x:v>整段分支核验未闭合</x:v>
      </x:c>
      <x:c r="F1240" s="4" t="str">
        <x:v>USER-0324、USER-0325</x:v>
      </x:c>
      <x:c r="G1240" s="4" t="str">
        <x:v>本段剩余子句、条件组合及状态后续影响仍需与独立规则逐项闭合；这是生成覆盖缺口，不是产品决策缺失。</x:v>
      </x:c>
    </x:row>
    <x:row r="1241" ht="44" customHeight="1">
      <x:c r="A1241" s="4" t="str">
        <x:v>REQ-e20d55c5351e</x:v>
      </x:c>
      <x:c r="B1241" s="4" t="str">
        <x:v>主播管理</x:v>
      </x:c>
      <x:c r="C1241" s="4" t="n">
        <x:v>1997</x:v>
      </x:c>
      <x:c r="D1241" s="4" t="str">
        <x:v>门票房不支持连麦。</x:v>
      </x:c>
      <x:c r="E1241" s="4" t="str">
        <x:v>整段分支核验未闭合</x:v>
      </x:c>
      <x:c r="F1241" s="4" t="str">
        <x:v>USER-0698</x:v>
      </x:c>
      <x:c r="G1241" s="4" t="str">
        <x:v>本段剩余子句、条件组合及状态后续影响仍需与独立规则逐项闭合；这是生成覆盖缺口，不是产品决策缺失。</x:v>
      </x:c>
    </x:row>
    <x:row r="1242" ht="57" customHeight="1">
      <x:c r="A1242" s="4" t="str">
        <x:v>REQ-11d5dc6af0d0</x:v>
      </x:c>
      <x:c r="B1242" s="4" t="str">
        <x:v>主播管理</x:v>
      </x:c>
      <x:c r="C1242" s="4" t="n">
        <x:v>1998</x:v>
      </x:c>
      <x:c r="D1242" s="4" t="str">
        <x:v>选择门票房 -&gt; 平铺展示后台已启用的价格档位；点击档位 -&gt; 切换单选；未选择或档位已停用 -&gt; 不保存并提示“请选择有效的门票价格”；选择有效档位 -&gt; 回填门票房和价格。</x:v>
      </x:c>
      <x:c r="E1242" s="4" t="str">
        <x:v>整段分支核验未闭合</x:v>
      </x:c>
      <x:c r="F1242" s="4" t="str">
        <x:v>USER-0324、USER-0325、USER-0326、USER-0327</x:v>
      </x:c>
      <x:c r="G1242" s="4" t="str">
        <x:v>本段剩余子句、条件组合及状态后续影响仍需与独立规则逐项闭合；这是生成覆盖缺口，不是产品决策缺失。</x:v>
      </x:c>
    </x:row>
    <x:row r="1243" ht="44" customHeight="1">
      <x:c r="A1243" s="4" t="str">
        <x:v>REQ-1722b0f28c3d</x:v>
      </x:c>
      <x:c r="B1243" s="4" t="str">
        <x:v>主播管理</x:v>
      </x:c>
      <x:c r="C1243" s="4" t="n">
        <x:v>2003</x:v>
      </x:c>
      <x:c r="D1243" s="4" t="str">
        <x:v>房间密码：必填，必须为 4-12 个数字。</x:v>
      </x:c>
      <x:c r="E1243" s="4" t="str">
        <x:v>整段分支核验未闭合</x:v>
      </x:c>
      <x:c r="F1243" s="4" t="str">
        <x:v>USER-0313、USER-0314、USER-0315、USER-0316、USER-0317、USER-0318</x:v>
      </x:c>
      <x:c r="G1243" s="4" t="str">
        <x:v>本段剩余子句、条件组合及状态后续影响仍需与独立规则逐项闭合；这是生成覆盖缺口，不是产品决策缺失。</x:v>
      </x:c>
    </x:row>
    <x:row r="1244" ht="44" customHeight="1">
      <x:c r="A1244" s="4" t="str">
        <x:v>REQ-c543f6e52b46</x:v>
      </x:c>
      <x:c r="B1244" s="4" t="str">
        <x:v>主播管理</x:v>
      </x:c>
      <x:c r="C1244" s="4" t="n">
        <x:v>2004</x:v>
      </x:c>
      <x:c r="D1244" s="4" t="str">
        <x:v>广场展示：开启后可在直播广场展示；关闭后仅通过分享入口访问。无历史时默认开启。</x:v>
      </x:c>
      <x:c r="E1244" s="4" t="str">
        <x:v>整段分支核验未闭合</x:v>
      </x:c>
      <x:c r="F1244" s="4" t="str">
        <x:v>USER-0319、USER-0320、USER-0321、USER-0322、USER-0323</x:v>
      </x:c>
      <x:c r="G1244" s="4" t="str">
        <x:v>本段剩余子句、条件组合及状态后续影响仍需与独立规则逐项闭合；这是生成覆盖缺口，不是产品决策缺失。</x:v>
      </x:c>
    </x:row>
    <x:row r="1245" ht="44" customHeight="1">
      <x:c r="A1245" s="4" t="str">
        <x:v>REQ-e84116c2b0a5</x:v>
      </x:c>
      <x:c r="B1245" s="4" t="str">
        <x:v>主播管理</x:v>
      </x:c>
      <x:c r="C1245" s="4" t="n">
        <x:v>2005</x:v>
      </x:c>
      <x:c r="D1245" s="4" t="str">
        <x:v>仅粉丝团成员可进入直播间：开启后仅当前有效粉丝团成员可进入；无历史时默认关闭。</x:v>
      </x:c>
      <x:c r="E1245" s="4" t="str">
        <x:v>整段分支核验未闭合</x:v>
      </x:c>
      <x:c r="F1245" s="4" t="str">
        <x:v>USER-0319、USER-0320、USER-0321、USER-0322、USER-0323</x:v>
      </x:c>
      <x:c r="G1245" s="4" t="str">
        <x:v>本段剩余子句、条件组合及状态后续影响仍需与独立规则逐项闭合；这是生成覆盖缺口，不是产品决策缺失。</x:v>
      </x:c>
    </x:row>
    <x:row r="1246" ht="44" customHeight="1">
      <x:c r="A1246" s="4" t="str">
        <x:v>REQ-fdaf1d80f713</x:v>
      </x:c>
      <x:c r="B1246" s="4" t="str">
        <x:v>主播管理</x:v>
      </x:c>
      <x:c r="C1246" s="4" t="n">
        <x:v>2006</x:v>
      </x:c>
      <x:c r="D1246" s="4" t="str">
        <x:v>密码房受平台功能开关控制，关闭时不可选择。</x:v>
      </x:c>
      <x:c r="E1246" s="4" t="str">
        <x:v>整段分支核验未闭合</x:v>
      </x:c>
      <x:c r="F1246" s="4" t="str">
        <x:v>USER-0313、USER-0314、USER-0315、USER-0316、USER-0317、USER-0318</x:v>
      </x:c>
      <x:c r="G1246" s="4" t="str">
        <x:v>本段剩余子句、条件组合及状态后续影响仍需与独立规则逐项闭合；这是生成覆盖缺口，不是产品决策缺失。</x:v>
      </x:c>
    </x:row>
    <x:row r="1247" ht="44" customHeight="1">
      <x:c r="A1247" s="4" t="str">
        <x:v>REQ-5c1e9ea40f09</x:v>
      </x:c>
      <x:c r="B1247" s="4" t="str">
        <x:v>主播管理</x:v>
      </x:c>
      <x:c r="C1247" s="4" t="n">
        <x:v>2007</x:v>
      </x:c>
      <x:c r="D1247" s="4" t="str">
        <x:v>密码归属当前场次；密码房不支持连麦。</x:v>
      </x:c>
      <x:c r="E1247" s="4" t="str">
        <x:v>整段分支核验未闭合</x:v>
      </x:c>
      <x:c r="F1247" s="4" t="str">
        <x:v>USER-0313、USER-0314、USER-0315、USER-0316、USER-0317、USER-0318</x:v>
      </x:c>
      <x:c r="G1247" s="4" t="str">
        <x:v>本段剩余子句、条件组合及状态后续影响仍需与独立规则逐项闭合；这是生成覆盖缺口，不是产品决策缺失。</x:v>
      </x:c>
    </x:row>
    <x:row r="1248" ht="57" customHeight="1">
      <x:c r="A1248" s="4" t="str">
        <x:v>REQ-50d6f565540b</x:v>
      </x:c>
      <x:c r="B1248" s="4" t="str">
        <x:v>主播管理</x:v>
      </x:c>
      <x:c r="C1248" s="4" t="n">
        <x:v>2008</x:v>
      </x:c>
      <x:c r="D1248" s="4" t="str">
        <x:v>“在广场展示”仅控制卡片展示；成员限制开启时，非成员可看到卡片但点击后被拦截，成员输入正确密码后方可进入。</x:v>
      </x:c>
      <x:c r="E1248" s="4" t="str">
        <x:v>整段分支核验未闭合</x:v>
      </x:c>
      <x:c r="F1248" s="4" t="str">
        <x:v>USER-0313、USER-0314、USER-0315、USER-0316、USER-0317、USER-0318、USER-0323</x:v>
      </x:c>
      <x:c r="G1248" s="4" t="str">
        <x:v>本段剩余子句、条件组合及状态后续影响仍需与独立规则逐项闭合；这是生成覆盖缺口，不是产品决策缺失。</x:v>
      </x:c>
    </x:row>
    <x:row r="1249" ht="44" customHeight="1">
      <x:c r="A1249" s="4" t="str">
        <x:v>REQ-8a88b16f144e</x:v>
      </x:c>
      <x:c r="B1249" s="4" t="str">
        <x:v>主播管理</x:v>
      </x:c>
      <x:c r="C1249" s="4" t="n">
        <x:v>2009</x:v>
      </x:c>
      <x:c r="D1249" s="4" t="str">
        <x:v>账号封禁、拉黑和本场踢出优先于成员及密码校验；巡房人员和运营账号可绕过成员限制。</x:v>
      </x:c>
      <x:c r="E1249" s="4" t="str">
        <x:v>整段分支核验未闭合</x:v>
      </x:c>
      <x:c r="F1249" s="4" t="str">
        <x:v>USER-0313、USER-0314、USER-0315、USER-0316、USER-0317、USER-0318</x:v>
      </x:c>
      <x:c r="G1249" s="4" t="str">
        <x:v>本段剩余子句、条件组合及状态后续影响仍需与独立规则逐项闭合；这是生成覆盖缺口，不是产品决策缺失。</x:v>
      </x:c>
    </x:row>
    <x:row r="1250" ht="44" customHeight="1">
      <x:c r="A1250" s="4" t="str">
        <x:v>REQ-1a2e6b2db8a7</x:v>
      </x:c>
      <x:c r="B1250" s="4" t="str">
        <x:v>主播管理</x:v>
      </x:c>
      <x:c r="C1250" s="4" t="n">
        <x:v>2010</x:v>
      </x:c>
      <x:c r="D1250" s="4" t="str">
        <x:v>两个开关读取上次确认值；首次使用默认广场展示开启、成员限制关闭。主播未创建粉丝团时不可开启成员限制。</x:v>
      </x:c>
      <x:c r="E1250" s="4" t="str">
        <x:v>整段分支核验未闭合</x:v>
      </x:c>
      <x:c r="F1250" s="4" t="str">
        <x:v>USER-0319、USER-0320、USER-0321、USER-0322、USER-0323、USER-0323</x:v>
      </x:c>
      <x:c r="G1250" s="4" t="str">
        <x:v>本段剩余子句、条件组合及状态后续影响仍需与独立规则逐项闭合；这是生成覆盖缺口，不是产品决策缺失。</x:v>
      </x:c>
    </x:row>
    <x:row r="1251" ht="57" customHeight="1">
      <x:c r="A1251" s="4" t="str">
        <x:v>REQ-1edf72f6bdd0</x:v>
      </x:c>
      <x:c r="B1251" s="4" t="str">
        <x:v>主播管理</x:v>
      </x:c>
      <x:c r="C1251" s="4" t="n">
        <x:v>2011</x:v>
      </x:c>
      <x:c r="D1251" s="4" t="str">
        <x:v>密码不是 4-12 个数字 -&gt; 不保存、保留输入并提示“密码必须是4-12个数字”。</x:v>
      </x:c>
      <x:c r="E1251" s="4" t="str">
        <x:v>整段分支核验未闭合</x:v>
      </x:c>
      <x:c r="F1251" s="4" t="str">
        <x:v>USER-0313、USER-0314、USER-0315、USER-0316、USER-0317、USER-0318、USER-0321、USER-0322</x:v>
      </x:c>
      <x:c r="G1251" s="4" t="str">
        <x:v>本段剩余子句、条件组合及状态后续影响仍需与独立规则逐项闭合；这是生成覆盖缺口，不是产品决策缺失。</x:v>
      </x:c>
    </x:row>
    <x:row r="1252" ht="44" customHeight="1">
      <x:c r="A1252" s="4" t="str">
        <x:v>REQ-b7597dce37d8</x:v>
      </x:c>
      <x:c r="B1252" s="4" t="str">
        <x:v>主播管理</x:v>
      </x:c>
      <x:c r="C1252" s="4" t="n">
        <x:v>2012</x:v>
      </x:c>
      <x:c r="D1252" s="4" t="str">
        <x:v>切换访问开关后点击确认 -&gt; 保存本场配置和下次默认值并回填；关闭抽屉或点击遮罩 -&gt; 不保存修改。</x:v>
      </x:c>
      <x:c r="E1252" s="4" t="str">
        <x:v>整段分支核验未闭合</x:v>
      </x:c>
      <x:c r="F1252" s="4" t="str">
        <x:v>USER-0319、USER-0320、USER-0321、USER-0322</x:v>
      </x:c>
      <x:c r="G1252" s="4" t="str">
        <x:v>本段剩余子句、条件组合及状态后续影响仍需与独立规则逐项闭合；这是生成覆盖缺口，不是产品决策缺失。</x:v>
      </x:c>
    </x:row>
    <x:row r="1253" ht="44" customHeight="1">
      <x:c r="A1253" s="4" t="str">
        <x:v>REQ-c6e804b0e922</x:v>
      </x:c>
      <x:c r="B1253" s="4" t="str">
        <x:v>主播管理</x:v>
      </x:c>
      <x:c r="C1253" s="4" t="n">
        <x:v>2017</x:v>
      </x:c>
      <x:c r="D1253" s="4" t="str">
        <x:v>模式：可切换美颜和美型，两组参数独立保存。</x:v>
      </x:c>
      <x:c r="E1253" s="4" t="str">
        <x:v>整段分支核验未闭合</x:v>
      </x:c>
      <x:c r="F1253" s="4" t="str">
        <x:v>USER-0328、USER-0329、USER-0330</x:v>
      </x:c>
      <x:c r="G1253" s="4" t="str">
        <x:v>本段剩余子句、条件组合及状态后续影响仍需与独立规则逐项闭合；这是生成覆盖缺口，不是产品决策缺失。</x:v>
      </x:c>
    </x:row>
    <x:row r="1254" ht="44" customHeight="1">
      <x:c r="A1254" s="4" t="str">
        <x:v>REQ-f37aeaefa70d</x:v>
      </x:c>
      <x:c r="B1254" s="4" t="str">
        <x:v>主播管理</x:v>
      </x:c>
      <x:c r="C1254" s="4" t="n">
        <x:v>2018</x:v>
      </x:c>
      <x:c r="D1254" s="4" t="str">
        <x:v>项目：每个模式单选当前调整项。</x:v>
      </x:c>
      <x:c r="E1254" s="4" t="str">
        <x:v>尚未建立场景映射</x:v>
      </x:c>
      <x:c r="F1254" s="4" t="str"/>
      <x:c r="G1254" s="4" t="str">
        <x:v>本轮独立来源库保留该已知条款，但尚未建立可核验的正式场景映射；不是无业务依据，也不转为产品待确认。</x:v>
      </x:c>
    </x:row>
    <x:row r="1255" ht="44" customHeight="1">
      <x:c r="A1255" s="4" t="str">
        <x:v>REQ-797aed10c781</x:v>
      </x:c>
      <x:c r="B1255" s="4" t="str">
        <x:v>主播管理</x:v>
      </x:c>
      <x:c r="C1255" s="4" t="n">
        <x:v>2019</x:v>
      </x:c>
      <x:c r="D1255" s="4" t="str">
        <x:v>强度：取值 0-100，默认 50。</x:v>
      </x:c>
      <x:c r="E1255" s="4" t="str">
        <x:v>整段分支核验未闭合</x:v>
      </x:c>
      <x:c r="F1255" s="4" t="str">
        <x:v>USER-0328、USER-0329、USER-0330、USER-0331、USER-0332</x:v>
      </x:c>
      <x:c r="G1255" s="4" t="str">
        <x:v>本段剩余子句、条件组合及状态后续影响仍需与独立规则逐项闭合；这是生成覆盖缺口，不是产品决策缺失。</x:v>
      </x:c>
    </x:row>
    <x:row r="1256" ht="44" customHeight="1">
      <x:c r="A1256" s="4" t="str">
        <x:v>REQ-58a921917bfa</x:v>
      </x:c>
      <x:c r="B1256" s="4" t="str">
        <x:v>主播管理</x:v>
      </x:c>
      <x:c r="C1256" s="4" t="n">
        <x:v>2020</x:v>
      </x:c>
      <x:c r="D1256" s="4" t="str">
        <x:v>美颜参数只影响主播视频画面，不改变上传封面和历史直播记录。</x:v>
      </x:c>
      <x:c r="E1256" s="4" t="str">
        <x:v>整段分支核验未闭合</x:v>
      </x:c>
      <x:c r="F1256" s="4" t="str">
        <x:v>USER-0328、USER-0329、USER-0330</x:v>
      </x:c>
      <x:c r="G1256" s="4" t="str">
        <x:v>本段剩余子句、条件组合及状态后续影响仍需与独立规则逐项闭合；这是生成覆盖缺口，不是产品决策缺失。</x:v>
      </x:c>
    </x:row>
    <x:row r="1257" ht="44" customHeight="1">
      <x:c r="A1257" s="4" t="str">
        <x:v>REQ-947f26075775</x:v>
      </x:c>
      <x:c r="B1257" s="4" t="str">
        <x:v>主播管理</x:v>
      </x:c>
      <x:c r="C1257" s="4" t="n">
        <x:v>2021</x:v>
      </x:c>
      <x:c r="D1257" s="4" t="str">
        <x:v>选择项目并拖动 -&gt; 实时预览；恢复默认 -&gt; 清除选中项并将全部参数重置为 50；完成 -&gt; 保留当前参数并关闭。</x:v>
      </x:c>
      <x:c r="E1257" s="4" t="str">
        <x:v>整段分支核验未闭合</x:v>
      </x:c>
      <x:c r="F1257" s="4" t="str">
        <x:v>USER-0328、USER-0329、USER-0330、USER-0331、USER-0332</x:v>
      </x:c>
      <x:c r="G1257" s="4" t="str">
        <x:v>本段剩余子句、条件组合及状态后续影响仍需与独立规则逐项闭合；这是生成覆盖缺口，不是产品决策缺失。</x:v>
      </x:c>
    </x:row>
    <x:row r="1258" ht="44" customHeight="1">
      <x:c r="A1258" s="4" t="str">
        <x:v>REQ-1694230f1d67</x:v>
      </x:c>
      <x:c r="B1258" s="4" t="str">
        <x:v>主播管理</x:v>
      </x:c>
      <x:c r="C1258" s="4" t="n">
        <x:v>2026</x:v>
      </x:c>
      <x:c r="D1258" s="4" t="str">
        <x:v>月份：默认当前自然月，可切换有数据的历史月份；无数据月份全部指标显示 0。</x:v>
      </x:c>
      <x:c r="E1258" s="4" t="str">
        <x:v>整段分支核验未闭合</x:v>
      </x:c>
      <x:c r="F1258" s="4" t="str">
        <x:v>USER-0699、USER-0700、USER-0701、USER-0702、USER-0703、USER-0704</x:v>
      </x:c>
      <x:c r="G1258" s="4" t="str">
        <x:v>本段剩余子句、条件组合及状态后续影响仍需与独立规则逐项闭合；这是生成覆盖缺口，不是产品决策缺失。</x:v>
      </x:c>
    </x:row>
    <x:row r="1259" ht="57" customHeight="1">
      <x:c r="A1259" s="4" t="str">
        <x:v>REQ-00d9339c8a24</x:v>
      </x:c>
      <x:c r="B1259" s="4" t="str">
        <x:v>主播管理</x:v>
      </x:c>
      <x:c r="C1259" s="4" t="n">
        <x:v>2027</x:v>
      </x:c>
      <x:c r="D1259" s="4" t="str">
        <x:v>收益：汇总所选月份主播收益：普通/定制礼物及门票按成功支付金币；幸运礼物按送出价值 × 后台比例，默认 1%；虚拟金币、失败或撤销消费不计入。</x:v>
      </x:c>
      <x:c r="E1259" s="4" t="str">
        <x:v>尚未建立场景映射</x:v>
      </x:c>
      <x:c r="F1259" s="4" t="str"/>
      <x:c r="G1259" s="4" t="str">
        <x:v>本轮独立来源库保留该已知条款，但尚未建立可核验的正式场景映射；不是无业务依据，也不转为产品待确认。</x:v>
      </x:c>
    </x:row>
    <x:row r="1260" ht="44" customHeight="1">
      <x:c r="A1260" s="4" t="str">
        <x:v>REQ-017c27f81759</x:v>
      </x:c>
      <x:c r="B1260" s="4" t="str">
        <x:v>主播管理</x:v>
      </x:c>
      <x:c r="C1260" s="4" t="n">
        <x:v>2028</x:v>
      </x:c>
      <x:c r="D1260" s="4" t="str">
        <x:v>有效天：按主播所属自然日汇总有效直播时长；单日累计 &gt;= 3 小时计 1 天，每日最多 1 天。</x:v>
      </x:c>
      <x:c r="E1260" s="4" t="str">
        <x:v>整段分支核验未闭合</x:v>
      </x:c>
      <x:c r="F1260" s="4" t="str">
        <x:v>USER-0705</x:v>
      </x:c>
      <x:c r="G1260" s="4" t="str">
        <x:v>本段剩余子句、条件组合及状态后续影响仍需与独立规则逐项闭合；这是生成覆盖缺口，不是产品决策缺失。</x:v>
      </x:c>
    </x:row>
    <x:row r="1261" ht="44" customHeight="1">
      <x:c r="A1261" s="4" t="str">
        <x:v>REQ-b6983d1d63d6</x:v>
      </x:c>
      <x:c r="B1261" s="4" t="str">
        <x:v>主播管理</x:v>
      </x:c>
      <x:c r="C1261" s="4" t="n">
        <x:v>2029</x:v>
      </x:c>
      <x:c r="D1261" s="4" t="str">
        <x:v>开播时长：所选月份各场次有效直播时长之和；进行中场次使用实时值。</x:v>
      </x:c>
      <x:c r="E1261" s="4" t="str">
        <x:v>尚未建立场景映射</x:v>
      </x:c>
      <x:c r="F1261" s="4" t="str"/>
      <x:c r="G1261" s="4" t="str">
        <x:v>本轮独立来源库保留该已知条款，但尚未建立可核验的正式场景映射；不是无业务依据，也不转为产品待确认。</x:v>
      </x:c>
    </x:row>
    <x:row r="1262" ht="44" customHeight="1">
      <x:c r="A1262" s="4" t="str">
        <x:v>REQ-1efa1ebf4f78</x:v>
      </x:c>
      <x:c r="B1262" s="4" t="str">
        <x:v>主播管理</x:v>
      </x:c>
      <x:c r="C1262" s="4" t="n">
        <x:v>2030</x:v>
      </x:c>
      <x:c r="D1262" s="4" t="str">
        <x:v>观众人次：展示所选月份的观看统计值。</x:v>
      </x:c>
      <x:c r="E1262" s="4" t="str">
        <x:v>尚未建立场景映射</x:v>
      </x:c>
      <x:c r="F1262" s="4" t="str"/>
      <x:c r="G1262" s="4" t="str">
        <x:v>本轮独立来源库保留该已知条款，但尚未建立可核验的正式场景映射；不是无业务依据，也不转为产品待确认。</x:v>
      </x:c>
    </x:row>
    <x:row r="1263" ht="44" customHeight="1">
      <x:c r="A1263" s="4" t="str">
        <x:v>REQ-c1b745ad45f1</x:v>
      </x:c>
      <x:c r="B1263" s="4" t="str">
        <x:v>主播管理</x:v>
      </x:c>
      <x:c r="C1263" s="4" t="n">
        <x:v>2031</x:v>
      </x:c>
      <x:c r="D1263" s="4" t="str">
        <x:v>新增粉丝/送礼人数：展示所选月份的统计值。</x:v>
      </x:c>
      <x:c r="E1263" s="4" t="str">
        <x:v>尚未建立场景映射</x:v>
      </x:c>
      <x:c r="F1263" s="4" t="str"/>
      <x:c r="G1263" s="4" t="str">
        <x:v>本轮独立来源库保留该已知条款，但尚未建立可核验的正式场景映射；不是无业务依据，也不转为产品待确认。</x:v>
      </x:c>
    </x:row>
    <x:row r="1264" ht="44" customHeight="1">
      <x:c r="A1264" s="4" t="str">
        <x:v>REQ-6fa3d081c1f0</x:v>
      </x:c>
      <x:c r="B1264" s="4" t="str">
        <x:v>主播管理</x:v>
      </x:c>
      <x:c r="C1264" s="4" t="n">
        <x:v>2032</x:v>
      </x:c>
      <x:c r="D1264" s="4" t="str">
        <x:v>仅统计已形成有效记录的直播场次；场次结束后数据保留，后续退款或冲正按平台财务口径更新。</x:v>
      </x:c>
      <x:c r="E1264" s="4" t="str">
        <x:v>尚未建立场景映射</x:v>
      </x:c>
      <x:c r="F1264" s="4" t="str"/>
      <x:c r="G1264" s="4" t="str">
        <x:v>本轮独立来源库保留该已知条款，但尚未建立可核验的正式场景映射；不是无业务依据，也不转为产品待确认。</x:v>
      </x:c>
    </x:row>
    <x:row r="1265" ht="44" customHeight="1">
      <x:c r="A1265" s="4" t="str">
        <x:v>REQ-690c750b81b8</x:v>
      </x:c>
      <x:c r="B1265" s="4" t="str">
        <x:v>主播管理</x:v>
      </x:c>
      <x:c r="C1265" s="4" t="n">
        <x:v>2033</x:v>
      </x:c>
      <x:c r="D1265" s="4" t="str">
        <x:v>数据范围：当前主播所选自然月的有效直播记录；</x:v>
      </x:c>
      <x:c r="E1265" s="4" t="str">
        <x:v>尚未建立场景映射</x:v>
      </x:c>
      <x:c r="F1265" s="4" t="str"/>
      <x:c r="G1265" s="4" t="str">
        <x:v>本轮独立来源库保留该已知条款，但尚未建立可核验的正式场景映射；不是无业务依据，也不转为产品待确认。</x:v>
      </x:c>
    </x:row>
    <x:row r="1266" ht="44" customHeight="1">
      <x:c r="A1266" s="4" t="str">
        <x:v>REQ-bcaeb38298cb</x:v>
      </x:c>
      <x:c r="B1266" s="4" t="str">
        <x:v>主播管理</x:v>
      </x:c>
      <x:c r="C1266" s="4" t="n">
        <x:v>2034</x:v>
      </x:c>
      <x:c r="D1266" s="4" t="str">
        <x:v>切换月份 -&gt; 同步更新全部指标和明细入口；无数据月份展示 0，不沿用上一月份数据。</x:v>
      </x:c>
      <x:c r="E1266" s="4" t="str">
        <x:v>整段分支核验未闭合</x:v>
      </x:c>
      <x:c r="F1266" s="4" t="str">
        <x:v>USER-0699、USER-0700、USER-0701、USER-0702、USER-0703、USER-0704</x:v>
      </x:c>
      <x:c r="G1266" s="4" t="str">
        <x:v>本段剩余子句、条件组合及状态后续影响仍需与独立规则逐项闭合；这是生成覆盖缺口，不是产品决策缺失。</x:v>
      </x:c>
    </x:row>
    <x:row r="1267" ht="44" customHeight="1">
      <x:c r="A1267" s="4" t="str">
        <x:v>REQ-e855670b3ded</x:v>
      </x:c>
      <x:c r="B1267" s="4" t="str">
        <x:v>公会设置</x:v>
      </x:c>
      <x:c r="C1267" s="4" t="n">
        <x:v>2349</x:v>
      </x:c>
      <x:c r="D1267" s="4" t="str">
        <x:v>修改密码 -&gt; 独立页面；退出登录 -&gt; 二次确认 -&gt; 清除会话并返回登录页。</x:v>
      </x:c>
      <x:c r="E1267" s="4" t="str">
        <x:v>整段分支核验未闭合</x:v>
      </x:c>
      <x:c r="F1267" s="4" t="str">
        <x:v>USER-0777、USER-0778、USER-0780、USER-0781、USER-0782</x:v>
      </x:c>
      <x:c r="G1267" s="4" t="str">
        <x:v>本段剩余子句、条件组合及状态后续影响仍需与独立规则逐项闭合；这是生成覆盖缺口，不是产品决策缺失。</x:v>
      </x:c>
    </x:row>
    <x:row r="1268" ht="44" customHeight="1">
      <x:c r="A1268" s="4" t="str">
        <x:v>REQ-02eb22f92b59</x:v>
      </x:c>
      <x:c r="B1268" s="4" t="str">
        <x:v>数据与收益</x:v>
      </x:c>
      <x:c r="C1268" s="4" t="n">
        <x:v>2409</x:v>
      </x:c>
      <x:c r="D1268" s="4" t="str">
        <x:v>处理结果：警告、关闭场次、关闭直播权限、账号封禁等；无处置结果显示“-”。</x:v>
      </x:c>
      <x:c r="E1268" s="4" t="str">
        <x:v>整段分支核验未闭合</x:v>
      </x:c>
      <x:c r="F1268" s="4" t="str">
        <x:v>USER-0401、USER-0402、USER-0403、USER-0404</x:v>
      </x:c>
      <x:c r="G1268" s="4" t="str">
        <x:v>本段剩余子句、条件组合及状态后续影响仍需与独立规则逐项闭合；这是生成覆盖缺口，不是产品决策缺失。</x:v>
      </x:c>
    </x:row>
    <x:row r="1269" ht="44" customHeight="1">
      <x:c r="A1269" s="4" t="str">
        <x:v>REQ-b8c55635b4fb</x:v>
      </x:c>
      <x:c r="B1269" s="4" t="str">
        <x:v>数据与收益</x:v>
      </x:c>
      <x:c r="C1269" s="4" t="n">
        <x:v>2410</x:v>
      </x:c>
      <x:c r="D1269" s="4" t="str">
        <x:v>警告不结束直播；关闭场次仅结束当前直播；关闭直播权限立即结束当前直播并阻止再次开播。</x:v>
      </x:c>
      <x:c r="E1269" s="4" t="str">
        <x:v>整段分支核验未闭合</x:v>
      </x:c>
      <x:c r="F1269" s="4" t="str">
        <x:v>USER-0401、USER-0402、USER-0403、USER-0404</x:v>
      </x:c>
      <x:c r="G1269" s="4" t="str">
        <x:v>本段剩余子句、条件组合及状态后续影响仍需与独立规则逐项闭合；这是生成覆盖缺口，不是产品决策缺失。</x:v>
      </x:c>
    </x:row>
    <x:row r="1270" ht="44" customHeight="1">
      <x:c r="A1270" s="4" t="str">
        <x:v>REQ-c3c43cdfeffa</x:v>
      </x:c>
      <x:c r="B1270" s="4" t="str">
        <x:v>主播管理</x:v>
      </x:c>
      <x:c r="C1270" s="4" t="n">
        <x:v>2537</x:v>
      </x:c>
      <x:c r="D1270" s="4" t="str">
        <x:v>变更权限、警告、封禁或解封 -&gt; 填写原因并确认 -&gt; 记录前后值、操作人和时间；导出当前筛选结果。</x:v>
      </x:c>
      <x:c r="E1270" s="4" t="str">
        <x:v>整段分支核验未闭合</x:v>
      </x:c>
      <x:c r="F1270" s="4" t="str">
        <x:v>USER-0401、USER-0402、USER-0403、USER-0404</x:v>
      </x:c>
      <x:c r="G1270" s="4" t="str">
        <x:v>本段剩余子句、条件组合及状态后续影响仍需与独立规则逐项闭合；这是生成覆盖缺口，不是产品决策缺失。</x:v>
      </x:c>
    </x:row>
    <x:row r="1271" ht="44" customHeight="1">
      <x:c r="A1271" s="4" t="str">
        <x:v>REQ-5486bbbe8ae4</x:v>
      </x:c>
      <x:c r="B1271" s="4" t="str">
        <x:v>主播管理</x:v>
      </x:c>
      <x:c r="C1271" s="4" t="n">
        <x:v>2584</x:v>
      </x:c>
      <x:c r="D1271" s="4" t="str">
        <x:v>查询 -&gt; 条件取交集；警告 -&gt; 直播继续；关播 -&gt; 立即结束当前场次。</x:v>
      </x:c>
      <x:c r="E1271" s="4" t="str">
        <x:v>整段分支核验未闭合</x:v>
      </x:c>
      <x:c r="F1271" s="4" t="str">
        <x:v>USER-0401、USER-0402、USER-0403、USER-0404</x:v>
      </x:c>
      <x:c r="G1271" s="4" t="str">
        <x:v>本段剩余子句、条件组合及状态后续影响仍需与独立规则逐项闭合；这是生成覆盖缺口，不是产品决策缺失。</x:v>
      </x:c>
    </x:row>
    <x:row r="1272" ht="44" customHeight="1">
      <x:c r="A1272" s="4" t="str">
        <x:v>REQ-0f804538eb02</x:v>
      </x:c>
      <x:c r="B1272" s="4" t="str">
        <x:v>主播管理</x:v>
      </x:c>
      <x:c r="C1272" s="4" t="n">
        <x:v>2595</x:v>
      </x:c>
      <x:c r="D1272" s="4" t="str">
        <x:v>警告不改状态；关播只结束本场；关闭直播权限在举报处置或主播权限中执行。</x:v>
      </x:c>
      <x:c r="E1272" s="4" t="str">
        <x:v>整段分支核验未闭合</x:v>
      </x:c>
      <x:c r="F1272" s="4" t="str">
        <x:v>USER-0401、USER-0402、USER-0403、USER-0404</x:v>
      </x:c>
      <x:c r="G1272" s="4" t="str">
        <x:v>本段剩余子句、条件组合及状态后续影响仍需与独立规则逐项闭合；这是生成覆盖缺口，不是产品决策缺失。</x:v>
      </x:c>
    </x:row>
    <x:row r="1273" ht="44" customHeight="1">
      <x:c r="A1273" s="4" t="str">
        <x:v>REQ-d2dab6a4ea9a</x:v>
      </x:c>
      <x:c r="B1273" s="4" t="str">
        <x:v>主播管理</x:v>
      </x:c>
      <x:c r="C1273" s="4" t="n">
        <x:v>2596</x:v>
      </x:c>
      <x:c r="D1273" s="4" t="str">
        <x:v>警告或关播 -&gt; 填写原因并确认 -&gt; 通知主播并留痕；已结束时无即时处置。</x:v>
      </x:c>
      <x:c r="E1273" s="4" t="str">
        <x:v>整段分支核验未闭合</x:v>
      </x:c>
      <x:c r="F1273" s="4" t="str">
        <x:v>USER-0401、USER-0402、USER-0403、USER-0404</x:v>
      </x:c>
      <x:c r="G1273" s="4" t="str">
        <x:v>本段剩余子句、条件组合及状态后续影响仍需与独立规则逐项闭合；这是生成覆盖缺口，不是产品决策缺失。</x:v>
      </x:c>
    </x:row>
    <x:row r="1274" ht="44" customHeight="1">
      <x:c r="A1274" s="4" t="str">
        <x:v>REQ-dd130a0f8dd4</x:v>
      </x:c>
      <x:c r="B1274" s="4" t="str">
        <x:v>内容审核</x:v>
      </x:c>
      <x:c r="C1274" s="4" t="n">
        <x:v>2675</x:v>
      </x:c>
      <x:c r="D1274" s="4" t="str">
        <x:v>处置类型：账号：不处置、封禁；直播：不处置、警告、关播、关闭直播权限。</x:v>
      </x:c>
      <x:c r="E1274" s="4" t="str">
        <x:v>整段分支核验未闭合</x:v>
      </x:c>
      <x:c r="F1274" s="4" t="str">
        <x:v>USER-0401、USER-0402、USER-0403、USER-0404</x:v>
      </x:c>
      <x:c r="G1274" s="4" t="str">
        <x:v>本段剩余子句、条件组合及状态后续影响仍需与独立规则逐项闭合；这是生成覆盖缺口，不是产品决策缺失。</x:v>
      </x:c>
    </x:row>
    <x:row r="1275" ht="44" customHeight="1">
      <x:c r="A1275" s="4" t="str">
        <x:v>REQ-9bc480896cd5</x:v>
      </x:c>
      <x:c r="B1275" s="4" t="str">
        <x:v>内容审核</x:v>
      </x:c>
      <x:c r="C1275" s="4" t="n">
        <x:v>2678</x:v>
      </x:c>
      <x:c r="D1275" s="4" t="str">
        <x:v>警告继续直播；关播只结束本场；关闭直播权限同时关播并阻止再开播。</x:v>
      </x:c>
      <x:c r="E1275" s="4" t="str">
        <x:v>整段分支核验未闭合</x:v>
      </x:c>
      <x:c r="F1275" s="4" t="str">
        <x:v>USER-0401、USER-0402、USER-0403、USER-0404</x:v>
      </x:c>
      <x:c r="G1275" s="4" t="str">
        <x:v>本段剩余子句、条件组合及状态后续影响仍需与独立规则逐项闭合；这是生成覆盖缺口，不是产品决策缺失。</x:v>
      </x:c>
    </x:row>
    <x:row r="1276" ht="57" customHeight="1">
      <x:c r="A1276" s="4" t="str">
        <x:v>REQ-91af942de282</x:v>
      </x:c>
      <x:c r="B1276" s="4" t="str">
        <x:v>礼物与道具</x:v>
      </x:c>
      <x:c r="C1276" s="4" t="n">
        <x:v>2803</x:v>
      </x:c>
      <x:c r="D1276" s="4" t="str">
        <x:v>可佩戴期限：获得道具用户期限内可佩戴，过期后不可佩戴，用户端显示已过期，修改配置只对未来用户生效。默认当天至当天后第 30 天；不限表示永久。</x:v>
      </x:c>
      <x:c r="E1276" s="4" t="str">
        <x:v>整段分支核验未闭合</x:v>
      </x:c>
      <x:c r="F1276" s="4" t="str">
        <x:v>USER-0415</x:v>
      </x:c>
      <x:c r="G1276" s="4" t="str">
        <x:v>本段剩余子句、条件组合及状态后续影响仍需与独立规则逐项闭合；这是生成覆盖缺口，不是产品决策缺失。</x:v>
      </x:c>
    </x:row>
    <x:row r="1277" ht="44" customHeight="1">
      <x:c r="A1277" s="4" t="str">
        <x:v>REQ-d6bd53bfa7de</x:v>
      </x:c>
      <x:c r="B1277" s="4" t="str">
        <x:v>礼物与道具</x:v>
      </x:c>
      <x:c r="C1277" s="4" t="n">
        <x:v>2804</x:v>
      </x:c>
      <x:c r="D1277" s="4" t="str">
        <x:v>上下架仅控制能否获得；下架不影响已获得道具。</x:v>
      </x:c>
      <x:c r="E1277" s="4" t="str">
        <x:v>整段分支核验未闭合</x:v>
      </x:c>
      <x:c r="F1277" s="4" t="str">
        <x:v>USER-0635</x:v>
      </x:c>
      <x:c r="G1277" s="4" t="str">
        <x:v>本段剩余子句、条件组合及状态后续影响仍需与独立规则逐项闭合；这是生成覆盖缺口，不是产品决策缺失。</x:v>
      </x:c>
    </x:row>
    <x:row r="1278" ht="57" customHeight="1">
      <x:c r="A1278" s="4" t="str">
        <x:v>REQ-558d7e0eabe1</x:v>
      </x:c>
      <x:c r="B1278" s="4" t="str">
        <x:v>礼物与道具</x:v>
      </x:c>
      <x:c r="C1278" s="4" t="n">
        <x:v>2818</x:v>
      </x:c>
      <x:c r="D1278" s="4" t="str">
        <x:v>可佩戴期限：获得道具用户期限内可佩戴，过期后不可佩戴，用户端显示已过期，修改配置只对未来用户生效。默认当天至当天后第 30 天；开始日期不能早于当天，结束日期必须晚于开始日期；不限表示永久。</x:v>
      </x:c>
      <x:c r="E1278" s="4" t="str">
        <x:v>整段分支核验未闭合</x:v>
      </x:c>
      <x:c r="F1278" s="4" t="str">
        <x:v>USER-0415</x:v>
      </x:c>
      <x:c r="G1278" s="4" t="str">
        <x:v>本段剩余子句、条件组合及状态后续影响仍需与独立规则逐项闭合；这是生成覆盖缺口，不是产品决策缺失。</x:v>
      </x:c>
    </x:row>
    <x:row r="1279" ht="44" customHeight="1">
      <x:c r="A1279" s="4" t="str">
        <x:v>REQ-4b7248133e7e</x:v>
      </x:c>
      <x:c r="B1279" s="4" t="str">
        <x:v>礼物与道具</x:v>
      </x:c>
      <x:c r="C1279" s="4" t="n">
        <x:v>2831</x:v>
      </x:c>
      <x:c r="D1279" s="4" t="str">
        <x:v>停用后关联礼物默认仅支持 ×1，不影响已完成赠送。</x:v>
      </x:c>
      <x:c r="E1279" s="4" t="str">
        <x:v>整段分支核验未闭合</x:v>
      </x:c>
      <x:c r="F1279" s="4" t="str">
        <x:v>USER-0636</x:v>
      </x:c>
      <x:c r="G1279" s="4" t="str">
        <x:v>本段剩余子句、条件组合及状态后续影响仍需与独立规则逐项闭合；这是生成覆盖缺口，不是产品决策缺失。</x:v>
      </x:c>
    </x:row>
    <x:row r="1280" ht="44" customHeight="1">
      <x:c r="A1280" s="4" t="str">
        <x:v>REQ-93e16c320224</x:v>
      </x:c>
      <x:c r="B1280" s="4" t="str">
        <x:v>运营管理</x:v>
      </x:c>
      <x:c r="C1280" s="4" t="n">
        <x:v>2962</x:v>
      </x:c>
      <x:c r="D1280" s="4" t="str">
        <x:v>填写的金币数值为达到该等级所需的累计门槛；累计值大于或等于门槛即达标，同时满足多档时取最高等级，允许一次跨越多级。</x:v>
      </x:c>
      <x:c r="E1280" s="4" t="str">
        <x:v>整段分支核验未闭合</x:v>
      </x:c>
      <x:c r="F1280" s="4" t="str">
        <x:v>USER-0522、USER-0523、USER-0524、USER-0525、USER-0526、USER-0527</x:v>
      </x:c>
      <x:c r="G1280" s="4" t="str">
        <x:v>本段剩余子句、条件组合及状态后续影响仍需与独立规则逐项闭合；这是生成覆盖缺口，不是产品决策缺失。</x:v>
      </x:c>
    </x:row>
    <x:row r="1281" ht="44" customHeight="1">
      <x:c r="A1281" s="4" t="str">
        <x:v>REQ-2d8cefe6c177</x:v>
      </x:c>
      <x:c r="B1281" s="4" t="str">
        <x:v>运营账号</x:v>
      </x:c>
      <x:c r="C1281" s="4" t="n">
        <x:v>3375</x:v>
      </x:c>
      <x:c r="D1281" s="4" t="str">
        <x:v>发放后余额：发放前余额 + 发放金币。</x:v>
      </x:c>
      <x:c r="E1281" s="4" t="str">
        <x:v>整段分支核验未闭合</x:v>
      </x:c>
      <x:c r="F1281" s="4" t="str">
        <x:v>USER-0397</x:v>
      </x:c>
      <x:c r="G1281" s="4" t="str">
        <x:v>本段剩余子句、条件组合及状态后续影响仍需与独立规则逐项闭合；这是生成覆盖缺口，不是产品决策缺失。</x:v>
      </x:c>
    </x:row>
    <x:row r="1282" ht="72" customHeight="1">
      <x:c r="A1282" s="4" t="str">
        <x:v>REQ-92eca975cc39、REQ-5273bfbbbf60、REQ-64c43dff585c、REQ-b90f85aeaa35</x:v>
      </x:c>
      <x:c r="B1282" s="4" t="str">
        <x:v>消息与社交</x:v>
      </x:c>
      <x:c r="C1282" s="4" t="str"/>
      <x:c r="D1282" s="4" t="str">
        <x:v>验证非好友发送好友申请</x:v>
      </x:c>
      <x:c r="E1282" s="4" t="str">
        <x:v>局部隔离</x:v>
      </x:c>
      <x:c r="F1282" s="4" t="str"/>
      <x:c r="G1282" s="4" t="str">
        <x:v>发送方是否能查看该笔待处理申请状态没有明确入口；保留发起与接收方状态同步缺口</x:v>
      </x:c>
    </x:row>
    <x:row r="1283" ht="44" customHeight="1">
      <x:c r="A1283" s="4" t="str">
        <x:v>REQ-64c43dff585c</x:v>
      </x:c>
      <x:c r="B1283" s="4" t="str">
        <x:v>消息与社交</x:v>
      </x:c>
      <x:c r="C1283" s="4" t="str"/>
      <x:c r="D1283" s="4" t="str">
        <x:v>验证存在待处理好友申请时不重复申请</x:v>
      </x:c>
      <x:c r="E1283" s="4" t="str">
        <x:v>局部隔离</x:v>
      </x:c>
      <x:c r="F1283" s="4" t="str"/>
      <x:c r="G1283" s="4" t="str">
        <x:v>需要可定位申请编号或接收队列证明没有第二条记录；当前步骤未提供</x:v>
      </x:c>
    </x:row>
    <x:row r="1284" ht="57" customHeight="1">
      <x:c r="A1284" s="4" t="str">
        <x:v>REQ-26afc3a3ec61、REQ-a0492a84dfb6、REQ-43a003d8c23f</x:v>
      </x:c>
      <x:c r="B1284" s="4" t="str">
        <x:v>消息与社交</x:v>
      </x:c>
      <x:c r="C1284" s="4" t="str"/>
      <x:c r="D1284" s="4" t="str">
        <x:v>验证成员主动退出粉丝群</x:v>
      </x:c>
      <x:c r="E1284" s="4" t="str">
        <x:v>局部隔离</x:v>
      </x:c>
      <x:c r="F1284" s="4" t="str"/>
      <x:c r="G1284" s="4" t="str">
        <x:v>退出群管理后缺少该身份标识实际观察位置，未通过角色与入口核对</x:v>
      </x:c>
    </x:row>
    <x:row r="1285" ht="57" customHeight="1">
      <x:c r="A1285" s="4" t="str">
        <x:v>REQ-26afc3a3ec61、REQ-a0492a84dfb6、REQ-43a003d8c23f</x:v>
      </x:c>
      <x:c r="B1285" s="4" t="str">
        <x:v>消息与社交</x:v>
      </x:c>
      <x:c r="C1285" s="4" t="str"/>
      <x:c r="D1285" s="4" t="str">
        <x:v>验证成员主动退出粉丝群</x:v>
      </x:c>
      <x:c r="E1285" s="4" t="str">
        <x:v>局部隔离</x:v>
      </x:c>
      <x:c r="F1285" s="4" t="str"/>
      <x:c r="G1285" s="4" t="str">
        <x:v>退团后本端不再有原团成长值查看权限；新加入重置已另行设计</x:v>
      </x:c>
    </x:row>
    <x:row r="1286" ht="44" customHeight="1">
      <x:c r="A1286" s="4" t="str">
        <x:v>REQ-9ef14bed6d45</x:v>
      </x:c>
      <x:c r="B1286" s="4" t="str">
        <x:v>首页与发现</x:v>
      </x:c>
      <x:c r="C1286" s="4" t="str"/>
      <x:c r="D1286" s="4" t="str">
        <x:v>验证未开始任务不产生新进度</x:v>
      </x:c>
      <x:c r="E1286" s="4" t="str">
        <x:v>局部隔离</x:v>
      </x:c>
      <x:c r="F1286" s="4" t="str"/>
      <x:c r="G1286" s="4" t="str">
        <x:v>停用或过期后页面是否保留任务入口尚不能由本条证明；不能直接观察隐藏任务的进度</x:v>
      </x:c>
    </x:row>
    <x:row r="1287" ht="44" customHeight="1">
      <x:c r="A1287" s="4" t="str">
        <x:v>REQ-9ef14bed6d45</x:v>
      </x:c>
      <x:c r="B1287" s="4" t="str">
        <x:v>首页与发现</x:v>
      </x:c>
      <x:c r="C1287" s="4" t="str"/>
      <x:c r="D1287" s="4" t="str">
        <x:v>验证已结束任务不产生新进度</x:v>
      </x:c>
      <x:c r="E1287" s="4" t="str">
        <x:v>局部隔离</x:v>
      </x:c>
      <x:c r="F1287" s="4" t="str"/>
      <x:c r="G1287" s="4" t="str">
        <x:v>停用或过期后页面是否保留任务入口尚不能由本条证明；不能直接观察隐藏任务的进度</x:v>
      </x:c>
    </x:row>
    <x:row r="1288" ht="44" customHeight="1">
      <x:c r="A1288" s="4" t="str">
        <x:v>REQ-9ef14bed6d45</x:v>
      </x:c>
      <x:c r="B1288" s="4" t="str">
        <x:v>首页与发现</x:v>
      </x:c>
      <x:c r="C1288" s="4" t="str"/>
      <x:c r="D1288" s="4" t="str">
        <x:v>验证已停用任务不产生新进度</x:v>
      </x:c>
      <x:c r="E1288" s="4" t="str">
        <x:v>局部隔离</x:v>
      </x:c>
      <x:c r="F1288" s="4" t="str"/>
      <x:c r="G1288" s="4" t="str">
        <x:v>停用或过期后页面是否保留任务入口尚不能由本条证明；不能直接观察隐藏任务的进度</x:v>
      </x:c>
    </x:row>
  </x:sheetData>
  <x:pageMargins left="0.7" right="0.7" top="0.75" bottom="0.75" header="0.3" footer="0.3"/>
  <x:tableParts count="1">
    <x:tablePart xmlns:r="http://schemas.openxmlformats.org/officeDocument/2006/relationships" r:id="Rd5ad1b11888b47eb"/>
  </x:tableParts>
</x:worksheet>
</file>