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7a6e46b3b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8df82e3dbf1f4f97"/>
    <x:sheet xmlns:r="http://schemas.openxmlformats.org/officeDocument/2006/relationships" name="功能测试用例" sheetId="2" r:id="R75e2f4fd377e47bd"/>
    <x:sheet xmlns:r="http://schemas.openxmlformats.org/officeDocument/2006/relationships" name="需求待确认" sheetId="3" r:id="Rae013790e13449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3fe30a9d241e8" /><Relationship Type="http://schemas.openxmlformats.org/officeDocument/2006/relationships/theme" Target="/xl/theme/theme1.xml" Id="Ra5d9aabc3ebd4e9a" /><Relationship Type="http://schemas.openxmlformats.org/officeDocument/2006/relationships/sharedStrings" Target="/xl/sharedStrings.xml" Id="R03da436767874a39" /><Relationship Type="http://schemas.openxmlformats.org/officeDocument/2006/relationships/worksheet" Target="/xl/worksheets/sheet1.xml" Id="R8df82e3dbf1f4f97" /><Relationship Type="http://schemas.openxmlformats.org/officeDocument/2006/relationships/worksheet" Target="/xl/worksheets/sheet2.xml" Id="R75e2f4fd377e47bd" /><Relationship Type="http://schemas.openxmlformats.org/officeDocument/2006/relationships/worksheet" Target="/xl/worksheets/sheet3.xml" Id="Rae013790e13449b2" /></Relationships>
</file>

<file path=xl/tables/table1.xml><?xml version="1.0" encoding="utf-8"?>
<x:table xmlns:x="http://schemas.openxmlformats.org/spreadsheetml/2006/main" id="1" name="LiveCasesTable" displayName="LiveCasesTable" ref="A1:O577" headerRowCount="1" totalsRowCount="0" totalsRowShown="0">
  <x:autoFilter ref="A1:O57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3" headerRowCount="1" totalsRowCount="0" totalsRowShown="0">
  <x:autoFilter ref="A1:T2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59eeb73a9a42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66f9b02f764e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阶段性-管理后台-全部模块-260916-002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COUNTA('需求待确认'!$A$2:$A$23)</x:f>
        <x:v>22</x:v>
      </x:c>
      <x:c r="C5" s="13"/>
      <x:c r="D5" s="20" t="str">
        <x:v>阻塞测试</x:v>
      </x:c>
      <x:c r="E5" s="22" t="n">
        <x:f>COUNTIFS('需求待确认'!$E$2:$E$23,"阻塞测试",'需求待确认'!$T$2:$T$23,"待确认")</x:f>
        <x:v>0</x:v>
      </x:c>
      <x:c r="F5" s="13"/>
      <x:c r="G5" s="20" t="str">
        <x:v>产品</x:v>
      </x:c>
      <x:c r="H5" s="22" t="n">
        <x:f>COUNTIFS('需求待确认'!$R$2:$R$23,"产品",'需求待确认'!$T$2:$T$23,"待确认")</x:f>
        <x:v>21</x:v>
      </x:c>
    </x:row>
    <x:row r="6">
      <x:c r="A6" s="20" t="str">
        <x:v>当前可回答</x:v>
      </x:c>
      <x:c r="B6" s="22" t="n">
        <x:f>COUNTIF('需求待确认'!$T$2:$T$23,"待确认")</x:f>
        <x:v>22</x:v>
      </x:c>
      <x:c r="C6" s="13"/>
      <x:c r="D6" s="20" t="str">
        <x:v>部分阻塞</x:v>
      </x:c>
      <x:c r="E6" s="22" t="n">
        <x:f>COUNTIFS('需求待确认'!$E$2:$E$23,"部分阻塞",'需求待确认'!$T$2:$T$23,"待确认")</x:f>
        <x:v>22</x:v>
      </x:c>
      <x:c r="F6" s="13"/>
      <x:c r="G6" s="20" t="str">
        <x:v>交互</x:v>
      </x:c>
      <x:c r="H6" s="22" t="n">
        <x:f>COUNTIFS('需求待确认'!$R$2:$R$23,"交互",'需求待确认'!$T$2:$T$23,"待确认")</x:f>
        <x:v>1</x:v>
      </x:c>
    </x:row>
    <x:row r="7">
      <x:c r="A7" s="20" t="str">
        <x:v>待前置结论</x:v>
      </x:c>
      <x:c r="B7" s="22" t="n">
        <x:f>COUNTIF('需求待确认'!$T$2:$T$23,"待前置结论")</x:f>
        <x:v>0</x:v>
      </x:c>
      <x:c r="C7" s="13"/>
      <x:c r="D7" s="20" t="str">
        <x:v>不阻塞</x:v>
      </x:c>
      <x:c r="E7" s="22" t="n">
        <x:f>COUNTIFS('需求待确认'!$E$2:$E$23,"不阻塞",'需求待确认'!$T$2:$T$23,"待确认")</x:f>
        <x:v>0</x:v>
      </x:c>
      <x:c r="F7" s="13"/>
      <x:c r="G7" s="20" t="str">
        <x:v>技术</x:v>
      </x:c>
      <x:c r="H7" s="22" t="n">
        <x:f>COUNTIFS('需求待确认'!$R$2:$R$23,"技术",'需求待确认'!$T$2:$T$23,"待确认")</x:f>
        <x:v>0</x:v>
      </x:c>
    </x:row>
    <x:row r="8">
      <x:c r="A8" s="20" t="str">
        <x:v>确认中</x:v>
      </x:c>
      <x:c r="B8" s="22" t="n">
        <x:f>COUNTIF('需求待确认'!$T$2:$T$23,"确认中")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COUNTIFS('需求待确认'!$R$2:$R$23,"多方确认",'需求待确认'!$T$2:$T$23,"待确认")</x:f>
        <x:v>0</x:v>
      </x:c>
    </x:row>
    <x:row r="9">
      <x:c r="A9" s="20" t="str">
        <x:v>已确认</x:v>
      </x:c>
      <x:c r="B9" s="22" t="n">
        <x:f>COUNTIF('需求待确认'!$T$2:$T$23,"已确认")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验证工作台活跃用户按登录账号去重</x:v>
      </x:c>
      <x:c r="H2" s="9" t="str">
        <x:v>工作台日活人数</x:v>
      </x:c>
      <x:c r="I2" s="9" t="str">
        <x:v>1. 执行角色为平台管理员
2. 账号具有当前模块访问及本次操作权限
3. 业务数据已准备且本页已打开；表单和筛选保持下列指定状态
4. 最新自然日甲启动3次、乙从后台回前台1次、游客启动1次</x:v>
      </x:c>
      <x:c r="J2" s="9" t="str">
        <x:v>1. 查看工作台页</x:v>
      </x:c>
      <x:c r="K2" s="9" t="str">
        <x:v>活跃用户显示2人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来源（当前证据）：liveshow-proto/MainBasis/统一需求文档.md；位置：REQ-54337ecd936b；行3496
2. 规则：BR-2f27fba13394301d
3. 未动态验证</x:v>
      </x:c>
    </x:row>
    <x:row r="3" ht="13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验证工作台新增用户只计完成注册</x:v>
      </x:c>
      <x:c r="H3" s="9" t="str">
        <x:v>工作台新增用户数</x:v>
      </x:c>
      <x:c r="I3" s="9" t="str">
        <x:v>1. 执行角色为平台管理员
2. 账号具有当前模块访问及本次操作权限
3. 业务数据已准备且本页已打开；表单和筛选保持下列指定状态
4. 最新自然日甲完成注册，乙只打开注册页</x:v>
      </x:c>
      <x:c r="J3" s="9" t="str">
        <x:v>1. 查看工作台页</x:v>
      </x:c>
      <x:c r="K3" s="9" t="str">
        <x:v>新增用户显示1人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来源（当前证据）：liveshow-proto/MainBasis/统一需求文档.md；位置：REQ-54337ecd936b；行3496
2. 规则：BR-1d22d64814e387d1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逻辑校验</x:v>
      </x:c>
      <x:c r="F4" s="10" t="str">
        <x:v>P1</x:v>
      </x:c>
      <x:c r="G4" s="9" t="str">
        <x:v>验证新用户无充值时ARPU为零</x:v>
      </x:c>
      <x:c r="H4" s="9" t="str">
        <x:v>工作台新用户ARPU零分母</x:v>
      </x:c>
      <x:c r="I4" s="9" t="str">
        <x:v>1. 执行角色为平台管理员
2. 账号具有当前模块访问及本次操作权限
3. 业务数据已准备且本页已打开；表单和筛选保持下列指定状态
4. 最新自然日无新用户充值</x:v>
      </x:c>
      <x:c r="J4" s="9" t="str">
        <x:v>1. 查看工作台页</x:v>
      </x:c>
      <x:c r="K4" s="9" t="str">
        <x:v>新用户ARPU显示0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来源（当前证据）：liveshow-proto/MainBasis/统一需求文档.md；位置：REQ-a2aea92511e8；行3502
2. 规则：BR-9bf5b14cc457eb25
3. 未动态验证</x:v>
      </x:c>
    </x:row>
    <x:row r="5" ht="13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逻辑校验</x:v>
      </x:c>
      <x:c r="F5" s="10" t="str">
        <x:v>P1</x:v>
      </x:c>
      <x:c r="G5" s="9" t="str">
        <x:v>验证新用户ARPU按充值人数计算</x:v>
      </x:c>
      <x:c r="H5" s="9" t="str">
        <x:v>工作台新用户ARPU公式</x:v>
      </x:c>
      <x:c r="I5" s="9" t="str">
        <x:v>1. 执行角色为平台管理员
2. 账号具有当前模块访问及本次操作权限
3. 业务数据已准备且本页已打开；表单和筛选保持下列指定状态
4. 最新日新增10人，其中2人成功充值共20美元</x:v>
      </x:c>
      <x:c r="J5" s="9" t="str">
        <x:v>1. 查看工作台页</x:v>
      </x:c>
      <x:c r="K5" s="9" t="str">
        <x:v>新用户ARPU = 10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来源（当前证据）：liveshow-proto/MainBasis/统一需求文档.md；位置：REQ-a2aea92511e8；行3502
2. 规则：BR-1d3e657d13a4d0ff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验证工作台趋势限定最近7自然日</x:v>
      </x:c>
      <x:c r="H6" s="9" t="str">
        <x:v>工作台趋势日期范围</x:v>
      </x:c>
      <x:c r="I6" s="9" t="str">
        <x:v>1. 执行角色为平台管理员
2. 账号具有当前模块访问及本次操作权限
3. 业务数据已准备且本页已打开；表单和筛选保持下列指定状态
4. 最新自然日为9月16日</x:v>
      </x:c>
      <x:c r="J6" s="9" t="str">
        <x:v>1. 查看工作台页
2. 点击活跃用户指标卡</x:v>
      </x:c>
      <x:c r="K6" s="9" t="str">
        <x:v>趋势日期为9月10日至9月16日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来源（当前证据）：liveshow-proto/MainBasis/统一需求文档.md；位置：REQ-6543c415067c；行3508
2. 规则：BR-27f522e4a1217a2f
3. 未动态验证</x:v>
      </x:c>
    </x:row>
    <x:row r="7" ht="130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工作台（平台管理员视角）</x:v>
      </x:c>
      <x:c r="E7" s="10" t="str">
        <x:v>功能需求</x:v>
      </x:c>
      <x:c r="F7" s="10" t="str">
        <x:v>P2</x:v>
      </x:c>
      <x:c r="G7" s="9" t="str">
        <x:v>验证工作台被动退款按退款时间排序</x:v>
      </x:c>
      <x:c r="H7" s="9" t="str">
        <x:v>工作台退款顺序</x:v>
      </x:c>
      <x:c r="I7" s="9" t="str">
        <x:v>1. 执行角色为平台管理员
2. 账号具有当前模块访问及本次操作权限
3. 业务数据已准备且本页已打开；表单和筛选保持下列指定状态
4. 退款A在10点，B在11点，充值顺序相反</x:v>
      </x:c>
      <x:c r="J7" s="9" t="str">
        <x:v>1. 查看工作台页</x:v>
      </x:c>
      <x:c r="K7" s="9" t="str">
        <x:v>B排列在A之前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来源（当前证据）：liveshow-proto/MainBasis/统一需求文档.md；位置：REQ-a931723abfae；行3506
2. 规则：BR-e87d662d7fa7165d
3. 未动态验证</x:v>
      </x:c>
    </x:row>
    <x:row r="8" ht="85" customHeight="1">
      <x:c r="A8" s="10" t="n">
        <x:v>7</x:v>
      </x:c>
      <x:c r="B8" s="10" t="str">
        <x:v>ADMIN-02-0001</x:v>
      </x:c>
      <x:c r="C8" s="10" t="str">
        <x:v>用户管理</x:v>
      </x:c>
      <x:c r="D8" s="10" t="str">
        <x:v>用户列表（平台管理员视角）</x:v>
      </x:c>
      <x:c r="E8" s="10" t="str">
        <x:v>逻辑校验</x:v>
      </x:c>
      <x:c r="F8" s="10" t="str">
        <x:v>P1</x:v>
      </x:c>
      <x:c r="G8" s="9" t="str">
        <x:v>验证财富等级筛选-1至3不合法</x:v>
      </x:c>
      <x:c r="H8" s="9" t="str">
        <x:v>用户等级范围校验</x:v>
      </x:c>
      <x:c r="I8" s="9" t="str">
        <x:v>1. 执行角色为平台管理员
2. 账号具有当前模块访问及本次操作权限</x:v>
      </x:c>
      <x:c r="J8" s="9" t="str">
        <x:v>1. 进入用户列表页
2. 填写财富等级下限为-1
3. 填写财富等级上限为3
4. 点击查询</x:v>
      </x:c>
      <x:c r="K8" s="9" t="str">
        <x:v>不能执行该等级范围查询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来源（当前证据）：liveshow-proto/MainBasis/统一需求文档.md；位置：REQ-31f26460a96e；行3521
2. 规则：BR-e68bf95d972e3fc1
3. 未动态验证</x:v>
      </x:c>
    </x:row>
    <x:row r="9" ht="85" customHeight="1">
      <x:c r="A9" s="10" t="n">
        <x:v>8</x:v>
      </x:c>
      <x:c r="B9" s="10" t="str">
        <x:v>ADMIN-02-0002</x:v>
      </x:c>
      <x:c r="C9" s="10" t="str">
        <x:v>用户管理</x:v>
      </x:c>
      <x:c r="D9" s="10" t="str">
        <x:v>用户列表（平台管理员视角）</x:v>
      </x:c>
      <x:c r="E9" s="10" t="str">
        <x:v>逻辑校验</x:v>
      </x:c>
      <x:c r="F9" s="10" t="str">
        <x:v>P1</x:v>
      </x:c>
      <x:c r="G9" s="9" t="str">
        <x:v>验证财富等级筛选2.5至3不合法</x:v>
      </x:c>
      <x:c r="H9" s="9" t="str">
        <x:v>用户等级范围校验</x:v>
      </x:c>
      <x:c r="I9" s="9" t="str">
        <x:v>1. 执行角色为平台管理员
2. 账号具有当前模块访问及本次操作权限</x:v>
      </x:c>
      <x:c r="J9" s="9" t="str">
        <x:v>1. 进入用户列表页
2. 填写财富等级下限为2.5
3. 填写财富等级上限为3
4. 点击查询</x:v>
      </x:c>
      <x:c r="K9" s="9" t="str">
        <x:v>不能执行该等级范围查询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来源（当前证据）：liveshow-proto/MainBasis/统一需求文档.md；位置：REQ-31f26460a96e；行3521
2. 规则：BR-6200b572c009557a
3. 未动态验证</x:v>
      </x:c>
    </x:row>
    <x:row r="10" ht="85" customHeight="1">
      <x:c r="A10" s="10" t="n">
        <x:v>9</x:v>
      </x:c>
      <x:c r="B10" s="10" t="str">
        <x:v>ADMIN-02-0003</x:v>
      </x:c>
      <x:c r="C10" s="10" t="str">
        <x:v>用户管理</x:v>
      </x:c>
      <x:c r="D10" s="10" t="str">
        <x:v>用户列表（平台管理员视角）</x:v>
      </x:c>
      <x:c r="E10" s="10" t="str">
        <x:v>逻辑校验</x:v>
      </x:c>
      <x:c r="F10" s="10" t="str">
        <x:v>P1</x:v>
      </x:c>
      <x:c r="G10" s="9" t="str">
        <x:v>验证财富等级筛选5至4不合法</x:v>
      </x:c>
      <x:c r="H10" s="9" t="str">
        <x:v>用户等级范围校验</x:v>
      </x:c>
      <x:c r="I10" s="9" t="str">
        <x:v>1. 执行角色为平台管理员
2. 账号具有当前模块访问及本次操作权限</x:v>
      </x:c>
      <x:c r="J10" s="9" t="str">
        <x:v>1. 进入用户列表页
2. 填写财富等级下限为5
3. 填写财富等级上限为4
4. 点击查询</x:v>
      </x:c>
      <x:c r="K10" s="9" t="str">
        <x:v>不能执行该等级范围查询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来源（当前证据）：liveshow-proto/MainBasis/统一需求文档.md；位置：REQ-31f26460a96e；行3521
2. 规则：BR-284b875a893175d2
3. 未动态验证</x:v>
      </x:c>
    </x:row>
    <x:row r="11" ht="85" customHeight="1">
      <x:c r="A11" s="10" t="n">
        <x:v>10</x:v>
      </x:c>
      <x:c r="B11" s="10" t="str">
        <x:v>ADMIN-02-0004</x:v>
      </x:c>
      <x:c r="C11" s="10" t="str">
        <x:v>用户管理</x:v>
      </x:c>
      <x:c r="D11" s="10" t="str">
        <x:v>用户列表（平台管理员视角）</x:v>
      </x:c>
      <x:c r="E11" s="10" t="str">
        <x:v>功能需求</x:v>
      </x:c>
      <x:c r="F11" s="10" t="str">
        <x:v>P2</x:v>
      </x:c>
      <x:c r="G11" s="9" t="str">
        <x:v>验证用户状态仅正常和封禁</x:v>
      </x:c>
      <x:c r="H11" s="9" t="str">
        <x:v>用户账号状态枚举</x:v>
      </x:c>
      <x:c r="I11" s="9" t="str">
        <x:v>1. 执行角色为平台管理员
2. 账号具有当前模块访问及本次操作权限</x:v>
      </x:c>
      <x:c r="J11" s="9" t="str">
        <x:v>1. 进入用户列表页
2. 点击账号状态筛选</x:v>
      </x:c>
      <x:c r="K11" s="9" t="str">
        <x:v>账号状态选项仅正常和封禁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来源（当前证据）：liveshow-proto/MainBasis/统一需求文档.md；位置：REQ-5c9332705223；行3519
2. 规则：BR-8a5587e4838404bb
3. 未动态验证</x:v>
      </x:c>
    </x:row>
    <x:row r="12" ht="130" customHeight="1">
      <x:c r="A12" s="10" t="n">
        <x:v>11</x:v>
      </x:c>
      <x:c r="B12" s="10" t="str">
        <x:v>ADMIN-02-0005</x:v>
      </x:c>
      <x:c r="C12" s="10" t="str">
        <x:v>用户管理</x:v>
      </x:c>
      <x:c r="D12" s="10" t="str">
        <x:v>用户列表（平台管理员视角）</x:v>
      </x:c>
      <x:c r="E12" s="10" t="str">
        <x:v>逻辑校验</x:v>
      </x:c>
      <x:c r="F12" s="10" t="str">
        <x:v>P1</x:v>
      </x:c>
      <x:c r="G12" s="9" t="str">
        <x:v>验证用户列表多条件取交集</x:v>
      </x:c>
      <x:c r="H12" s="9" t="str">
        <x:v>用户组合筛选</x:v>
      </x:c>
      <x:c r="I12" s="9" t="str">
        <x:v>1. 执行角色为平台管理员
2. 账号具有当前模块访问及本次操作权限
3. 业务数据已准备且本页已打开；表单和筛选保持下列指定状态
4. 甲昵称QA且封禁，乙昵称QA且正常，丙昵称OTHER且封禁</x:v>
      </x:c>
      <x:c r="J12" s="9" t="str">
        <x:v>1. 查看用户列表页
2. 填写昵称筛选为QA
3. 选择账号状态为封禁
4. 点击查询</x:v>
      </x:c>
      <x:c r="K12" s="9" t="str">
        <x:v>结果只包含甲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来源（当前证据）：liveshow-proto/MainBasis/统一需求文档.md；位置：REQ-3fb68d9228a8；行3535
2. 规则：BR-d86bc69b1eb00ac4
3. 未动态验证</x:v>
      </x:c>
    </x:row>
    <x:row r="13" ht="115" customHeight="1">
      <x:c r="A13" s="10" t="n">
        <x:v>12</x:v>
      </x:c>
      <x:c r="B13" s="10" t="str">
        <x:v>ADMIN-02-0006</x:v>
      </x:c>
      <x:c r="C13" s="10" t="str">
        <x:v>用户管理</x:v>
      </x:c>
      <x:c r="D13" s="10" t="str">
        <x:v>用户列表（平台管理员视角）</x:v>
      </x:c>
      <x:c r="E13" s="10" t="str">
        <x:v>逻辑校验</x:v>
      </x:c>
      <x:c r="F13" s="10" t="str">
        <x:v>P1</x:v>
      </x:c>
      <x:c r="G13" s="9" t="str">
        <x:v>验证用户导出仅当前筛选范围</x:v>
      </x:c>
      <x:c r="H13" s="9" t="str">
        <x:v>用户列表导出范围</x:v>
      </x:c>
      <x:c r="I13" s="9" t="str">
        <x:v>1. 执行角色为平台管理员
2. 账号具有当前模块访问及本次操作权限
3. 业务数据已准备且本页已打开；表单和筛选保持下列指定状态
4. 当前筛选仅命中甲乙</x:v>
      </x:c>
      <x:c r="J13" s="9" t="str">
        <x:v>1. 查看用户列表页
2. 点击导出</x:v>
      </x:c>
      <x:c r="K13" s="9" t="str">
        <x:v>导出数据仅含甲乙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来源（当前证据）：liveshow-proto/MainBasis/统一需求文档.md；位置：REQ-3fb68d9228a8；行3535
2. 规则：BR-a7b2a899f3cb4a75
3. 未动态验证</x:v>
      </x:c>
    </x:row>
    <x:row r="14" ht="130" customHeight="1">
      <x:c r="A14" s="10" t="n">
        <x:v>13</x:v>
      </x:c>
      <x:c r="B14" s="10" t="str">
        <x:v>ADMIN-02-0007</x:v>
      </x:c>
      <x:c r="C14" s="10" t="str">
        <x:v>用户管理</x:v>
      </x:c>
      <x:c r="D14" s="10" t="str">
        <x:v>用户列表（平台管理员视角）</x:v>
      </x:c>
      <x:c r="E14" s="10" t="str">
        <x:v>逻辑校验</x:v>
      </x:c>
      <x:c r="F14" s="10" t="str">
        <x:v>P1</x:v>
      </x:c>
      <x:c r="G14" s="9" t="str">
        <x:v>验证用户列表显示退款后的负余额</x:v>
      </x:c>
      <x:c r="H14" s="9" t="str">
        <x:v>后台负金币余额</x:v>
      </x:c>
      <x:c r="I14" s="9" t="str">
        <x:v>1. 执行角色为平台管理员
2. 账号具有当前模块访问及本次操作权限
3. 业务数据已准备且本页已打开；表单和筛选保持下列指定状态
4. 用户退款后真实金币余额为-100</x:v>
      </x:c>
      <x:c r="J14" s="9" t="str">
        <x:v>1. 查看用户列表页</x:v>
      </x:c>
      <x:c r="K14" s="9" t="str">
        <x:v>金币余额显示-100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来源（当前证据）：liveshow-proto/MainBasis/统一需求文档.md；位置：REQ-5c6c8b2c8e29；行3527
2. 规则：BR-2078e8ff845bbb4c
3. 未动态验证</x:v>
      </x:c>
    </x:row>
    <x:row r="15" ht="130" customHeight="1">
      <x:c r="A15" s="10" t="n">
        <x:v>14</x:v>
      </x:c>
      <x:c r="B15" s="10" t="str">
        <x:v>ADMIN-02-0008</x:v>
      </x:c>
      <x:c r="C15" s="10" t="str">
        <x:v>用户管理</x:v>
      </x:c>
      <x:c r="D15" s="10" t="str">
        <x:v>用户列表（平台管理员视角）</x:v>
      </x:c>
      <x:c r="E15" s="10" t="str">
        <x:v>功能需求</x:v>
      </x:c>
      <x:c r="F15" s="10" t="str">
        <x:v>P2</x:v>
      </x:c>
      <x:c r="G15" s="9" t="str">
        <x:v>验证无有效公会关系的用户列表</x:v>
      </x:c>
      <x:c r="H15" s="9" t="str">
        <x:v>用户公会空值</x:v>
      </x:c>
      <x:c r="I15" s="9" t="str">
        <x:v>1. 执行角色为平台管理员
2. 账号具有当前模块访问及本次操作权限
3. 业务数据已准备且本页已打开；表单和筛选保持下列指定状态
4. 用户甲已退会且未加入其他公会</x:v>
      </x:c>
      <x:c r="J15" s="9" t="str">
        <x:v>1. 查看用户列表页</x:v>
      </x:c>
      <x:c r="K15" s="9" t="str">
        <x:v>甲所属公会显示“-”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来源（当前证据）：liveshow-proto/MainBasis/统一需求文档.md；位置：REQ-a5f248334789；行3529
2. 规则：BR-c7294e4f626924a3
3. 未动态验证</x:v>
      </x:c>
    </x:row>
    <x:row r="16" ht="115" customHeight="1">
      <x:c r="A16" s="10" t="n">
        <x:v>15</x:v>
      </x:c>
      <x:c r="B16" s="10" t="str">
        <x:v>ADMIN-02-0009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P0</x:v>
      </x:c>
      <x:c r="G16" s="9" t="str">
        <x:v>验证封禁用户前填写原因确认</x:v>
      </x:c>
      <x:c r="H16" s="9" t="str">
        <x:v>后台封禁用户</x:v>
      </x:c>
      <x:c r="I16" s="9" t="str">
        <x:v>1. 执行角色为平台管理员
2. 账号具有当前模块访问及本次操作权限
3. 业务数据已准备且本页已打开；表单和筛选保持下列指定状态
4. 目标用户状态正常</x:v>
      </x:c>
      <x:c r="J16" s="9" t="str">
        <x:v>1. 查看用户列表页
2. 点击目标用户封禁
3. 填写原因为测试违规
4. 点击确认</x:v>
      </x:c>
      <x:c r="K16" s="9" t="str">
        <x:v>目标用户状态更新为封禁</x:v>
      </x:c>
      <x:c r="L16" s="10" t="str">
        <x:v>FLOW-082EDB693D</x:v>
      </x:c>
      <x:c r="M16" s="10" t="str">
        <x:v>未测</x:v>
      </x:c>
      <x:c r="N16" s="10" t="str"/>
      <x:c r="O16" s="9" t="str">
        <x:v>1. 来源（当前证据）：liveshow-proto/MainBasis/统一需求文档.md；位置：REQ-cc7a5d0e0aaf；行3537
2. 规则：BR-d03c3ba3717a041c
3. 未动态验证</x:v>
      </x:c>
    </x:row>
    <x:row r="17" ht="115" customHeight="1">
      <x:c r="A17" s="10" t="n">
        <x:v>16</x:v>
      </x:c>
      <x:c r="B17" s="10" t="str">
        <x:v>ADMIN-02-0010</x:v>
      </x:c>
      <x:c r="C17" s="10" t="str">
        <x:v>用户管理</x:v>
      </x:c>
      <x:c r="D17" s="10" t="str">
        <x:v>用户列表（平台管理员视角）</x:v>
      </x:c>
      <x:c r="E17" s="10" t="str">
        <x:v>逻辑校验</x:v>
      </x:c>
      <x:c r="F17" s="10" t="str">
        <x:v>P1</x:v>
      </x:c>
      <x:c r="G17" s="9" t="str">
        <x:v>验证解封用户恢复正常账号状态</x:v>
      </x:c>
      <x:c r="H17" s="9" t="str">
        <x:v>后台解封用户</x:v>
      </x:c>
      <x:c r="I17" s="9" t="str">
        <x:v>1. 执行角色为平台管理员
2. 账号具有当前模块访问及本次操作权限
3. 业务数据已准备且本页已打开；表单和筛选保持下列指定状态
4. 目标用户封禁</x:v>
      </x:c>
      <x:c r="J17" s="9" t="str">
        <x:v>1. 查看用户列表页
2. 点击目标用户解封
3. 填写原因为复核完成
4. 点击确认</x:v>
      </x:c>
      <x:c r="K17" s="9" t="str">
        <x:v>目标用户状态更新为正常</x:v>
      </x:c>
      <x:c r="L17" s="10" t="str">
        <x:v>FLOW-082EDB693D</x:v>
      </x:c>
      <x:c r="M17" s="10" t="str">
        <x:v>未测</x:v>
      </x:c>
      <x:c r="N17" s="10" t="str"/>
      <x:c r="O17" s="9" t="str">
        <x:v>1. 来源（当前证据）：liveshow-proto/MainBasis/统一需求文档.md；位置：REQ-cc7a5d0e0aaf；行3537
2. 规则：BR-453abc259d5f8582
3. 未动态验证</x:v>
      </x:c>
    </x:row>
    <x:row r="18" ht="130" customHeight="1">
      <x:c r="A18" s="10" t="n">
        <x:v>17</x:v>
      </x:c>
      <x:c r="B18" s="10" t="str">
        <x:v>ADMIN-02-0011</x:v>
      </x:c>
      <x:c r="C18" s="10" t="str">
        <x:v>用户管理</x:v>
      </x:c>
      <x:c r="D18" s="10" t="str">
        <x:v>用户详情（平台管理员视角）</x:v>
      </x:c>
      <x:c r="E18" s="10" t="str">
        <x:v>逻辑校验</x:v>
      </x:c>
      <x:c r="F18" s="10" t="str">
        <x:v>P1</x:v>
      </x:c>
      <x:c r="G18" s="9" t="str">
        <x:v>验证充值退款后保留已完成消费流水</x:v>
      </x:c>
      <x:c r="H18" s="9" t="str">
        <x:v>退款后消费记录保留</x:v>
      </x:c>
      <x:c r="I18" s="9" t="str">
        <x:v>1. 执行角色为平台管理员
2. 账号具有当前模块访问及本次操作权限
3. 业务数据已准备且本页已打开；表单和筛选保持下列指定状态
4. 用户先充值后完成礼物消费，充值渠道随后全额退款</x:v>
      </x:c>
      <x:c r="J18" s="9" t="str">
        <x:v>1. 查看用户详情页
2. 切换消费流水</x:v>
      </x:c>
      <x:c r="K18" s="9" t="str">
        <x:v>原已完成消费流水仍可查看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来源（当前证据）：liveshow-proto/MainBasis/统一需求文档.md；位置：REQ-65bacefcfad7；行3550、REQ-17a6bd3f25a2；行3560
2. 规则：BR-dab6e154f57ea494
3. 未动态验证</x:v>
      </x:c>
    </x:row>
    <x:row r="19" ht="130" customHeight="1">
      <x:c r="A19" s="10" t="n">
        <x:v>18</x:v>
      </x:c>
      <x:c r="B19" s="10" t="str">
        <x:v>ADMIN-02-0012</x:v>
      </x:c>
      <x:c r="C19" s="10" t="str">
        <x:v>用户管理</x:v>
      </x:c>
      <x:c r="D19" s="10" t="str">
        <x:v>用户详情（平台管理员视角）</x:v>
      </x:c>
      <x:c r="E19" s="10" t="str">
        <x:v>功能需求</x:v>
      </x:c>
      <x:c r="F19" s="10" t="str">
        <x:v>P2</x:v>
      </x:c>
      <x:c r="G19" s="9" t="str">
        <x:v>验证用户详情关注关系显示当前值</x:v>
      </x:c>
      <x:c r="H19" s="9" t="str">
        <x:v>后台用户关系实时值</x:v>
      </x:c>
      <x:c r="I19" s="9" t="str">
        <x:v>1. 执行角色为平台管理员
2. 账号具有当前模块访问及本次操作权限
3. 业务数据已准备且本页已打开；表单和筛选保持下列指定状态
4. 用户原关注甲乙，后来取关甲</x:v>
      </x:c>
      <x:c r="J19" s="9" t="str">
        <x:v>1. 查看用户详情页
2. 切换关注</x:v>
      </x:c>
      <x:c r="K19" s="9" t="str">
        <x:v>关注列表仅包含乙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来源（当前证据）：liveshow-proto/MainBasis/统一需求文档.md；位置：REQ-794f7414a224；行3554
2. 规则：BR-dff2b1ba4c3b484f
3. 未动态验证</x:v>
      </x:c>
    </x:row>
    <x:row r="20" ht="130" customHeight="1">
      <x:c r="A20" s="10" t="n">
        <x:v>19</x:v>
      </x:c>
      <x:c r="B20" s="10" t="str">
        <x:v>ADMIN-03-0001</x:v>
      </x:c>
      <x:c r="C20" s="10" t="str">
        <x:v>主播管理</x:v>
      </x:c>
      <x:c r="D20" s="10" t="str">
        <x:v>主播列表（平台管理员视角）</x:v>
      </x:c>
      <x:c r="E20" s="10" t="str">
        <x:v>逻辑校验</x:v>
      </x:c>
      <x:c r="F20" s="10" t="str">
        <x:v>P1</x:v>
      </x:c>
      <x:c r="G20" s="9" t="str">
        <x:v>验证主播违规次数排除不成立作废</x:v>
      </x:c>
      <x:c r="H20" s="9" t="str">
        <x:v>主播确认违规次数</x:v>
      </x:c>
      <x:c r="I20" s="9" t="str">
        <x:v>1. 执行角色为平台管理员
2. 账号具有当前模块访问及本次操作权限
3. 业务数据已准备且本页已打开；表单和筛选保持下列指定状态
4. 目标主播2条已确认违规、1条不成立、1条作废</x:v>
      </x:c>
      <x:c r="J20" s="9" t="str">
        <x:v>1. 查看主播列表页</x:v>
      </x:c>
      <x:c r="K20" s="9" t="str">
        <x:v>违规次数显示2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来源（当前证据）：liveshow-proto/MainBasis/统一需求文档.md；位置：REQ-e255210947f8；行3577
2. 规则：BR-01176e1f8a9c5b74
3. 未动态验证</x:v>
      </x:c>
    </x:row>
    <x:row r="21" ht="130" customHeight="1">
      <x:c r="A21" s="10" t="n">
        <x:v>20</x:v>
      </x:c>
      <x:c r="B21" s="10" t="str">
        <x:v>ADMIN-03-0002</x:v>
      </x:c>
      <x:c r="C21" s="10" t="str">
        <x:v>主播管理</x:v>
      </x:c>
      <x:c r="D21" s="10" t="str">
        <x:v>主播列表（平台管理员视角）</x:v>
      </x:c>
      <x:c r="E21" s="10" t="str">
        <x:v>逻辑校验</x:v>
      </x:c>
      <x:c r="F21" s="10" t="str">
        <x:v>P1</x:v>
      </x:c>
      <x:c r="G21" s="9" t="str">
        <x:v>验证后台关闭主播开播权限</x:v>
      </x:c>
      <x:c r="H21" s="9" t="str">
        <x:v>后台开播权限关闭</x:v>
      </x:c>
      <x:c r="I21" s="9" t="str">
        <x:v>1. 执行角色为平台管理员
2. 账号具有当前模块访问及本次操作权限
3. 业务数据已准备且本页已打开；表单和筛选保持下列指定状态
4. 目标主播在播且平台开播权限开启</x:v>
      </x:c>
      <x:c r="J21" s="9" t="str">
        <x:v>1. 查看主播列表页
2. 关闭目标主播开播权限
3. 填写原因为测试限制
4. 点击确认</x:v>
      </x:c>
      <x:c r="K21" s="9" t="str">
        <x:v>平台开播权限显示关闭</x:v>
      </x:c>
      <x:c r="L21" s="10" t="str">
        <x:v>FLOW-B994D746A6</x:v>
      </x:c>
      <x:c r="M21" s="10" t="str">
        <x:v>未测</x:v>
      </x:c>
      <x:c r="N21" s="10" t="str"/>
      <x:c r="O21" s="9" t="str">
        <x:v>1. 来源（当前证据）：liveshow-proto/MainBasis/统一需求文档.md；位置：REQ-6995740cd800；行3579
2. 规则：BR-92b3c69fd7a8f210
3. 未动态验证</x:v>
      </x:c>
    </x:row>
    <x:row r="22" ht="130" customHeight="1">
      <x:c r="A22" s="10" t="n">
        <x:v>21</x:v>
      </x:c>
      <x:c r="B22" s="10" t="str">
        <x:v>ADMIN-03-0003</x:v>
      </x:c>
      <x:c r="C22" s="10" t="str">
        <x:v>主播管理</x:v>
      </x:c>
      <x:c r="D22" s="10" t="str">
        <x:v>主播详情（平台管理员视角）</x:v>
      </x:c>
      <x:c r="E22" s="10" t="str">
        <x:v>逻辑校验</x:v>
      </x:c>
      <x:c r="F22" s="10" t="str">
        <x:v>P1</x:v>
      </x:c>
      <x:c r="G22" s="9" t="str">
        <x:v>验证解封主播不恢复已关闭开播权限</x:v>
      </x:c>
      <x:c r="H22" s="9" t="str">
        <x:v>解封与开播权限独立</x:v>
      </x:c>
      <x:c r="I22" s="9" t="str">
        <x:v>1. 执行角色为平台管理员
2. 账号具有当前模块访问及本次操作权限
3. 业务数据已准备且本页已打开；表单和筛选保持下列指定状态
4. 目标主播已封禁且平台开播权限关闭</x:v>
      </x:c>
      <x:c r="J22" s="9" t="str">
        <x:v>1. 查看主播详情页
2. 点击解封
3. 填写原因为复核完成
4. 点击确认</x:v>
      </x:c>
      <x:c r="K22" s="9" t="str">
        <x:v>平台直播权限仍为关闭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来源（当前证据）：liveshow-proto/MainBasis/统一需求文档.md；位置：REQ-32e41c107d95；行3600
2. 规则：BR-5fed48a8a16c9785
3. 未动态验证</x:v>
      </x:c>
    </x:row>
    <x:row r="23" ht="130" customHeight="1">
      <x:c r="A23" s="10" t="n">
        <x:v>22</x:v>
      </x:c>
      <x:c r="B23" s="10" t="str">
        <x:v>ADMIN-03-0004</x:v>
      </x:c>
      <x:c r="C23" s="10" t="str">
        <x:v>主播管理</x:v>
      </x:c>
      <x:c r="D23" s="10" t="str">
        <x:v>主播详情（平台管理员视角）</x:v>
      </x:c>
      <x:c r="E23" s="10" t="str">
        <x:v>逻辑校验</x:v>
      </x:c>
      <x:c r="F23" s="10" t="str">
        <x:v>P1</x:v>
      </x:c>
      <x:c r="G23" s="9" t="str">
        <x:v>验证关闭公会管理权限锁定主播设置</x:v>
      </x:c>
      <x:c r="H23" s="9" t="str">
        <x:v>后台公会权限锁定</x:v>
      </x:c>
      <x:c r="I23" s="9" t="str">
        <x:v>1. 执行角色为平台管理员
2. 账号具有当前模块访问及本次操作权限
3. 业务数据已准备且本页已打开；表单和筛选保持下列指定状态
4. 公会原开播设置关闭，平台开播权限开启</x:v>
      </x:c>
      <x:c r="J23" s="9" t="str">
        <x:v>1. 查看主播详情页
2. 关闭公会管理权限
3. 填写原因为平台统一管理
4. 点击确认</x:v>
      </x:c>
      <x:c r="K23" s="9" t="str">
        <x:v>公会管理权限显示关闭</x:v>
      </x:c>
      <x:c r="L23" s="10" t="str">
        <x:v>FLOW-B994D746A6</x:v>
      </x:c>
      <x:c r="M23" s="10" t="str">
        <x:v>未测</x:v>
      </x:c>
      <x:c r="N23" s="10" t="str"/>
      <x:c r="O23" s="9" t="str">
        <x:v>1. 来源（当前证据）：liveshow-proto/MainBasis/统一需求文档.md；位置：REQ-ff26b743bf25；行3592
2. 规则：BR-62d22c91b8b75d0b
3. 未动态验证</x:v>
      </x:c>
    </x:row>
    <x:row r="24" ht="130" customHeight="1">
      <x:c r="A24" s="10" t="n">
        <x:v>23</x:v>
      </x:c>
      <x:c r="B24" s="10" t="str">
        <x:v>ADMIN-03-0005</x:v>
      </x:c>
      <x:c r="C24" s="10" t="str">
        <x:v>主播管理</x:v>
      </x:c>
      <x:c r="D24" s="10" t="str">
        <x:v>主播审核（平台管理员视角）</x:v>
      </x:c>
      <x:c r="E24" s="10" t="str">
        <x:v>逻辑校验</x:v>
      </x:c>
      <x:c r="F24" s="10" t="str">
        <x:v>P1</x:v>
      </x:c>
      <x:c r="G24" s="9" t="str">
        <x:v>验证平台审核只接收公会初审通过申请</x:v>
      </x:c>
      <x:c r="H24" s="9" t="str">
        <x:v>平台主播申请范围</x:v>
      </x:c>
      <x:c r="I24" s="9" t="str">
        <x:v>1. 执行角色为平台管理员
2. 账号具有当前模块访问及本次操作权限
3. 业务数据已准备且本页已打开；表单和筛选保持下列指定状态
4. 申请A待公会审核，申请B公会已通过并提交</x:v>
      </x:c>
      <x:c r="J24" s="9" t="str">
        <x:v>1. 查看主播审核页</x:v>
      </x:c>
      <x:c r="K24" s="9" t="str">
        <x:v>平台列表包含B且不包含A</x:v>
      </x:c>
      <x:c r="L24" s="10" t="str">
        <x:v>FLOW-B8276CAE9E</x:v>
      </x:c>
      <x:c r="M24" s="10" t="str">
        <x:v>未测</x:v>
      </x:c>
      <x:c r="N24" s="10" t="str"/>
      <x:c r="O24" s="9" t="str">
        <x:v>1. 来源（当前证据）：liveshow-proto/MainBasis/统一需求文档.md；位置：REQ-9a7ffef94253；行3607
2. 规则：BR-98ab49dd5b2d55d2
3. 未动态验证</x:v>
      </x:c>
    </x:row>
    <x:row r="25" ht="130" customHeight="1">
      <x:c r="A25" s="10" t="n">
        <x:v>24</x:v>
      </x:c>
      <x:c r="B25" s="10" t="str">
        <x:v>ADMIN-03-0006</x:v>
      </x:c>
      <x:c r="C25" s="10" t="str">
        <x:v>主播管理</x:v>
      </x:c>
      <x:c r="D25" s="10" t="str">
        <x:v>主播审核（平台管理员视角）</x:v>
      </x:c>
      <x:c r="E25" s="10" t="str">
        <x:v>逻辑校验</x:v>
      </x:c>
      <x:c r="F25" s="10" t="str">
        <x:v>P1</x:v>
      </x:c>
      <x:c r="G25" s="9" t="str">
        <x:v>验证平台驳回后新申请不继承旧结果</x:v>
      </x:c>
      <x:c r="H25" s="9" t="str">
        <x:v>平台重新申请单独审核</x:v>
      </x:c>
      <x:c r="I25" s="9" t="str">
        <x:v>1. 执行角色为平台管理员
2. 账号具有当前模块访问及本次操作权限
3. 业务数据已准备且本页已打开；表单和筛选保持下列指定状态
4. 旧单A平台驳回，用户重提B且公会已重新通过</x:v>
      </x:c>
      <x:c r="J25" s="9" t="str">
        <x:v>1. 查看主播审核页</x:v>
      </x:c>
      <x:c r="K25" s="9" t="str">
        <x:v>新单B状态为待审核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来源（当前证据）：liveshow-proto/MainBasis/统一需求文档.md；位置：REQ-2a33fdf388d2；行3619
2. 规则：BR-eba1b68dfe61b401
3. 未动态验证</x:v>
      </x:c>
    </x:row>
    <x:row r="26" ht="130" customHeight="1">
      <x:c r="A26" s="10" t="n">
        <x:v>25</x:v>
      </x:c>
      <x:c r="B26" s="10" t="str">
        <x:v>ADMIN-03-0007</x:v>
      </x:c>
      <x:c r="C26" s="10" t="str">
        <x:v>主播管理</x:v>
      </x:c>
      <x:c r="D26" s="10" t="str">
        <x:v>审核详情（平台管理员视角）</x:v>
      </x:c>
      <x:c r="E26" s="10" t="str">
        <x:v>逻辑校验</x:v>
      </x:c>
      <x:c r="F26" s="10" t="str">
        <x:v>P1</x:v>
      </x:c>
      <x:c r="G26" s="9" t="str">
        <x:v>验证申请后资料修改不篡改审核快照</x:v>
      </x:c>
      <x:c r="H26" s="9" t="str">
        <x:v>认证申请材料快照</x:v>
      </x:c>
      <x:c r="I26" s="9" t="str">
        <x:v>1. 执行角色为平台管理员
2. 账号具有当前模块访问及本次操作权限
3. 业务数据已准备且本页已打开；表单和筛选保持下列指定状态
4. 申请时证件图片A，用户之后资料变为B</x:v>
      </x:c>
      <x:c r="J26" s="9" t="str">
        <x:v>1. 查看审核详情页</x:v>
      </x:c>
      <x:c r="K26" s="9" t="str">
        <x:v>认证材料仍展示申请时图片A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来源（当前证据）：liveshow-proto/MainBasis/统一需求文档.md；位置：REQ-1498d5602eea；行3630
2. 规则：BR-6b20a4ba3b380974
3. 未动态验证</x:v>
      </x:c>
    </x:row>
    <x:row r="27" ht="115" customHeight="1">
      <x:c r="A27" s="10" t="n">
        <x:v>26</x:v>
      </x:c>
      <x:c r="B27" s="10" t="str">
        <x:v>ADMIN-03-0008</x:v>
      </x:c>
      <x:c r="C27" s="10" t="str">
        <x:v>主播管理</x:v>
      </x:c>
      <x:c r="D27" s="10" t="str">
        <x:v>审核详情（平台管理员视角）</x:v>
      </x:c>
      <x:c r="E27" s="10" t="str">
        <x:v>逻辑校验</x:v>
      </x:c>
      <x:c r="F27" s="10" t="str">
        <x:v>P1</x:v>
      </x:c>
      <x:c r="G27" s="9" t="str">
        <x:v>验证平台驳回主播必须填写原因</x:v>
      </x:c>
      <x:c r="H27" s="9" t="str">
        <x:v>平台驳回原因必填</x:v>
      </x:c>
      <x:c r="I27" s="9" t="str">
        <x:v>1. 执行角色为平台管理员
2. 账号具有当前模块访问及本次操作权限
3. 业务数据已准备且本页已打开；表单和筛选保持下列指定状态
4. 申请待审核</x:v>
      </x:c>
      <x:c r="J27" s="9" t="str">
        <x:v>1. 查看审核详情页
2. 选择审核结果为驳回
3. 清空驳回原因
4. 点击确认</x:v>
      </x:c>
      <x:c r="K27" s="9" t="str">
        <x:v>不能提交空原因的驳回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来源（当前证据）：liveshow-proto/MainBasis/统一需求文档.md；位置：REQ-4c0958b4b8cc；行3638
2. 规则：BR-2bf78adefbb1dccf
3. 未动态验证</x:v>
      </x:c>
    </x:row>
    <x:row r="28" ht="130" customHeight="1">
      <x:c r="A28" s="10" t="n">
        <x:v>27</x:v>
      </x:c>
      <x:c r="B28" s="10" t="str">
        <x:v>ADMIN-03-0009</x:v>
      </x:c>
      <x:c r="C28" s="10" t="str">
        <x:v>主播管理</x:v>
      </x:c>
      <x:c r="D28" s="10" t="str">
        <x:v>审核详情（平台管理员视角）</x:v>
      </x:c>
      <x:c r="E28" s="10" t="str">
        <x:v>业务流程</x:v>
      </x:c>
      <x:c r="F28" s="10" t="str">
        <x:v>P0</x:v>
      </x:c>
      <x:c r="G28" s="9" t="str">
        <x:v>验证平台通过认证生成主播身份</x:v>
      </x:c>
      <x:c r="H28" s="9" t="str">
        <x:v>平台终审通过</x:v>
      </x:c>
      <x:c r="I28" s="9" t="str">
        <x:v>1. 执行角色为平台管理员
2. 账号具有当前模块访问及本次操作权限
3. 业务数据已准备且本页已打开；表单和筛选保持下列指定状态
4. 申请待审核，账号和公会正常</x:v>
      </x:c>
      <x:c r="J28" s="9" t="str">
        <x:v>1. 查看审核详情页
2. 选择审核结果为通过
3. 选择直播权限为开启
4. 选择公会管理权限为可管理
5. 点击确认</x:v>
      </x:c>
      <x:c r="K28" s="9" t="str">
        <x:v>审核结果固化为已通过</x:v>
      </x:c>
      <x:c r="L28" s="10" t="str">
        <x:v>FLOW-B8276CAE9E</x:v>
      </x:c>
      <x:c r="M28" s="10" t="str">
        <x:v>未测</x:v>
      </x:c>
      <x:c r="N28" s="10" t="str"/>
      <x:c r="O28" s="9" t="str">
        <x:v>1. 来源（当前证据）：liveshow-proto/MainBasis/统一需求文档.md；位置：REQ-3da8e43b0335；行3640
2. 规则：BR-7dcc2d6ce422190e
3. 未动态验证</x:v>
      </x:c>
    </x:row>
    <x:row r="29" ht="115" customHeight="1">
      <x:c r="A29" s="10" t="n">
        <x:v>28</x:v>
      </x:c>
      <x:c r="B29" s="10" t="str">
        <x:v>ADMIN-03-0010</x:v>
      </x:c>
      <x:c r="C29" s="10" t="str">
        <x:v>主播管理</x:v>
      </x:c>
      <x:c r="D29" s="10" t="str">
        <x:v>审核详情（平台管理员视角）</x:v>
      </x:c>
      <x:c r="E29" s="10" t="str">
        <x:v>逻辑校验</x:v>
      </x:c>
      <x:c r="F29" s="10" t="str">
        <x:v>P1</x:v>
      </x:c>
      <x:c r="G29" s="9" t="str">
        <x:v>验证已处理认证不能重复审核</x:v>
      </x:c>
      <x:c r="H29" s="9" t="str">
        <x:v>认证审核终态</x:v>
      </x:c>
      <x:c r="I29" s="9" t="str">
        <x:v>1. 执行角色为平台管理员
2. 账号具有当前模块访问及本次操作权限
3. 业务数据已准备且本页已打开；表单和筛选保持下列指定状态
4. 申请已通过</x:v>
      </x:c>
      <x:c r="J29" s="9" t="str">
        <x:v>1. 查看审核详情页</x:v>
      </x:c>
      <x:c r="K29" s="9" t="str">
        <x:v>申请不再允许提交审核结果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来源（当前证据）：liveshow-proto/MainBasis/统一需求文档.md；位置：REQ-78ab8f0a09ad；行3642
2. 规则：BR-6e15ec9e5c9fe7b9
3. 未动态验证</x:v>
      </x:c>
    </x:row>
    <x:row r="30" ht="115" customHeight="1">
      <x:c r="A30" s="10" t="n">
        <x:v>29</x:v>
      </x:c>
      <x:c r="B30" s="10" t="str">
        <x:v>ADMIN-03-0011</x:v>
      </x:c>
      <x:c r="C30" s="10" t="str">
        <x:v>主播管理</x:v>
      </x:c>
      <x:c r="D30" s="10" t="str">
        <x:v>审核详情（平台管理员视角）</x:v>
      </x:c>
      <x:c r="E30" s="10" t="str">
        <x:v>逻辑校验</x:v>
      </x:c>
      <x:c r="F30" s="10" t="str">
        <x:v>P1</x:v>
      </x:c>
      <x:c r="G30" s="9" t="str">
        <x:v>验证平台驳回认证记录原因</x:v>
      </x:c>
      <x:c r="H30" s="9" t="str">
        <x:v>平台终审驳回</x:v>
      </x:c>
      <x:c r="I30" s="9" t="str">
        <x:v>1. 执行角色为平台管理员
2. 账号具有当前模块访问及本次操作权限
3. 业务数据已准备且本页已打开；表单和筛选保持下列指定状态
4. 申请待审核</x:v>
      </x:c>
      <x:c r="J30" s="9" t="str">
        <x:v>1. 查看审核详情页
2. 选择审核结果为驳回
3. 填写驳回原因为证件无法辨认
4. 点击确认</x:v>
      </x:c>
      <x:c r="K30" s="9" t="str">
        <x:v>审核结果显示已驳回</x:v>
      </x:c>
      <x:c r="L30" s="10" t="str">
        <x:v>FLOW-B8276CAE9E</x:v>
      </x:c>
      <x:c r="M30" s="10" t="str">
        <x:v>未测</x:v>
      </x:c>
      <x:c r="N30" s="10" t="str"/>
      <x:c r="O30" s="9" t="str">
        <x:v>1. 来源（当前证据）：liveshow-proto/MainBasis/统一需求文档.md；位置：REQ-4c0958b4b8cc；行3638
2. 规则：BR-2b74f0856ead50b4
3. 未动态验证</x:v>
      </x:c>
    </x:row>
    <x:row r="31" ht="130" customHeight="1">
      <x:c r="A31" s="10" t="n">
        <x:v>30</x:v>
      </x:c>
      <x:c r="B31" s="10" t="str">
        <x:v>ADMIN-03-0012</x:v>
      </x:c>
      <x:c r="C31" s="10" t="str">
        <x:v>主播管理</x:v>
      </x:c>
      <x:c r="D31" s="10" t="str">
        <x:v>直播场次（平台管理员视角）</x:v>
      </x:c>
      <x:c r="E31" s="10" t="str">
        <x:v>逻辑校验</x:v>
      </x:c>
      <x:c r="F31" s="10" t="str">
        <x:v>P1</x:v>
      </x:c>
      <x:c r="G31" s="9" t="str">
        <x:v>验证同主播两次开播生成不同场次</x:v>
      </x:c>
      <x:c r="H31" s="9" t="str">
        <x:v>后台场次唯一性</x:v>
      </x:c>
      <x:c r="I31" s="9" t="str">
        <x:v>1. 执行角色为平台管理员
2. 账号具有当前模块访问及本次操作权限
3. 业务数据已准备且本页已打开；表单和筛选保持下列指定状态
4. 同一主播已连续完成两次开播</x:v>
      </x:c>
      <x:c r="J31" s="9" t="str">
        <x:v>1. 查看直播场次页</x:v>
      </x:c>
      <x:c r="K31" s="9" t="str">
        <x:v>两次开播的场次ID不同</x:v>
      </x:c>
      <x:c r="L31" s="10" t="str">
        <x:v>FLOW-3316A78DEE</x:v>
      </x:c>
      <x:c r="M31" s="10" t="str">
        <x:v>未测</x:v>
      </x:c>
      <x:c r="N31" s="10" t="str"/>
      <x:c r="O31" s="9" t="str">
        <x:v>1. 来源（当前证据）：liveshow-proto/MainBasis/统一需求文档.md；位置：REQ-36d4a8d0a3c5；行3649
2. 规则：BR-c613565f0677bb1f
3. 未动态验证</x:v>
      </x:c>
    </x:row>
    <x:row r="32" ht="130" customHeight="1">
      <x:c r="A32" s="10" t="n">
        <x:v>31</x:v>
      </x:c>
      <x:c r="B32" s="10" t="str">
        <x:v>ADMIN-03-0013</x:v>
      </x:c>
      <x:c r="C32" s="10" t="str">
        <x:v>主播管理</x:v>
      </x:c>
      <x:c r="D32" s="10" t="str">
        <x:v>直播场次（平台管理员视角）</x:v>
      </x:c>
      <x:c r="E32" s="10" t="str">
        <x:v>逻辑校验</x:v>
      </x:c>
      <x:c r="F32" s="10" t="str">
        <x:v>P1</x:v>
      </x:c>
      <x:c r="G32" s="9" t="str">
        <x:v>验证修改后续开播房型不改历史场次</x:v>
      </x:c>
      <x:c r="H32" s="9" t="str">
        <x:v>后台房型历史快照</x:v>
      </x:c>
      <x:c r="I32" s="9" t="str">
        <x:v>1. 执行角色为平台管理员
2. 账号具有当前模块访问及本次操作权限
3. 业务数据已准备且本页已打开；表单和筛选保持下列指定状态
4. 旧场次为门票房，主播当前新开普通房</x:v>
      </x:c>
      <x:c r="J32" s="9" t="str">
        <x:v>1. 查看直播场次页</x:v>
      </x:c>
      <x:c r="K32" s="9" t="str">
        <x:v>旧场次房型仍为门票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来源（当前证据）：liveshow-proto/MainBasis/统一需求文档.md；位置：REQ-22b44e86ef5a；行3651
2. 规则：BR-e146aee2bfd78ea4
3. 未动态验证</x:v>
      </x:c>
    </x:row>
    <x:row r="33" ht="115" customHeight="1">
      <x:c r="A33" s="10" t="n">
        <x:v>32</x:v>
      </x:c>
      <x:c r="B33" s="10" t="str">
        <x:v>ADMIN-03-0014</x:v>
      </x:c>
      <x:c r="C33" s="10" t="str">
        <x:v>主播管理</x:v>
      </x:c>
      <x:c r="D33" s="10" t="str">
        <x:v>直播场次（平台管理员视角）</x:v>
      </x:c>
      <x:c r="E33" s="10" t="str">
        <x:v>业务流程</x:v>
      </x:c>
      <x:c r="F33" s="10" t="str">
        <x:v>P0</x:v>
      </x:c>
      <x:c r="G33" s="9" t="str">
        <x:v>验证后台关播结束指定场次</x:v>
      </x:c>
      <x:c r="H33" s="9" t="str">
        <x:v>后台关播状态</x:v>
      </x:c>
      <x:c r="I33" s="9" t="str">
        <x:v>1. 执行角色为平台管理员
2. 账号具有当前模块访问及本次操作权限
3. 业务数据已准备且本页已打开；表单和筛选保持下列指定状态
4. 目标场次直播中</x:v>
      </x:c>
      <x:c r="J33" s="9" t="str">
        <x:v>1. 查看直播场次页
2. 点击目标场次关播
3. 填写原因为测试处置
4. 点击确认</x:v>
      </x:c>
      <x:c r="K33" s="9" t="str">
        <x:v>目标场次状态为已结束</x:v>
      </x:c>
      <x:c r="L33" s="10" t="str">
        <x:v>FLOW-3316A78DEE</x:v>
      </x:c>
      <x:c r="M33" s="10" t="str">
        <x:v>未测</x:v>
      </x:c>
      <x:c r="N33" s="10" t="str"/>
      <x:c r="O33" s="9" t="str">
        <x:v>1. 来源（当前证据）：liveshow-proto/MainBasis/统一需求文档.md；位置：REQ-238f32337fda；行3665
2. 规则：BR-656d3faa5a6c4998
3. 未动态验证</x:v>
      </x:c>
    </x:row>
    <x:row r="34" ht="115" customHeight="1">
      <x:c r="A34" s="10" t="n">
        <x:v>33</x:v>
      </x:c>
      <x:c r="B34" s="10" t="str">
        <x:v>ADMIN-03-0015</x:v>
      </x:c>
      <x:c r="C34" s="10" t="str">
        <x:v>主播管理</x:v>
      </x:c>
      <x:c r="D34" s="10" t="str">
        <x:v>直播详情（平台管理员视角）</x:v>
      </x:c>
      <x:c r="E34" s="10" t="str">
        <x:v>逻辑校验</x:v>
      </x:c>
      <x:c r="F34" s="10" t="str">
        <x:v>P1</x:v>
      </x:c>
      <x:c r="G34" s="9" t="str">
        <x:v>验证后台警告不结束直播</x:v>
      </x:c>
      <x:c r="H34" s="9" t="str">
        <x:v>后台警告后的直播状态</x:v>
      </x:c>
      <x:c r="I34" s="9" t="str">
        <x:v>1. 执行角色为平台管理员
2. 账号具有当前模块访问及本次操作权限
3. 业务数据已准备且本页已打开；表单和筛选保持下列指定状态
4. 当前场次直播中</x:v>
      </x:c>
      <x:c r="J34" s="9" t="str">
        <x:v>1. 查看直播详情页
2. 点击警告
3. 填写原因为测试提醒
4. 点击确认</x:v>
      </x:c>
      <x:c r="K34" s="9" t="str">
        <x:v>场次保持直播中</x:v>
      </x:c>
      <x:c r="L34" s="10" t="str">
        <x:v>FLOW-3316A78DEE</x:v>
      </x:c>
      <x:c r="M34" s="10" t="str">
        <x:v>未测</x:v>
      </x:c>
      <x:c r="N34" s="10" t="str"/>
      <x:c r="O34" s="9" t="str">
        <x:v>1. 来源（当前证据）：liveshow-proto/MainBasis/统一需求文档.md；位置：REQ-ec07d4e6110a；行3684
2. 规则：BR-3e8a7188df25d0aa
3. 未动态验证</x:v>
      </x:c>
    </x:row>
    <x:row r="35" ht="115" customHeight="1">
      <x:c r="A35" s="10" t="n">
        <x:v>34</x:v>
      </x:c>
      <x:c r="B35" s="10" t="str">
        <x:v>ADMIN-03-0016</x:v>
      </x:c>
      <x:c r="C35" s="10" t="str">
        <x:v>主播管理</x:v>
      </x:c>
      <x:c r="D35" s="10" t="str">
        <x:v>直播详情（平台管理员视角）</x:v>
      </x:c>
      <x:c r="E35" s="10" t="str">
        <x:v>逻辑校验</x:v>
      </x:c>
      <x:c r="F35" s="10" t="str">
        <x:v>P1</x:v>
      </x:c>
      <x:c r="G35" s="9" t="str">
        <x:v>验证已结束场次不提供实时处置</x:v>
      </x:c>
      <x:c r="H35" s="9" t="str">
        <x:v>后台结束场次只读</x:v>
      </x:c>
      <x:c r="I35" s="9" t="str">
        <x:v>1. 执行角色为平台管理员
2. 账号具有当前模块访问及本次操作权限
3. 业务数据已准备且本页已打开；表单和筛选保持下列指定状态
4. 目标场次已结束</x:v>
      </x:c>
      <x:c r="J35" s="9" t="str">
        <x:v>1. 查看直播详情页</x:v>
      </x:c>
      <x:c r="K35" s="9" t="str">
        <x:v>不显示即时警告或关播操作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来源（当前证据）：liveshow-proto/MainBasis/统一需求文档.md；位置：REQ-188aedf077cf；行3686
2. 规则：BR-c0947e84f2a3d633
3. 未动态验证</x:v>
      </x:c>
    </x:row>
    <x:row r="36" ht="130" customHeight="1">
      <x:c r="A36" s="10" t="n">
        <x:v>35</x:v>
      </x:c>
      <x:c r="B36" s="10" t="str">
        <x:v>ADMIN-03-0017</x:v>
      </x:c>
      <x:c r="C36" s="10" t="str">
        <x:v>主播管理</x:v>
      </x:c>
      <x:c r="D36" s="10" t="str">
        <x:v>直播详情（平台管理员视角）</x:v>
      </x:c>
      <x:c r="E36" s="10" t="str">
        <x:v>逻辑校验</x:v>
      </x:c>
      <x:c r="F36" s="10" t="str">
        <x:v>P1</x:v>
      </x:c>
      <x:c r="G36" s="9" t="str">
        <x:v>验证后台场次收礼数量排除门票</x:v>
      </x:c>
      <x:c r="H36" s="9" t="str">
        <x:v>场次收礼统计范围</x:v>
      </x:c>
      <x:c r="I36" s="9" t="str">
        <x:v>1. 执行角色为平台管理员
2. 账号具有当前模块访问及本次操作权限
3. 业务数据已准备且本页已打开；表单和筛选保持下列指定状态
4. 场次3件普通礼物、2件幸运礼物、5张门票成功订单</x:v>
      </x:c>
      <x:c r="J36" s="9" t="str">
        <x:v>1. 查看直播详情页</x:v>
      </x:c>
      <x:c r="K36" s="9" t="str">
        <x:v>收礼数量显示5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来源（当前证据）：liveshow-proto/MainBasis/统一需求文档.md；位置：REQ-08522221fbf4；行3678
2. 规则：BR-ce2d72d30f2ce582
3. 未动态验证</x:v>
      </x:c>
    </x:row>
    <x:row r="37" ht="145" customHeight="1">
      <x:c r="A37" s="10" t="n">
        <x:v>36</x:v>
      </x:c>
      <x:c r="B37" s="10" t="str">
        <x:v>ADMIN-03-0018</x:v>
      </x:c>
      <x:c r="C37" s="10" t="str">
        <x:v>主播管理</x:v>
      </x:c>
      <x:c r="D37" s="10" t="str">
        <x:v>直播详情（平台管理员视角）</x:v>
      </x:c>
      <x:c r="E37" s="10" t="str">
        <x:v>逻辑校验</x:v>
      </x:c>
      <x:c r="F37" s="10" t="str">
        <x:v>P1</x:v>
      </x:c>
      <x:c r="G37" s="9" t="str">
        <x:v>验证后台详情金币收益按用户净消费</x:v>
      </x:c>
      <x:c r="H37" s="9" t="str">
        <x:v>后台场次消费口径</x:v>
      </x:c>
      <x:c r="I37" s="9" t="str">
        <x:v>1. 执行角色为平台管理员
2. 账号具有当前模块访问及本次操作权限
3. 业务数据已准备且本页已打开；表单和筛选保持下列指定状态
4. 普通消费100、门票50、幸运扣减1000返奖500、运营虚拟消费2000金币</x:v>
      </x:c>
      <x:c r="J37" s="9" t="str">
        <x:v>1. 查看直播详情页</x:v>
      </x:c>
      <x:c r="K37" s="9" t="str">
        <x:v>金币收益 = 650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来源（当前证据）：liveshow-proto/MainBasis/统一需求文档.md；位置：REQ-6306a367da63；行3676
2. 规则：BR-9e7e78167a6056ef
3. 未动态验证</x:v>
      </x:c>
    </x:row>
    <x:row r="38" ht="115" customHeight="1">
      <x:c r="A38" s="10" t="n">
        <x:v>37</x:v>
      </x:c>
      <x:c r="B38" s="10" t="str">
        <x:v>ADMIN-03-0019</x:v>
      </x:c>
      <x:c r="C38" s="10" t="str">
        <x:v>主播管理</x:v>
      </x:c>
      <x:c r="D38" s="10" t="str">
        <x:v>新建排班（平台管理员视角）</x:v>
      </x:c>
      <x:c r="E38" s="10" t="str">
        <x:v>逻辑校验</x:v>
      </x:c>
      <x:c r="F38" s="10" t="str">
        <x:v>P1</x:v>
      </x:c>
      <x:c r="G38" s="9" t="str">
        <x:v>验证巡房排班日期为空</x:v>
      </x:c>
      <x:c r="H38" s="9" t="str">
        <x:v>排班日期为空校验</x:v>
      </x:c>
      <x:c r="I38" s="9" t="str">
        <x:v>1. 执行角色为平台管理员
2. 账号具有当前模块访问及本次操作权限
3. 业务数据已准备且本页已打开；表单和筛选保持下列指定状态
4. 其他必填项合法</x:v>
      </x:c>
      <x:c r="J38" s="9" t="str">
        <x:v>1. 查看新建排班页
2. 清空日期
3. 点击保存</x:v>
      </x:c>
      <x:c r="K38" s="9" t="str">
        <x:v>不能保存该无效排班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来源（当前证据）：liveshow-proto/MainBasis/统一需求文档.md；位置：REQ-3dce5fc17d88；行3714、REQ-0ba1537bb69a；行3716、REQ-a7e7f32afe6c；行3718
2. 规则：BR-83ddd2ea2cd99228
3. 未动态验证</x:v>
      </x:c>
    </x:row>
    <x:row r="39" ht="115" customHeight="1">
      <x:c r="A39" s="10" t="n">
        <x:v>38</x:v>
      </x:c>
      <x:c r="B39" s="10" t="str">
        <x:v>ADMIN-03-0020</x:v>
      </x:c>
      <x:c r="C39" s="10" t="str">
        <x:v>主播管理</x:v>
      </x:c>
      <x:c r="D39" s="10" t="str">
        <x:v>新建排班（平台管理员视角）</x:v>
      </x:c>
      <x:c r="E39" s="10" t="str">
        <x:v>逻辑校验</x:v>
      </x:c>
      <x:c r="F39" s="10" t="str">
        <x:v>P1</x:v>
      </x:c>
      <x:c r="G39" s="9" t="str">
        <x:v>验证巡房排班日期早于今天</x:v>
      </x:c>
      <x:c r="H39" s="9" t="str">
        <x:v>排班日期早于今天校验</x:v>
      </x:c>
      <x:c r="I39" s="9" t="str">
        <x:v>1. 执行角色为平台管理员
2. 账号具有当前模块访问及本次操作权限
3. 业务数据已准备且本页已打开；表单和筛选保持下列指定状态
4. 其他必填项合法</x:v>
      </x:c>
      <x:c r="J39" s="9" t="str">
        <x:v>1. 查看新建排班页
2. 填写日期为昨天
3. 点击保存</x:v>
      </x:c>
      <x:c r="K39" s="9" t="str">
        <x:v>不能保存该无效排班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来源（当前证据）：liveshow-proto/MainBasis/统一需求文档.md；位置：REQ-3dce5fc17d88；行3714、REQ-0ba1537bb69a；行3716、REQ-a7e7f32afe6c；行3718
2. 规则：BR-4309178bec16d72a
3. 未动态验证</x:v>
      </x:c>
    </x:row>
    <x:row r="40" ht="115" customHeight="1">
      <x:c r="A40" s="10" t="n">
        <x:v>39</x:v>
      </x:c>
      <x:c r="B40" s="10" t="str">
        <x:v>ADMIN-03-0021</x:v>
      </x:c>
      <x:c r="C40" s="10" t="str">
        <x:v>主播管理</x:v>
      </x:c>
      <x:c r="D40" s="10" t="str">
        <x:v>新建排班（平台管理员视角）</x:v>
      </x:c>
      <x:c r="E40" s="10" t="str">
        <x:v>逻辑校验</x:v>
      </x:c>
      <x:c r="F40" s="10" t="str">
        <x:v>P1</x:v>
      </x:c>
      <x:c r="G40" s="9" t="str">
        <x:v>验证巡房排班结束等于开始</x:v>
      </x:c>
      <x:c r="H40" s="9" t="str">
        <x:v>排班结束等于开始校验</x:v>
      </x:c>
      <x:c r="I40" s="9" t="str">
        <x:v>1. 执行角色为平台管理员
2. 账号具有当前模块访问及本次操作权限
3. 业务数据已准备且本页已打开；表单和筛选保持下列指定状态
4. 其他必填项合法</x:v>
      </x:c>
      <x:c r="J40" s="9" t="str">
        <x:v>1. 查看新建排班页
2. 填写开始时间为10:00
3. 填写结束时间为10:00
4. 点击保存</x:v>
      </x:c>
      <x:c r="K40" s="9" t="str">
        <x:v>不能保存该无效排班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来源（当前证据）：liveshow-proto/MainBasis/统一需求文档.md；位置：REQ-3dce5fc17d88；行3714、REQ-0ba1537bb69a；行3716、REQ-a7e7f32afe6c；行3718
2. 规则：BR-3fd8415567a457c6
3. 未动态验证</x:v>
      </x:c>
    </x:row>
    <x:row r="41" ht="115" customHeight="1">
      <x:c r="A41" s="10" t="n">
        <x:v>40</x:v>
      </x:c>
      <x:c r="B41" s="10" t="str">
        <x:v>ADMIN-03-0022</x:v>
      </x:c>
      <x:c r="C41" s="10" t="str">
        <x:v>主播管理</x:v>
      </x:c>
      <x:c r="D41" s="10" t="str">
        <x:v>新建排班（平台管理员视角）</x:v>
      </x:c>
      <x:c r="E41" s="10" t="str">
        <x:v>逻辑校验</x:v>
      </x:c>
      <x:c r="F41" s="10" t="str">
        <x:v>P1</x:v>
      </x:c>
      <x:c r="G41" s="9" t="str">
        <x:v>验证巡房排班结束早于开始</x:v>
      </x:c>
      <x:c r="H41" s="9" t="str">
        <x:v>排班结束早于开始校验</x:v>
      </x:c>
      <x:c r="I41" s="9" t="str">
        <x:v>1. 执行角色为平台管理员
2. 账号具有当前模块访问及本次操作权限
3. 业务数据已准备且本页已打开；表单和筛选保持下列指定状态
4. 其他必填项合法</x:v>
      </x:c>
      <x:c r="J41" s="9" t="str">
        <x:v>1. 查看新建排班页
2. 填写开始时间为10:00
3. 填写结束时间为09:59
4. 点击保存</x:v>
      </x:c>
      <x:c r="K41" s="9" t="str">
        <x:v>不能保存该无效排班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来源（当前证据）：liveshow-proto/MainBasis/统一需求文档.md；位置：REQ-3dce5fc17d88；行3714、REQ-0ba1537bb69a；行3716、REQ-a7e7f32afe6c；行3718
2. 规则：BR-96edd9ee3ec778f5
3. 未动态验证</x:v>
      </x:c>
    </x:row>
    <x:row r="42" ht="115" customHeight="1">
      <x:c r="A42" s="10" t="n">
        <x:v>41</x:v>
      </x:c>
      <x:c r="B42" s="10" t="str">
        <x:v>ADMIN-03-0023</x:v>
      </x:c>
      <x:c r="C42" s="10" t="str">
        <x:v>主播管理</x:v>
      </x:c>
      <x:c r="D42" s="10" t="str">
        <x:v>新建排班（平台管理员视角）</x:v>
      </x:c>
      <x:c r="E42" s="10" t="str">
        <x:v>逻辑校验</x:v>
      </x:c>
      <x:c r="F42" s="10" t="str">
        <x:v>P1</x:v>
      </x:c>
      <x:c r="G42" s="9" t="str">
        <x:v>验证巡房排班没有人员</x:v>
      </x:c>
      <x:c r="H42" s="9" t="str">
        <x:v>排班没有人员校验</x:v>
      </x:c>
      <x:c r="I42" s="9" t="str">
        <x:v>1. 执行角色为平台管理员
2. 账号具有当前模块访问及本次操作权限
3. 业务数据已准备且本页已打开；表单和筛选保持下列指定状态
4. 其他必填项合法</x:v>
      </x:c>
      <x:c r="J42" s="9" t="str">
        <x:v>1. 查看新建排班页
2. 清空巡房人员
3. 点击保存</x:v>
      </x:c>
      <x:c r="K42" s="9" t="str">
        <x:v>不能保存该无效排班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来源（当前证据）：liveshow-proto/MainBasis/统一需求文档.md；位置：REQ-3dce5fc17d88；行3714、REQ-0ba1537bb69a；行3716、REQ-a7e7f32afe6c；行3718
2. 规则：BR-35e9c7f299e94e26
3. 未动态验证</x:v>
      </x:c>
    </x:row>
    <x:row r="43" ht="115" customHeight="1">
      <x:c r="A43" s="10" t="n">
        <x:v>42</x:v>
      </x:c>
      <x:c r="B43" s="10" t="str">
        <x:v>ADMIN-03-0024</x:v>
      </x:c>
      <x:c r="C43" s="10" t="str">
        <x:v>主播管理</x:v>
      </x:c>
      <x:c r="D43" s="10" t="str">
        <x:v>新建排班（平台管理员视角）</x:v>
      </x:c>
      <x:c r="E43" s="10" t="str">
        <x:v>逻辑校验</x:v>
      </x:c>
      <x:c r="F43" s="10" t="str">
        <x:v>P1</x:v>
      </x:c>
      <x:c r="G43" s="9" t="str">
        <x:v>验证封禁账号不能加入巡房排班</x:v>
      </x:c>
      <x:c r="H43" s="9" t="str">
        <x:v>巡房人员账号资格</x:v>
      </x:c>
      <x:c r="I43" s="9" t="str">
        <x:v>1. 执行角色为平台管理员
2. 账号具有当前模块访问及本次操作权限
3. 业务数据已准备且本页已打开；表单和筛选保持下列指定状态
4. 用户甲已封禁，用户乙正常</x:v>
      </x:c>
      <x:c r="J43" s="9" t="str">
        <x:v>1. 查看新建排班页
2. 点击添加
3. 填写搜索为甲</x:v>
      </x:c>
      <x:c r="K43" s="9" t="str">
        <x:v>甲不可加入人员名单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来源（当前证据）：liveshow-proto/MainBasis/统一需求文档.md；位置：REQ-ad3ced20eea6；行3720
2. 规则：BR-113e7f251eefd0bb
3. 未动态验证</x:v>
      </x:c>
    </x:row>
    <x:row r="44" ht="130" customHeight="1">
      <x:c r="A44" s="10" t="n">
        <x:v>43</x:v>
      </x:c>
      <x:c r="B44" s="10" t="str">
        <x:v>ADMIN-03-0025</x:v>
      </x:c>
      <x:c r="C44" s="10" t="str">
        <x:v>主播管理</x:v>
      </x:c>
      <x:c r="D44" s="10" t="str">
        <x:v>新建排班（平台管理员视角）</x:v>
      </x:c>
      <x:c r="E44" s="10" t="str">
        <x:v>逻辑校验</x:v>
      </x:c>
      <x:c r="F44" s="10" t="str">
        <x:v>P1</x:v>
      </x:c>
      <x:c r="G44" s="9" t="str">
        <x:v>验证巡房添加人员全选只限搜索结果</x:v>
      </x:c>
      <x:c r="H44" s="9" t="str">
        <x:v>巡房人员全选边界</x:v>
      </x:c>
      <x:c r="I44" s="9" t="str">
        <x:v>1. 执行角色为平台管理员
2. 账号具有当前模块访问及本次操作权限
3. 业务数据已准备且本页已打开；表单和筛选保持下列指定状态
4. 共3个可用用户，当前搜索仅命中甲</x:v>
      </x:c>
      <x:c r="J44" s="9" t="str">
        <x:v>1. 查看新建排班页
2. 点击添加
3. 填写搜索为甲
4. 点击全选</x:v>
      </x:c>
      <x:c r="K44" s="9" t="str">
        <x:v>仅甲被选中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来源（当前证据）：liveshow-proto/MainBasis/统一需求文档.md；位置：REQ-995934b26232；行3722
2. 规则：BR-9506fc47b9a79bad
3. 未动态验证</x:v>
      </x:c>
    </x:row>
    <x:row r="45" ht="115" customHeight="1">
      <x:c r="A45" s="10" t="n">
        <x:v>44</x:v>
      </x:c>
      <x:c r="B45" s="10" t="str">
        <x:v>ADMIN-03-0026</x:v>
      </x:c>
      <x:c r="C45" s="10" t="str">
        <x:v>主播管理</x:v>
      </x:c>
      <x:c r="D45" s="10" t="str">
        <x:v>新建排班（平台管理员视角）</x:v>
      </x:c>
      <x:c r="E45" s="10" t="str">
        <x:v>逻辑校验</x:v>
      </x:c>
      <x:c r="F45" s="10" t="str">
        <x:v>P1</x:v>
      </x:c>
      <x:c r="G45" s="9" t="str">
        <x:v>验证巡房人员重复添加去重</x:v>
      </x:c>
      <x:c r="H45" s="9" t="str">
        <x:v>巡房名单唯一人员</x:v>
      </x:c>
      <x:c r="I45" s="9" t="str">
        <x:v>1. 执行角色为平台管理员
2. 账号具有当前模块访问及本次操作权限
3. 业务数据已准备且本页已打开；表单和筛选保持下列指定状态
4. 名单已有甲</x:v>
      </x:c>
      <x:c r="J45" s="9" t="str">
        <x:v>1. 查看新建排班页
2. 点击添加
3. 选择甲
4. 点击确认</x:v>
      </x:c>
      <x:c r="K45" s="9" t="str">
        <x:v>名单中甲仅1行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来源（当前证据）：liveshow-proto/MainBasis/统一需求文档.md；位置：REQ-a7e7f32afe6c；行3718
2. 规则：BR-72179d631ca2f0d0
3. 未动态验证</x:v>
      </x:c>
    </x:row>
    <x:row r="46" ht="130" customHeight="1">
      <x:c r="A46" s="10" t="n">
        <x:v>45</x:v>
      </x:c>
      <x:c r="B46" s="10" t="str">
        <x:v>ADMIN-03-0027</x:v>
      </x:c>
      <x:c r="C46" s="10" t="str">
        <x:v>主播管理</x:v>
      </x:c>
      <x:c r="D46" s="10" t="str">
        <x:v>新建排班（平台管理员视角）</x:v>
      </x:c>
      <x:c r="E46" s="10" t="str">
        <x:v>业务流程</x:v>
      </x:c>
      <x:c r="F46" s="10" t="str">
        <x:v>P0</x:v>
      </x:c>
      <x:c r="G46" s="9" t="str">
        <x:v>验证保存有效巡房排班</x:v>
      </x:c>
      <x:c r="H46" s="9" t="str">
        <x:v>巡房排班创建</x:v>
      </x:c>
      <x:c r="I46" s="9" t="str">
        <x:v>1. 执行角色为平台管理员
2. 账号具有当前模块访问及本次操作权限
3. 业务数据已准备且本页已打开；表单和筛选保持下列指定状态
4. 日期今天，时间10:00至12:00，至少1个可用用户已选</x:v>
      </x:c>
      <x:c r="J46" s="9" t="str">
        <x:v>1. 查看新建排班页
2. 点击保存</x:v>
      </x:c>
      <x:c r="K46" s="9" t="str">
        <x:v>返回巡房排班列表</x:v>
      </x:c>
      <x:c r="L46" s="10" t="str">
        <x:v>FLOW-50103B7A36</x:v>
      </x:c>
      <x:c r="M46" s="10" t="str">
        <x:v>未测</x:v>
      </x:c>
      <x:c r="N46" s="10" t="str"/>
      <x:c r="O46" s="9" t="str">
        <x:v>1. 来源（当前证据）：liveshow-proto/MainBasis/统一需求文档.md；位置：REQ-995934b26232；行3722
2. 规则：BR-1eb7325e87110fd7
3. 未动态验证</x:v>
      </x:c>
    </x:row>
    <x:row r="47" ht="115" customHeight="1">
      <x:c r="A47" s="10" t="n">
        <x:v>46</x:v>
      </x:c>
      <x:c r="B47" s="10" t="str">
        <x:v>ADMIN-03-0028</x:v>
      </x:c>
      <x:c r="C47" s="10" t="str">
        <x:v>主播管理</x:v>
      </x:c>
      <x:c r="D47" s="10" t="str">
        <x:v>巡房排班（平台管理员视角）</x:v>
      </x:c>
      <x:c r="E47" s="10" t="str">
        <x:v>逻辑校验</x:v>
      </x:c>
      <x:c r="F47" s="10" t="str">
        <x:v>P1</x:v>
      </x:c>
      <x:c r="G47" s="9" t="str">
        <x:v>验证停用生效中的巡房排班</x:v>
      </x:c>
      <x:c r="H47" s="9" t="str">
        <x:v>巡房排班停用</x:v>
      </x:c>
      <x:c r="I47" s="9" t="str">
        <x:v>1. 执行角色为平台管理员
2. 账号具有当前模块访问及本次操作权限
3. 业务数据已准备且本页已打开；表单和筛选保持下列指定状态
4. 当前排班生效中</x:v>
      </x:c>
      <x:c r="J47" s="9" t="str">
        <x:v>1. 查看巡房排班页
2. 点击停用</x:v>
      </x:c>
      <x:c r="K47" s="9" t="str">
        <x:v>排班状态显示已停用</x:v>
      </x:c>
      <x:c r="L47" s="10" t="str">
        <x:v>FLOW-50103B7A36</x:v>
      </x:c>
      <x:c r="M47" s="10" t="str">
        <x:v>未测</x:v>
      </x:c>
      <x:c r="N47" s="10" t="str"/>
      <x:c r="O47" s="9" t="str">
        <x:v>1. 来源（当前证据）：liveshow-proto/MainBasis/统一需求文档.md；位置：REQ-140cf016ddd1；行3707
2. 规则：BR-772cce03987260df
3. 未动态验证</x:v>
      </x:c>
    </x:row>
    <x:row r="48" ht="130" customHeight="1">
      <x:c r="A48" s="10" t="n">
        <x:v>47</x:v>
      </x:c>
      <x:c r="B48" s="10" t="str">
        <x:v>ADMIN-03-0029</x:v>
      </x:c>
      <x:c r="C48" s="10" t="str">
        <x:v>主播管理</x:v>
      </x:c>
      <x:c r="D48" s="10" t="str">
        <x:v>巡房排班（平台管理员视角）</x:v>
      </x:c>
      <x:c r="E48" s="10" t="str">
        <x:v>逻辑校验</x:v>
      </x:c>
      <x:c r="F48" s="10" t="str">
        <x:v>P1</x:v>
      </x:c>
      <x:c r="G48" s="9" t="str">
        <x:v>验证开始前重新启用巡房排班</x:v>
      </x:c>
      <x:c r="H48" s="9" t="str">
        <x:v>巡房恢复状态计算</x:v>
      </x:c>
      <x:c r="I48" s="9" t="str">
        <x:v>1. 执行角色为平台管理员
2. 账号具有当前模块访问及本次操作权限
3. 业务数据已准备且本页已打开；表单和筛选保持下列指定状态
4. 排班当前停用，平台时钟处于该排班开始前</x:v>
      </x:c>
      <x:c r="J48" s="9" t="str">
        <x:v>1. 查看巡房排班页
2. 点击启用</x:v>
      </x:c>
      <x:c r="K48" s="9" t="str">
        <x:v>排班状态显示待生效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来源（当前证据）：liveshow-proto/MainBasis/统一需求文档.md；位置：REQ-140cf016ddd1；行3707
2. 规则：BR-e6c148336ecef2b9
3. 未动态验证</x:v>
      </x:c>
    </x:row>
    <x:row r="49" ht="130" customHeight="1">
      <x:c r="A49" s="10" t="n">
        <x:v>48</x:v>
      </x:c>
      <x:c r="B49" s="10" t="str">
        <x:v>ADMIN-03-0030</x:v>
      </x:c>
      <x:c r="C49" s="10" t="str">
        <x:v>主播管理</x:v>
      </x:c>
      <x:c r="D49" s="10" t="str">
        <x:v>巡房排班（平台管理员视角）</x:v>
      </x:c>
      <x:c r="E49" s="10" t="str">
        <x:v>逻辑校验</x:v>
      </x:c>
      <x:c r="F49" s="10" t="str">
        <x:v>P1</x:v>
      </x:c>
      <x:c r="G49" s="9" t="str">
        <x:v>验证时段内重新启用巡房排班</x:v>
      </x:c>
      <x:c r="H49" s="9" t="str">
        <x:v>巡房恢复状态计算</x:v>
      </x:c>
      <x:c r="I49" s="9" t="str">
        <x:v>1. 执行角色为平台管理员
2. 账号具有当前模块访问及本次操作权限
3. 业务数据已准备且本页已打开；表单和筛选保持下列指定状态
4. 排班当前停用，平台时钟处于该排班时段内</x:v>
      </x:c>
      <x:c r="J49" s="9" t="str">
        <x:v>1. 查看巡房排班页
2. 点击启用</x:v>
      </x:c>
      <x:c r="K49" s="9" t="str">
        <x:v>排班状态显示生效中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来源（当前证据）：liveshow-proto/MainBasis/统一需求文档.md；位置：REQ-140cf016ddd1；行3707
2. 规则：BR-af60dc0057bb8f9d
3. 未动态验证</x:v>
      </x:c>
    </x:row>
    <x:row r="50" ht="130" customHeight="1">
      <x:c r="A50" s="10" t="n">
        <x:v>49</x:v>
      </x:c>
      <x:c r="B50" s="10" t="str">
        <x:v>ADMIN-03-0031</x:v>
      </x:c>
      <x:c r="C50" s="10" t="str">
        <x:v>主播管理</x:v>
      </x:c>
      <x:c r="D50" s="10" t="str">
        <x:v>巡房排班（平台管理员视角）</x:v>
      </x:c>
      <x:c r="E50" s="10" t="str">
        <x:v>逻辑校验</x:v>
      </x:c>
      <x:c r="F50" s="10" t="str">
        <x:v>P1</x:v>
      </x:c>
      <x:c r="G50" s="9" t="str">
        <x:v>验证结束后重新启用巡房排班</x:v>
      </x:c>
      <x:c r="H50" s="9" t="str">
        <x:v>巡房恢复状态计算</x:v>
      </x:c>
      <x:c r="I50" s="9" t="str">
        <x:v>1. 执行角色为平台管理员
2. 账号具有当前模块访问及本次操作权限
3. 业务数据已准备且本页已打开；表单和筛选保持下列指定状态
4. 排班当前停用，平台时钟处于该排班结束后</x:v>
      </x:c>
      <x:c r="J50" s="9" t="str">
        <x:v>1. 查看巡房排班页
2. 点击启用</x:v>
      </x:c>
      <x:c r="K50" s="9" t="str">
        <x:v>排班状态显示已结束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来源（当前证据）：liveshow-proto/MainBasis/统一需求文档.md；位置：REQ-140cf016ddd1；行3707
2. 规则：BR-da03fc76bf82b201
3. 未动态验证</x:v>
      </x:c>
    </x:row>
    <x:row r="51" ht="130" customHeight="1">
      <x:c r="A51" s="10" t="n">
        <x:v>50</x:v>
      </x:c>
      <x:c r="B51" s="10" t="str">
        <x:v>ADMIN-03-0032</x:v>
      </x:c>
      <x:c r="C51" s="10" t="str">
        <x:v>主播管理</x:v>
      </x:c>
      <x:c r="D51" s="10" t="str">
        <x:v>排班详情（平台管理员视角）</x:v>
      </x:c>
      <x:c r="E51" s="10" t="str">
        <x:v>逻辑校验</x:v>
      </x:c>
      <x:c r="F51" s="10" t="str">
        <x:v>P1</x:v>
      </x:c>
      <x:c r="G51" s="9" t="str">
        <x:v>验证巡房人员封禁后历史名单保留</x:v>
      </x:c>
      <x:c r="H51" s="9" t="str">
        <x:v>历史排班人员快照</x:v>
      </x:c>
      <x:c r="I51" s="9" t="str">
        <x:v>1. 执行角色为平台管理员
2. 账号具有当前模块访问及本次操作权限
3. 业务数据已准备且本页已打开；表单和筛选保持下列指定状态
4. 甲已在历史排班名单，后来账号被封禁</x:v>
      </x:c>
      <x:c r="J51" s="9" t="str">
        <x:v>1. 查看排班详情页</x:v>
      </x:c>
      <x:c r="K51" s="9" t="str">
        <x:v>历史人员名单仍包含甲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来源（当前证据）：liveshow-proto/MainBasis/统一需求文档.md；位置：REQ-60f4e6569ea4；行3733
2. 规则：BR-527eeff39c69c2f9
3. 未动态验证</x:v>
      </x:c>
    </x:row>
    <x:row r="52" ht="130" customHeight="1">
      <x:c r="A52" s="10" t="n">
        <x:v>51</x:v>
      </x:c>
      <x:c r="B52" s="10" t="str">
        <x:v>ADMIN-03-0033</x:v>
      </x:c>
      <x:c r="C52" s="10" t="str">
        <x:v>主播管理</x:v>
      </x:c>
      <x:c r="D52" s="10" t="str">
        <x:v>内容审核（平台管理员视角）</x:v>
      </x:c>
      <x:c r="E52" s="10" t="str">
        <x:v>逻辑校验</x:v>
      </x:c>
      <x:c r="F52" s="10" t="str">
        <x:v>P1</x:v>
      </x:c>
      <x:c r="G52" s="9" t="str">
        <x:v>验证机审命中不直接处罚账号</x:v>
      </x:c>
      <x:c r="H52" s="9" t="str">
        <x:v>机审告警人工判断</x:v>
      </x:c>
      <x:c r="I52" s="9" t="str">
        <x:v>1. 执行角色为平台管理员
2. 账号具有当前模块访问及本次操作权限
3. 业务数据已准备且本页已打开；表单和筛选保持下列指定状态
4. 机审新产生高风险告警，尚无人处置</x:v>
      </x:c>
      <x:c r="J52" s="9" t="str">
        <x:v>1. 查看内容审核页</x:v>
      </x:c>
      <x:c r="K52" s="9" t="str">
        <x:v>处置结果显示“-”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来源（当前证据）：liveshow-proto/MainBasis/统一需求文档.md；位置：REQ-19644b1222aa；行3744
2. 规则：BR-96487ac86538f03d
3. 未动态验证</x:v>
      </x:c>
    </x:row>
    <x:row r="53" ht="115" customHeight="1">
      <x:c r="A53" s="10" t="n">
        <x:v>52</x:v>
      </x:c>
      <x:c r="B53" s="10" t="str">
        <x:v>ADMIN-03-0034</x:v>
      </x:c>
      <x:c r="C53" s="10" t="str">
        <x:v>主播管理</x:v>
      </x:c>
      <x:c r="D53" s="10" t="str">
        <x:v>内容审核（平台管理员视角）</x:v>
      </x:c>
      <x:c r="E53" s="10" t="str">
        <x:v>逻辑校验</x:v>
      </x:c>
      <x:c r="F53" s="10" t="str">
        <x:v>P1</x:v>
      </x:c>
      <x:c r="G53" s="9" t="str">
        <x:v>验证快捷忽略机审误报</x:v>
      </x:c>
      <x:c r="H53" s="9" t="str">
        <x:v>内容告警忽略状态</x:v>
      </x:c>
      <x:c r="I53" s="9" t="str">
        <x:v>1. 执行角色为平台管理员
2. 账号具有当前模块访问及本次操作权限
3. 业务数据已准备且本页已打开；表单和筛选保持下列指定状态
4. 告警待处理</x:v>
      </x:c>
      <x:c r="J53" s="9" t="str">
        <x:v>1. 查看内容审核页
2. 点击快捷忽略</x:v>
      </x:c>
      <x:c r="K53" s="9" t="str">
        <x:v>告警状态为已忽略</x:v>
      </x:c>
      <x:c r="L53" s="10" t="str">
        <x:v>FLOW-46B2922A13</x:v>
      </x:c>
      <x:c r="M53" s="10" t="str">
        <x:v>未测</x:v>
      </x:c>
      <x:c r="N53" s="10" t="str"/>
      <x:c r="O53" s="9" t="str">
        <x:v>1. 来源（当前证据）：liveshow-proto/MainBasis/统一需求文档.md；位置：REQ-ea09814f85e3；行3754
2. 规则：BR-c51c940bb87e8144
3. 未动态验证</x:v>
      </x:c>
    </x:row>
    <x:row r="54" ht="115" customHeight="1">
      <x:c r="A54" s="10" t="n">
        <x:v>53</x:v>
      </x:c>
      <x:c r="B54" s="10" t="str">
        <x:v>ADMIN-03-0035</x:v>
      </x:c>
      <x:c r="C54" s="10" t="str">
        <x:v>主播管理</x:v>
      </x:c>
      <x:c r="D54" s="10" t="str">
        <x:v>内容审核详情（平台管理员视角）</x:v>
      </x:c>
      <x:c r="E54" s="10" t="str">
        <x:v>逻辑校验</x:v>
      </x:c>
      <x:c r="F54" s="10" t="str">
        <x:v>P1</x:v>
      </x:c>
      <x:c r="G54" s="9" t="str">
        <x:v>验证内容告警转人工复审</x:v>
      </x:c>
      <x:c r="H54" s="9" t="str">
        <x:v>内容告警复审状态</x:v>
      </x:c>
      <x:c r="I54" s="9" t="str">
        <x:v>1. 执行角色为平台管理员
2. 账号具有当前模块访问及本次操作权限
3. 业务数据已准备且本页已打开；表单和筛选保持下列指定状态
4. 告警待处理</x:v>
      </x:c>
      <x:c r="J54" s="9" t="str">
        <x:v>1. 查看内容审核详情页
2. 选择处置类型为转人工复审
3. 填写处置原因为人工核实
4. 点击提交</x:v>
      </x:c>
      <x:c r="K54" s="9" t="str">
        <x:v>告警状态为人工复审中</x:v>
      </x:c>
      <x:c r="L54" s="10" t="str">
        <x:v>FLOW-46B2922A13</x:v>
      </x:c>
      <x:c r="M54" s="10" t="str">
        <x:v>未测</x:v>
      </x:c>
      <x:c r="N54" s="10" t="str"/>
      <x:c r="O54" s="9" t="str">
        <x:v>1. 来源（当前证据）：liveshow-proto/MainBasis/统一需求文档.md；位置：REQ-38725abbe207；行3765
2. 规则：BR-293ed66a13418a70
3. 未动态验证</x:v>
      </x:c>
    </x:row>
    <x:row r="55" ht="115" customHeight="1">
      <x:c r="A55" s="10" t="n">
        <x:v>54</x:v>
      </x:c>
      <x:c r="B55" s="10" t="str">
        <x:v>ADMIN-03-0036</x:v>
      </x:c>
      <x:c r="C55" s="10" t="str">
        <x:v>主播管理</x:v>
      </x:c>
      <x:c r="D55" s="10" t="str">
        <x:v>内容审核详情（平台管理员视角）</x:v>
      </x:c>
      <x:c r="E55" s="10" t="str">
        <x:v>逻辑校验</x:v>
      </x:c>
      <x:c r="F55" s="10" t="str">
        <x:v>P1</x:v>
      </x:c>
      <x:c r="G55" s="9" t="str">
        <x:v>验证告警处置必须填写原因</x:v>
      </x:c>
      <x:c r="H55" s="9" t="str">
        <x:v>内容处置原因必填</x:v>
      </x:c>
      <x:c r="I55" s="9" t="str">
        <x:v>1. 执行角色为平台管理员
2. 账号具有当前模块访问及本次操作权限
3. 业务数据已准备且本页已打开；表单和筛选保持下列指定状态
4. 告警待处理，已选择忽略</x:v>
      </x:c>
      <x:c r="J55" s="9" t="str">
        <x:v>1. 查看内容审核详情页
2. 清空处置原因
3. 点击提交</x:v>
      </x:c>
      <x:c r="K55" s="9" t="str">
        <x:v>不能提交空原因处置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来源（当前证据）：liveshow-proto/MainBasis/统一需求文档.md；位置：REQ-5a4896d1fad6；行3767
2. 规则：BR-cf4ad6e0f5be3f18
3. 未动态验证</x:v>
      </x:c>
    </x:row>
    <x:row r="56" ht="115" customHeight="1">
      <x:c r="A56" s="10" t="n">
        <x:v>55</x:v>
      </x:c>
      <x:c r="B56" s="10" t="str">
        <x:v>ADMIN-03-0037</x:v>
      </x:c>
      <x:c r="C56" s="10" t="str">
        <x:v>主播管理</x:v>
      </x:c>
      <x:c r="D56" s="10" t="str">
        <x:v>内容审核详情（平台管理员视角）</x:v>
      </x:c>
      <x:c r="E56" s="10" t="str">
        <x:v>逻辑校验</x:v>
      </x:c>
      <x:c r="F56" s="10" t="str">
        <x:v>P1</x:v>
      </x:c>
      <x:c r="G56" s="9" t="str">
        <x:v>验证已忽略告警不能重复提交</x:v>
      </x:c>
      <x:c r="H56" s="9" t="str">
        <x:v>内容审核终态只读</x:v>
      </x:c>
      <x:c r="I56" s="9" t="str">
        <x:v>1. 执行角色为平台管理员
2. 账号具有当前模块访问及本次操作权限
3. 业务数据已准备且本页已打开；表单和筛选保持下列指定状态
4. 告警已忽略</x:v>
      </x:c>
      <x:c r="J56" s="9" t="str">
        <x:v>1. 查看内容审核详情页</x:v>
      </x:c>
      <x:c r="K56" s="9" t="str">
        <x:v>不允许再次提交处置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来源（当前证据）：liveshow-proto/MainBasis/统一需求文档.md；位置：REQ-69bd30677d4e；行3769
2. 规则：BR-7f063c38b68da591
3. 未动态验证</x:v>
      </x:c>
    </x:row>
    <x:row r="57" ht="115" customHeight="1">
      <x:c r="A57" s="10" t="n">
        <x:v>56</x:v>
      </x:c>
      <x:c r="B57" s="10" t="str">
        <x:v>ADMIN-03-0038</x:v>
      </x:c>
      <x:c r="C57" s="10" t="str">
        <x:v>主播管理</x:v>
      </x:c>
      <x:c r="D57" s="10" t="str">
        <x:v>内容审核详情（平台管理员视角）</x:v>
      </x:c>
      <x:c r="E57" s="10" t="str">
        <x:v>逻辑校验</x:v>
      </x:c>
      <x:c r="F57" s="10" t="str">
        <x:v>P1</x:v>
      </x:c>
      <x:c r="G57" s="9" t="str">
        <x:v>验证处理告警后保留原始材料</x:v>
      </x:c>
      <x:c r="H57" s="9" t="str">
        <x:v>机审告警证据保留</x:v>
      </x:c>
      <x:c r="I57" s="9" t="str">
        <x:v>1. 执行角色为平台管理员
2. 账号具有当前模块访问及本次操作权限
3. 业务数据已准备且本页已打开；表单和筛选保持下列指定状态
4. 告警原截图A且已处置</x:v>
      </x:c>
      <x:c r="J57" s="9" t="str">
        <x:v>1. 查看内容审核详情页</x:v>
      </x:c>
      <x:c r="K57" s="9" t="str">
        <x:v>仍可查看原截图A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来源（当前证据）：liveshow-proto/MainBasis/统一需求文档.md；位置：REQ-16c3c8128c5d；行3763
2. 规则：BR-8a1fd29061cad777
3. 未动态验证</x:v>
      </x:c>
    </x:row>
    <x:row r="58" ht="130" customHeight="1">
      <x:c r="A58" s="10" t="n">
        <x:v>57</x:v>
      </x:c>
      <x:c r="B58" s="10" t="str">
        <x:v>ADMIN-04-0001</x:v>
      </x:c>
      <x:c r="C58" s="10" t="str">
        <x:v>举报处理</x:v>
      </x:c>
      <x:c r="D58" s="10" t="str">
        <x:v>账号违规（平台管理员视角）</x:v>
      </x:c>
      <x:c r="E58" s="10" t="str">
        <x:v>逻辑校验</x:v>
      </x:c>
      <x:c r="F58" s="10" t="str">
        <x:v>P1</x:v>
      </x:c>
      <x:c r="G58" s="9" t="str">
        <x:v>验证修改违规类型不改账号举报快照</x:v>
      </x:c>
      <x:c r="H58" s="9" t="str">
        <x:v>账号举报类型快照</x:v>
      </x:c>
      <x:c r="I58" s="9" t="str">
        <x:v>1. 执行角色为平台管理员
2. 账号具有当前模块访问及本次操作权限
3. 业务数据已准备且本页已打开；表单和筛选保持下列指定状态
4. 举报提交类型名称A，后台之后改名B</x:v>
      </x:c>
      <x:c r="J58" s="9" t="str">
        <x:v>1. 查看账号违规页</x:v>
      </x:c>
      <x:c r="K58" s="9" t="str">
        <x:v>历史举报类型仍显示A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来源（当前证据）：liveshow-proto/MainBasis/统一需求文档.md；位置：REQ-27b6320be8db；行3780
2. 规则：BR-e328421cbdb67ba6
3. 未动态验证</x:v>
      </x:c>
    </x:row>
    <x:row r="59" ht="130" customHeight="1">
      <x:c r="A59" s="10" t="n">
        <x:v>58</x:v>
      </x:c>
      <x:c r="B59" s="10" t="str">
        <x:v>ADMIN-04-0002</x:v>
      </x:c>
      <x:c r="C59" s="10" t="str">
        <x:v>举报处理</x:v>
      </x:c>
      <x:c r="D59" s="10" t="str">
        <x:v>账号违规（平台管理员视角）</x:v>
      </x:c>
      <x:c r="E59" s="10" t="str">
        <x:v>逻辑校验</x:v>
      </x:c>
      <x:c r="F59" s="10" t="str">
        <x:v>P1</x:v>
      </x:c>
      <x:c r="G59" s="9" t="str">
        <x:v>验证用户被举报后不自动封禁</x:v>
      </x:c>
      <x:c r="H59" s="9" t="str">
        <x:v>账号举报与处罚分离</x:v>
      </x:c>
      <x:c r="I59" s="9" t="str">
        <x:v>1. 执行角色为平台管理员
2. 账号具有当前模块访问及本次操作权限
3. 业务数据已准备且本页已打开；表单和筛选保持下列指定状态
4. 正常用户刚被举报，工单未处理</x:v>
      </x:c>
      <x:c r="J59" s="9" t="str">
        <x:v>1. 查看账号违规页</x:v>
      </x:c>
      <x:c r="K59" s="9" t="str">
        <x:v>被举报账号状态仍为正常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来源（当前证据）：liveshow-proto/MainBasis/统一需求文档.md；位置：REQ-cf97d60c073c；行3788
2. 规则：BR-69933eb6e0c0ca56
3. 未动态验证</x:v>
      </x:c>
    </x:row>
    <x:row r="60" ht="130" customHeight="1">
      <x:c r="A60" s="10" t="n">
        <x:v>59</x:v>
      </x:c>
      <x:c r="B60" s="10" t="str">
        <x:v>ADMIN-04-0003</x:v>
      </x:c>
      <x:c r="C60" s="10" t="str">
        <x:v>举报处理</x:v>
      </x:c>
      <x:c r="D60" s="10" t="str">
        <x:v>直播间违规（平台管理员视角）</x:v>
      </x:c>
      <x:c r="E60" s="10" t="str">
        <x:v>逻辑校验</x:v>
      </x:c>
      <x:c r="F60" s="10" t="str">
        <x:v>P1</x:v>
      </x:c>
      <x:c r="G60" s="9" t="str">
        <x:v>验证待处理直播举报随下播作废</x:v>
      </x:c>
      <x:c r="H60" s="9" t="str">
        <x:v>直播举报自动作废</x:v>
      </x:c>
      <x:c r="I60" s="9" t="str">
        <x:v>1. 执行角色为平台管理员
2. 账号具有当前模块访问及本次操作权限
3. 业务数据已准备且本页已打开；表单和筛选保持下列指定状态
4. 场次举报待处理，主播随后结束该场次</x:v>
      </x:c>
      <x:c r="J60" s="9" t="str">
        <x:v>1. 查看直播间违规页</x:v>
      </x:c>
      <x:c r="K60" s="9" t="str">
        <x:v>该工单处理状态为已作废</x:v>
      </x:c>
      <x:c r="L60" s="10" t="str">
        <x:v>FLOW-BA138CF190</x:v>
      </x:c>
      <x:c r="M60" s="10" t="str">
        <x:v>未测</x:v>
      </x:c>
      <x:c r="N60" s="10" t="str"/>
      <x:c r="O60" s="9" t="str">
        <x:v>1. 来源（当前证据）：liveshow-proto/MainBasis/统一需求文档.md；位置：REQ-a1fe662c2177；行3807
2. 规则：BR-ed687f2c88cde660
3. 未动态验证</x:v>
      </x:c>
    </x:row>
    <x:row r="61" ht="115" customHeight="1">
      <x:c r="A61" s="10" t="n">
        <x:v>60</x:v>
      </x:c>
      <x:c r="B61" s="10" t="str">
        <x:v>ADMIN-04-0004</x:v>
      </x:c>
      <x:c r="C61" s="10" t="str">
        <x:v>举报处理</x:v>
      </x:c>
      <x:c r="D61" s="10" t="str">
        <x:v>举报详情（平台管理员视角）</x:v>
      </x:c>
      <x:c r="E61" s="10" t="str">
        <x:v>逻辑校验</x:v>
      </x:c>
      <x:c r="F61" s="10" t="str">
        <x:v>P1</x:v>
      </x:c>
      <x:c r="G61" s="9" t="str">
        <x:v>验证账号举报仅提供合法处置项</x:v>
      </x:c>
      <x:c r="H61" s="9" t="str">
        <x:v>账号举报处置枚举</x:v>
      </x:c>
      <x:c r="I61" s="9" t="str">
        <x:v>1. 执行角色为平台管理员
2. 账号具有当前模块访问及本次操作权限
3. 业务数据已准备且本页已打开；表单和筛选保持下列指定状态
4. 当前账号举报工单待处理</x:v>
      </x:c>
      <x:c r="J61" s="9" t="str">
        <x:v>1. 查看举报详情页
2. 点击处置类型</x:v>
      </x:c>
      <x:c r="K61" s="9" t="str">
        <x:v>可选项仅不处置、封禁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来源（当前证据）：liveshow-proto/MainBasis/统一需求文档.md；位置：REQ-b35090e63133；行3820
2. 规则：BR-e3a76e0914562a56
3. 未动态验证</x:v>
      </x:c>
    </x:row>
    <x:row r="62" ht="115" customHeight="1">
      <x:c r="A62" s="10" t="n">
        <x:v>61</x:v>
      </x:c>
      <x:c r="B62" s="10" t="str">
        <x:v>ADMIN-04-0005</x:v>
      </x:c>
      <x:c r="C62" s="10" t="str">
        <x:v>举报处理</x:v>
      </x:c>
      <x:c r="D62" s="10" t="str">
        <x:v>举报详情（平台管理员视角）</x:v>
      </x:c>
      <x:c r="E62" s="10" t="str">
        <x:v>逻辑校验</x:v>
      </x:c>
      <x:c r="F62" s="10" t="str">
        <x:v>P1</x:v>
      </x:c>
      <x:c r="G62" s="9" t="str">
        <x:v>验证直播举报仅提供合法处置项</x:v>
      </x:c>
      <x:c r="H62" s="9" t="str">
        <x:v>直播举报处置枚举</x:v>
      </x:c>
      <x:c r="I62" s="9" t="str">
        <x:v>1. 执行角色为平台管理员
2. 账号具有当前模块访问及本次操作权限
3. 业务数据已准备且本页已打开；表单和筛选保持下列指定状态
4. 当前直播举报工单待处理</x:v>
      </x:c>
      <x:c r="J62" s="9" t="str">
        <x:v>1. 查看举报详情页
2. 点击处置类型</x:v>
      </x:c>
      <x:c r="K62" s="9" t="str">
        <x:v>可选项仅不处置、警告、关播、关闭直播权限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来源（当前证据）：liveshow-proto/MainBasis/统一需求文档.md；位置：REQ-b35090e63133；行3820
2. 规则：BR-4d8d8af8c2645c0f
3. 未动态验证</x:v>
      </x:c>
    </x:row>
    <x:row r="63" ht="115" customHeight="1">
      <x:c r="A63" s="10" t="n">
        <x:v>62</x:v>
      </x:c>
      <x:c r="B63" s="10" t="str">
        <x:v>ADMIN-04-0006</x:v>
      </x:c>
      <x:c r="C63" s="10" t="str">
        <x:v>举报处理</x:v>
      </x:c>
      <x:c r="D63" s="10" t="str">
        <x:v>举报详情（平台管理员视角）</x:v>
      </x:c>
      <x:c r="E63" s="10" t="str">
        <x:v>逻辑校验</x:v>
      </x:c>
      <x:c r="F63" s="10" t="str">
        <x:v>P1</x:v>
      </x:c>
      <x:c r="G63" s="9" t="str">
        <x:v>验证已处理举报不允许再处置</x:v>
      </x:c>
      <x:c r="H63" s="9" t="str">
        <x:v>举报工单终态不可重提</x:v>
      </x:c>
      <x:c r="I63" s="9" t="str">
        <x:v>1. 执行角色为平台管理员
2. 账号具有当前模块访问及本次操作权限
3. 业务数据已准备且本页已打开；表单和筛选保持下列指定状态
4. 直播举报工单为已处理</x:v>
      </x:c>
      <x:c r="J63" s="9" t="str">
        <x:v>1. 查看举报详情页</x:v>
      </x:c>
      <x:c r="K63" s="9" t="str">
        <x:v>不允许再次提交处置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来源（当前证据）：liveshow-proto/MainBasis/统一需求文档.md；位置：REQ-cbb4cfb5af43；行3830
2. 规则：BR-701524be120e5eaf
3. 未动态验证</x:v>
      </x:c>
    </x:row>
    <x:row r="64" ht="115" customHeight="1">
      <x:c r="A64" s="10" t="n">
        <x:v>63</x:v>
      </x:c>
      <x:c r="B64" s="10" t="str">
        <x:v>ADMIN-04-0007</x:v>
      </x:c>
      <x:c r="C64" s="10" t="str">
        <x:v>举报处理</x:v>
      </x:c>
      <x:c r="D64" s="10" t="str">
        <x:v>举报详情（平台管理员视角）</x:v>
      </x:c>
      <x:c r="E64" s="10" t="str">
        <x:v>逻辑校验</x:v>
      </x:c>
      <x:c r="F64" s="10" t="str">
        <x:v>P1</x:v>
      </x:c>
      <x:c r="G64" s="9" t="str">
        <x:v>验证已作废举报不允许再处置</x:v>
      </x:c>
      <x:c r="H64" s="9" t="str">
        <x:v>举报工单终态不可重提</x:v>
      </x:c>
      <x:c r="I64" s="9" t="str">
        <x:v>1. 执行角色为平台管理员
2. 账号具有当前模块访问及本次操作权限
3. 业务数据已准备且本页已打开；表单和筛选保持下列指定状态
4. 直播举报工单为已作废</x:v>
      </x:c>
      <x:c r="J64" s="9" t="str">
        <x:v>1. 查看举报详情页</x:v>
      </x:c>
      <x:c r="K64" s="9" t="str">
        <x:v>不允许再次提交处置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来源（当前证据）：liveshow-proto/MainBasis/统一需求文档.md；位置：REQ-cbb4cfb5af43；行3830
2. 规则：BR-ec0955bc1086c134
3. 未动态验证</x:v>
      </x:c>
    </x:row>
    <x:row r="65" ht="115" customHeight="1">
      <x:c r="A65" s="10" t="n">
        <x:v>64</x:v>
      </x:c>
      <x:c r="B65" s="10" t="str">
        <x:v>ADMIN-04-0008</x:v>
      </x:c>
      <x:c r="C65" s="10" t="str">
        <x:v>举报处理</x:v>
      </x:c>
      <x:c r="D65" s="10" t="str">
        <x:v>举报详情（平台管理员视角）</x:v>
      </x:c>
      <x:c r="E65" s="10" t="str">
        <x:v>逻辑校验</x:v>
      </x:c>
      <x:c r="F65" s="10" t="str">
        <x:v>P1</x:v>
      </x:c>
      <x:c r="G65" s="9" t="str">
        <x:v>验证举报处罚原因不能为空</x:v>
      </x:c>
      <x:c r="H65" s="9" t="str">
        <x:v>举报处罚原因必填</x:v>
      </x:c>
      <x:c r="I65" s="9" t="str">
        <x:v>1. 执行角色为平台管理员
2. 账号具有当前模块访问及本次操作权限
3. 业务数据已准备且本页已打开；表单和筛选保持下列指定状态
4. 直播举报待处理，选择警告</x:v>
      </x:c>
      <x:c r="J65" s="9" t="str">
        <x:v>1. 查看举报详情页
2. 清空处置原因
3. 点击处理</x:v>
      </x:c>
      <x:c r="K65" s="9" t="str">
        <x:v>不能提交缺少原因的处罚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来源（当前证据）：liveshow-proto/MainBasis/统一需求文档.md；位置：REQ-b2602d97ce7d；行3822
2. 规则：BR-4e5a11024e5bd31c
3. 未动态验证</x:v>
      </x:c>
    </x:row>
    <x:row r="66" ht="130" customHeight="1">
      <x:c r="A66" s="10" t="n">
        <x:v>65</x:v>
      </x:c>
      <x:c r="B66" s="10" t="str">
        <x:v>ADMIN-04-0009</x:v>
      </x:c>
      <x:c r="C66" s="10" t="str">
        <x:v>举报处理</x:v>
      </x:c>
      <x:c r="D66" s="10" t="str">
        <x:v>举报详情（平台管理员视角）</x:v>
      </x:c>
      <x:c r="E66" s="10" t="str">
        <x:v>逻辑校验</x:v>
      </x:c>
      <x:c r="F66" s="10" t="str">
        <x:v>P1</x:v>
      </x:c>
      <x:c r="G66" s="9" t="str">
        <x:v>验证直播举报执行不处置后工单完成</x:v>
      </x:c>
      <x:c r="H66" s="9" t="str">
        <x:v>直播举报不处置处理结果</x:v>
      </x:c>
      <x:c r="I66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6" s="9" t="str">
        <x:v>1. 查看举报详情页
2. 选择处置类型为不处置
3. 填写处置原因为本次测试判断
4. 点击处理</x:v>
      </x:c>
      <x:c r="K66" s="9" t="str">
        <x:v>工单处理状态为已处理</x:v>
      </x:c>
      <x:c r="L66" s="10" t="str">
        <x:v>FLOW-BA138CF190</x:v>
      </x:c>
      <x:c r="M66" s="10" t="str">
        <x:v>未测</x:v>
      </x:c>
      <x:c r="N66" s="10" t="str"/>
      <x:c r="O66" s="9" t="str">
        <x:v>1. 来源（当前证据）：liveshow-proto/MainBasis/统一需求文档.md；位置：REQ-cbb4cfb5af43；行3830
2. 规则：BR-7b8a790867d469e7
3. 未动态验证</x:v>
      </x:c>
    </x:row>
    <x:row r="67" ht="130" customHeight="1">
      <x:c r="A67" s="10" t="n">
        <x:v>66</x:v>
      </x:c>
      <x:c r="B67" s="10" t="str">
        <x:v>ADMIN-04-0010</x:v>
      </x:c>
      <x:c r="C67" s="10" t="str">
        <x:v>举报处理</x:v>
      </x:c>
      <x:c r="D67" s="10" t="str">
        <x:v>举报详情（平台管理员视角）</x:v>
      </x:c>
      <x:c r="E67" s="10" t="str">
        <x:v>逻辑校验</x:v>
      </x:c>
      <x:c r="F67" s="10" t="str">
        <x:v>P1</x:v>
      </x:c>
      <x:c r="G67" s="9" t="str">
        <x:v>验证直播举报执行警告后工单完成</x:v>
      </x:c>
      <x:c r="H67" s="9" t="str">
        <x:v>直播举报警告处理结果</x:v>
      </x:c>
      <x:c r="I67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7" s="9" t="str">
        <x:v>1. 查看举报详情页
2. 选择处置类型为警告
3. 填写处置原因为本次测试判断
4. 点击处理</x:v>
      </x:c>
      <x:c r="K67" s="9" t="str">
        <x:v>工单处理状态为已处理</x:v>
      </x:c>
      <x:c r="L67" s="10" t="str">
        <x:v>FLOW-BA138CF190</x:v>
      </x:c>
      <x:c r="M67" s="10" t="str">
        <x:v>未测</x:v>
      </x:c>
      <x:c r="N67" s="10" t="str"/>
      <x:c r="O67" s="9" t="str">
        <x:v>1. 来源（当前证据）：liveshow-proto/MainBasis/统一需求文档.md；位置：REQ-cbb4cfb5af43；行3830
2. 规则：BR-44f9664e17fb93f7
3. 未动态验证</x:v>
      </x:c>
    </x:row>
    <x:row r="68" ht="130" customHeight="1">
      <x:c r="A68" s="10" t="n">
        <x:v>67</x:v>
      </x:c>
      <x:c r="B68" s="10" t="str">
        <x:v>ADMIN-04-0011</x:v>
      </x:c>
      <x:c r="C68" s="10" t="str">
        <x:v>举报处理</x:v>
      </x:c>
      <x:c r="D68" s="10" t="str">
        <x:v>举报详情（平台管理员视角）</x:v>
      </x:c>
      <x:c r="E68" s="10" t="str">
        <x:v>逻辑校验</x:v>
      </x:c>
      <x:c r="F68" s="10" t="str">
        <x:v>P1</x:v>
      </x:c>
      <x:c r="G68" s="9" t="str">
        <x:v>验证直播举报执行关播后工单完成</x:v>
      </x:c>
      <x:c r="H68" s="9" t="str">
        <x:v>直播举报关播处理结果</x:v>
      </x:c>
      <x:c r="I68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8" s="9" t="str">
        <x:v>1. 查看举报详情页
2. 选择处置类型为关播
3. 填写处置原因为本次测试判断
4. 点击处理</x:v>
      </x:c>
      <x:c r="K68" s="9" t="str">
        <x:v>工单处理状态为已处理</x:v>
      </x:c>
      <x:c r="L68" s="10" t="str">
        <x:v>FLOW-BA138CF190</x:v>
      </x:c>
      <x:c r="M68" s="10" t="str">
        <x:v>未测</x:v>
      </x:c>
      <x:c r="N68" s="10" t="str"/>
      <x:c r="O68" s="9" t="str">
        <x:v>1. 来源（当前证据）：liveshow-proto/MainBasis/统一需求文档.md；位置：REQ-cbb4cfb5af43；行3830
2. 规则：BR-533c5085f8cdc082
3. 未动态验证</x:v>
      </x:c>
    </x:row>
    <x:row r="69" ht="130" customHeight="1">
      <x:c r="A69" s="10" t="n">
        <x:v>68</x:v>
      </x:c>
      <x:c r="B69" s="10" t="str">
        <x:v>ADMIN-04-0012</x:v>
      </x:c>
      <x:c r="C69" s="10" t="str">
        <x:v>举报处理</x:v>
      </x:c>
      <x:c r="D69" s="10" t="str">
        <x:v>举报详情（平台管理员视角）</x:v>
      </x:c>
      <x:c r="E69" s="10" t="str">
        <x:v>逻辑校验</x:v>
      </x:c>
      <x:c r="F69" s="10" t="str">
        <x:v>P1</x:v>
      </x:c>
      <x:c r="G69" s="9" t="str">
        <x:v>验证直播举报执行关闭直播权限后工单完成</x:v>
      </x:c>
      <x:c r="H69" s="9" t="str">
        <x:v>直播举报关闭直播权限处理结果</x:v>
      </x:c>
      <x:c r="I69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9" s="9" t="str">
        <x:v>1. 查看举报详情页
2. 选择处置类型为关闭直播权限
3. 填写处置原因为本次测试判断
4. 点击处理</x:v>
      </x:c>
      <x:c r="K69" s="9" t="str">
        <x:v>工单处理状态为已处理</x:v>
      </x:c>
      <x:c r="L69" s="10" t="str">
        <x:v>FLOW-BA138CF190</x:v>
      </x:c>
      <x:c r="M69" s="10" t="str">
        <x:v>未测</x:v>
      </x:c>
      <x:c r="N69" s="10" t="str"/>
      <x:c r="O69" s="9" t="str">
        <x:v>1. 来源（当前证据）：liveshow-proto/MainBasis/统一需求文档.md；位置：REQ-cbb4cfb5af43；行3830
2. 规则：BR-93b6dbb13bdb90a8
3. 未动态验证</x:v>
      </x:c>
    </x:row>
    <x:row r="70" ht="115" customHeight="1">
      <x:c r="A70" s="10" t="n">
        <x:v>69</x:v>
      </x:c>
      <x:c r="B70" s="10" t="str">
        <x:v>ADMIN-04-0013</x:v>
      </x:c>
      <x:c r="C70" s="10" t="str">
        <x:v>举报处理</x:v>
      </x:c>
      <x:c r="D70" s="10" t="str">
        <x:v>举报详情（平台管理员视角）</x:v>
      </x:c>
      <x:c r="E70" s="10" t="str">
        <x:v>逻辑校验</x:v>
      </x:c>
      <x:c r="F70" s="10" t="str">
        <x:v>P1</x:v>
      </x:c>
      <x:c r="G70" s="9" t="str">
        <x:v>验证举报已处理后证据不丢失</x:v>
      </x:c>
      <x:c r="H70" s="9" t="str">
        <x:v>举报证据保留</x:v>
      </x:c>
      <x:c r="I70" s="9" t="str">
        <x:v>1. 执行角色为平台管理员
2. 账号具有当前模块访问及本次操作权限
3. 业务数据已准备且本页已打开；表单和筛选保持下列指定状态
4. 已处理举报原附证据图片A</x:v>
      </x:c>
      <x:c r="J70" s="9" t="str">
        <x:v>1. 查看举报详情页</x:v>
      </x:c>
      <x:c r="K70" s="9" t="str">
        <x:v>仍可查看证据图片A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来源（当前证据）：liveshow-proto/MainBasis/统一需求文档.md；位置：REQ-567b55982c28；行3818
2. 规则：BR-2f6d4cae816fdb7e
3. 未动态验证</x:v>
      </x:c>
    </x:row>
    <x:row r="71" ht="115" customHeight="1">
      <x:c r="A71" s="10" t="n">
        <x:v>70</x:v>
      </x:c>
      <x:c r="B71" s="10" t="str">
        <x:v>ADMIN-04-0014</x:v>
      </x:c>
      <x:c r="C71" s="10" t="str">
        <x:v>举报处理</x:v>
      </x:c>
      <x:c r="D71" s="10" t="str">
        <x:v>违规类型（平台管理员视角）</x:v>
      </x:c>
      <x:c r="E71" s="10" t="str">
        <x:v>逻辑校验</x:v>
      </x:c>
      <x:c r="F71" s="10" t="str">
        <x:v>P1</x:v>
      </x:c>
      <x:c r="G71" s="9" t="str">
        <x:v>验证系统预置违规类型不可删除</x:v>
      </x:c>
      <x:c r="H71" s="9" t="str">
        <x:v>预置违规类型保护</x:v>
      </x:c>
      <x:c r="I71" s="9" t="str">
        <x:v>1. 执行角色为平台管理员
2. 账号具有当前模块访问及本次操作权限
3. 业务数据已准备且本页已打开；表单和筛选保持下列指定状态
4. 目标为系统预置类型</x:v>
      </x:c>
      <x:c r="J71" s="9" t="str">
        <x:v>1. 查看违规类型页</x:v>
      </x:c>
      <x:c r="K71" s="9" t="str">
        <x:v>该类型不允许删除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来源（当前证据）：liveshow-proto/MainBasis/统一需求文档.md；位置：REQ-2211d067ff7e；行3843
2. 规则：BR-4e31de450487fb1a
3. 未动态验证</x:v>
      </x:c>
    </x:row>
    <x:row r="72" ht="115" customHeight="1">
      <x:c r="A72" s="10" t="n">
        <x:v>71</x:v>
      </x:c>
      <x:c r="B72" s="10" t="str">
        <x:v>ADMIN-04-0015</x:v>
      </x:c>
      <x:c r="C72" s="10" t="str">
        <x:v>举报处理</x:v>
      </x:c>
      <x:c r="D72" s="10" t="str">
        <x:v>违规类型（平台管理员视角）</x:v>
      </x:c>
      <x:c r="E72" s="10" t="str">
        <x:v>逻辑校验</x:v>
      </x:c>
      <x:c r="F72" s="10" t="str">
        <x:v>P1</x:v>
      </x:c>
      <x:c r="G72" s="9" t="str">
        <x:v>验证系统预置违规类型不可停用</x:v>
      </x:c>
      <x:c r="H72" s="9" t="str">
        <x:v>预置违规类型状态</x:v>
      </x:c>
      <x:c r="I72" s="9" t="str">
        <x:v>1. 执行角色为平台管理员
2. 账号具有当前模块访问及本次操作权限
3. 业务数据已准备且本页已打开；表单和筛选保持下列指定状态
4. 目标为系统预置类型</x:v>
      </x:c>
      <x:c r="J72" s="9" t="str">
        <x:v>1. 查看违规类型页</x:v>
      </x:c>
      <x:c r="K72" s="9" t="str">
        <x:v>该类型固定启用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来源（当前证据）：liveshow-proto/MainBasis/统一需求文档.md；位置：REQ-05902bd4c917；行3845
2. 规则：BR-046c40b75774b108
3. 未动态验证</x:v>
      </x:c>
    </x:row>
    <x:row r="73" ht="115" customHeight="1">
      <x:c r="A73" s="10" t="n">
        <x:v>72</x:v>
      </x:c>
      <x:c r="B73" s="10" t="str">
        <x:v>ADMIN-04-0016</x:v>
      </x:c>
      <x:c r="C73" s="10" t="str">
        <x:v>举报处理</x:v>
      </x:c>
      <x:c r="D73" s="10" t="str">
        <x:v>违规类型（平台管理员视角）</x:v>
      </x:c>
      <x:c r="E73" s="10" t="str">
        <x:v>功能需求</x:v>
      </x:c>
      <x:c r="F73" s="10" t="str">
        <x:v>P2</x:v>
      </x:c>
      <x:c r="G73" s="9" t="str">
        <x:v>验证违规类型按排序升序排列</x:v>
      </x:c>
      <x:c r="H73" s="9" t="str">
        <x:v>违规类型排列顺序</x:v>
      </x:c>
      <x:c r="I73" s="9" t="str">
        <x:v>1. 执行角色为平台管理员
2. 账号具有当前模块访问及本次操作权限
3. 业务数据已准备且本页已打开；表单和筛选保持下列指定状态
4. 类型A排序2、B排序1</x:v>
      </x:c>
      <x:c r="J73" s="9" t="str">
        <x:v>1. 查看违规类型页</x:v>
      </x:c>
      <x:c r="K73" s="9" t="str">
        <x:v>B排列在A之前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来源（当前证据）：liveshow-proto/MainBasis/统一需求文档.md；位置：REQ-9076e834a8a8；行3839
2. 规则：BR-52fa6f5163ec0664
3. 未动态验证</x:v>
      </x:c>
    </x:row>
    <x:row r="74" ht="115" customHeight="1">
      <x:c r="A74" s="10" t="n">
        <x:v>73</x:v>
      </x:c>
      <x:c r="B74" s="10" t="str">
        <x:v>ADMIN-04-0017</x:v>
      </x:c>
      <x:c r="C74" s="10" t="str">
        <x:v>举报处理</x:v>
      </x:c>
      <x:c r="D74" s="10" t="str">
        <x:v>违规类型编辑（平台管理员视角）</x:v>
      </x:c>
      <x:c r="E74" s="10" t="str">
        <x:v>逻辑校验</x:v>
      </x:c>
      <x:c r="F74" s="10" t="str">
        <x:v>P1</x:v>
      </x:c>
      <x:c r="G74" s="9" t="str">
        <x:v>验证违规类型中文名称必填</x:v>
      </x:c>
      <x:c r="H74" s="9" t="str">
        <x:v>违规类型中文必填</x:v>
      </x:c>
      <x:c r="I74" s="9" t="str">
        <x:v>1. 执行角色为平台管理员
2. 账号具有当前模块访问及本次操作权限
3. 业务数据已准备且本页已打开；表单和筛选保持下列指定状态
4. 其他名称及排序有效</x:v>
      </x:c>
      <x:c r="J74" s="9" t="str">
        <x:v>1. 查看违规类型编辑页
2. 清空中文名称
3. 点击保存</x:v>
      </x:c>
      <x:c r="K74" s="9" t="str">
        <x:v>不能保存缺少四语名称的类型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来源（当前证据）：liveshow-proto/MainBasis/统一需求文档.md；位置：REQ-e4f918932a7f；行3858
2. 规则：BR-06501049ff0c5fac
3. 未动态验证</x:v>
      </x:c>
    </x:row>
    <x:row r="75" ht="115" customHeight="1">
      <x:c r="A75" s="10" t="n">
        <x:v>74</x:v>
      </x:c>
      <x:c r="B75" s="10" t="str">
        <x:v>ADMIN-04-0018</x:v>
      </x:c>
      <x:c r="C75" s="10" t="str">
        <x:v>举报处理</x:v>
      </x:c>
      <x:c r="D75" s="10" t="str">
        <x:v>违规类型编辑（平台管理员视角）</x:v>
      </x:c>
      <x:c r="E75" s="10" t="str">
        <x:v>逻辑校验</x:v>
      </x:c>
      <x:c r="F75" s="10" t="str">
        <x:v>P1</x:v>
      </x:c>
      <x:c r="G75" s="9" t="str">
        <x:v>验证违规类型英语名称必填</x:v>
      </x:c>
      <x:c r="H75" s="9" t="str">
        <x:v>违规类型英语必填</x:v>
      </x:c>
      <x:c r="I75" s="9" t="str">
        <x:v>1. 执行角色为平台管理员
2. 账号具有当前模块访问及本次操作权限
3. 业务数据已准备且本页已打开；表单和筛选保持下列指定状态
4. 其他名称及排序有效</x:v>
      </x:c>
      <x:c r="J75" s="9" t="str">
        <x:v>1. 查看违规类型编辑页
2. 清空英语名称
3. 点击保存</x:v>
      </x:c>
      <x:c r="K75" s="9" t="str">
        <x:v>不能保存缺少四语名称的类型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来源（当前证据）：liveshow-proto/MainBasis/统一需求文档.md；位置：REQ-e4f918932a7f；行3858
2. 规则：BR-9b1d20188f96204f
3. 未动态验证</x:v>
      </x:c>
    </x:row>
    <x:row r="76" ht="115" customHeight="1">
      <x:c r="A76" s="10" t="n">
        <x:v>75</x:v>
      </x:c>
      <x:c r="B76" s="10" t="str">
        <x:v>ADMIN-04-0019</x:v>
      </x:c>
      <x:c r="C76" s="10" t="str">
        <x:v>举报处理</x:v>
      </x:c>
      <x:c r="D76" s="10" t="str">
        <x:v>违规类型编辑（平台管理员视角）</x:v>
      </x:c>
      <x:c r="E76" s="10" t="str">
        <x:v>逻辑校验</x:v>
      </x:c>
      <x:c r="F76" s="10" t="str">
        <x:v>P1</x:v>
      </x:c>
      <x:c r="G76" s="9" t="str">
        <x:v>验证违规类型印尼语名称必填</x:v>
      </x:c>
      <x:c r="H76" s="9" t="str">
        <x:v>违规类型印尼语必填</x:v>
      </x:c>
      <x:c r="I76" s="9" t="str">
        <x:v>1. 执行角色为平台管理员
2. 账号具有当前模块访问及本次操作权限
3. 业务数据已准备且本页已打开；表单和筛选保持下列指定状态
4. 其他名称及排序有效</x:v>
      </x:c>
      <x:c r="J76" s="9" t="str">
        <x:v>1. 查看违规类型编辑页
2. 清空印尼语名称
3. 点击保存</x:v>
      </x:c>
      <x:c r="K76" s="9" t="str">
        <x:v>不能保存缺少四语名称的类型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来源（当前证据）：liveshow-proto/MainBasis/统一需求文档.md；位置：REQ-e4f918932a7f；行3858
2. 规则：BR-efb449a985e1c19b
3. 未动态验证</x:v>
      </x:c>
    </x:row>
    <x:row r="77" ht="115" customHeight="1">
      <x:c r="A77" s="10" t="n">
        <x:v>76</x:v>
      </x:c>
      <x:c r="B77" s="10" t="str">
        <x:v>ADMIN-04-0020</x:v>
      </x:c>
      <x:c r="C77" s="10" t="str">
        <x:v>举报处理</x:v>
      </x:c>
      <x:c r="D77" s="10" t="str">
        <x:v>违规类型编辑（平台管理员视角）</x:v>
      </x:c>
      <x:c r="E77" s="10" t="str">
        <x:v>逻辑校验</x:v>
      </x:c>
      <x:c r="F77" s="10" t="str">
        <x:v>P1</x:v>
      </x:c>
      <x:c r="G77" s="9" t="str">
        <x:v>验证违规类型马来语名称必填</x:v>
      </x:c>
      <x:c r="H77" s="9" t="str">
        <x:v>违规类型马来语必填</x:v>
      </x:c>
      <x:c r="I77" s="9" t="str">
        <x:v>1. 执行角色为平台管理员
2. 账号具有当前模块访问及本次操作权限
3. 业务数据已准备且本页已打开；表单和筛选保持下列指定状态
4. 其他名称及排序有效</x:v>
      </x:c>
      <x:c r="J77" s="9" t="str">
        <x:v>1. 查看违规类型编辑页
2. 清空马来语名称
3. 点击保存</x:v>
      </x:c>
      <x:c r="K77" s="9" t="str">
        <x:v>不能保存缺少四语名称的类型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来源（当前证据）：liveshow-proto/MainBasis/统一需求文档.md；位置：REQ-e4f918932a7f；行3858
2. 规则：BR-35763c62b1ddc80a
3. 未动态验证</x:v>
      </x:c>
    </x:row>
    <x:row r="78" ht="130" customHeight="1">
      <x:c r="A78" s="10" t="n">
        <x:v>77</x:v>
      </x:c>
      <x:c r="B78" s="10" t="str">
        <x:v>ADMIN-04-0021</x:v>
      </x:c>
      <x:c r="C78" s="10" t="str">
        <x:v>举报处理</x:v>
      </x:c>
      <x:c r="D78" s="10" t="str">
        <x:v>违规类型编辑（平台管理员视角）</x:v>
      </x:c>
      <x:c r="E78" s="10" t="str">
        <x:v>逻辑校验</x:v>
      </x:c>
      <x:c r="F78" s="10" t="str">
        <x:v>P1</x:v>
      </x:c>
      <x:c r="G78" s="9" t="str">
        <x:v>验证违规类型同语种名称不能重复</x:v>
      </x:c>
      <x:c r="H78" s="9" t="str">
        <x:v>违规类型名称唯一性</x:v>
      </x:c>
      <x:c r="I78" s="9" t="str">
        <x:v>1. 执行角色为平台管理员
2. 账号具有当前模块访问及本次操作权限
3. 业务数据已准备且本页已打开；表单和筛选保持下列指定状态
4. 已有中文名称A，其余字段均有效</x:v>
      </x:c>
      <x:c r="J78" s="9" t="str">
        <x:v>1. 查看违规类型编辑页
2. 填写中文名称为A
3. 点击保存</x:v>
      </x:c>
      <x:c r="K78" s="9" t="str">
        <x:v>不能保存重复中文名称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来源（当前证据）：liveshow-proto/MainBasis/统一需求文档.md；位置：REQ-e4f918932a7f；行3858
2. 规则：BR-85cf83eb8534e6f7
3. 未动态验证</x:v>
      </x:c>
    </x:row>
    <x:row r="79" ht="115" customHeight="1">
      <x:c r="A79" s="10" t="n">
        <x:v>78</x:v>
      </x:c>
      <x:c r="B79" s="10" t="str">
        <x:v>ADMIN-04-0022</x:v>
      </x:c>
      <x:c r="C79" s="10" t="str">
        <x:v>举报处理</x:v>
      </x:c>
      <x:c r="D79" s="10" t="str">
        <x:v>违规类型编辑（平台管理员视角）</x:v>
      </x:c>
      <x:c r="E79" s="10" t="str">
        <x:v>逻辑校验</x:v>
      </x:c>
      <x:c r="F79" s="10" t="str">
        <x:v>P1</x:v>
      </x:c>
      <x:c r="G79" s="9" t="str">
        <x:v>验证违规类型排序0不合法</x:v>
      </x:c>
      <x:c r="H79" s="9" t="str">
        <x:v>违规类型排序校验</x:v>
      </x:c>
      <x:c r="I79" s="9" t="str">
        <x:v>1. 执行角色为平台管理员
2. 账号具有当前模块访问及本次操作权限
3. 业务数据已准备且本页已打开；表单和筛选保持下列指定状态
4. 其他字段有效</x:v>
      </x:c>
      <x:c r="J79" s="9" t="str">
        <x:v>1. 查看违规类型编辑页
2. 填写排序为0
3. 点击保存</x:v>
      </x:c>
      <x:c r="K79" s="9" t="str">
        <x:v>不能保存非正整数排序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来源（当前证据）：liveshow-proto/MainBasis/统一需求文档.md；位置：REQ-fd5b602b0915；行3860
2. 规则：BR-66b622c7bd2c3705
3. 未动态验证</x:v>
      </x:c>
    </x:row>
    <x:row r="80" ht="115" customHeight="1">
      <x:c r="A80" s="10" t="n">
        <x:v>79</x:v>
      </x:c>
      <x:c r="B80" s="10" t="str">
        <x:v>ADMIN-04-0023</x:v>
      </x:c>
      <x:c r="C80" s="10" t="str">
        <x:v>举报处理</x:v>
      </x:c>
      <x:c r="D80" s="10" t="str">
        <x:v>违规类型编辑（平台管理员视角）</x:v>
      </x:c>
      <x:c r="E80" s="10" t="str">
        <x:v>逻辑校验</x:v>
      </x:c>
      <x:c r="F80" s="10" t="str">
        <x:v>P1</x:v>
      </x:c>
      <x:c r="G80" s="9" t="str">
        <x:v>验证违规类型排序-1不合法</x:v>
      </x:c>
      <x:c r="H80" s="9" t="str">
        <x:v>违规类型排序校验</x:v>
      </x:c>
      <x:c r="I80" s="9" t="str">
        <x:v>1. 执行角色为平台管理员
2. 账号具有当前模块访问及本次操作权限
3. 业务数据已准备且本页已打开；表单和筛选保持下列指定状态
4. 其他字段有效</x:v>
      </x:c>
      <x:c r="J80" s="9" t="str">
        <x:v>1. 查看违规类型编辑页
2. 填写排序为-1
3. 点击保存</x:v>
      </x:c>
      <x:c r="K80" s="9" t="str">
        <x:v>不能保存非正整数排序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来源（当前证据）：liveshow-proto/MainBasis/统一需求文档.md；位置：REQ-fd5b602b0915；行3860
2. 规则：BR-40dda324f9047e9d
3. 未动态验证</x:v>
      </x:c>
    </x:row>
    <x:row r="81" ht="115" customHeight="1">
      <x:c r="A81" s="10" t="n">
        <x:v>80</x:v>
      </x:c>
      <x:c r="B81" s="10" t="str">
        <x:v>ADMIN-04-0024</x:v>
      </x:c>
      <x:c r="C81" s="10" t="str">
        <x:v>举报处理</x:v>
      </x:c>
      <x:c r="D81" s="10" t="str">
        <x:v>违规类型编辑（平台管理员视角）</x:v>
      </x:c>
      <x:c r="E81" s="10" t="str">
        <x:v>逻辑校验</x:v>
      </x:c>
      <x:c r="F81" s="10" t="str">
        <x:v>P1</x:v>
      </x:c>
      <x:c r="G81" s="9" t="str">
        <x:v>验证违规类型排序1.5不合法</x:v>
      </x:c>
      <x:c r="H81" s="9" t="str">
        <x:v>违规类型排序校验</x:v>
      </x:c>
      <x:c r="I81" s="9" t="str">
        <x:v>1. 执行角色为平台管理员
2. 账号具有当前模块访问及本次操作权限
3. 业务数据已准备且本页已打开；表单和筛选保持下列指定状态
4. 其他字段有效</x:v>
      </x:c>
      <x:c r="J81" s="9" t="str">
        <x:v>1. 查看违规类型编辑页
2. 填写排序为1.5
3. 点击保存</x:v>
      </x:c>
      <x:c r="K81" s="9" t="str">
        <x:v>不能保存非正整数排序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来源（当前证据）：liveshow-proto/MainBasis/统一需求文档.md；位置：REQ-fd5b602b0915；行3860
2. 规则：BR-03827a77feb118c3
3. 未动态验证</x:v>
      </x:c>
    </x:row>
    <x:row r="82" ht="115" customHeight="1">
      <x:c r="A82" s="10" t="n">
        <x:v>81</x:v>
      </x:c>
      <x:c r="B82" s="10" t="str">
        <x:v>ADMIN-04-0025</x:v>
      </x:c>
      <x:c r="C82" s="10" t="str">
        <x:v>举报处理</x:v>
      </x:c>
      <x:c r="D82" s="10" t="str">
        <x:v>违规类型编辑（平台管理员视角）</x:v>
      </x:c>
      <x:c r="E82" s="10" t="str">
        <x:v>逻辑校验</x:v>
      </x:c>
      <x:c r="F82" s="10" t="str">
        <x:v>P1</x:v>
      </x:c>
      <x:c r="G82" s="9" t="str">
        <x:v>验证违规类型属性编辑只读</x:v>
      </x:c>
      <x:c r="H82" s="9" t="str">
        <x:v>违规类型属性不可改</x:v>
      </x:c>
      <x:c r="I82" s="9" t="str">
        <x:v>1. 执行角色为平台管理员
2. 账号具有当前模块访问及本次操作权限
3. 业务数据已准备且本页已打开；表单和筛选保持下列指定状态
4. 已创建自定义类型</x:v>
      </x:c>
      <x:c r="J82" s="9" t="str">
        <x:v>1. 查看违规类型编辑页</x:v>
      </x:c>
      <x:c r="K82" s="9" t="str">
        <x:v>不能切换为系统预置类型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来源（当前证据）：liveshow-proto/MainBasis/统一需求文档.md；位置：REQ-2015efa700cb；行3862
2. 规则：BR-0eaa4f460205efdb
3. 未动态验证</x:v>
      </x:c>
    </x:row>
    <x:row r="83" ht="130" customHeight="1">
      <x:c r="A83" s="10" t="n">
        <x:v>82</x:v>
      </x:c>
      <x:c r="B83" s="10" t="str">
        <x:v>ADMIN-05-0001</x:v>
      </x:c>
      <x:c r="C83" s="10" t="str">
        <x:v>公会管理</x:v>
      </x:c>
      <x:c r="D83" s="10" t="str">
        <x:v>公会列表（平台管理员视角）</x:v>
      </x:c>
      <x:c r="E83" s="10" t="str">
        <x:v>逻辑校验</x:v>
      </x:c>
      <x:c r="F83" s="10" t="str">
        <x:v>P1</x:v>
      </x:c>
      <x:c r="G83" s="9" t="str">
        <x:v>验证后台公会人数仅当前在会主播</x:v>
      </x:c>
      <x:c r="H83" s="9" t="str">
        <x:v>后台公会主播人数</x:v>
      </x:c>
      <x:c r="I83" s="9" t="str">
        <x:v>1. 执行角色为平台管理员
2. 账号具有当前模块访问及本次操作权限
3. 业务数据已准备且本页已打开；表单和筛选保持下列指定状态
4. 甲乙当前在会，丙已退会，丁待审核</x:v>
      </x:c>
      <x:c r="J83" s="9" t="str">
        <x:v>1. 查看公会列表页</x:v>
      </x:c>
      <x:c r="K83" s="9" t="str">
        <x:v>主播人数显示2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来源（当前证据）：liveshow-proto/MainBasis/统一需求文档.md；位置：REQ-9c703d5ca23c；行3877
2. 规则：BR-c96f755db3c9f987
3. 未动态验证</x:v>
      </x:c>
    </x:row>
    <x:row r="84" ht="115" customHeight="1">
      <x:c r="A84" s="10" t="n">
        <x:v>83</x:v>
      </x:c>
      <x:c r="B84" s="10" t="str">
        <x:v>ADMIN-05-0002</x:v>
      </x:c>
      <x:c r="C84" s="10" t="str">
        <x:v>公会管理</x:v>
      </x:c>
      <x:c r="D84" s="10" t="str">
        <x:v>公会详情（平台管理员视角）</x:v>
      </x:c>
      <x:c r="E84" s="10" t="str">
        <x:v>逻辑校验</x:v>
      </x:c>
      <x:c r="F84" s="10" t="str">
        <x:v>P1</x:v>
      </x:c>
      <x:c r="G84" s="9" t="str">
        <x:v>验证停用公会不修改公会长自身状态</x:v>
      </x:c>
      <x:c r="H84" s="9" t="str">
        <x:v>公会停用与账号状态独立</x:v>
      </x:c>
      <x:c r="I84" s="9" t="str">
        <x:v>1. 执行角色为平台管理员
2. 账号具有当前模块访问及本次操作权限
3. 业务数据已准备且本页已打开；表单和筛选保持下列指定状态
4. 公会启用，公会长自身启用</x:v>
      </x:c>
      <x:c r="J84" s="9" t="str">
        <x:v>1. 查看公会列表页
2. 点击停用公会
3. 点击确认
4. 进入公会详情页</x:v>
      </x:c>
      <x:c r="K84" s="9" t="str">
        <x:v>公会长账号状态仍为启用</x:v>
      </x:c>
      <x:c r="L84" s="10" t="str">
        <x:v>FLOW-A69D552849</x:v>
      </x:c>
      <x:c r="M84" s="10" t="str">
        <x:v>未测</x:v>
      </x:c>
      <x:c r="N84" s="10" t="str"/>
      <x:c r="O84" s="9" t="str">
        <x:v>1. 来源（当前证据）：liveshow-proto/MainBasis/统一需求文档.md；位置：REQ-b4b0bab3f928；行3881、REQ-9d62c568e295；行3900
2. 规则：BR-6411eea92468939d
3. 未动态验证</x:v>
      </x:c>
    </x:row>
    <x:row r="85" ht="115" customHeight="1">
      <x:c r="A85" s="10" t="n">
        <x:v>84</x:v>
      </x:c>
      <x:c r="B85" s="10" t="str">
        <x:v>ADMIN-05-0003</x:v>
      </x:c>
      <x:c r="C85" s="10" t="str">
        <x:v>公会管理</x:v>
      </x:c>
      <x:c r="D85" s="10" t="str">
        <x:v>公会详情（平台管理员视角）</x:v>
      </x:c>
      <x:c r="E85" s="10" t="str">
        <x:v>逻辑校验</x:v>
      </x:c>
      <x:c r="F85" s="10" t="str">
        <x:v>P1</x:v>
      </x:c>
      <x:c r="G85" s="9" t="str">
        <x:v>验证停用公会长不修改公会状态</x:v>
      </x:c>
      <x:c r="H85" s="9" t="str">
        <x:v>公会长停用独立</x:v>
      </x:c>
      <x:c r="I85" s="9" t="str">
        <x:v>1. 执行角色为平台管理员
2. 账号具有当前模块访问及本次操作权限
3. 业务数据已准备且本页已打开；表单和筛选保持下列指定状态
4. 公会启用，公会长账号启用</x:v>
      </x:c>
      <x:c r="J85" s="9" t="str">
        <x:v>1. 查看公会详情页
2. 禁用公会长账号状态开关</x:v>
      </x:c>
      <x:c r="K85" s="9" t="str">
        <x:v>公会状态仍为启用</x:v>
      </x:c>
      <x:c r="L85" s="10" t="str">
        <x:v>FLOW-AEA28E2203</x:v>
      </x:c>
      <x:c r="M85" s="10" t="str">
        <x:v>未测</x:v>
      </x:c>
      <x:c r="N85" s="10" t="str"/>
      <x:c r="O85" s="9" t="str">
        <x:v>1. 来源（当前证据）：liveshow-proto/MainBasis/统一需求文档.md；位置：REQ-9d62c568e295；行3900、REQ-c8d50dae8436；行3914
2. 规则：BR-ac96b9cac24ff9fa
3. 未动态验证</x:v>
      </x:c>
    </x:row>
    <x:row r="86" ht="130" customHeight="1">
      <x:c r="A86" s="10" t="n">
        <x:v>85</x:v>
      </x:c>
      <x:c r="B86" s="10" t="str">
        <x:v>ADMIN-05-0004</x:v>
      </x:c>
      <x:c r="C86" s="10" t="str">
        <x:v>公会管理</x:v>
      </x:c>
      <x:c r="D86" s="10" t="str">
        <x:v>公会列表（平台管理员视角）</x:v>
      </x:c>
      <x:c r="E86" s="10" t="str">
        <x:v>逻辑校验</x:v>
      </x:c>
      <x:c r="F86" s="10" t="str">
        <x:v>P1</x:v>
      </x:c>
      <x:c r="G86" s="9" t="str">
        <x:v>验证存在未结收益不能解散公会</x:v>
      </x:c>
      <x:c r="H86" s="9" t="str">
        <x:v>公会解散结清门槛</x:v>
      </x:c>
      <x:c r="I86" s="9" t="str">
        <x:v>1. 执行角色为平台管理员
2. 账号具有当前模块访问及本次操作权限
3. 业务数据已准备且本页已打开；表单和筛选保持下列指定状态
4. 公会至少1名主播未结收益大于0</x:v>
      </x:c>
      <x:c r="J86" s="9" t="str">
        <x:v>1. 查看公会列表页
2. 点击解散</x:v>
      </x:c>
      <x:c r="K86" s="9" t="str">
        <x:v>不能完成公会解散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来源（当前证据）：liveshow-proto/MainBasis/统一需求文档.md；位置：REQ-24899ab93370；行3885
2. 规则：BR-7eaacd5d888cd351
3. 未动态验证</x:v>
      </x:c>
    </x:row>
    <x:row r="87" ht="115" customHeight="1">
      <x:c r="A87" s="10" t="n">
        <x:v>86</x:v>
      </x:c>
      <x:c r="B87" s="10" t="str">
        <x:v>ADMIN-05-0005</x:v>
      </x:c>
      <x:c r="C87" s="10" t="str">
        <x:v>公会管理</x:v>
      </x:c>
      <x:c r="D87" s="10" t="str">
        <x:v>公会列表（平台管理员视角）</x:v>
      </x:c>
      <x:c r="E87" s="10" t="str">
        <x:v>业务流程</x:v>
      </x:c>
      <x:c r="F87" s="10" t="str">
        <x:v>P0</x:v>
      </x:c>
      <x:c r="G87" s="9" t="str">
        <x:v>验证已结清公会解散后终态</x:v>
      </x:c>
      <x:c r="H87" s="9" t="str">
        <x:v>公会解散状态</x:v>
      </x:c>
      <x:c r="I87" s="9" t="str">
        <x:v>1. 执行角色为平台管理员
2. 账号具有当前模块访问及本次操作权限
3. 业务数据已准备且本页已打开；表单和筛选保持下列指定状态
4. 公会全部主播未结收益为0</x:v>
      </x:c>
      <x:c r="J87" s="9" t="str">
        <x:v>1. 查看公会列表页
2. 点击解散
3. 点击确认</x:v>
      </x:c>
      <x:c r="K87" s="9" t="str">
        <x:v>公会状态变为已解散</x:v>
      </x:c>
      <x:c r="L87" s="10" t="str">
        <x:v>FLOW-A69D552849</x:v>
      </x:c>
      <x:c r="M87" s="10" t="str">
        <x:v>未测</x:v>
      </x:c>
      <x:c r="N87" s="10" t="str"/>
      <x:c r="O87" s="9" t="str">
        <x:v>1. 来源（当前证据）：liveshow-proto/MainBasis/统一需求文档.md；位置：REQ-00fcb3af14ad；行3879
2. 规则：BR-8807e2b1807874f6
3. 未动态验证</x:v>
      </x:c>
    </x:row>
    <x:row r="88" ht="130" customHeight="1">
      <x:c r="A88" s="10" t="n">
        <x:v>87</x:v>
      </x:c>
      <x:c r="B88" s="10" t="str">
        <x:v>ADMIN-05-0006</x:v>
      </x:c>
      <x:c r="C88" s="10" t="str">
        <x:v>公会管理</x:v>
      </x:c>
      <x:c r="D88" s="10" t="str">
        <x:v>公会详情（平台管理员视角）</x:v>
      </x:c>
      <x:c r="E88" s="10" t="str">
        <x:v>逻辑校验</x:v>
      </x:c>
      <x:c r="F88" s="10" t="str">
        <x:v>P1</x:v>
      </x:c>
      <x:c r="G88" s="9" t="str">
        <x:v>验证新建公会必须填写名称</x:v>
      </x:c>
      <x:c r="H88" s="9" t="str">
        <x:v>新建公会名称必填</x:v>
      </x:c>
      <x:c r="I88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8" s="9" t="str">
        <x:v>1. 查看公会详情页
2. 清空名称
3. 点击保存</x:v>
      </x:c>
      <x:c r="K88" s="9" t="str">
        <x:v>不能创建缺少必填项的公会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来源（当前证据）：liveshow-proto/MainBasis/统一需求文档.md；位置：REQ-0874c2785ffd；行3896
2. 规则：BR-0540986ccdfa20f8
3. 未动态验证</x:v>
      </x:c>
    </x:row>
    <x:row r="89" ht="130" customHeight="1">
      <x:c r="A89" s="10" t="n">
        <x:v>88</x:v>
      </x:c>
      <x:c r="B89" s="10" t="str">
        <x:v>ADMIN-05-0007</x:v>
      </x:c>
      <x:c r="C89" s="10" t="str">
        <x:v>公会管理</x:v>
      </x:c>
      <x:c r="D89" s="10" t="str">
        <x:v>公会详情（平台管理员视角）</x:v>
      </x:c>
      <x:c r="E89" s="10" t="str">
        <x:v>逻辑校验</x:v>
      </x:c>
      <x:c r="F89" s="10" t="str">
        <x:v>P1</x:v>
      </x:c>
      <x:c r="G89" s="9" t="str">
        <x:v>验证新建公会必须填写Logo</x:v>
      </x:c>
      <x:c r="H89" s="9" t="str">
        <x:v>新建公会Logo必填</x:v>
      </x:c>
      <x:c r="I89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9" s="9" t="str">
        <x:v>1. 查看公会详情页
2. 清空Logo
3. 点击保存</x:v>
      </x:c>
      <x:c r="K89" s="9" t="str">
        <x:v>不能创建缺少必填项的公会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来源（当前证据）：liveshow-proto/MainBasis/统一需求文档.md；位置：REQ-0874c2785ffd；行3896
2. 规则：BR-4d1327aaa9dd7662
3. 未动态验证</x:v>
      </x:c>
    </x:row>
    <x:row r="90" ht="130" customHeight="1">
      <x:c r="A90" s="10" t="n">
        <x:v>89</x:v>
      </x:c>
      <x:c r="B90" s="10" t="str">
        <x:v>ADMIN-05-0008</x:v>
      </x:c>
      <x:c r="C90" s="10" t="str">
        <x:v>公会管理</x:v>
      </x:c>
      <x:c r="D90" s="10" t="str">
        <x:v>公会详情（平台管理员视角）</x:v>
      </x:c>
      <x:c r="E90" s="10" t="str">
        <x:v>逻辑校验</x:v>
      </x:c>
      <x:c r="F90" s="10" t="str">
        <x:v>P1</x:v>
      </x:c>
      <x:c r="G90" s="9" t="str">
        <x:v>验证新建公会必须填写公会长</x:v>
      </x:c>
      <x:c r="H90" s="9" t="str">
        <x:v>新建公会公会长必填</x:v>
      </x:c>
      <x:c r="I90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0" s="9" t="str">
        <x:v>1. 查看公会详情页
2. 清空公会长
3. 点击保存</x:v>
      </x:c>
      <x:c r="K90" s="9" t="str">
        <x:v>不能创建缺少必填项的公会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来源（当前证据）：liveshow-proto/MainBasis/统一需求文档.md；位置：REQ-a89b757f821b；行3898、REQ-fe87c3c027d8；行3902
2. 规则：BR-e3e408f452ed78b6
3. 未动态验证</x:v>
      </x:c>
    </x:row>
    <x:row r="91" ht="130" customHeight="1">
      <x:c r="A91" s="10" t="n">
        <x:v>90</x:v>
      </x:c>
      <x:c r="B91" s="10" t="str">
        <x:v>ADMIN-05-0009</x:v>
      </x:c>
      <x:c r="C91" s="10" t="str">
        <x:v>公会管理</x:v>
      </x:c>
      <x:c r="D91" s="10" t="str">
        <x:v>公会详情（平台管理员视角）</x:v>
      </x:c>
      <x:c r="E91" s="10" t="str">
        <x:v>逻辑校验</x:v>
      </x:c>
      <x:c r="F91" s="10" t="str">
        <x:v>P1</x:v>
      </x:c>
      <x:c r="G91" s="9" t="str">
        <x:v>验证新建公会必须填写管理账号</x:v>
      </x:c>
      <x:c r="H91" s="9" t="str">
        <x:v>新建公会管理账号必填</x:v>
      </x:c>
      <x:c r="I91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1" s="9" t="str">
        <x:v>1. 查看公会详情页
2. 清空管理账号
3. 点击保存</x:v>
      </x:c>
      <x:c r="K91" s="9" t="str">
        <x:v>不能创建缺少必填项的公会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来源（当前证据）：liveshow-proto/MainBasis/统一需求文档.md；位置：REQ-a89b757f821b；行3898、REQ-fe87c3c027d8；行3902
2. 规则：BR-dbe5086e74de0e54
3. 未动态验证</x:v>
      </x:c>
    </x:row>
    <x:row r="92" ht="130" customHeight="1">
      <x:c r="A92" s="10" t="n">
        <x:v>91</x:v>
      </x:c>
      <x:c r="B92" s="10" t="str">
        <x:v>ADMIN-05-0010</x:v>
      </x:c>
      <x:c r="C92" s="10" t="str">
        <x:v>公会管理</x:v>
      </x:c>
      <x:c r="D92" s="10" t="str">
        <x:v>公会详情（平台管理员视角）</x:v>
      </x:c>
      <x:c r="E92" s="10" t="str">
        <x:v>逻辑校验</x:v>
      </x:c>
      <x:c r="F92" s="10" t="str">
        <x:v>P1</x:v>
      </x:c>
      <x:c r="G92" s="9" t="str">
        <x:v>验证新建公会必须填写初始密码</x:v>
      </x:c>
      <x:c r="H92" s="9" t="str">
        <x:v>新建公会初始密码必填</x:v>
      </x:c>
      <x:c r="I92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2" s="9" t="str">
        <x:v>1. 查看公会详情页
2. 清空初始密码
3. 点击保存</x:v>
      </x:c>
      <x:c r="K92" s="9" t="str">
        <x:v>不能创建缺少必填项的公会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来源（当前证据）：liveshow-proto/MainBasis/统一需求文档.md；位置：REQ-fe87c3c027d8；行3902
2. 规则：BR-ebd2d1624da35264
3. 未动态验证</x:v>
      </x:c>
    </x:row>
    <x:row r="93" ht="130" customHeight="1">
      <x:c r="A93" s="10" t="n">
        <x:v>92</x:v>
      </x:c>
      <x:c r="B93" s="10" t="str">
        <x:v>ADMIN-05-0011</x:v>
      </x:c>
      <x:c r="C93" s="10" t="str">
        <x:v>公会管理</x:v>
      </x:c>
      <x:c r="D93" s="10" t="str">
        <x:v>公会详情（平台管理员视角）</x:v>
      </x:c>
      <x:c r="E93" s="10" t="str">
        <x:v>逻辑校验</x:v>
      </x:c>
      <x:c r="F93" s="10" t="str">
        <x:v>P1</x:v>
      </x:c>
      <x:c r="G93" s="9" t="str">
        <x:v>验证公会管理账号跨公会不可重复</x:v>
      </x:c>
      <x:c r="H93" s="9" t="str">
        <x:v>公会管理账号唯一性</x:v>
      </x:c>
      <x:c r="I93" s="9" t="str">
        <x:v>1. 执行角色为平台管理员
2. 账号具有当前模块访问及本次操作权限
3. 业务数据已准备且本页已打开；表单和筛选保持下列指定状态
4. 另一个公会已使用账号L，新建资料合法</x:v>
      </x:c>
      <x:c r="J93" s="9" t="str">
        <x:v>1. 查看公会详情页
2. 填写管理账号为L
3. 点击保存</x:v>
      </x:c>
      <x:c r="K93" s="9" t="str">
        <x:v>不能创建重复管理账号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来源（当前证据）：liveshow-proto/MainBasis/统一需求文档.md；位置：REQ-a89b757f821b；行3898
2. 规则：BR-d217adc58aa4cfbf
3. 未动态验证</x:v>
      </x:c>
    </x:row>
    <x:row r="94" ht="115" customHeight="1">
      <x:c r="A94" s="10" t="n">
        <x:v>93</x:v>
      </x:c>
      <x:c r="B94" s="10" t="str">
        <x:v>ADMIN-05-0012</x:v>
      </x:c>
      <x:c r="C94" s="10" t="str">
        <x:v>公会管理</x:v>
      </x:c>
      <x:c r="D94" s="10" t="str">
        <x:v>公会详情（平台管理员视角）</x:v>
      </x:c>
      <x:c r="E94" s="10" t="str">
        <x:v>逻辑校验</x:v>
      </x:c>
      <x:c r="F94" s="10" t="str">
        <x:v>P1</x:v>
      </x:c>
      <x:c r="G94" s="9" t="str">
        <x:v>验证公会长重置密码保留登录账号</x:v>
      </x:c>
      <x:c r="H94" s="9" t="str">
        <x:v>公会密码重置账号保留</x:v>
      </x:c>
      <x:c r="I94" s="9" t="str">
        <x:v>1. 执行角色为平台管理员
2. 账号具有当前模块访问及本次操作权限
3. 业务数据已准备且本页已打开；表单和筛选保持下列指定状态
4. 现管理账号qa-chief</x:v>
      </x:c>
      <x:c r="J94" s="9" t="str">
        <x:v>1. 查看公会详情页
2. 点击重置密码
3. 填写新密码为QaReset!2026
4. 点击确认</x:v>
      </x:c>
      <x:c r="K94" s="9" t="str">
        <x:v>管理账号仍为qa-chief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来源（当前证据）：liveshow-proto/MainBasis/统一需求文档.md；位置：REQ-c8d50dae8436；行3914
2. 规则：BR-3bd1a22c3605903e
3. 未动态验证</x:v>
      </x:c>
    </x:row>
    <x:row r="95" ht="115" customHeight="1">
      <x:c r="A95" s="10" t="n">
        <x:v>94</x:v>
      </x:c>
      <x:c r="B95" s="10" t="str">
        <x:v>ADMIN-06-0001</x:v>
      </x:c>
      <x:c r="C95" s="10" t="str">
        <x:v>礼物道具</x:v>
      </x:c>
      <x:c r="D95" s="10" t="str">
        <x:v>礼物详情（平台管理员视角）</x:v>
      </x:c>
      <x:c r="E95" s="10" t="str">
        <x:v>逻辑校验</x:v>
      </x:c>
      <x:c r="F95" s="10" t="str">
        <x:v>P1</x:v>
      </x:c>
      <x:c r="G95" s="9" t="str">
        <x:v>验证礼物中文名称必填</x:v>
      </x:c>
      <x:c r="H95" s="9" t="str">
        <x:v>礼物中文名称校验</x:v>
      </x:c>
      <x:c r="I95" s="9" t="str">
        <x:v>1. 执行角色为平台管理员
2. 账号具有当前模块访问及本次操作权限
3. 业务数据已准备且本页已打开；表单和筛选保持下列指定状态
4. 其他字段和资源均有效</x:v>
      </x:c>
      <x:c r="J95" s="9" t="str">
        <x:v>1. 查看礼物详情页
2. 清空中文名称
3. 点击保存</x:v>
      </x:c>
      <x:c r="K95" s="9" t="str">
        <x:v>不能保存缺少四语名称的配置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来源（当前证据）：liveshow-proto/MainBasis/统一需求文档.md；位置：REQ-d1989da16a8b；行3944
2. 规则：BR-6710a668b2b83940
3. 未动态验证</x:v>
      </x:c>
    </x:row>
    <x:row r="96" ht="115" customHeight="1">
      <x:c r="A96" s="10" t="n">
        <x:v>95</x:v>
      </x:c>
      <x:c r="B96" s="10" t="str">
        <x:v>ADMIN-06-0002</x:v>
      </x:c>
      <x:c r="C96" s="10" t="str">
        <x:v>礼物道具</x:v>
      </x:c>
      <x:c r="D96" s="10" t="str">
        <x:v>礼物详情（平台管理员视角）</x:v>
      </x:c>
      <x:c r="E96" s="10" t="str">
        <x:v>逻辑校验</x:v>
      </x:c>
      <x:c r="F96" s="10" t="str">
        <x:v>P1</x:v>
      </x:c>
      <x:c r="G96" s="9" t="str">
        <x:v>验证礼物英语名称必填</x:v>
      </x:c>
      <x:c r="H96" s="9" t="str">
        <x:v>礼物英语名称校验</x:v>
      </x:c>
      <x:c r="I96" s="9" t="str">
        <x:v>1. 执行角色为平台管理员
2. 账号具有当前模块访问及本次操作权限
3. 业务数据已准备且本页已打开；表单和筛选保持下列指定状态
4. 其他字段和资源均有效</x:v>
      </x:c>
      <x:c r="J96" s="9" t="str">
        <x:v>1. 查看礼物详情页
2. 清空英语名称
3. 点击保存</x:v>
      </x:c>
      <x:c r="K96" s="9" t="str">
        <x:v>不能保存缺少四语名称的配置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来源（当前证据）：liveshow-proto/MainBasis/统一需求文档.md；位置：REQ-d1989da16a8b；行3944
2. 规则：BR-6ceb73cd73c4949f
3. 未动态验证</x:v>
      </x:c>
    </x:row>
    <x:row r="97" ht="115" customHeight="1">
      <x:c r="A97" s="10" t="n">
        <x:v>96</x:v>
      </x:c>
      <x:c r="B97" s="10" t="str">
        <x:v>ADMIN-06-0003</x:v>
      </x:c>
      <x:c r="C97" s="10" t="str">
        <x:v>礼物道具</x:v>
      </x:c>
      <x:c r="D97" s="10" t="str">
        <x:v>礼物详情（平台管理员视角）</x:v>
      </x:c>
      <x:c r="E97" s="10" t="str">
        <x:v>逻辑校验</x:v>
      </x:c>
      <x:c r="F97" s="10" t="str">
        <x:v>P1</x:v>
      </x:c>
      <x:c r="G97" s="9" t="str">
        <x:v>验证礼物印尼语名称必填</x:v>
      </x:c>
      <x:c r="H97" s="9" t="str">
        <x:v>礼物印尼语名称校验</x:v>
      </x:c>
      <x:c r="I97" s="9" t="str">
        <x:v>1. 执行角色为平台管理员
2. 账号具有当前模块访问及本次操作权限
3. 业务数据已准备且本页已打开；表单和筛选保持下列指定状态
4. 其他字段和资源均有效</x:v>
      </x:c>
      <x:c r="J97" s="9" t="str">
        <x:v>1. 查看礼物详情页
2. 清空印尼语名称
3. 点击保存</x:v>
      </x:c>
      <x:c r="K97" s="9" t="str">
        <x:v>不能保存缺少四语名称的配置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来源（当前证据）：liveshow-proto/MainBasis/统一需求文档.md；位置：REQ-d1989da16a8b；行3944
2. 规则：BR-e4011b2b223783cc
3. 未动态验证</x:v>
      </x:c>
    </x:row>
    <x:row r="98" ht="115" customHeight="1">
      <x:c r="A98" s="10" t="n">
        <x:v>97</x:v>
      </x:c>
      <x:c r="B98" s="10" t="str">
        <x:v>ADMIN-06-0004</x:v>
      </x:c>
      <x:c r="C98" s="10" t="str">
        <x:v>礼物道具</x:v>
      </x:c>
      <x:c r="D98" s="10" t="str">
        <x:v>礼物详情（平台管理员视角）</x:v>
      </x:c>
      <x:c r="E98" s="10" t="str">
        <x:v>逻辑校验</x:v>
      </x:c>
      <x:c r="F98" s="10" t="str">
        <x:v>P1</x:v>
      </x:c>
      <x:c r="G98" s="9" t="str">
        <x:v>验证礼物马来语名称必填</x:v>
      </x:c>
      <x:c r="H98" s="9" t="str">
        <x:v>礼物马来语名称校验</x:v>
      </x:c>
      <x:c r="I98" s="9" t="str">
        <x:v>1. 执行角色为平台管理员
2. 账号具有当前模块访问及本次操作权限
3. 业务数据已准备且本页已打开；表单和筛选保持下列指定状态
4. 其他字段和资源均有效</x:v>
      </x:c>
      <x:c r="J98" s="9" t="str">
        <x:v>1. 查看礼物详情页
2. 清空马来语名称
3. 点击保存</x:v>
      </x:c>
      <x:c r="K98" s="9" t="str">
        <x:v>不能保存缺少四语名称的配置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来源（当前证据）：liveshow-proto/MainBasis/统一需求文档.md；位置：REQ-d1989da16a8b；行3944
2. 规则：BR-e1d0844e7bc68d8b
3. 未动态验证</x:v>
      </x:c>
    </x:row>
    <x:row r="99" ht="115" customHeight="1">
      <x:c r="A99" s="10" t="n">
        <x:v>98</x:v>
      </x:c>
      <x:c r="B99" s="10" t="str">
        <x:v>ADMIN-06-0005</x:v>
      </x:c>
      <x:c r="C99" s="10" t="str">
        <x:v>礼物道具</x:v>
      </x:c>
      <x:c r="D99" s="10" t="str">
        <x:v>幸运礼物编辑（平台管理员视角）</x:v>
      </x:c>
      <x:c r="E99" s="10" t="str">
        <x:v>逻辑校验</x:v>
      </x:c>
      <x:c r="F99" s="10" t="str">
        <x:v>P1</x:v>
      </x:c>
      <x:c r="G99" s="9" t="str">
        <x:v>验证幸运礼物中文名称必填</x:v>
      </x:c>
      <x:c r="H99" s="9" t="str">
        <x:v>幸运礼物中文名称校验</x:v>
      </x:c>
      <x:c r="I99" s="9" t="str">
        <x:v>1. 执行角色为平台管理员
2. 账号具有当前模块访问及本次操作权限
3. 业务数据已准备且本页已打开；表单和筛选保持下列指定状态
4. 其他字段和资源均有效</x:v>
      </x:c>
      <x:c r="J99" s="9" t="str">
        <x:v>1. 查看幸运礼物编辑页
2. 清空中文名称
3. 点击保存</x:v>
      </x:c>
      <x:c r="K99" s="9" t="str">
        <x:v>不能保存缺少四语名称的配置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来源（当前证据）：liveshow-proto/MainBasis/统一需求文档.md；位置：REQ-bd189174454a；行4009
2. 规则：BR-55eaca9613eaa92c
3. 未动态验证</x:v>
      </x:c>
    </x:row>
    <x:row r="100" ht="115" customHeight="1">
      <x:c r="A100" s="10" t="n">
        <x:v>99</x:v>
      </x:c>
      <x:c r="B100" s="10" t="str">
        <x:v>ADMIN-06-0006</x:v>
      </x:c>
      <x:c r="C100" s="10" t="str">
        <x:v>礼物道具</x:v>
      </x:c>
      <x:c r="D100" s="10" t="str">
        <x:v>幸运礼物编辑（平台管理员视角）</x:v>
      </x:c>
      <x:c r="E100" s="10" t="str">
        <x:v>逻辑校验</x:v>
      </x:c>
      <x:c r="F100" s="10" t="str">
        <x:v>P1</x:v>
      </x:c>
      <x:c r="G100" s="9" t="str">
        <x:v>验证幸运礼物英语名称必填</x:v>
      </x:c>
      <x:c r="H100" s="9" t="str">
        <x:v>幸运礼物英语名称校验</x:v>
      </x:c>
      <x:c r="I100" s="9" t="str">
        <x:v>1. 执行角色为平台管理员
2. 账号具有当前模块访问及本次操作权限
3. 业务数据已准备且本页已打开；表单和筛选保持下列指定状态
4. 其他字段和资源均有效</x:v>
      </x:c>
      <x:c r="J100" s="9" t="str">
        <x:v>1. 查看幸运礼物编辑页
2. 清空英语名称
3. 点击保存</x:v>
      </x:c>
      <x:c r="K100" s="9" t="str">
        <x:v>不能保存缺少四语名称的配置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来源（当前证据）：liveshow-proto/MainBasis/统一需求文档.md；位置：REQ-bd189174454a；行4009
2. 规则：BR-654bf0c29c0ce870
3. 未动态验证</x:v>
      </x:c>
    </x:row>
    <x:row r="101" ht="115" customHeight="1">
      <x:c r="A101" s="10" t="n">
        <x:v>100</x:v>
      </x:c>
      <x:c r="B101" s="10" t="str">
        <x:v>ADMIN-06-0007</x:v>
      </x:c>
      <x:c r="C101" s="10" t="str">
        <x:v>礼物道具</x:v>
      </x:c>
      <x:c r="D101" s="10" t="str">
        <x:v>幸运礼物编辑（平台管理员视角）</x:v>
      </x:c>
      <x:c r="E101" s="10" t="str">
        <x:v>逻辑校验</x:v>
      </x:c>
      <x:c r="F101" s="10" t="str">
        <x:v>P1</x:v>
      </x:c>
      <x:c r="G101" s="9" t="str">
        <x:v>验证幸运礼物印尼语名称必填</x:v>
      </x:c>
      <x:c r="H101" s="9" t="str">
        <x:v>幸运礼物印尼语名称校验</x:v>
      </x:c>
      <x:c r="I101" s="9" t="str">
        <x:v>1. 执行角色为平台管理员
2. 账号具有当前模块访问及本次操作权限
3. 业务数据已准备且本页已打开；表单和筛选保持下列指定状态
4. 其他字段和资源均有效</x:v>
      </x:c>
      <x:c r="J101" s="9" t="str">
        <x:v>1. 查看幸运礼物编辑页
2. 清空印尼语名称
3. 点击保存</x:v>
      </x:c>
      <x:c r="K101" s="9" t="str">
        <x:v>不能保存缺少四语名称的配置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来源（当前证据）：liveshow-proto/MainBasis/统一需求文档.md；位置：REQ-bd189174454a；行4009
2. 规则：BR-24da171e69805775
3. 未动态验证</x:v>
      </x:c>
    </x:row>
    <x:row r="102" ht="115" customHeight="1">
      <x:c r="A102" s="10" t="n">
        <x:v>101</x:v>
      </x:c>
      <x:c r="B102" s="10" t="str">
        <x:v>ADMIN-06-0008</x:v>
      </x:c>
      <x:c r="C102" s="10" t="str">
        <x:v>礼物道具</x:v>
      </x:c>
      <x:c r="D102" s="10" t="str">
        <x:v>幸运礼物编辑（平台管理员视角）</x:v>
      </x:c>
      <x:c r="E102" s="10" t="str">
        <x:v>逻辑校验</x:v>
      </x:c>
      <x:c r="F102" s="10" t="str">
        <x:v>P1</x:v>
      </x:c>
      <x:c r="G102" s="9" t="str">
        <x:v>验证幸运礼物马来语名称必填</x:v>
      </x:c>
      <x:c r="H102" s="9" t="str">
        <x:v>幸运礼物马来语名称校验</x:v>
      </x:c>
      <x:c r="I102" s="9" t="str">
        <x:v>1. 执行角色为平台管理员
2. 账号具有当前模块访问及本次操作权限
3. 业务数据已准备且本页已打开；表单和筛选保持下列指定状态
4. 其他字段和资源均有效</x:v>
      </x:c>
      <x:c r="J102" s="9" t="str">
        <x:v>1. 查看幸运礼物编辑页
2. 清空马来语名称
3. 点击保存</x:v>
      </x:c>
      <x:c r="K102" s="9" t="str">
        <x:v>不能保存缺少四语名称的配置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来源（当前证据）：liveshow-proto/MainBasis/统一需求文档.md；位置：REQ-bd189174454a；行4009
2. 规则：BR-07ab4e478882f107
3. 未动态验证</x:v>
      </x:c>
    </x:row>
    <x:row r="103" ht="115" customHeight="1">
      <x:c r="A103" s="10" t="n">
        <x:v>102</x:v>
      </x:c>
      <x:c r="B103" s="10" t="str">
        <x:v>ADMIN-06-0009</x:v>
      </x:c>
      <x:c r="C103" s="10" t="str">
        <x:v>礼物道具</x:v>
      </x:c>
      <x:c r="D103" s="10" t="str">
        <x:v>道具详情（平台管理员视角）</x:v>
      </x:c>
      <x:c r="E103" s="10" t="str">
        <x:v>逻辑校验</x:v>
      </x:c>
      <x:c r="F103" s="10" t="str">
        <x:v>P1</x:v>
      </x:c>
      <x:c r="G103" s="9" t="str">
        <x:v>验证道具中文名称必填</x:v>
      </x:c>
      <x:c r="H103" s="9" t="str">
        <x:v>道具中文名称校验</x:v>
      </x:c>
      <x:c r="I103" s="9" t="str">
        <x:v>1. 执行角色为平台管理员
2. 账号具有当前模块访问及本次操作权限
3. 业务数据已准备且本页已打开；表单和筛选保持下列指定状态
4. 其他字段和资源均有效</x:v>
      </x:c>
      <x:c r="J103" s="9" t="str">
        <x:v>1. 查看道具详情页
2. 清空中文名称
3. 点击保存</x:v>
      </x:c>
      <x:c r="K103" s="9" t="str">
        <x:v>不能保存缺少四语名称的配置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来源（当前证据）：liveshow-proto/MainBasis/统一需求文档.md；位置：REQ-5091e2b4f960；行4061
2. 规则：BR-a2e179a98dfd7aca
3. 未动态验证</x:v>
      </x:c>
    </x:row>
    <x:row r="104" ht="115" customHeight="1">
      <x:c r="A104" s="10" t="n">
        <x:v>103</x:v>
      </x:c>
      <x:c r="B104" s="10" t="str">
        <x:v>ADMIN-06-0010</x:v>
      </x:c>
      <x:c r="C104" s="10" t="str">
        <x:v>礼物道具</x:v>
      </x:c>
      <x:c r="D104" s="10" t="str">
        <x:v>道具详情（平台管理员视角）</x:v>
      </x:c>
      <x:c r="E104" s="10" t="str">
        <x:v>逻辑校验</x:v>
      </x:c>
      <x:c r="F104" s="10" t="str">
        <x:v>P1</x:v>
      </x:c>
      <x:c r="G104" s="9" t="str">
        <x:v>验证道具英语名称必填</x:v>
      </x:c>
      <x:c r="H104" s="9" t="str">
        <x:v>道具英语名称校验</x:v>
      </x:c>
      <x:c r="I104" s="9" t="str">
        <x:v>1. 执行角色为平台管理员
2. 账号具有当前模块访问及本次操作权限
3. 业务数据已准备且本页已打开；表单和筛选保持下列指定状态
4. 其他字段和资源均有效</x:v>
      </x:c>
      <x:c r="J104" s="9" t="str">
        <x:v>1. 查看道具详情页
2. 清空英语名称
3. 点击保存</x:v>
      </x:c>
      <x:c r="K104" s="9" t="str">
        <x:v>不能保存缺少四语名称的配置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来源（当前证据）：liveshow-proto/MainBasis/统一需求文档.md；位置：REQ-5091e2b4f960；行4061
2. 规则：BR-31e26f1411c25283
3. 未动态验证</x:v>
      </x:c>
    </x:row>
    <x:row r="105" ht="115" customHeight="1">
      <x:c r="A105" s="10" t="n">
        <x:v>104</x:v>
      </x:c>
      <x:c r="B105" s="10" t="str">
        <x:v>ADMIN-06-0011</x:v>
      </x:c>
      <x:c r="C105" s="10" t="str">
        <x:v>礼物道具</x:v>
      </x:c>
      <x:c r="D105" s="10" t="str">
        <x:v>道具详情（平台管理员视角）</x:v>
      </x:c>
      <x:c r="E105" s="10" t="str">
        <x:v>逻辑校验</x:v>
      </x:c>
      <x:c r="F105" s="10" t="str">
        <x:v>P1</x:v>
      </x:c>
      <x:c r="G105" s="9" t="str">
        <x:v>验证道具印尼语名称必填</x:v>
      </x:c>
      <x:c r="H105" s="9" t="str">
        <x:v>道具印尼语名称校验</x:v>
      </x:c>
      <x:c r="I105" s="9" t="str">
        <x:v>1. 执行角色为平台管理员
2. 账号具有当前模块访问及本次操作权限
3. 业务数据已准备且本页已打开；表单和筛选保持下列指定状态
4. 其他字段和资源均有效</x:v>
      </x:c>
      <x:c r="J105" s="9" t="str">
        <x:v>1. 查看道具详情页
2. 清空印尼语名称
3. 点击保存</x:v>
      </x:c>
      <x:c r="K105" s="9" t="str">
        <x:v>不能保存缺少四语名称的配置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来源（当前证据）：liveshow-proto/MainBasis/统一需求文档.md；位置：REQ-5091e2b4f960；行4061
2. 规则：BR-8c9c23d409cb9466
3. 未动态验证</x:v>
      </x:c>
    </x:row>
    <x:row r="106" ht="115" customHeight="1">
      <x:c r="A106" s="10" t="n">
        <x:v>105</x:v>
      </x:c>
      <x:c r="B106" s="10" t="str">
        <x:v>ADMIN-06-0012</x:v>
      </x:c>
      <x:c r="C106" s="10" t="str">
        <x:v>礼物道具</x:v>
      </x:c>
      <x:c r="D106" s="10" t="str">
        <x:v>道具详情（平台管理员视角）</x:v>
      </x:c>
      <x:c r="E106" s="10" t="str">
        <x:v>逻辑校验</x:v>
      </x:c>
      <x:c r="F106" s="10" t="str">
        <x:v>P1</x:v>
      </x:c>
      <x:c r="G106" s="9" t="str">
        <x:v>验证道具马来语名称必填</x:v>
      </x:c>
      <x:c r="H106" s="9" t="str">
        <x:v>道具马来语名称校验</x:v>
      </x:c>
      <x:c r="I106" s="9" t="str">
        <x:v>1. 执行角色为平台管理员
2. 账号具有当前模块访问及本次操作权限
3. 业务数据已准备且本页已打开；表单和筛选保持下列指定状态
4. 其他字段和资源均有效</x:v>
      </x:c>
      <x:c r="J106" s="9" t="str">
        <x:v>1. 查看道具详情页
2. 清空马来语名称
3. 点击保存</x:v>
      </x:c>
      <x:c r="K106" s="9" t="str">
        <x:v>不能保存缺少四语名称的配置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来源（当前证据）：liveshow-proto/MainBasis/统一需求文档.md；位置：REQ-5091e2b4f960；行4061
2. 规则：BR-6309d030a8be090a
3. 未动态验证</x:v>
      </x:c>
    </x:row>
    <x:row r="107" ht="115" customHeight="1">
      <x:c r="A107" s="10" t="n">
        <x:v>106</x:v>
      </x:c>
      <x:c r="B107" s="10" t="str">
        <x:v>ADMIN-06-0013</x:v>
      </x:c>
      <x:c r="C107" s="10" t="str">
        <x:v>礼物道具</x:v>
      </x:c>
      <x:c r="D107" s="10" t="str">
        <x:v>礼物详情（平台管理员视角）</x:v>
      </x:c>
      <x:c r="E107" s="10" t="str">
        <x:v>逻辑校验</x:v>
      </x:c>
      <x:c r="F107" s="10" t="str">
        <x:v>P1</x:v>
      </x:c>
      <x:c r="G107" s="9" t="str">
        <x:v>验证礼物单价值0不合法</x:v>
      </x:c>
      <x:c r="H107" s="9" t="str">
        <x:v>单价正整数限制</x:v>
      </x:c>
      <x:c r="I107" s="9" t="str">
        <x:v>1. 执行角色为平台管理员
2. 账号具有当前模块访问及本次操作权限
3. 业务数据已准备且本页已打开；表单和筛选保持下列指定状态
4. 其他字段均有效</x:v>
      </x:c>
      <x:c r="J107" s="9" t="str">
        <x:v>1. 查看礼物详情页
2. 填写单价为0
3. 点击保存</x:v>
      </x:c>
      <x:c r="K107" s="9" t="str">
        <x:v>不能保存单价为0的配置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来源（当前证据）：liveshow-proto/MainBasis/统一需求文档.md；位置：REQ-5606f2e794a3；行3948
2. 规则：BR-041b21d45b84b3b6
3. 未动态验证</x:v>
      </x:c>
    </x:row>
    <x:row r="108" ht="115" customHeight="1">
      <x:c r="A108" s="10" t="n">
        <x:v>107</x:v>
      </x:c>
      <x:c r="B108" s="10" t="str">
        <x:v>ADMIN-06-0014</x:v>
      </x:c>
      <x:c r="C108" s="10" t="str">
        <x:v>礼物道具</x:v>
      </x:c>
      <x:c r="D108" s="10" t="str">
        <x:v>礼物详情（平台管理员视角）</x:v>
      </x:c>
      <x:c r="E108" s="10" t="str">
        <x:v>逻辑校验</x:v>
      </x:c>
      <x:c r="F108" s="10" t="str">
        <x:v>P1</x:v>
      </x:c>
      <x:c r="G108" s="9" t="str">
        <x:v>验证礼物单价值-1不合法</x:v>
      </x:c>
      <x:c r="H108" s="9" t="str">
        <x:v>单价正整数限制</x:v>
      </x:c>
      <x:c r="I108" s="9" t="str">
        <x:v>1. 执行角色为平台管理员
2. 账号具有当前模块访问及本次操作权限
3. 业务数据已准备且本页已打开；表单和筛选保持下列指定状态
4. 其他字段均有效</x:v>
      </x:c>
      <x:c r="J108" s="9" t="str">
        <x:v>1. 查看礼物详情页
2. 填写单价为-1
3. 点击保存</x:v>
      </x:c>
      <x:c r="K108" s="9" t="str">
        <x:v>不能保存单价为-1的配置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来源（当前证据）：liveshow-proto/MainBasis/统一需求文档.md；位置：REQ-5606f2e794a3；行3948
2. 规则：BR-6aa8f316f6afdded
3. 未动态验证</x:v>
      </x:c>
    </x:row>
    <x:row r="109" ht="115" customHeight="1">
      <x:c r="A109" s="10" t="n">
        <x:v>108</x:v>
      </x:c>
      <x:c r="B109" s="10" t="str">
        <x:v>ADMIN-06-0015</x:v>
      </x:c>
      <x:c r="C109" s="10" t="str">
        <x:v>礼物道具</x:v>
      </x:c>
      <x:c r="D109" s="10" t="str">
        <x:v>礼物详情（平台管理员视角）</x:v>
      </x:c>
      <x:c r="E109" s="10" t="str">
        <x:v>逻辑校验</x:v>
      </x:c>
      <x:c r="F109" s="10" t="str">
        <x:v>P1</x:v>
      </x:c>
      <x:c r="G109" s="9" t="str">
        <x:v>验证礼物单价值1.5不合法</x:v>
      </x:c>
      <x:c r="H109" s="9" t="str">
        <x:v>单价正整数限制</x:v>
      </x:c>
      <x:c r="I109" s="9" t="str">
        <x:v>1. 执行角色为平台管理员
2. 账号具有当前模块访问及本次操作权限
3. 业务数据已准备且本页已打开；表单和筛选保持下列指定状态
4. 其他字段均有效</x:v>
      </x:c>
      <x:c r="J109" s="9" t="str">
        <x:v>1. 查看礼物详情页
2. 填写单价为1.5
3. 点击保存</x:v>
      </x:c>
      <x:c r="K109" s="9" t="str">
        <x:v>不能保存单价为1.5的配置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来源（当前证据）：liveshow-proto/MainBasis/统一需求文档.md；位置：REQ-5606f2e794a3；行3948
2. 规则：BR-fa1790be9d776c1c
3. 未动态验证</x:v>
      </x:c>
    </x:row>
    <x:row r="110" ht="115" customHeight="1">
      <x:c r="A110" s="10" t="n">
        <x:v>109</x:v>
      </x:c>
      <x:c r="B110" s="10" t="str">
        <x:v>ADMIN-06-0016</x:v>
      </x:c>
      <x:c r="C110" s="10" t="str">
        <x:v>礼物道具</x:v>
      </x:c>
      <x:c r="D110" s="10" t="str">
        <x:v>道具详情（平台管理员视角）</x:v>
      </x:c>
      <x:c r="E110" s="10" t="str">
        <x:v>逻辑校验</x:v>
      </x:c>
      <x:c r="F110" s="10" t="str">
        <x:v>P1</x:v>
      </x:c>
      <x:c r="G110" s="9" t="str">
        <x:v>验证道具单价值0不合法</x:v>
      </x:c>
      <x:c r="H110" s="9" t="str">
        <x:v>单价正整数限制</x:v>
      </x:c>
      <x:c r="I110" s="9" t="str">
        <x:v>1. 执行角色为平台管理员
2. 账号具有当前模块访问及本次操作权限
3. 业务数据已准备且本页已打开；表单和筛选保持下列指定状态
4. 其他字段均有效</x:v>
      </x:c>
      <x:c r="J110" s="9" t="str">
        <x:v>1. 查看道具详情页
2. 填写单价为0
3. 点击保存</x:v>
      </x:c>
      <x:c r="K110" s="9" t="str">
        <x:v>不能保存单价为0的配置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来源（当前证据）：liveshow-proto/MainBasis/统一需求文档.md；位置：REQ-b10a3ffddb4e；行4065
2. 规则：BR-9a0cd539b1ff9efd
3. 未动态验证</x:v>
      </x:c>
    </x:row>
    <x:row r="111" ht="115" customHeight="1">
      <x:c r="A111" s="10" t="n">
        <x:v>110</x:v>
      </x:c>
      <x:c r="B111" s="10" t="str">
        <x:v>ADMIN-06-0017</x:v>
      </x:c>
      <x:c r="C111" s="10" t="str">
        <x:v>礼物道具</x:v>
      </x:c>
      <x:c r="D111" s="10" t="str">
        <x:v>道具详情（平台管理员视角）</x:v>
      </x:c>
      <x:c r="E111" s="10" t="str">
        <x:v>逻辑校验</x:v>
      </x:c>
      <x:c r="F111" s="10" t="str">
        <x:v>P1</x:v>
      </x:c>
      <x:c r="G111" s="9" t="str">
        <x:v>验证道具单价值-1不合法</x:v>
      </x:c>
      <x:c r="H111" s="9" t="str">
        <x:v>单价正整数限制</x:v>
      </x:c>
      <x:c r="I111" s="9" t="str">
        <x:v>1. 执行角色为平台管理员
2. 账号具有当前模块访问及本次操作权限
3. 业务数据已准备且本页已打开；表单和筛选保持下列指定状态
4. 其他字段均有效</x:v>
      </x:c>
      <x:c r="J111" s="9" t="str">
        <x:v>1. 查看道具详情页
2. 填写单价为-1
3. 点击保存</x:v>
      </x:c>
      <x:c r="K111" s="9" t="str">
        <x:v>不能保存单价为-1的配置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来源（当前证据）：liveshow-proto/MainBasis/统一需求文档.md；位置：REQ-b10a3ffddb4e；行4065
2. 规则：BR-b5816e5355001625
3. 未动态验证</x:v>
      </x:c>
    </x:row>
    <x:row r="112" ht="115" customHeight="1">
      <x:c r="A112" s="10" t="n">
        <x:v>111</x:v>
      </x:c>
      <x:c r="B112" s="10" t="str">
        <x:v>ADMIN-06-0018</x:v>
      </x:c>
      <x:c r="C112" s="10" t="str">
        <x:v>礼物道具</x:v>
      </x:c>
      <x:c r="D112" s="10" t="str">
        <x:v>道具详情（平台管理员视角）</x:v>
      </x:c>
      <x:c r="E112" s="10" t="str">
        <x:v>逻辑校验</x:v>
      </x:c>
      <x:c r="F112" s="10" t="str">
        <x:v>P1</x:v>
      </x:c>
      <x:c r="G112" s="9" t="str">
        <x:v>验证道具单价值1.5不合法</x:v>
      </x:c>
      <x:c r="H112" s="9" t="str">
        <x:v>单价正整数限制</x:v>
      </x:c>
      <x:c r="I112" s="9" t="str">
        <x:v>1. 执行角色为平台管理员
2. 账号具有当前模块访问及本次操作权限
3. 业务数据已准备且本页已打开；表单和筛选保持下列指定状态
4. 其他字段均有效</x:v>
      </x:c>
      <x:c r="J112" s="9" t="str">
        <x:v>1. 查看道具详情页
2. 填写单价为1.5
3. 点击保存</x:v>
      </x:c>
      <x:c r="K112" s="9" t="str">
        <x:v>不能保存单价为1.5的配置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来源（当前证据）：liveshow-proto/MainBasis/统一需求文档.md；位置：REQ-b10a3ffddb4e；行4065
2. 规则：BR-ddcf57a8193e10c2
3. 未动态验证</x:v>
      </x:c>
    </x:row>
    <x:row r="113" ht="115" customHeight="1">
      <x:c r="A113" s="10" t="n">
        <x:v>112</x:v>
      </x:c>
      <x:c r="B113" s="10" t="str">
        <x:v>ADMIN-06-0019</x:v>
      </x:c>
      <x:c r="C113" s="10" t="str">
        <x:v>礼物道具</x:v>
      </x:c>
      <x:c r="D113" s="10" t="str">
        <x:v>幸运礼物编辑（平台管理员视角）</x:v>
      </x:c>
      <x:c r="E113" s="10" t="str">
        <x:v>逻辑校验</x:v>
      </x:c>
      <x:c r="F113" s="10" t="str">
        <x:v>P1</x:v>
      </x:c>
      <x:c r="G113" s="9" t="str">
        <x:v>验证幸运礼物单次消耗值0不合法</x:v>
      </x:c>
      <x:c r="H113" s="9" t="str">
        <x:v>单次消耗正整数限制</x:v>
      </x:c>
      <x:c r="I113" s="9" t="str">
        <x:v>1. 执行角色为平台管理员
2. 账号具有当前模块访问及本次操作权限
3. 业务数据已准备且本页已打开；表单和筛选保持下列指定状态
4. 其他字段均有效</x:v>
      </x:c>
      <x:c r="J113" s="9" t="str">
        <x:v>1. 查看幸运礼物编辑页
2. 填写单次消耗为0
3. 点击保存</x:v>
      </x:c>
      <x:c r="K113" s="9" t="str">
        <x:v>不能保存单次消耗为0的配置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来源（当前证据）：liveshow-proto/MainBasis/统一需求文档.md；位置：REQ-34d0c9d5ca9c；行4011
2. 规则：BR-bdfd33130e62bb75
3. 未动态验证</x:v>
      </x:c>
    </x:row>
    <x:row r="114" ht="115" customHeight="1">
      <x:c r="A114" s="10" t="n">
        <x:v>113</x:v>
      </x:c>
      <x:c r="B114" s="10" t="str">
        <x:v>ADMIN-06-0020</x:v>
      </x:c>
      <x:c r="C114" s="10" t="str">
        <x:v>礼物道具</x:v>
      </x:c>
      <x:c r="D114" s="10" t="str">
        <x:v>幸运礼物编辑（平台管理员视角）</x:v>
      </x:c>
      <x:c r="E114" s="10" t="str">
        <x:v>逻辑校验</x:v>
      </x:c>
      <x:c r="F114" s="10" t="str">
        <x:v>P1</x:v>
      </x:c>
      <x:c r="G114" s="9" t="str">
        <x:v>验证幸运礼物单次消耗值-1不合法</x:v>
      </x:c>
      <x:c r="H114" s="9" t="str">
        <x:v>单次消耗正整数限制</x:v>
      </x:c>
      <x:c r="I114" s="9" t="str">
        <x:v>1. 执行角色为平台管理员
2. 账号具有当前模块访问及本次操作权限
3. 业务数据已准备且本页已打开；表单和筛选保持下列指定状态
4. 其他字段均有效</x:v>
      </x:c>
      <x:c r="J114" s="9" t="str">
        <x:v>1. 查看幸运礼物编辑页
2. 填写单次消耗为-1
3. 点击保存</x:v>
      </x:c>
      <x:c r="K114" s="9" t="str">
        <x:v>不能保存单次消耗为-1的配置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来源（当前证据）：liveshow-proto/MainBasis/统一需求文档.md；位置：REQ-34d0c9d5ca9c；行4011
2. 规则：BR-75450e27f1d31691
3. 未动态验证</x:v>
      </x:c>
    </x:row>
    <x:row r="115" ht="115" customHeight="1">
      <x:c r="A115" s="10" t="n">
        <x:v>114</x:v>
      </x:c>
      <x:c r="B115" s="10" t="str">
        <x:v>ADMIN-06-0021</x:v>
      </x:c>
      <x:c r="C115" s="10" t="str">
        <x:v>礼物道具</x:v>
      </x:c>
      <x:c r="D115" s="10" t="str">
        <x:v>幸运礼物编辑（平台管理员视角）</x:v>
      </x:c>
      <x:c r="E115" s="10" t="str">
        <x:v>逻辑校验</x:v>
      </x:c>
      <x:c r="F115" s="10" t="str">
        <x:v>P1</x:v>
      </x:c>
      <x:c r="G115" s="9" t="str">
        <x:v>验证幸运礼物单次消耗值1.5不合法</x:v>
      </x:c>
      <x:c r="H115" s="9" t="str">
        <x:v>单次消耗正整数限制</x:v>
      </x:c>
      <x:c r="I115" s="9" t="str">
        <x:v>1. 执行角色为平台管理员
2. 账号具有当前模块访问及本次操作权限
3. 业务数据已准备且本页已打开；表单和筛选保持下列指定状态
4. 其他字段均有效</x:v>
      </x:c>
      <x:c r="J115" s="9" t="str">
        <x:v>1. 查看幸运礼物编辑页
2. 填写单次消耗为1.5
3. 点击保存</x:v>
      </x:c>
      <x:c r="K115" s="9" t="str">
        <x:v>不能保存单次消耗为1.5的配置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来源（当前证据）：liveshow-proto/MainBasis/统一需求文档.md；位置：REQ-34d0c9d5ca9c；行4011
2. 规则：BR-44d900fce53fb598
3. 未动态验证</x:v>
      </x:c>
    </x:row>
    <x:row r="116" ht="115" customHeight="1">
      <x:c r="A116" s="10" t="n">
        <x:v>115</x:v>
      </x:c>
      <x:c r="B116" s="10" t="str">
        <x:v>ADMIN-06-0022</x:v>
      </x:c>
      <x:c r="C116" s="10" t="str">
        <x:v>礼物道具</x:v>
      </x:c>
      <x:c r="D116" s="10" t="str">
        <x:v>幸运礼物编辑（平台管理员视角）</x:v>
      </x:c>
      <x:c r="E116" s="10" t="str">
        <x:v>逻辑校验</x:v>
      </x:c>
      <x:c r="F116" s="10" t="str">
        <x:v>P1</x:v>
      </x:c>
      <x:c r="G116" s="9" t="str">
        <x:v>验证幸运礼物开奖次数值0不合法</x:v>
      </x:c>
      <x:c r="H116" s="9" t="str">
        <x:v>开奖次数正整数限制</x:v>
      </x:c>
      <x:c r="I116" s="9" t="str">
        <x:v>1. 执行角色为平台管理员
2. 账号具有当前模块访问及本次操作权限
3. 业务数据已准备且本页已打开；表单和筛选保持下列指定状态
4. 其他字段均有效</x:v>
      </x:c>
      <x:c r="J116" s="9" t="str">
        <x:v>1. 查看幸运礼物编辑页
2. 填写开奖次数为0
3. 点击保存</x:v>
      </x:c>
      <x:c r="K116" s="9" t="str">
        <x:v>不能保存开奖次数为0的配置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来源（当前证据）：liveshow-proto/MainBasis/统一需求文档.md；位置：REQ-1c1e2d37fe4b；行4013
2. 规则：BR-adfc20a8616dc725
3. 未动态验证</x:v>
      </x:c>
    </x:row>
    <x:row r="117" ht="115" customHeight="1">
      <x:c r="A117" s="10" t="n">
        <x:v>116</x:v>
      </x:c>
      <x:c r="B117" s="10" t="str">
        <x:v>ADMIN-06-0023</x:v>
      </x:c>
      <x:c r="C117" s="10" t="str">
        <x:v>礼物道具</x:v>
      </x:c>
      <x:c r="D117" s="10" t="str">
        <x:v>幸运礼物编辑（平台管理员视角）</x:v>
      </x:c>
      <x:c r="E117" s="10" t="str">
        <x:v>逻辑校验</x:v>
      </x:c>
      <x:c r="F117" s="10" t="str">
        <x:v>P1</x:v>
      </x:c>
      <x:c r="G117" s="9" t="str">
        <x:v>验证幸运礼物开奖次数值-1不合法</x:v>
      </x:c>
      <x:c r="H117" s="9" t="str">
        <x:v>开奖次数正整数限制</x:v>
      </x:c>
      <x:c r="I117" s="9" t="str">
        <x:v>1. 执行角色为平台管理员
2. 账号具有当前模块访问及本次操作权限
3. 业务数据已准备且本页已打开；表单和筛选保持下列指定状态
4. 其他字段均有效</x:v>
      </x:c>
      <x:c r="J117" s="9" t="str">
        <x:v>1. 查看幸运礼物编辑页
2. 填写开奖次数为-1
3. 点击保存</x:v>
      </x:c>
      <x:c r="K117" s="9" t="str">
        <x:v>不能保存开奖次数为-1的配置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来源（当前证据）：liveshow-proto/MainBasis/统一需求文档.md；位置：REQ-1c1e2d37fe4b；行4013
2. 规则：BR-e02a4f21bfdd45fd
3. 未动态验证</x:v>
      </x:c>
    </x:row>
    <x:row r="118" ht="115" customHeight="1">
      <x:c r="A118" s="10" t="n">
        <x:v>117</x:v>
      </x:c>
      <x:c r="B118" s="10" t="str">
        <x:v>ADMIN-06-0024</x:v>
      </x:c>
      <x:c r="C118" s="10" t="str">
        <x:v>礼物道具</x:v>
      </x:c>
      <x:c r="D118" s="10" t="str">
        <x:v>幸运礼物编辑（平台管理员视角）</x:v>
      </x:c>
      <x:c r="E118" s="10" t="str">
        <x:v>逻辑校验</x:v>
      </x:c>
      <x:c r="F118" s="10" t="str">
        <x:v>P1</x:v>
      </x:c>
      <x:c r="G118" s="9" t="str">
        <x:v>验证幸运礼物开奖次数值1.5不合法</x:v>
      </x:c>
      <x:c r="H118" s="9" t="str">
        <x:v>开奖次数正整数限制</x:v>
      </x:c>
      <x:c r="I118" s="9" t="str">
        <x:v>1. 执行角色为平台管理员
2. 账号具有当前模块访问及本次操作权限
3. 业务数据已准备且本页已打开；表单和筛选保持下列指定状态
4. 其他字段均有效</x:v>
      </x:c>
      <x:c r="J118" s="9" t="str">
        <x:v>1. 查看幸运礼物编辑页
2. 填写开奖次数为1.5
3. 点击保存</x:v>
      </x:c>
      <x:c r="K118" s="9" t="str">
        <x:v>不能保存开奖次数为1.5的配置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来源（当前证据）：liveshow-proto/MainBasis/统一需求文档.md；位置：REQ-1c1e2d37fe4b；行4013
2. 规则：BR-bea34b5d8a58fb3b
3. 未动态验证</x:v>
      </x:c>
    </x:row>
    <x:row r="119" ht="115" customHeight="1">
      <x:c r="A119" s="10" t="n">
        <x:v>118</x:v>
      </x:c>
      <x:c r="B119" s="10" t="str">
        <x:v>ADMIN-06-0025</x:v>
      </x:c>
      <x:c r="C119" s="10" t="str">
        <x:v>礼物道具</x:v>
      </x:c>
      <x:c r="D119" s="10" t="str">
        <x:v>礼物详情（平台管理员视角）</x:v>
      </x:c>
      <x:c r="E119" s="10" t="str">
        <x:v>逻辑校验</x:v>
      </x:c>
      <x:c r="F119" s="10" t="str">
        <x:v>P1</x:v>
      </x:c>
      <x:c r="G119" s="9" t="str">
        <x:v>验证删除礼物必填图标后不能保存</x:v>
      </x:c>
      <x:c r="H119" s="9" t="str">
        <x:v>礼物必填图标删除校验</x:v>
      </x:c>
      <x:c r="I119" s="9" t="str">
        <x:v>1. 执行角色为平台管理员
2. 账号具有当前模块访问及本次操作权限
3. 业务数据已准备且本页已打开；表单和筛选保持下列指定状态
4. 编辑有效礼物</x:v>
      </x:c>
      <x:c r="J119" s="9" t="str">
        <x:v>1. 查看礼物详情页
2. 删除图标
3. 点击保存</x:v>
      </x:c>
      <x:c r="K119" s="9" t="str">
        <x:v>不能保存缺少图标的礼物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来源（当前证据）：liveshow-proto/MainBasis/统一需求文档.md；位置：REQ-6a104f27fd6b；行3946
2. 规则：BR-11043b0e6f6ed37c
3. 未动态验证</x:v>
      </x:c>
    </x:row>
    <x:row r="120" ht="115" customHeight="1">
      <x:c r="A120" s="10" t="n">
        <x:v>119</x:v>
      </x:c>
      <x:c r="B120" s="10" t="str">
        <x:v>ADMIN-06-0026</x:v>
      </x:c>
      <x:c r="C120" s="10" t="str">
        <x:v>礼物道具</x:v>
      </x:c>
      <x:c r="D120" s="10" t="str">
        <x:v>礼物详情（平台管理员视角）</x:v>
      </x:c>
      <x:c r="E120" s="10" t="str">
        <x:v>逻辑校验</x:v>
      </x:c>
      <x:c r="F120" s="10" t="str">
        <x:v>P1</x:v>
      </x:c>
      <x:c r="G120" s="9" t="str">
        <x:v>验证已有礼物ID不可修改</x:v>
      </x:c>
      <x:c r="H120" s="9" t="str">
        <x:v>礼物ID编辑只读</x:v>
      </x:c>
      <x:c r="I120" s="9" t="str">
        <x:v>1. 执行角色为平台管理员
2. 账号具有当前模块访问及本次操作权限
3. 业务数据已准备且本页已打开；表单和筛选保持下列指定状态
4. 当前礼物ID为G001</x:v>
      </x:c>
      <x:c r="J120" s="9" t="str">
        <x:v>1. 查看礼物详情页</x:v>
      </x:c>
      <x:c r="K120" s="9" t="str">
        <x:v>礼物ID不可编辑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来源（当前证据）：liveshow-proto/MainBasis/统一需求文档.md；位置：REQ-11918d0ffd1c；行3942
2. 规则：BR-f85348705bb2e792
3. 未动态验证</x:v>
      </x:c>
    </x:row>
    <x:row r="121" ht="130" customHeight="1">
      <x:c r="A121" s="10" t="n">
        <x:v>120</x:v>
      </x:c>
      <x:c r="B121" s="10" t="str">
        <x:v>ADMIN-06-0027</x:v>
      </x:c>
      <x:c r="C121" s="10" t="str">
        <x:v>礼物道具</x:v>
      </x:c>
      <x:c r="D121" s="10" t="str">
        <x:v>礼物详情（平台管理员视角）</x:v>
      </x:c>
      <x:c r="E121" s="10" t="str">
        <x:v>业务流程</x:v>
      </x:c>
      <x:c r="F121" s="10" t="str">
        <x:v>P0</x:v>
      </x:c>
      <x:c r="G121" s="9" t="str">
        <x:v>验证保存有效普通礼物配置</x:v>
      </x:c>
      <x:c r="H121" s="9" t="str">
        <x:v>普通礼物价格保存</x:v>
      </x:c>
      <x:c r="I121" s="9" t="str">
        <x:v>1. 执行角色为平台管理员
2. 账号具有当前模块访问及本次操作权限
3. 业务数据已准备且本页已打开；表单和筛选保持下列指定状态
4. 全部必填资源和四语已填，单价10，排序1</x:v>
      </x:c>
      <x:c r="J121" s="9" t="str">
        <x:v>1. 查看礼物详情页
2. 填写单价为11
3. 点击保存
4. 刷新当前礼物详情</x:v>
      </x:c>
      <x:c r="K121" s="9" t="str">
        <x:v>单价显示11金币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来源（当前证据）：liveshow-proto/MainBasis/统一需求文档.md；位置：REQ-999b54a8fa06；行3958、REQ-5606f2e794a3；行3948
2. 规则：BR-55841de1085342b1
3. 未动态验证</x:v>
      </x:c>
    </x:row>
    <x:row r="122" ht="115" customHeight="1">
      <x:c r="A122" s="10" t="n">
        <x:v>121</x:v>
      </x:c>
      <x:c r="B122" s="10" t="str">
        <x:v>ADMIN-06-0028</x:v>
      </x:c>
      <x:c r="C122" s="10" t="str">
        <x:v>礼物道具</x:v>
      </x:c>
      <x:c r="D122" s="10" t="str">
        <x:v>普通礼物（平台管理员视角）</x:v>
      </x:c>
      <x:c r="E122" s="10" t="str">
        <x:v>功能需求</x:v>
      </x:c>
      <x:c r="F122" s="10" t="str">
        <x:v>P2</x:v>
      </x:c>
      <x:c r="G122" s="9" t="str">
        <x:v>验证礼物权重越大排序越前</x:v>
      </x:c>
      <x:c r="H122" s="9" t="str">
        <x:v>普通礼物排序权重</x:v>
      </x:c>
      <x:c r="I122" s="9" t="str">
        <x:v>1. 执行角色为平台管理员
2. 账号具有当前模块访问及本次操作权限
3. 业务数据已准备且本页已打开；表单和筛选保持下列指定状态
4. 礼物A权重1、B权重2</x:v>
      </x:c>
      <x:c r="J122" s="9" t="str">
        <x:v>1. 查看普通礼物页</x:v>
      </x:c>
      <x:c r="K122" s="9" t="str">
        <x:v>B排列在A之前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来源（当前证据）：liveshow-proto/MainBasis/统一需求文档.md；位置：REQ-83ed78759892；行3929
2. 规则：BR-743c40d055df1979
3. 未动态验证</x:v>
      </x:c>
    </x:row>
    <x:row r="123" ht="130" customHeight="1">
      <x:c r="A123" s="10" t="n">
        <x:v>122</x:v>
      </x:c>
      <x:c r="B123" s="10" t="str">
        <x:v>ADMIN-06-0029</x:v>
      </x:c>
      <x:c r="C123" s="10" t="str">
        <x:v>礼物道具</x:v>
      </x:c>
      <x:c r="D123" s="10" t="str">
        <x:v>礼物详情（平台管理员视角）</x:v>
      </x:c>
      <x:c r="E123" s="10" t="str">
        <x:v>逻辑校验</x:v>
      </x:c>
      <x:c r="F123" s="10" t="str">
        <x:v>P1</x:v>
      </x:c>
      <x:c r="G123" s="9" t="str">
        <x:v>验证定制礼物失效时间10:00校验</x:v>
      </x:c>
      <x:c r="H123" s="9" t="str">
        <x:v>定制礼物时间范围</x:v>
      </x:c>
      <x:c r="I123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3" s="9" t="str">
        <x:v>1. 查看礼物详情页
2. 填写失效时间为同日10:00
3. 点击保存</x:v>
      </x:c>
      <x:c r="K123" s="9" t="str">
        <x:v>不能保存失效时间等于生效时间的配置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来源（当前证据）：liveshow-proto/MainBasis/统一需求文档.md；位置：REQ-8104e086ef2d；行3952
2. 规则：BR-5a33e3a829a1501c
3. 未动态验证</x:v>
      </x:c>
    </x:row>
    <x:row r="124" ht="130" customHeight="1">
      <x:c r="A124" s="10" t="n">
        <x:v>123</x:v>
      </x:c>
      <x:c r="B124" s="10" t="str">
        <x:v>ADMIN-06-0030</x:v>
      </x:c>
      <x:c r="C124" s="10" t="str">
        <x:v>礼物道具</x:v>
      </x:c>
      <x:c r="D124" s="10" t="str">
        <x:v>礼物详情（平台管理员视角）</x:v>
      </x:c>
      <x:c r="E124" s="10" t="str">
        <x:v>逻辑校验</x:v>
      </x:c>
      <x:c r="F124" s="10" t="str">
        <x:v>P1</x:v>
      </x:c>
      <x:c r="G124" s="9" t="str">
        <x:v>验证定制礼物失效时间09:59校验</x:v>
      </x:c>
      <x:c r="H124" s="9" t="str">
        <x:v>定制礼物时间范围</x:v>
      </x:c>
      <x:c r="I124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4" s="9" t="str">
        <x:v>1. 查看礼物详情页
2. 填写失效时间为同日09:59
3. 点击保存</x:v>
      </x:c>
      <x:c r="K124" s="9" t="str">
        <x:v>不能保存失效早于生效的配置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来源（当前证据）：liveshow-proto/MainBasis/统一需求文档.md；位置：REQ-8104e086ef2d；行3952
2. 规则：BR-fc7e35a6818a5e31
3. 未动态验证</x:v>
      </x:c>
    </x:row>
    <x:row r="125" ht="130" customHeight="1">
      <x:c r="A125" s="10" t="n">
        <x:v>124</x:v>
      </x:c>
      <x:c r="B125" s="10" t="str">
        <x:v>ADMIN-06-0031</x:v>
      </x:c>
      <x:c r="C125" s="10" t="str">
        <x:v>礼物道具</x:v>
      </x:c>
      <x:c r="D125" s="10" t="str">
        <x:v>定制礼物（平台管理员视角）</x:v>
      </x:c>
      <x:c r="E125" s="10" t="str">
        <x:v>逻辑校验</x:v>
      </x:c>
      <x:c r="F125" s="10" t="str">
        <x:v>P1</x:v>
      </x:c>
      <x:c r="G125" s="9" t="str">
        <x:v>验证定制礼物排期时刻09:59</x:v>
      </x:c>
      <x:c r="H125" s="9" t="str">
        <x:v>定制礼物自动排期状态</x:v>
      </x:c>
      <x:c r="I125" s="9" t="str">
        <x:v>1. 执行角色为平台管理员
2. 账号具有当前模块访问及本次操作权限
3. 业务数据已准备且本页已打开；表单和筛选保持下列指定状态
4. 生效10:00，失效11:00，测试时钟09:59，未提前下架</x:v>
      </x:c>
      <x:c r="J125" s="9" t="str">
        <x:v>1. 查看定制礼物页</x:v>
      </x:c>
      <x:c r="K125" s="9" t="str">
        <x:v>礼物状态为未生效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来源（当前证据）：liveshow-proto/MainBasis/统一需求文档.md；位置：REQ-d9a4354e134a；行3971
2. 规则：BR-907faa184cc04a8b
3. 未动态验证</x:v>
      </x:c>
    </x:row>
    <x:row r="126" ht="130" customHeight="1">
      <x:c r="A126" s="10" t="n">
        <x:v>125</x:v>
      </x:c>
      <x:c r="B126" s="10" t="str">
        <x:v>ADMIN-06-0032</x:v>
      </x:c>
      <x:c r="C126" s="10" t="str">
        <x:v>礼物道具</x:v>
      </x:c>
      <x:c r="D126" s="10" t="str">
        <x:v>定制礼物（平台管理员视角）</x:v>
      </x:c>
      <x:c r="E126" s="10" t="str">
        <x:v>逻辑校验</x:v>
      </x:c>
      <x:c r="F126" s="10" t="str">
        <x:v>P1</x:v>
      </x:c>
      <x:c r="G126" s="9" t="str">
        <x:v>验证定制礼物排期时刻10:00</x:v>
      </x:c>
      <x:c r="H126" s="9" t="str">
        <x:v>定制礼物自动排期状态</x:v>
      </x:c>
      <x:c r="I126" s="9" t="str">
        <x:v>1. 执行角色为平台管理员
2. 账号具有当前模块访问及本次操作权限
3. 业务数据已准备且本页已打开；表单和筛选保持下列指定状态
4. 生效10:00，失效11:00，测试时钟10:00，未提前下架</x:v>
      </x:c>
      <x:c r="J126" s="9" t="str">
        <x:v>1. 查看定制礼物页</x:v>
      </x:c>
      <x:c r="K126" s="9" t="str">
        <x:v>礼物状态为上架中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来源（当前证据）：liveshow-proto/MainBasis/统一需求文档.md；位置：REQ-d9a4354e134a；行3971
2. 规则：BR-6f80f67f00d4c6c8
3. 未动态验证</x:v>
      </x:c>
    </x:row>
    <x:row r="127" ht="130" customHeight="1">
      <x:c r="A127" s="10" t="n">
        <x:v>126</x:v>
      </x:c>
      <x:c r="B127" s="10" t="str">
        <x:v>ADMIN-06-0033</x:v>
      </x:c>
      <x:c r="C127" s="10" t="str">
        <x:v>礼物道具</x:v>
      </x:c>
      <x:c r="D127" s="10" t="str">
        <x:v>定制礼物（平台管理员视角）</x:v>
      </x:c>
      <x:c r="E127" s="10" t="str">
        <x:v>逻辑校验</x:v>
      </x:c>
      <x:c r="F127" s="10" t="str">
        <x:v>P1</x:v>
      </x:c>
      <x:c r="G127" s="9" t="str">
        <x:v>验证定制礼物排期时刻11:00</x:v>
      </x:c>
      <x:c r="H127" s="9" t="str">
        <x:v>定制礼物自动排期状态</x:v>
      </x:c>
      <x:c r="I127" s="9" t="str">
        <x:v>1. 执行角色为平台管理员
2. 账号具有当前模块访问及本次操作权限
3. 业务数据已准备且本页已打开；表单和筛选保持下列指定状态
4. 生效10:00，失效11:00，测试时钟11:00，未提前下架</x:v>
      </x:c>
      <x:c r="J127" s="9" t="str">
        <x:v>1. 查看定制礼物页</x:v>
      </x:c>
      <x:c r="K127" s="9" t="str">
        <x:v>礼物状态为已下架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来源（当前证据）：liveshow-proto/MainBasis/统一需求文档.md；位置：REQ-d9a4354e134a；行3971
2. 规则：BR-9ec6c29b5c07ab90
3. 未动态验证</x:v>
      </x:c>
    </x:row>
    <x:row r="128" ht="130" customHeight="1">
      <x:c r="A128" s="10" t="n">
        <x:v>127</x:v>
      </x:c>
      <x:c r="B128" s="10" t="str">
        <x:v>ADMIN-06-0034</x:v>
      </x:c>
      <x:c r="C128" s="10" t="str">
        <x:v>礼物道具</x:v>
      </x:c>
      <x:c r="D128" s="10" t="str">
        <x:v>定制礼物（平台管理员视角）</x:v>
      </x:c>
      <x:c r="E128" s="10" t="str">
        <x:v>逻辑校验</x:v>
      </x:c>
      <x:c r="F128" s="10" t="str">
        <x:v>P1</x:v>
      </x:c>
      <x:c r="G128" s="9" t="str">
        <x:v>验证定制礼物提前下架不被排期恢复</x:v>
      </x:c>
      <x:c r="H128" s="9" t="str">
        <x:v>定制礼物手动下架优先</x:v>
      </x:c>
      <x:c r="I128" s="9" t="str">
        <x:v>1. 执行角色为平台管理员
2. 账号具有当前模块访问及本次操作权限
3. 业务数据已准备且本页已打开；表单和筛选保持下列指定状态
4. 礼物已经提前下架，当前处于原排期内</x:v>
      </x:c>
      <x:c r="J128" s="9" t="str">
        <x:v>1. 查看定制礼物页</x:v>
      </x:c>
      <x:c r="K128" s="9" t="str">
        <x:v>礼物状态仍为已下架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来源（当前证据）：liveshow-proto/MainBasis/统一需求文档.md；位置：REQ-d49d62c3629e；行3969
2. 规则：BR-869e343e5e7ce786
3. 未动态验证</x:v>
      </x:c>
    </x:row>
    <x:row r="129" ht="100" customHeight="1">
      <x:c r="A129" s="10" t="n">
        <x:v>128</x:v>
      </x:c>
      <x:c r="B129" s="10" t="str">
        <x:v>ADMIN-06-0035</x:v>
      </x:c>
      <x:c r="C129" s="10" t="str">
        <x:v>礼物道具</x:v>
      </x:c>
      <x:c r="D129" s="10" t="str">
        <x:v>幸运礼物（平台管理员视角）</x:v>
      </x:c>
      <x:c r="E129" s="10" t="str">
        <x:v>逻辑校验</x:v>
      </x:c>
      <x:c r="F129" s="10" t="str">
        <x:v>P1</x:v>
      </x:c>
      <x:c r="G129" s="9" t="str">
        <x:v>验证幸运收益比例-1越界</x:v>
      </x:c>
      <x:c r="H129" s="9" t="str">
        <x:v>幸运礼物收益比例范围</x:v>
      </x:c>
      <x:c r="I129" s="9" t="str">
        <x:v>1. 执行角色为平台管理员
2. 账号具有当前模块访问及本次操作权限</x:v>
      </x:c>
      <x:c r="J129" s="9" t="str">
        <x:v>1. 进入幸运礼物页
2. 点击编辑
3. 填写幸运礼物收益比例为-1
4. 点击保存</x:v>
      </x:c>
      <x:c r="K129" s="9" t="str">
        <x:v>不能保存超出0%至100%的比例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来源（当前证据）：liveshow-proto/MainBasis/统一需求文档.md；位置：REQ-2d44490902b2；行3980、REQ-e6f55f39eb06；行4000
2. 规则：BR-4d6d58e6e281c869
3. 未动态验证</x:v>
      </x:c>
    </x:row>
    <x:row r="130" ht="100" customHeight="1">
      <x:c r="A130" s="10" t="n">
        <x:v>129</x:v>
      </x:c>
      <x:c r="B130" s="10" t="str">
        <x:v>ADMIN-06-0036</x:v>
      </x:c>
      <x:c r="C130" s="10" t="str">
        <x:v>礼物道具</x:v>
      </x:c>
      <x:c r="D130" s="10" t="str">
        <x:v>幸运礼物（平台管理员视角）</x:v>
      </x:c>
      <x:c r="E130" s="10" t="str">
        <x:v>逻辑校验</x:v>
      </x:c>
      <x:c r="F130" s="10" t="str">
        <x:v>P1</x:v>
      </x:c>
      <x:c r="G130" s="9" t="str">
        <x:v>验证幸运收益比例101越界</x:v>
      </x:c>
      <x:c r="H130" s="9" t="str">
        <x:v>幸运礼物收益比例范围</x:v>
      </x:c>
      <x:c r="I130" s="9" t="str">
        <x:v>1. 执行角色为平台管理员
2. 账号具有当前模块访问及本次操作权限</x:v>
      </x:c>
      <x:c r="J130" s="9" t="str">
        <x:v>1. 进入幸运礼物页
2. 点击编辑
3. 填写幸运礼物收益比例为101
4. 点击保存</x:v>
      </x:c>
      <x:c r="K130" s="9" t="str">
        <x:v>不能保存超出0%至100%的比例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来源（当前证据）：liveshow-proto/MainBasis/统一需求文档.md；位置：REQ-2d44490902b2；行3980、REQ-e6f55f39eb06；行4000
2. 规则：BR-e4a7f4f985809f78
3. 未动态验证</x:v>
      </x:c>
    </x:row>
    <x:row r="131" ht="100" customHeight="1">
      <x:c r="A131" s="10" t="n">
        <x:v>130</x:v>
      </x:c>
      <x:c r="B131" s="10" t="str">
        <x:v>ADMIN-06-0037</x:v>
      </x:c>
      <x:c r="C131" s="10" t="str">
        <x:v>礼物道具</x:v>
      </x:c>
      <x:c r="D131" s="10" t="str">
        <x:v>幸运礼物（平台管理员视角）</x:v>
      </x:c>
      <x:c r="E131" s="10" t="str">
        <x:v>逻辑校验</x:v>
      </x:c>
      <x:c r="F131" s="10" t="str">
        <x:v>P1</x:v>
      </x:c>
      <x:c r="G131" s="9" t="str">
        <x:v>验证幸运收益比例边界0</x:v>
      </x:c>
      <x:c r="H131" s="9" t="str">
        <x:v>幸运礼物收益比例合法值</x:v>
      </x:c>
      <x:c r="I131" s="9" t="str">
        <x:v>1. 执行角色为平台管理员
2. 账号具有当前模块访问及本次操作权限</x:v>
      </x:c>
      <x:c r="J131" s="9" t="str">
        <x:v>1. 进入幸运礼物页
2. 点击编辑
3. 填写幸运礼物收益比例为0
4. 点击保存</x:v>
      </x:c>
      <x:c r="K131" s="9" t="str">
        <x:v>收益比例显示0%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来源（当前证据）：liveshow-proto/MainBasis/统一需求文档.md；位置：REQ-2d44490902b2；行3980、REQ-e6f55f39eb06；行4000
2. 规则：BR-a76fcb8f1821fd47
3. 未动态验证</x:v>
      </x:c>
    </x:row>
    <x:row r="132" ht="100" customHeight="1">
      <x:c r="A132" s="10" t="n">
        <x:v>131</x:v>
      </x:c>
      <x:c r="B132" s="10" t="str">
        <x:v>ADMIN-06-0038</x:v>
      </x:c>
      <x:c r="C132" s="10" t="str">
        <x:v>礼物道具</x:v>
      </x:c>
      <x:c r="D132" s="10" t="str">
        <x:v>幸运礼物（平台管理员视角）</x:v>
      </x:c>
      <x:c r="E132" s="10" t="str">
        <x:v>逻辑校验</x:v>
      </x:c>
      <x:c r="F132" s="10" t="str">
        <x:v>P1</x:v>
      </x:c>
      <x:c r="G132" s="9" t="str">
        <x:v>验证幸运收益比例边界1</x:v>
      </x:c>
      <x:c r="H132" s="9" t="str">
        <x:v>幸运礼物收益比例合法值</x:v>
      </x:c>
      <x:c r="I132" s="9" t="str">
        <x:v>1. 执行角色为平台管理员
2. 账号具有当前模块访问及本次操作权限</x:v>
      </x:c>
      <x:c r="J132" s="9" t="str">
        <x:v>1. 进入幸运礼物页
2. 点击编辑
3. 填写幸运礼物收益比例为1
4. 点击保存</x:v>
      </x:c>
      <x:c r="K132" s="9" t="str">
        <x:v>收益比例显示1%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来源（当前证据）：liveshow-proto/MainBasis/统一需求文档.md；位置：REQ-2d44490902b2；行3980、REQ-e6f55f39eb06；行4000
2. 规则：BR-4cac24af03092085
3. 未动态验证</x:v>
      </x:c>
    </x:row>
    <x:row r="133" ht="100" customHeight="1">
      <x:c r="A133" s="10" t="n">
        <x:v>132</x:v>
      </x:c>
      <x:c r="B133" s="10" t="str">
        <x:v>ADMIN-06-0039</x:v>
      </x:c>
      <x:c r="C133" s="10" t="str">
        <x:v>礼物道具</x:v>
      </x:c>
      <x:c r="D133" s="10" t="str">
        <x:v>幸运礼物（平台管理员视角）</x:v>
      </x:c>
      <x:c r="E133" s="10" t="str">
        <x:v>逻辑校验</x:v>
      </x:c>
      <x:c r="F133" s="10" t="str">
        <x:v>P1</x:v>
      </x:c>
      <x:c r="G133" s="9" t="str">
        <x:v>验证幸运收益比例边界100</x:v>
      </x:c>
      <x:c r="H133" s="9" t="str">
        <x:v>幸运礼物收益比例合法值</x:v>
      </x:c>
      <x:c r="I133" s="9" t="str">
        <x:v>1. 执行角色为平台管理员
2. 账号具有当前模块访问及本次操作权限</x:v>
      </x:c>
      <x:c r="J133" s="9" t="str">
        <x:v>1. 进入幸运礼物页
2. 点击编辑
3. 填写幸运礼物收益比例为100
4. 点击保存</x:v>
      </x:c>
      <x:c r="K133" s="9" t="str">
        <x:v>收益比例显示100%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来源（当前证据）：liveshow-proto/MainBasis/统一需求文档.md；位置：REQ-2d44490902b2；行3980、REQ-e6f55f39eb06；行4000
2. 规则：BR-7f78932988aefb55
3. 未动态验证</x:v>
      </x:c>
    </x:row>
    <x:row r="134" ht="115" customHeight="1">
      <x:c r="A134" s="10" t="n">
        <x:v>133</x:v>
      </x:c>
      <x:c r="B134" s="10" t="str">
        <x:v>ADMIN-06-0040</x:v>
      </x:c>
      <x:c r="C134" s="10" t="str">
        <x:v>礼物道具</x:v>
      </x:c>
      <x:c r="D134" s="10" t="str">
        <x:v>幸运礼物编辑（平台管理员视角）</x:v>
      </x:c>
      <x:c r="E134" s="10" t="str">
        <x:v>逻辑校验</x:v>
      </x:c>
      <x:c r="F134" s="10" t="str">
        <x:v>P1</x:v>
      </x:c>
      <x:c r="G134" s="9" t="str">
        <x:v>验证幸运礼物单价包含全部开奖次数</x:v>
      </x:c>
      <x:c r="H134" s="9" t="str">
        <x:v>幸运礼物总价公式</x:v>
      </x:c>
      <x:c r="I134" s="9" t="str">
        <x:v>1. 执行角色为平台管理员
2. 账号具有当前模块访问及本次操作权限
3. 业务数据已准备且本页已打开；表单和筛选保持下列指定状态
4. 其他字段有效</x:v>
      </x:c>
      <x:c r="J134" s="9" t="str">
        <x:v>1. 查看幸运礼物编辑页
2. 填写单次消耗为10
3. 填写开奖次数为100</x:v>
      </x:c>
      <x:c r="K134" s="9" t="str">
        <x:v>礼物单价 = 1000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来源（当前证据）：liveshow-proto/MainBasis/统一需求文档.md；位置：REQ-1c1e2d37fe4b；行4013
2. 规则：BR-f54c8918876b1d3b
3. 未动态验证</x:v>
      </x:c>
    </x:row>
    <x:row r="135" ht="115" customHeight="1">
      <x:c r="A135" s="10" t="n">
        <x:v>134</x:v>
      </x:c>
      <x:c r="B135" s="10" t="str">
        <x:v>ADMIN-06-0041</x:v>
      </x:c>
      <x:c r="C135" s="10" t="str">
        <x:v>礼物道具</x:v>
      </x:c>
      <x:c r="D135" s="10" t="str">
        <x:v>幸运礼物编辑（平台管理员视角）</x:v>
      </x:c>
      <x:c r="E135" s="10" t="str">
        <x:v>逻辑校验</x:v>
      </x:c>
      <x:c r="F135" s="10" t="str">
        <x:v>P1</x:v>
      </x:c>
      <x:c r="G135" s="9" t="str">
        <x:v>验证奖励金币-1不合法</x:v>
      </x:c>
      <x:c r="H135" s="9" t="str">
        <x:v>幸运奖励金额校验</x:v>
      </x:c>
      <x:c r="I135" s="9" t="str">
        <x:v>1. 执行角色为平台管理员
2. 账号具有当前模块访问及本次操作权限
3. 业务数据已准备且本页已打开；表单和筛选保持下列指定状态
4. 其他配置有效</x:v>
      </x:c>
      <x:c r="J135" s="9" t="str">
        <x:v>1. 查看幸运礼物编辑页
2. 填写奖励金币为-1
3. 点击保存</x:v>
      </x:c>
      <x:c r="K135" s="9" t="str">
        <x:v>不能保存非负整数以外的奖励金币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来源（当前证据）：liveshow-proto/MainBasis/统一需求文档.md；位置：REQ-22388921c69d；行4015
2. 规则：BR-43144e1dde20968d
3. 未动态验证</x:v>
      </x:c>
    </x:row>
    <x:row r="136" ht="115" customHeight="1">
      <x:c r="A136" s="10" t="n">
        <x:v>135</x:v>
      </x:c>
      <x:c r="B136" s="10" t="str">
        <x:v>ADMIN-06-0042</x:v>
      </x:c>
      <x:c r="C136" s="10" t="str">
        <x:v>礼物道具</x:v>
      </x:c>
      <x:c r="D136" s="10" t="str">
        <x:v>幸运礼物编辑（平台管理员视角）</x:v>
      </x:c>
      <x:c r="E136" s="10" t="str">
        <x:v>逻辑校验</x:v>
      </x:c>
      <x:c r="F136" s="10" t="str">
        <x:v>P1</x:v>
      </x:c>
      <x:c r="G136" s="9" t="str">
        <x:v>验证奖励金币1.5不合法</x:v>
      </x:c>
      <x:c r="H136" s="9" t="str">
        <x:v>幸运奖励金额校验</x:v>
      </x:c>
      <x:c r="I136" s="9" t="str">
        <x:v>1. 执行角色为平台管理员
2. 账号具有当前模块访问及本次操作权限
3. 业务数据已准备且本页已打开；表单和筛选保持下列指定状态
4. 其他配置有效</x:v>
      </x:c>
      <x:c r="J136" s="9" t="str">
        <x:v>1. 查看幸运礼物编辑页
2. 填写奖励金币为1.5
3. 点击保存</x:v>
      </x:c>
      <x:c r="K136" s="9" t="str">
        <x:v>不能保存非负整数以外的奖励金币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来源（当前证据）：liveshow-proto/MainBasis/统一需求文档.md；位置：REQ-22388921c69d；行4015
2. 规则：BR-d8a640bf19e4a437
3. 未动态验证</x:v>
      </x:c>
    </x:row>
    <x:row r="137" ht="115" customHeight="1">
      <x:c r="A137" s="10" t="n">
        <x:v>136</x:v>
      </x:c>
      <x:c r="B137" s="10" t="str">
        <x:v>ADMIN-06-0043</x:v>
      </x:c>
      <x:c r="C137" s="10" t="str">
        <x:v>礼物道具</x:v>
      </x:c>
      <x:c r="D137" s="10" t="str">
        <x:v>幸运礼物编辑（平台管理员视角）</x:v>
      </x:c>
      <x:c r="E137" s="10" t="str">
        <x:v>逻辑校验</x:v>
      </x:c>
      <x:c r="F137" s="10" t="str">
        <x:v>P1</x:v>
      </x:c>
      <x:c r="G137" s="9" t="str">
        <x:v>验证幸运奖励档位金额不可重复</x:v>
      </x:c>
      <x:c r="H137" s="9" t="str">
        <x:v>幸运奖励档位唯一性</x:v>
      </x:c>
      <x:c r="I137" s="9" t="str">
        <x:v>1. 执行角色为平台管理员
2. 账号具有当前模块访问及本次操作权限
3. 业务数据已准备且本页已打开；表单和筛选保持下列指定状态
4. 已有10金币档位</x:v>
      </x:c>
      <x:c r="J137" s="9" t="str">
        <x:v>1. 查看幸运礼物编辑页
2. 点击添加档位
3. 填写奖励金币为10
4. 点击保存</x:v>
      </x:c>
      <x:c r="K137" s="9" t="str">
        <x:v>不能保存重复奖励档位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来源（当前证据）：liveshow-proto/MainBasis/统一需求文档.md；位置：REQ-22388921c69d；行4015
2. 规则：BR-d53ca69354c997fa
3. 未动态验证</x:v>
      </x:c>
    </x:row>
    <x:row r="138" ht="130" customHeight="1">
      <x:c r="A138" s="10" t="n">
        <x:v>137</x:v>
      </x:c>
      <x:c r="B138" s="10" t="str">
        <x:v>ADMIN-06-0044</x:v>
      </x:c>
      <x:c r="C138" s="10" t="str">
        <x:v>礼物道具</x:v>
      </x:c>
      <x:c r="D138" s="10" t="str">
        <x:v>幸运礼物编辑（平台管理员视角）</x:v>
      </x:c>
      <x:c r="E138" s="10" t="str">
        <x:v>逻辑校验</x:v>
      </x:c>
      <x:c r="F138" s="10" t="str">
        <x:v>P1</x:v>
      </x:c>
      <x:c r="G138" s="9" t="str">
        <x:v>验证中奖概率合计99不能生效</x:v>
      </x:c>
      <x:c r="H138" s="9" t="str">
        <x:v>幸运概率合计校验</x:v>
      </x:c>
      <x:c r="I138" s="9" t="str">
        <x:v>1. 执行角色为平台管理员
2. 账号具有当前模块访问及本次操作权限
3. 业务数据已准备且本页已打开；表单和筛选保持下列指定状态
4. 所有概率均在0%至100%内，合计99%，其他配置有效</x:v>
      </x:c>
      <x:c r="J138" s="9" t="str">
        <x:v>1. 查看幸运礼物编辑页
2. 点击保存</x:v>
      </x:c>
      <x:c r="K138" s="9" t="str">
        <x:v>不能保存概率合计非100%的配置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来源（当前证据）：liveshow-proto/MainBasis/统一需求文档.md；位置：REQ-e77b64c0cbe2；行4017
2. 规则：BR-370e5957a6fbeb05
3. 未动态验证</x:v>
      </x:c>
    </x:row>
    <x:row r="139" ht="130" customHeight="1">
      <x:c r="A139" s="10" t="n">
        <x:v>138</x:v>
      </x:c>
      <x:c r="B139" s="10" t="str">
        <x:v>ADMIN-06-0045</x:v>
      </x:c>
      <x:c r="C139" s="10" t="str">
        <x:v>礼物道具</x:v>
      </x:c>
      <x:c r="D139" s="10" t="str">
        <x:v>幸运礼物编辑（平台管理员视角）</x:v>
      </x:c>
      <x:c r="E139" s="10" t="str">
        <x:v>逻辑校验</x:v>
      </x:c>
      <x:c r="F139" s="10" t="str">
        <x:v>P1</x:v>
      </x:c>
      <x:c r="G139" s="9" t="str">
        <x:v>验证中奖概率合计101不能生效</x:v>
      </x:c>
      <x:c r="H139" s="9" t="str">
        <x:v>幸运概率合计校验</x:v>
      </x:c>
      <x:c r="I139" s="9" t="str">
        <x:v>1. 执行角色为平台管理员
2. 账号具有当前模块访问及本次操作权限
3. 业务数据已准备且本页已打开；表单和筛选保持下列指定状态
4. 所有概率均在0%至100%内，合计101%，其他配置有效</x:v>
      </x:c>
      <x:c r="J139" s="9" t="str">
        <x:v>1. 查看幸运礼物编辑页
2. 点击保存</x:v>
      </x:c>
      <x:c r="K139" s="9" t="str">
        <x:v>不能保存概率合计非100%的配置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来源（当前证据）：liveshow-proto/MainBasis/统一需求文档.md；位置：REQ-e77b64c0cbe2；行4017
2. 规则：BR-a5c2cac7284b19a2
3. 未动态验证</x:v>
      </x:c>
    </x:row>
    <x:row r="140" ht="145" customHeight="1">
      <x:c r="A140" s="10" t="n">
        <x:v>139</x:v>
      </x:c>
      <x:c r="B140" s="10" t="str">
        <x:v>ADMIN-06-0046</x:v>
      </x:c>
      <x:c r="C140" s="10" t="str">
        <x:v>礼物道具</x:v>
      </x:c>
      <x:c r="D140" s="10" t="str">
        <x:v>幸运礼物编辑（平台管理员视角）</x:v>
      </x:c>
      <x:c r="E140" s="10" t="str">
        <x:v>逻辑校验</x:v>
      </x:c>
      <x:c r="F140" s="10" t="str">
        <x:v>P1</x:v>
      </x:c>
      <x:c r="G140" s="9" t="str">
        <x:v>验证RTP按单次消耗而非整包单价计算</x:v>
      </x:c>
      <x:c r="H140" s="9" t="str">
        <x:v>幸运RTP分母</x:v>
      </x:c>
      <x:c r="I140" s="9" t="str">
        <x:v>1. 执行角色为平台管理员
2. 账号具有当前模块访问及本次操作权限
3. 业务数据已准备且本页已打开；表单和筛选保持下列指定状态
4. 每次消耗10金币，100次开奖，奖励0金币概率50%、20金币概率50%</x:v>
      </x:c>
      <x:c r="J140" s="9" t="str">
        <x:v>1. 查看幸运礼物编辑页</x:v>
      </x:c>
      <x:c r="K140" s="9" t="str">
        <x:v>RTP = 100%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来源（当前证据）：liveshow-proto/MainBasis/统一需求文档.md；位置：REQ-9a630a558353；行4019
2. 规则：BR-f83b479fc13799cd
3. 未动态验证</x:v>
      </x:c>
    </x:row>
    <x:row r="141" ht="145" customHeight="1">
      <x:c r="A141" s="10" t="n">
        <x:v>140</x:v>
      </x:c>
      <x:c r="B141" s="10" t="str">
        <x:v>ADMIN-06-0047</x:v>
      </x:c>
      <x:c r="C141" s="10" t="str">
        <x:v>礼物道具</x:v>
      </x:c>
      <x:c r="D141" s="10" t="str">
        <x:v>幸运礼物编辑（平台管理员视角）</x:v>
      </x:c>
      <x:c r="E141" s="10" t="str">
        <x:v>逻辑校验</x:v>
      </x:c>
      <x:c r="F141" s="10" t="str">
        <x:v>P1</x:v>
      </x:c>
      <x:c r="G141" s="9" t="str">
        <x:v>验证RTP不足一位小数向上取整</x:v>
      </x:c>
      <x:c r="H141" s="9" t="str">
        <x:v>幸运RTP取整</x:v>
      </x:c>
      <x:c r="I141" s="9" t="str">
        <x:v>1. 执行角色为平台管理员
2. 账号具有当前模块访问及本次操作权限
3. 业务数据已准备且本页已打开；表单和筛选保持下列指定状态
4. 单次消耗3金币，奖励0概率0%、奖励1概率100%，其他配置有效</x:v>
      </x:c>
      <x:c r="J141" s="9" t="str">
        <x:v>1. 查看幸运礼物编辑页</x:v>
      </x:c>
      <x:c r="K141" s="9" t="str">
        <x:v>RTP = 33.4%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来源（当前证据）：liveshow-proto/MainBasis/统一需求文档.md；位置：REQ-9a630a558353；行4019
2. 规则：BR-c5e16f3317224b69
3. 未动态验证</x:v>
      </x:c>
    </x:row>
    <x:row r="142" ht="100" customHeight="1">
      <x:c r="A142" s="10" t="n">
        <x:v>141</x:v>
      </x:c>
      <x:c r="B142" s="10" t="str">
        <x:v>ADMIN-06-0048</x:v>
      </x:c>
      <x:c r="C142" s="10" t="str">
        <x:v>礼物道具</x:v>
      </x:c>
      <x:c r="D142" s="10" t="str">
        <x:v>道具详情（平台管理员视角）</x:v>
      </x:c>
      <x:c r="E142" s="10" t="str">
        <x:v>逻辑校验</x:v>
      </x:c>
      <x:c r="F142" s="10" t="str">
        <x:v>P1</x:v>
      </x:c>
      <x:c r="G142" s="9" t="str">
        <x:v>验证道具不能新增客户端不支持类型</x:v>
      </x:c>
      <x:c r="H142" s="9" t="str">
        <x:v>道具类型范围</x:v>
      </x:c>
      <x:c r="I142" s="9" t="str">
        <x:v>1. 执行角色为平台管理员
2. 账号具有当前模块访问及本次操作权限</x:v>
      </x:c>
      <x:c r="J142" s="9" t="str">
        <x:v>1. 进入道具详情页
2. 点击道具类型</x:v>
      </x:c>
      <x:c r="K142" s="9" t="str">
        <x:v>只可选择勋章、气泡、头像框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来源（当前证据）：liveshow-proto/MainBasis/统一需求文档.md；位置：REQ-b87fdc31a151；行4063、REQ-a15539e59804；行4034
2. 规则：BR-0ada5df177882082
3. 未动态验证</x:v>
      </x:c>
    </x:row>
    <x:row r="143" ht="115" customHeight="1">
      <x:c r="A143" s="10" t="n">
        <x:v>142</x:v>
      </x:c>
      <x:c r="B143" s="10" t="str">
        <x:v>ADMIN-06-0049</x:v>
      </x:c>
      <x:c r="C143" s="10" t="str">
        <x:v>礼物道具</x:v>
      </x:c>
      <x:c r="D143" s="10" t="str">
        <x:v>道具详情（平台管理员视角）</x:v>
      </x:c>
      <x:c r="E143" s="10" t="str">
        <x:v>逻辑校验</x:v>
      </x:c>
      <x:c r="F143" s="10" t="str">
        <x:v>P1</x:v>
      </x:c>
      <x:c r="G143" s="9" t="str">
        <x:v>验证道具期限开始早于今天</x:v>
      </x:c>
      <x:c r="H143" s="9" t="str">
        <x:v>道具可佩戴期限校验</x:v>
      </x:c>
      <x:c r="I143" s="9" t="str">
        <x:v>1. 执行角色为平台管理员
2. 账号具有当前模块访问及本次操作权限
3. 业务数据已准备且本页已打开；表单和筛选保持下列指定状态
4. 其他字段和资源有效</x:v>
      </x:c>
      <x:c r="J143" s="9" t="str">
        <x:v>1. 查看道具详情页
2. 填写开始日期为昨天
3. 填写结束日期为明天
4. 点击保存</x:v>
      </x:c>
      <x:c r="K143" s="9" t="str">
        <x:v>不能保存不合法的可佩戴期限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来源（当前证据）：liveshow-proto/MainBasis/统一需求文档.md；位置：REQ-711d6073fe10；行4073
2. 规则：BR-49f8b738f46c2e19
3. 未动态验证</x:v>
      </x:c>
    </x:row>
    <x:row r="144" ht="115" customHeight="1">
      <x:c r="A144" s="10" t="n">
        <x:v>143</x:v>
      </x:c>
      <x:c r="B144" s="10" t="str">
        <x:v>ADMIN-06-0050</x:v>
      </x:c>
      <x:c r="C144" s="10" t="str">
        <x:v>礼物道具</x:v>
      </x:c>
      <x:c r="D144" s="10" t="str">
        <x:v>道具详情（平台管理员视角）</x:v>
      </x:c>
      <x:c r="E144" s="10" t="str">
        <x:v>逻辑校验</x:v>
      </x:c>
      <x:c r="F144" s="10" t="str">
        <x:v>P1</x:v>
      </x:c>
      <x:c r="G144" s="9" t="str">
        <x:v>验证道具期限结束等于开始</x:v>
      </x:c>
      <x:c r="H144" s="9" t="str">
        <x:v>道具可佩戴期限校验</x:v>
      </x:c>
      <x:c r="I144" s="9" t="str">
        <x:v>1. 执行角色为平台管理员
2. 账号具有当前模块访问及本次操作权限
3. 业务数据已准备且本页已打开；表单和筛选保持下列指定状态
4. 其他字段和资源有效</x:v>
      </x:c>
      <x:c r="J144" s="9" t="str">
        <x:v>1. 查看道具详情页
2. 填写开始日期为今天
3. 填写结束日期为今天
4. 点击保存</x:v>
      </x:c>
      <x:c r="K144" s="9" t="str">
        <x:v>不能保存不合法的可佩戴期限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来源（当前证据）：liveshow-proto/MainBasis/统一需求文档.md；位置：REQ-711d6073fe10；行4073
2. 规则：BR-4a9cc0f25e279926
3. 未动态验证</x:v>
      </x:c>
    </x:row>
    <x:row r="145" ht="115" customHeight="1">
      <x:c r="A145" s="10" t="n">
        <x:v>144</x:v>
      </x:c>
      <x:c r="B145" s="10" t="str">
        <x:v>ADMIN-06-0051</x:v>
      </x:c>
      <x:c r="C145" s="10" t="str">
        <x:v>礼物道具</x:v>
      </x:c>
      <x:c r="D145" s="10" t="str">
        <x:v>道具详情（平台管理员视角）</x:v>
      </x:c>
      <x:c r="E145" s="10" t="str">
        <x:v>逻辑校验</x:v>
      </x:c>
      <x:c r="F145" s="10" t="str">
        <x:v>P1</x:v>
      </x:c>
      <x:c r="G145" s="9" t="str">
        <x:v>验证道具可佩戴期限设为永久</x:v>
      </x:c>
      <x:c r="H145" s="9" t="str">
        <x:v>道具永久期限</x:v>
      </x:c>
      <x:c r="I145" s="9" t="str">
        <x:v>1. 执行角色为平台管理员
2. 账号具有当前模块访问及本次操作权限
3. 业务数据已准备且本页已打开；表单和筛选保持下列指定状态
4. 其他字段和资源有效</x:v>
      </x:c>
      <x:c r="J145" s="9" t="str">
        <x:v>1. 查看道具详情页
2. 选择可佩戴期限为不限
3. 点击保存</x:v>
      </x:c>
      <x:c r="K145" s="9" t="str">
        <x:v>期限显示不限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来源（当前证据）：liveshow-proto/MainBasis/统一需求文档.md；位置：REQ-711d6073fe10；行4073
2. 规则：BR-558163f6531f06b6
3. 未动态验证</x:v>
      </x:c>
    </x:row>
    <x:row r="146" ht="115" customHeight="1">
      <x:c r="A146" s="10" t="n">
        <x:v>145</x:v>
      </x:c>
      <x:c r="B146" s="10" t="str">
        <x:v>ADMIN-06-0052</x:v>
      </x:c>
      <x:c r="C146" s="10" t="str">
        <x:v>礼物道具</x:v>
      </x:c>
      <x:c r="D146" s="10" t="str">
        <x:v>购买份数配置详情（平台管理员视角）</x:v>
      </x:c>
      <x:c r="E146" s="10" t="str">
        <x:v>逻辑校验</x:v>
      </x:c>
      <x:c r="F146" s="10" t="str">
        <x:v>P1</x:v>
      </x:c>
      <x:c r="G146" s="9" t="str">
        <x:v>验证赠送数量配置0不合法</x:v>
      </x:c>
      <x:c r="H146" s="9" t="str">
        <x:v>礼物赠送数量约束</x:v>
      </x:c>
      <x:c r="I146" s="9" t="str">
        <x:v>1. 执行角色为平台管理员
2. 账号具有当前模块访问及本次操作权限
3. 业务数据已准备且本页已打开；表单和筛选保持下列指定状态
4. 至少1个适用礼物已选</x:v>
      </x:c>
      <x:c r="J146" s="9" t="str">
        <x:v>1. 查看购买份数配置详情页
2. 填写赠送数量为0
3. 点击保存</x:v>
      </x:c>
      <x:c r="K146" s="9" t="str">
        <x:v>不能保存包含非正整数或重复数量的规则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来源（当前证据）：liveshow-proto/MainBasis/统一需求文档.md；位置：REQ-646b7bbc7593；行4103
2. 规则：BR-699bd805d9e6daf8
3. 未动态验证</x:v>
      </x:c>
    </x:row>
    <x:row r="147" ht="115" customHeight="1">
      <x:c r="A147" s="10" t="n">
        <x:v>146</x:v>
      </x:c>
      <x:c r="B147" s="10" t="str">
        <x:v>ADMIN-06-0053</x:v>
      </x:c>
      <x:c r="C147" s="10" t="str">
        <x:v>礼物道具</x:v>
      </x:c>
      <x:c r="D147" s="10" t="str">
        <x:v>购买份数配置详情（平台管理员视角）</x:v>
      </x:c>
      <x:c r="E147" s="10" t="str">
        <x:v>逻辑校验</x:v>
      </x:c>
      <x:c r="F147" s="10" t="str">
        <x:v>P1</x:v>
      </x:c>
      <x:c r="G147" s="9" t="str">
        <x:v>验证赠送数量配置-1不合法</x:v>
      </x:c>
      <x:c r="H147" s="9" t="str">
        <x:v>礼物赠送数量约束</x:v>
      </x:c>
      <x:c r="I147" s="9" t="str">
        <x:v>1. 执行角色为平台管理员
2. 账号具有当前模块访问及本次操作权限
3. 业务数据已准备且本页已打开；表单和筛选保持下列指定状态
4. 至少1个适用礼物已选</x:v>
      </x:c>
      <x:c r="J147" s="9" t="str">
        <x:v>1. 查看购买份数配置详情页
2. 填写赠送数量为-1
3. 点击保存</x:v>
      </x:c>
      <x:c r="K147" s="9" t="str">
        <x:v>不能保存包含非正整数或重复数量的规则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来源（当前证据）：liveshow-proto/MainBasis/统一需求文档.md；位置：REQ-646b7bbc7593；行4103
2. 规则：BR-bf798c5c97e16e50
3. 未动态验证</x:v>
      </x:c>
    </x:row>
    <x:row r="148" ht="115" customHeight="1">
      <x:c r="A148" s="10" t="n">
        <x:v>147</x:v>
      </x:c>
      <x:c r="B148" s="10" t="str">
        <x:v>ADMIN-06-0054</x:v>
      </x:c>
      <x:c r="C148" s="10" t="str">
        <x:v>礼物道具</x:v>
      </x:c>
      <x:c r="D148" s="10" t="str">
        <x:v>购买份数配置详情（平台管理员视角）</x:v>
      </x:c>
      <x:c r="E148" s="10" t="str">
        <x:v>逻辑校验</x:v>
      </x:c>
      <x:c r="F148" s="10" t="str">
        <x:v>P1</x:v>
      </x:c>
      <x:c r="G148" s="9" t="str">
        <x:v>验证赠送数量配置1.5不合法</x:v>
      </x:c>
      <x:c r="H148" s="9" t="str">
        <x:v>礼物赠送数量约束</x:v>
      </x:c>
      <x:c r="I148" s="9" t="str">
        <x:v>1. 执行角色为平台管理员
2. 账号具有当前模块访问及本次操作权限
3. 业务数据已准备且本页已打开；表单和筛选保持下列指定状态
4. 至少1个适用礼物已选</x:v>
      </x:c>
      <x:c r="J148" s="9" t="str">
        <x:v>1. 查看购买份数配置详情页
2. 填写赠送数量为1.5
3. 点击保存</x:v>
      </x:c>
      <x:c r="K148" s="9" t="str">
        <x:v>不能保存包含非正整数或重复数量的规则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来源（当前证据）：liveshow-proto/MainBasis/统一需求文档.md；位置：REQ-646b7bbc7593；行4103
2. 规则：BR-cf9a22e2951f090e
3. 未动态验证</x:v>
      </x:c>
    </x:row>
    <x:row r="149" ht="115" customHeight="1">
      <x:c r="A149" s="10" t="n">
        <x:v>148</x:v>
      </x:c>
      <x:c r="B149" s="10" t="str">
        <x:v>ADMIN-06-0055</x:v>
      </x:c>
      <x:c r="C149" s="10" t="str">
        <x:v>礼物道具</x:v>
      </x:c>
      <x:c r="D149" s="10" t="str">
        <x:v>购买份数配置详情（平台管理员视角）</x:v>
      </x:c>
      <x:c r="E149" s="10" t="str">
        <x:v>逻辑校验</x:v>
      </x:c>
      <x:c r="F149" s="10" t="str">
        <x:v>P1</x:v>
      </x:c>
      <x:c r="G149" s="9" t="str">
        <x:v>验证赠送数量配置1,1不合法</x:v>
      </x:c>
      <x:c r="H149" s="9" t="str">
        <x:v>礼物赠送数量约束</x:v>
      </x:c>
      <x:c r="I149" s="9" t="str">
        <x:v>1. 执行角色为平台管理员
2. 账号具有当前模块访问及本次操作权限
3. 业务数据已准备且本页已打开；表单和筛选保持下列指定状态
4. 至少1个适用礼物已选</x:v>
      </x:c>
      <x:c r="J149" s="9" t="str">
        <x:v>1. 查看购买份数配置详情页
2. 填写赠送数量为1,1
3. 点击保存</x:v>
      </x:c>
      <x:c r="K149" s="9" t="str">
        <x:v>不能保存包含非正整数或重复数量的规则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来源（当前证据）：liveshow-proto/MainBasis/统一需求文档.md；位置：REQ-646b7bbc7593；行4103
2. 规则：BR-f423e0edefbd91c7
3. 未动态验证</x:v>
      </x:c>
    </x:row>
    <x:row r="150" ht="115" customHeight="1">
      <x:c r="A150" s="10" t="n">
        <x:v>149</x:v>
      </x:c>
      <x:c r="B150" s="10" t="str">
        <x:v>ADMIN-06-0056</x:v>
      </x:c>
      <x:c r="C150" s="10" t="str">
        <x:v>礼物道具</x:v>
      </x:c>
      <x:c r="D150" s="10" t="str">
        <x:v>购买份数配置详情（平台管理员视角）</x:v>
      </x:c>
      <x:c r="E150" s="10" t="str">
        <x:v>逻辑校验</x:v>
      </x:c>
      <x:c r="F150" s="10" t="str">
        <x:v>P1</x:v>
      </x:c>
      <x:c r="G150" s="9" t="str">
        <x:v>验证赠送数量配置不可为空</x:v>
      </x:c>
      <x:c r="H150" s="9" t="str">
        <x:v>礼物数量规则必填</x:v>
      </x:c>
      <x:c r="I150" s="9" t="str">
        <x:v>1. 执行角色为平台管理员
2. 账号具有当前模块访问及本次操作权限
3. 业务数据已准备且本页已打开；表单和筛选保持下列指定状态
4. 已选择适用礼物</x:v>
      </x:c>
      <x:c r="J150" s="9" t="str">
        <x:v>1. 查看购买份数配置详情页
2. 删除全部赠送数量
3. 点击保存</x:v>
      </x:c>
      <x:c r="K150" s="9" t="str">
        <x:v>不能保存空赠送数量列表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来源（当前证据）：liveshow-proto/MainBasis/统一需求文档.md；位置：REQ-646b7bbc7593；行4103
2. 规则：BR-d6ab899d99529116
3. 未动态验证</x:v>
      </x:c>
    </x:row>
    <x:row r="151" ht="130" customHeight="1">
      <x:c r="A151" s="10" t="n">
        <x:v>150</x:v>
      </x:c>
      <x:c r="B151" s="10" t="str">
        <x:v>ADMIN-06-0057</x:v>
      </x:c>
      <x:c r="C151" s="10" t="str">
        <x:v>礼物道具</x:v>
      </x:c>
      <x:c r="D151" s="10" t="str">
        <x:v>购买份数配置详情（平台管理员视角）</x:v>
      </x:c>
      <x:c r="E151" s="10" t="str">
        <x:v>功能需求</x:v>
      </x:c>
      <x:c r="F151" s="10" t="str">
        <x:v>P2</x:v>
      </x:c>
      <x:c r="G151" s="9" t="str">
        <x:v>验证调整赠送数量顺序并保存</x:v>
      </x:c>
      <x:c r="H151" s="9" t="str">
        <x:v>赠送数量配置顺序</x:v>
      </x:c>
      <x:c r="I151" s="9" t="str">
        <x:v>1. 执行角色为平台管理员
2. 账号具有当前模块访问及本次操作权限
3. 业务数据已准备且本页已打开；表单和筛选保持下列指定状态
4. 原顺序1、10、100，至少1个适用礼物</x:v>
      </x:c>
      <x:c r="J151" s="9" t="str">
        <x:v>1. 查看购买份数配置详情页
2. 拖动数量100到数量10之前
3. 点击保存</x:v>
      </x:c>
      <x:c r="K151" s="9" t="str">
        <x:v>保存后数量顺序为1、100、10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来源（当前证据）：liveshow-proto/MainBasis/统一需求文档.md；位置：REQ-646b7bbc7593；行4103
2. 规则：BR-8777236436b58a08
3. 未动态验证</x:v>
      </x:c>
    </x:row>
    <x:row r="152" ht="130" customHeight="1">
      <x:c r="A152" s="10" t="n">
        <x:v>151</x:v>
      </x:c>
      <x:c r="B152" s="10" t="str">
        <x:v>ADMIN-06-0058</x:v>
      </x:c>
      <x:c r="C152" s="10" t="str">
        <x:v>礼物道具</x:v>
      </x:c>
      <x:c r="D152" s="10" t="str">
        <x:v>购买份数配置详情（平台管理员视角）</x:v>
      </x:c>
      <x:c r="E152" s="10" t="str">
        <x:v>逻辑校验</x:v>
      </x:c>
      <x:c r="F152" s="10" t="str">
        <x:v>P1</x:v>
      </x:c>
      <x:c r="G152" s="9" t="str">
        <x:v>验证同一礼物不能关联两条启用数量规则</x:v>
      </x:c>
      <x:c r="H152" s="9" t="str">
        <x:v>礼物数量启用冲突</x:v>
      </x:c>
      <x:c r="I152" s="9" t="str">
        <x:v>1. 执行角色为平台管理员
2. 账号具有当前模块访问及本次操作权限
3. 业务数据已准备且本页已打开；表单和筛选保持下列指定状态
4. 礼物G已关联启用规则A，新规则B也选中G</x:v>
      </x:c>
      <x:c r="J152" s="9" t="str">
        <x:v>1. 查看购买份数配置详情页
2. 选择状态为启用
3. 点击保存</x:v>
      </x:c>
      <x:c r="K152" s="9" t="str">
        <x:v>不能启用与规则A冲突的规则B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来源（当前证据）：liveshow-proto/MainBasis/统一需求文档.md；位置：REQ-45e435ce7336；行4105
2. 规则：BR-f20b6e58cc5640cd
3. 未动态验证</x:v>
      </x:c>
    </x:row>
    <x:row r="153" ht="85" customHeight="1">
      <x:c r="A153" s="10" t="n">
        <x:v>152</x:v>
      </x:c>
      <x:c r="B153" s="10" t="str">
        <x:v>ADMIN-07-0001</x:v>
      </x:c>
      <x:c r="C153" s="10" t="str">
        <x:v>运营配置</x:v>
      </x:c>
      <x:c r="D153" s="10" t="str">
        <x:v>展位配置（平台管理员视角）</x:v>
      </x:c>
      <x:c r="E153" s="10" t="str">
        <x:v>逻辑校验</x:v>
      </x:c>
      <x:c r="F153" s="10" t="str">
        <x:v>P1</x:v>
      </x:c>
      <x:c r="G153" s="9" t="str">
        <x:v>验证展示位置只含已定义两种入口</x:v>
      </x:c>
      <x:c r="H153" s="9" t="str">
        <x:v>运营展位类型范围</x:v>
      </x:c>
      <x:c r="I153" s="9" t="str">
        <x:v>1. 执行角色为平台管理员
2. 账号具有当前模块访问及本次操作权限</x:v>
      </x:c>
      <x:c r="J153" s="9" t="str">
        <x:v>1. 进入展位配置页
2. 点击展示位置筛选</x:v>
      </x:c>
      <x:c r="K153" s="9" t="str">
        <x:v>仅提供直播广场运营位、福利中心轮播位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来源（当前证据）：liveshow-proto/MainBasis/统一需求文档.md；位置：REQ-fddcb57e1394；行4116
2. 规则：BR-746cb630f280fd73
3. 未动态验证</x:v>
      </x:c>
    </x:row>
    <x:row r="154" ht="130" customHeight="1">
      <x:c r="A154" s="10" t="n">
        <x:v>153</x:v>
      </x:c>
      <x:c r="B154" s="10" t="str">
        <x:v>ADMIN-07-0002</x:v>
      </x:c>
      <x:c r="C154" s="10" t="str">
        <x:v>运营配置</x:v>
      </x:c>
      <x:c r="D154" s="10" t="str">
        <x:v>展位配置（平台管理员视角）</x:v>
      </x:c>
      <x:c r="E154" s="10" t="str">
        <x:v>逻辑校验</x:v>
      </x:c>
      <x:c r="F154" s="10" t="str">
        <x:v>P1</x:v>
      </x:c>
      <x:c r="G154" s="9" t="str">
        <x:v>验证展示周期开始日仍有效</x:v>
      </x:c>
      <x:c r="H154" s="9" t="str">
        <x:v>展示周期闭区间</x:v>
      </x:c>
      <x:c r="I154" s="9" t="str">
        <x:v>1. 执行角色为平台管理员
2. 账号具有当前模块访问及本次操作权限
3. 业务数据已准备且本页已打开；表单和筛选保持下列指定状态
4. 配置启用，当前日期等于开始日</x:v>
      </x:c>
      <x:c r="J154" s="9" t="str">
        <x:v>1. 查看展位配置页</x:v>
      </x:c>
      <x:c r="K154" s="9" t="str">
        <x:v>配置状态显示展示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来源（当前证据）：liveshow-proto/MainBasis/统一需求文档.md；位置：REQ-803bf20b1fd4；行4120
2. 规则：BR-f6d8d929547346d3
3. 未动态验证</x:v>
      </x:c>
    </x:row>
    <x:row r="155" ht="130" customHeight="1">
      <x:c r="A155" s="10" t="n">
        <x:v>154</x:v>
      </x:c>
      <x:c r="B155" s="10" t="str">
        <x:v>ADMIN-07-0003</x:v>
      </x:c>
      <x:c r="C155" s="10" t="str">
        <x:v>运营配置</x:v>
      </x:c>
      <x:c r="D155" s="10" t="str">
        <x:v>展位配置（平台管理员视角）</x:v>
      </x:c>
      <x:c r="E155" s="10" t="str">
        <x:v>逻辑校验</x:v>
      </x:c>
      <x:c r="F155" s="10" t="str">
        <x:v>P1</x:v>
      </x:c>
      <x:c r="G155" s="9" t="str">
        <x:v>验证展示周期结束日仍有效</x:v>
      </x:c>
      <x:c r="H155" s="9" t="str">
        <x:v>展示周期闭区间</x:v>
      </x:c>
      <x:c r="I155" s="9" t="str">
        <x:v>1. 执行角色为平台管理员
2. 账号具有当前模块访问及本次操作权限
3. 业务数据已准备且本页已打开；表单和筛选保持下列指定状态
4. 配置启用，当前日期等于结束日</x:v>
      </x:c>
      <x:c r="J155" s="9" t="str">
        <x:v>1. 查看展位配置页</x:v>
      </x:c>
      <x:c r="K155" s="9" t="str">
        <x:v>配置状态显示展示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来源（当前证据）：liveshow-proto/MainBasis/统一需求文档.md；位置：REQ-803bf20b1fd4；行4120
2. 规则：BR-0dcd1e35711c1451
3. 未动态验证</x:v>
      </x:c>
    </x:row>
    <x:row r="156" ht="130" customHeight="1">
      <x:c r="A156" s="10" t="n">
        <x:v>155</x:v>
      </x:c>
      <x:c r="B156" s="10" t="str">
        <x:v>ADMIN-07-0004</x:v>
      </x:c>
      <x:c r="C156" s="10" t="str">
        <x:v>运营配置</x:v>
      </x:c>
      <x:c r="D156" s="10" t="str">
        <x:v>展示素材编辑（平台管理员视角）</x:v>
      </x:c>
      <x:c r="E156" s="10" t="str">
        <x:v>逻辑校验</x:v>
      </x:c>
      <x:c r="F156" s="10" t="str">
        <x:v>P1</x:v>
      </x:c>
      <x:c r="G156" s="9" t="str">
        <x:v>验证相同展位排期重叠不能保存</x:v>
      </x:c>
      <x:c r="H156" s="9" t="str">
        <x:v>展位排期冲突</x:v>
      </x:c>
      <x:c r="I156" s="9" t="str">
        <x:v>1. 执行角色为平台管理员
2. 账号具有当前模块访问及本次操作权限
3. 业务数据已准备且本页已打开；表单和筛选保持下列指定状态
4. 展位A已有9月1日至10日配置，新增同展位9月10日至20日</x:v>
      </x:c>
      <x:c r="J156" s="9" t="str">
        <x:v>1. 查看展示素材编辑页
2. 点击保存</x:v>
      </x:c>
      <x:c r="K156" s="9" t="str">
        <x:v>不能保存与现有配置重叠的排期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来源（当前证据）：liveshow-proto/MainBasis/统一需求文档.md；位置：REQ-1312ebd01239；行4145
2. 规则：BR-e4f879ed3cc21469
3. 未动态验证</x:v>
      </x:c>
    </x:row>
    <x:row r="157" ht="130" customHeight="1">
      <x:c r="A157" s="10" t="n">
        <x:v>156</x:v>
      </x:c>
      <x:c r="B157" s="10" t="str">
        <x:v>ADMIN-07-0005</x:v>
      </x:c>
      <x:c r="C157" s="10" t="str">
        <x:v>运营配置</x:v>
      </x:c>
      <x:c r="D157" s="10" t="str">
        <x:v>展示素材编辑（平台管理员视角）</x:v>
      </x:c>
      <x:c r="E157" s="10" t="str">
        <x:v>逻辑校验</x:v>
      </x:c>
      <x:c r="F157" s="10" t="str">
        <x:v>P1</x:v>
      </x:c>
      <x:c r="G157" s="9" t="str">
        <x:v>验证同配置多素材共用排期不冲突</x:v>
      </x:c>
      <x:c r="H157" s="9" t="str">
        <x:v>轮播素材共用排期</x:v>
      </x:c>
      <x:c r="I157" s="9" t="str">
        <x:v>1. 执行角色为平台管理员
2. 账号具有当前模块访问及本次操作权限
3. 业务数据已准备且本页已打开；表单和筛选保持下列指定状态
4. 当前配置3项素材目标均完整，排期与其他配置不重叠</x:v>
      </x:c>
      <x:c r="J157" s="9" t="str">
        <x:v>1. 查看展示素材编辑页
2. 点击保存</x:v>
      </x:c>
      <x:c r="K157" s="9" t="str">
        <x:v>3项内容保存成功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来源（当前证据）：liveshow-proto/MainBasis/统一需求文档.md；位置：REQ-1312ebd01239；行4145
2. 规则：BR-f8803a800fb1e652
3. 未动态验证</x:v>
      </x:c>
    </x:row>
    <x:row r="158" ht="115" customHeight="1">
      <x:c r="A158" s="10" t="n">
        <x:v>157</x:v>
      </x:c>
      <x:c r="B158" s="10" t="str">
        <x:v>ADMIN-07-0006</x:v>
      </x:c>
      <x:c r="C158" s="10" t="str">
        <x:v>运营配置</x:v>
      </x:c>
      <x:c r="D158" s="10" t="str">
        <x:v>展示素材编辑（平台管理员视角）</x:v>
      </x:c>
      <x:c r="E158" s="10" t="str">
        <x:v>逻辑校验</x:v>
      </x:c>
      <x:c r="F158" s="10" t="str">
        <x:v>P1</x:v>
      </x:c>
      <x:c r="G158" s="9" t="str">
        <x:v>验证轮播内容最多5项</x:v>
      </x:c>
      <x:c r="H158" s="9" t="str">
        <x:v>轮播内容数量上限</x:v>
      </x:c>
      <x:c r="I158" s="9" t="str">
        <x:v>1. 执行角色为平台管理员
2. 账号具有当前模块访问及本次操作权限
3. 业务数据已准备且本页已打开；表单和筛选保持下列指定状态
4. 当前已有5项轮播内容</x:v>
      </x:c>
      <x:c r="J158" s="9" t="str">
        <x:v>1. 查看展示素材编辑页
2. 点击添加</x:v>
      </x:c>
      <x:c r="K158" s="9" t="str">
        <x:v>不能添加第6项轮播内容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来源（当前证据）：liveshow-proto/MainBasis/统一需求文档.md；位置：REQ-e6533c82295c；行4135
2. 规则：BR-0fb6bb35aa3487ac
3. 未动态验证</x:v>
      </x:c>
    </x:row>
    <x:row r="159" ht="115" customHeight="1">
      <x:c r="A159" s="10" t="n">
        <x:v>158</x:v>
      </x:c>
      <x:c r="B159" s="10" t="str">
        <x:v>ADMIN-07-0007</x:v>
      </x:c>
      <x:c r="C159" s="10" t="str">
        <x:v>运营配置</x:v>
      </x:c>
      <x:c r="D159" s="10" t="str">
        <x:v>展示素材编辑（平台管理员视角）</x:v>
      </x:c>
      <x:c r="E159" s="10" t="str">
        <x:v>逻辑校验</x:v>
      </x:c>
      <x:c r="F159" s="10" t="str">
        <x:v>P1</x:v>
      </x:c>
      <x:c r="G159" s="9" t="str">
        <x:v>验证最后1项轮播内容不能删除</x:v>
      </x:c>
      <x:c r="H159" s="9" t="str">
        <x:v>轮播内容数量下限</x:v>
      </x:c>
      <x:c r="I159" s="9" t="str">
        <x:v>1. 执行角色为平台管理员
2. 账号具有当前模块访问及本次操作权限
3. 业务数据已准备且本页已打开；表单和筛选保持下列指定状态
4. 当前仅1项内容</x:v>
      </x:c>
      <x:c r="J159" s="9" t="str">
        <x:v>1. 查看展示素材编辑页
2. 点击删除该项</x:v>
      </x:c>
      <x:c r="K159" s="9" t="str">
        <x:v>该项内容仍保留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来源（当前证据）：liveshow-proto/MainBasis/统一需求文档.md；位置：REQ-e2540fa05ceb；行4147
2. 规则：BR-669c8aedbf9ac33d
3. 未动态验证</x:v>
      </x:c>
    </x:row>
    <x:row r="160" ht="130" customHeight="1">
      <x:c r="A160" s="10" t="n">
        <x:v>159</x:v>
      </x:c>
      <x:c r="B160" s="10" t="str">
        <x:v>ADMIN-07-0008</x:v>
      </x:c>
      <x:c r="C160" s="10" t="str">
        <x:v>运营配置</x:v>
      </x:c>
      <x:c r="D160" s="10" t="str">
        <x:v>展示素材编辑（平台管理员视角）</x:v>
      </x:c>
      <x:c r="E160" s="10" t="str">
        <x:v>逻辑校验</x:v>
      </x:c>
      <x:c r="F160" s="10" t="str">
        <x:v>P1</x:v>
      </x:c>
      <x:c r="G160" s="9" t="str">
        <x:v>验证已保存素材删除流程</x:v>
      </x:c>
      <x:c r="H160" s="9" t="str">
        <x:v>轮播内容删除确认</x:v>
      </x:c>
      <x:c r="I160" s="9" t="str">
        <x:v>1. 执行角色为平台管理员
2. 账号具有当前模块访问及本次操作权限
3. 业务数据已准备且本页已打开；表单和筛选保持下列指定状态
4. 当前2项内容，目标项已保存</x:v>
      </x:c>
      <x:c r="J160" s="9" t="str">
        <x:v>1. 查看展示素材编辑页
2. 点击目标项删除</x:v>
      </x:c>
      <x:c r="K160" s="9" t="str">
        <x:v>显示删除确认弹窗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来源（当前证据）：liveshow-proto/MainBasis/统一需求文档.md；位置：REQ-e2540fa05ceb；行4147
2. 规则：BR-36384375e3ab63d1
3. 未动态验证</x:v>
      </x:c>
    </x:row>
    <x:row r="161" ht="130" customHeight="1">
      <x:c r="A161" s="10" t="n">
        <x:v>160</x:v>
      </x:c>
      <x:c r="B161" s="10" t="str">
        <x:v>ADMIN-07-0009</x:v>
      </x:c>
      <x:c r="C161" s="10" t="str">
        <x:v>运营配置</x:v>
      </x:c>
      <x:c r="D161" s="10" t="str">
        <x:v>展示素材编辑（平台管理员视角）</x:v>
      </x:c>
      <x:c r="E161" s="10" t="str">
        <x:v>逻辑校验</x:v>
      </x:c>
      <x:c r="F161" s="10" t="str">
        <x:v>P1</x:v>
      </x:c>
      <x:c r="G161" s="9" t="str">
        <x:v>验证未保存素材删除流程</x:v>
      </x:c>
      <x:c r="H161" s="9" t="str">
        <x:v>轮播内容删除确认</x:v>
      </x:c>
      <x:c r="I161" s="9" t="str">
        <x:v>1. 执行角色为平台管理员
2. 账号具有当前模块访问及本次操作权限
3. 业务数据已准备且本页已打开；表单和筛选保持下列指定状态
4. 当前2项内容，目标项新添加尚未保存</x:v>
      </x:c>
      <x:c r="J161" s="9" t="str">
        <x:v>1. 查看展示素材编辑页
2. 点击目标项删除</x:v>
      </x:c>
      <x:c r="K161" s="9" t="str">
        <x:v>目标项直接从编辑列表移除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来源（当前证据）：liveshow-proto/MainBasis/统一需求文档.md；位置：REQ-e2540fa05ceb；行4147
2. 规则：BR-29eec24bcc4e3cd2
3. 未动态验证</x:v>
      </x:c>
    </x:row>
    <x:row r="162" ht="115" customHeight="1">
      <x:c r="A162" s="10" t="n">
        <x:v>161</x:v>
      </x:c>
      <x:c r="B162" s="10" t="str">
        <x:v>ADMIN-07-0010</x:v>
      </x:c>
      <x:c r="C162" s="10" t="str">
        <x:v>运营配置</x:v>
      </x:c>
      <x:c r="D162" s="10" t="str">
        <x:v>展示素材编辑（平台管理员视角）</x:v>
      </x:c>
      <x:c r="E162" s="10" t="str">
        <x:v>逻辑校验</x:v>
      </x:c>
      <x:c r="F162" s="10" t="str">
        <x:v>P1</x:v>
      </x:c>
      <x:c r="G162" s="9" t="str">
        <x:v>验证APP已有页面未填写对应目标内容</x:v>
      </x:c>
      <x:c r="H162" s="9" t="str">
        <x:v>展位跳转目标必填</x:v>
      </x:c>
      <x:c r="I162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2" s="9" t="str">
        <x:v>1. 查看展示素材编辑页
2. 选择跳转类型为APP已有页面
3. 清空目标页面
4. 点击保存</x:v>
      </x:c>
      <x:c r="K162" s="9" t="str">
        <x:v>不能保存缺少目标页面的轮播项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来源（当前证据）：liveshow-proto/MainBasis/统一需求文档.md；位置：REQ-bcc06f97ec4a；行4141
2. 规则：BR-dbd2a33addea8bca
3. 未动态验证</x:v>
      </x:c>
    </x:row>
    <x:row r="163" ht="115" customHeight="1">
      <x:c r="A163" s="10" t="n">
        <x:v>162</x:v>
      </x:c>
      <x:c r="B163" s="10" t="str">
        <x:v>ADMIN-07-0011</x:v>
      </x:c>
      <x:c r="C163" s="10" t="str">
        <x:v>运营配置</x:v>
      </x:c>
      <x:c r="D163" s="10" t="str">
        <x:v>展示素材编辑（平台管理员视角）</x:v>
      </x:c>
      <x:c r="E163" s="10" t="str">
        <x:v>逻辑校验</x:v>
      </x:c>
      <x:c r="F163" s="10" t="str">
        <x:v>P1</x:v>
      </x:c>
      <x:c r="G163" s="9" t="str">
        <x:v>验证活动长图页面未填写对应目标内容</x:v>
      </x:c>
      <x:c r="H163" s="9" t="str">
        <x:v>展位跳转目标必填</x:v>
      </x:c>
      <x:c r="I163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3" s="9" t="str">
        <x:v>1. 查看展示素材编辑页
2. 选择跳转类型为活动长图页面
3. 清空详情长图
4. 点击保存</x:v>
      </x:c>
      <x:c r="K163" s="9" t="str">
        <x:v>不能保存缺少详情长图的轮播项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来源（当前证据）：liveshow-proto/MainBasis/统一需求文档.md；位置：REQ-bcc06f97ec4a；行4141
2. 规则：BR-dfddb27b5fad199e
3. 未动态验证</x:v>
      </x:c>
    </x:row>
    <x:row r="164" ht="115" customHeight="1">
      <x:c r="A164" s="10" t="n">
        <x:v>163</x:v>
      </x:c>
      <x:c r="B164" s="10" t="str">
        <x:v>ADMIN-07-0012</x:v>
      </x:c>
      <x:c r="C164" s="10" t="str">
        <x:v>运营配置</x:v>
      </x:c>
      <x:c r="D164" s="10" t="str">
        <x:v>展示素材编辑（平台管理员视角）</x:v>
      </x:c>
      <x:c r="E164" s="10" t="str">
        <x:v>逻辑校验</x:v>
      </x:c>
      <x:c r="F164" s="10" t="str">
        <x:v>P1</x:v>
      </x:c>
      <x:c r="G164" s="9" t="str">
        <x:v>验证轮播第二行缺素材定位错误</x:v>
      </x:c>
      <x:c r="H164" s="9" t="str">
        <x:v>轮播逐项校验定位</x:v>
      </x:c>
      <x:c r="I164" s="9" t="str">
        <x:v>1. 执行角色为平台管理员
2. 账号具有当前模块访问及本次操作权限
3. 业务数据已准备且本页已打开；表单和筛选保持下列指定状态
4. 共3行，仅第2行素材为空</x:v>
      </x:c>
      <x:c r="J164" s="9" t="str">
        <x:v>1. 查看展示素材编辑页
2. 点击保存</x:v>
      </x:c>
      <x:c r="K164" s="9" t="str">
        <x:v>错误定位到第2行展示素材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来源（当前证据）：liveshow-proto/MainBasis/统一需求文档.md；位置：REQ-52bea7986f91；行4153
2. 规则：BR-fe5b791db47a863b
3. 未动态验证</x:v>
      </x:c>
    </x:row>
    <x:row r="165" ht="115" customHeight="1">
      <x:c r="A165" s="10" t="n">
        <x:v>164</x:v>
      </x:c>
      <x:c r="B165" s="10" t="str">
        <x:v>ADMIN-07-0013</x:v>
      </x:c>
      <x:c r="C165" s="10" t="str">
        <x:v>运营配置</x:v>
      </x:c>
      <x:c r="D165" s="10" t="str">
        <x:v>展示素材编辑（平台管理员视角）</x:v>
      </x:c>
      <x:c r="E165" s="10" t="str">
        <x:v>功能需求</x:v>
      </x:c>
      <x:c r="F165" s="10" t="str">
        <x:v>P2</x:v>
      </x:c>
      <x:c r="G165" s="9" t="str">
        <x:v>验证拖动素材后保存轮播顺序</x:v>
      </x:c>
      <x:c r="H165" s="9" t="str">
        <x:v>轮播顺序持久化</x:v>
      </x:c>
      <x:c r="I165" s="9" t="str">
        <x:v>1. 执行角色为平台管理员
2. 账号具有当前模块访问及本次操作权限
3. 业务数据已准备且本页已打开；表单和筛选保持下列指定状态
4. 原内容顺序A、B、C</x:v>
      </x:c>
      <x:c r="J165" s="9" t="str">
        <x:v>1. 查看展示素材编辑页
2. 拖动C到A之前
3. 点击保存</x:v>
      </x:c>
      <x:c r="K165" s="9" t="str">
        <x:v>保存后的顺序为C、A、B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来源（当前证据）：liveshow-proto/MainBasis/统一需求文档.md；位置：REQ-52bea7986f91；行4153
2. 规则：BR-dbc517d164db7138
3. 未动态验证</x:v>
      </x:c>
    </x:row>
    <x:row r="166" ht="130" customHeight="1">
      <x:c r="A166" s="10" t="n">
        <x:v>165</x:v>
      </x:c>
      <x:c r="B166" s="10" t="str">
        <x:v>ADMIN-07-0014</x:v>
      </x:c>
      <x:c r="C166" s="10" t="str">
        <x:v>运营配置</x:v>
      </x:c>
      <x:c r="D166" s="10" t="str">
        <x:v>推送编辑（平台管理员视角）</x:v>
      </x:c>
      <x:c r="E166" s="10" t="str">
        <x:v>逻辑校验</x:v>
      </x:c>
      <x:c r="F166" s="10" t="str">
        <x:v>P1</x:v>
      </x:c>
      <x:c r="G166" s="9" t="str">
        <x:v>验证推送中文标题不能为空</x:v>
      </x:c>
      <x:c r="H166" s="9" t="str">
        <x:v>推送中文标题校验</x:v>
      </x:c>
      <x:c r="I166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6" s="9" t="str">
        <x:v>1. 查看推送编辑页
2. 清空中文标题
3. 点击立即发送</x:v>
      </x:c>
      <x:c r="K166" s="9" t="str">
        <x:v>不能发送缺少四语文案的任务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来源（当前证据）：liveshow-proto/MainBasis/统一需求文档.md；位置：REQ-44ae8f223463；行4179
2. 规则：BR-f9396bfc35b9a614
3. 未动态验证</x:v>
      </x:c>
    </x:row>
    <x:row r="167" ht="130" customHeight="1">
      <x:c r="A167" s="10" t="n">
        <x:v>166</x:v>
      </x:c>
      <x:c r="B167" s="10" t="str">
        <x:v>ADMIN-07-0015</x:v>
      </x:c>
      <x:c r="C167" s="10" t="str">
        <x:v>运营配置</x:v>
      </x:c>
      <x:c r="D167" s="10" t="str">
        <x:v>推送编辑（平台管理员视角）</x:v>
      </x:c>
      <x:c r="E167" s="10" t="str">
        <x:v>逻辑校验</x:v>
      </x:c>
      <x:c r="F167" s="10" t="str">
        <x:v>P1</x:v>
      </x:c>
      <x:c r="G167" s="9" t="str">
        <x:v>验证推送中文内容不能为空</x:v>
      </x:c>
      <x:c r="H167" s="9" t="str">
        <x:v>推送中文内容校验</x:v>
      </x:c>
      <x:c r="I167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7" s="9" t="str">
        <x:v>1. 查看推送编辑页
2. 清空中文内容
3. 点击立即发送</x:v>
      </x:c>
      <x:c r="K167" s="9" t="str">
        <x:v>不能发送缺少四语文案的任务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来源（当前证据）：liveshow-proto/MainBasis/统一需求文档.md；位置：REQ-44ae8f223463；行4179
2. 规则：BR-4b18d48323c379f2
3. 未动态验证</x:v>
      </x:c>
    </x:row>
    <x:row r="168" ht="130" customHeight="1">
      <x:c r="A168" s="10" t="n">
        <x:v>167</x:v>
      </x:c>
      <x:c r="B168" s="10" t="str">
        <x:v>ADMIN-07-0016</x:v>
      </x:c>
      <x:c r="C168" s="10" t="str">
        <x:v>运营配置</x:v>
      </x:c>
      <x:c r="D168" s="10" t="str">
        <x:v>推送编辑（平台管理员视角）</x:v>
      </x:c>
      <x:c r="E168" s="10" t="str">
        <x:v>逻辑校验</x:v>
      </x:c>
      <x:c r="F168" s="10" t="str">
        <x:v>P1</x:v>
      </x:c>
      <x:c r="G168" s="9" t="str">
        <x:v>验证推送英语标题不能为空</x:v>
      </x:c>
      <x:c r="H168" s="9" t="str">
        <x:v>推送英语标题校验</x:v>
      </x:c>
      <x:c r="I168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8" s="9" t="str">
        <x:v>1. 查看推送编辑页
2. 清空英语标题
3. 点击立即发送</x:v>
      </x:c>
      <x:c r="K168" s="9" t="str">
        <x:v>不能发送缺少四语文案的任务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来源（当前证据）：liveshow-proto/MainBasis/统一需求文档.md；位置：REQ-44ae8f223463；行4179
2. 规则：BR-8b5b2c542e97d275
3. 未动态验证</x:v>
      </x:c>
    </x:row>
    <x:row r="169" ht="130" customHeight="1">
      <x:c r="A169" s="10" t="n">
        <x:v>168</x:v>
      </x:c>
      <x:c r="B169" s="10" t="str">
        <x:v>ADMIN-07-0017</x:v>
      </x:c>
      <x:c r="C169" s="10" t="str">
        <x:v>运营配置</x:v>
      </x:c>
      <x:c r="D169" s="10" t="str">
        <x:v>推送编辑（平台管理员视角）</x:v>
      </x:c>
      <x:c r="E169" s="10" t="str">
        <x:v>逻辑校验</x:v>
      </x:c>
      <x:c r="F169" s="10" t="str">
        <x:v>P1</x:v>
      </x:c>
      <x:c r="G169" s="9" t="str">
        <x:v>验证推送英语内容不能为空</x:v>
      </x:c>
      <x:c r="H169" s="9" t="str">
        <x:v>推送英语内容校验</x:v>
      </x:c>
      <x:c r="I169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9" s="9" t="str">
        <x:v>1. 查看推送编辑页
2. 清空英语内容
3. 点击立即发送</x:v>
      </x:c>
      <x:c r="K169" s="9" t="str">
        <x:v>不能发送缺少四语文案的任务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来源（当前证据）：liveshow-proto/MainBasis/统一需求文档.md；位置：REQ-44ae8f223463；行4179
2. 规则：BR-504b487447b9912a
3. 未动态验证</x:v>
      </x:c>
    </x:row>
    <x:row r="170" ht="130" customHeight="1">
      <x:c r="A170" s="10" t="n">
        <x:v>169</x:v>
      </x:c>
      <x:c r="B170" s="10" t="str">
        <x:v>ADMIN-07-0018</x:v>
      </x:c>
      <x:c r="C170" s="10" t="str">
        <x:v>运营配置</x:v>
      </x:c>
      <x:c r="D170" s="10" t="str">
        <x:v>推送编辑（平台管理员视角）</x:v>
      </x:c>
      <x:c r="E170" s="10" t="str">
        <x:v>逻辑校验</x:v>
      </x:c>
      <x:c r="F170" s="10" t="str">
        <x:v>P1</x:v>
      </x:c>
      <x:c r="G170" s="9" t="str">
        <x:v>验证推送印尼语标题不能为空</x:v>
      </x:c>
      <x:c r="H170" s="9" t="str">
        <x:v>推送印尼语标题校验</x:v>
      </x:c>
      <x:c r="I170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0" s="9" t="str">
        <x:v>1. 查看推送编辑页
2. 清空印尼语标题
3. 点击立即发送</x:v>
      </x:c>
      <x:c r="K170" s="9" t="str">
        <x:v>不能发送缺少四语文案的任务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来源（当前证据）：liveshow-proto/MainBasis/统一需求文档.md；位置：REQ-44ae8f223463；行4179
2. 规则：BR-8931a2f9dc5af52a
3. 未动态验证</x:v>
      </x:c>
    </x:row>
    <x:row r="171" ht="130" customHeight="1">
      <x:c r="A171" s="10" t="n">
        <x:v>170</x:v>
      </x:c>
      <x:c r="B171" s="10" t="str">
        <x:v>ADMIN-07-0019</x:v>
      </x:c>
      <x:c r="C171" s="10" t="str">
        <x:v>运营配置</x:v>
      </x:c>
      <x:c r="D171" s="10" t="str">
        <x:v>推送编辑（平台管理员视角）</x:v>
      </x:c>
      <x:c r="E171" s="10" t="str">
        <x:v>逻辑校验</x:v>
      </x:c>
      <x:c r="F171" s="10" t="str">
        <x:v>P1</x:v>
      </x:c>
      <x:c r="G171" s="9" t="str">
        <x:v>验证推送印尼语内容不能为空</x:v>
      </x:c>
      <x:c r="H171" s="9" t="str">
        <x:v>推送印尼语内容校验</x:v>
      </x:c>
      <x:c r="I171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1" s="9" t="str">
        <x:v>1. 查看推送编辑页
2. 清空印尼语内容
3. 点击立即发送</x:v>
      </x:c>
      <x:c r="K171" s="9" t="str">
        <x:v>不能发送缺少四语文案的任务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来源（当前证据）：liveshow-proto/MainBasis/统一需求文档.md；位置：REQ-44ae8f223463；行4179
2. 规则：BR-3a9e15553408cd26
3. 未动态验证</x:v>
      </x:c>
    </x:row>
    <x:row r="172" ht="130" customHeight="1">
      <x:c r="A172" s="10" t="n">
        <x:v>171</x:v>
      </x:c>
      <x:c r="B172" s="10" t="str">
        <x:v>ADMIN-07-0020</x:v>
      </x:c>
      <x:c r="C172" s="10" t="str">
        <x:v>运营配置</x:v>
      </x:c>
      <x:c r="D172" s="10" t="str">
        <x:v>推送编辑（平台管理员视角）</x:v>
      </x:c>
      <x:c r="E172" s="10" t="str">
        <x:v>逻辑校验</x:v>
      </x:c>
      <x:c r="F172" s="10" t="str">
        <x:v>P1</x:v>
      </x:c>
      <x:c r="G172" s="9" t="str">
        <x:v>验证推送马来语标题不能为空</x:v>
      </x:c>
      <x:c r="H172" s="9" t="str">
        <x:v>推送马来语标题校验</x:v>
      </x:c>
      <x:c r="I172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2" s="9" t="str">
        <x:v>1. 查看推送编辑页
2. 清空马来语标题
3. 点击立即发送</x:v>
      </x:c>
      <x:c r="K172" s="9" t="str">
        <x:v>不能发送缺少四语文案的任务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来源（当前证据）：liveshow-proto/MainBasis/统一需求文档.md；位置：REQ-44ae8f223463；行4179
2. 规则：BR-fa4eee713d700c21
3. 未动态验证</x:v>
      </x:c>
    </x:row>
    <x:row r="173" ht="130" customHeight="1">
      <x:c r="A173" s="10" t="n">
        <x:v>172</x:v>
      </x:c>
      <x:c r="B173" s="10" t="str">
        <x:v>ADMIN-07-0021</x:v>
      </x:c>
      <x:c r="C173" s="10" t="str">
        <x:v>运营配置</x:v>
      </x:c>
      <x:c r="D173" s="10" t="str">
        <x:v>推送编辑（平台管理员视角）</x:v>
      </x:c>
      <x:c r="E173" s="10" t="str">
        <x:v>逻辑校验</x:v>
      </x:c>
      <x:c r="F173" s="10" t="str">
        <x:v>P1</x:v>
      </x:c>
      <x:c r="G173" s="9" t="str">
        <x:v>验证推送马来语内容不能为空</x:v>
      </x:c>
      <x:c r="H173" s="9" t="str">
        <x:v>推送马来语内容校验</x:v>
      </x:c>
      <x:c r="I173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3" s="9" t="str">
        <x:v>1. 查看推送编辑页
2. 清空马来语内容
3. 点击立即发送</x:v>
      </x:c>
      <x:c r="K173" s="9" t="str">
        <x:v>不能发送缺少四语文案的任务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来源（当前证据）：liveshow-proto/MainBasis/统一需求文档.md；位置：REQ-44ae8f223463；行4179
2. 规则：BR-2a670095a2af1938
3. 未动态验证</x:v>
      </x:c>
    </x:row>
    <x:row r="174" ht="115" customHeight="1">
      <x:c r="A174" s="10" t="n">
        <x:v>173</x:v>
      </x:c>
      <x:c r="B174" s="10" t="str">
        <x:v>ADMIN-07-0022</x:v>
      </x:c>
      <x:c r="C174" s="10" t="str">
        <x:v>运营配置</x:v>
      </x:c>
      <x:c r="D174" s="10" t="str">
        <x:v>推送编辑（平台管理员视角）</x:v>
      </x:c>
      <x:c r="E174" s="10" t="str">
        <x:v>逻辑校验</x:v>
      </x:c>
      <x:c r="F174" s="10" t="str">
        <x:v>P1</x:v>
      </x:c>
      <x:c r="G174" s="9" t="str">
        <x:v>验证定向推送必须选择有效公会</x:v>
      </x:c>
      <x:c r="H174" s="9" t="str">
        <x:v>推送目标公会有效性</x:v>
      </x:c>
      <x:c r="I174" s="9" t="str">
        <x:v>1. 执行角色为平台管理员
2. 账号具有当前模块访问及本次操作权限
3. 业务数据已准备且本页已打开；表单和筛选保持下列指定状态
4. 文案完整，目标类型为公会</x:v>
      </x:c>
      <x:c r="J174" s="9" t="str">
        <x:v>1. 查看推送编辑页
2. 清空目标公会
3. 点击立即发送</x:v>
      </x:c>
      <x:c r="K174" s="9" t="str">
        <x:v>不能发送未指定公会的定向任务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来源（当前证据）：liveshow-proto/MainBasis/统一需求文档.md；位置：REQ-2814c68c7817；行4181
2. 规则：BR-829c8a0a5a7805ca
3. 未动态验证</x:v>
      </x:c>
    </x:row>
    <x:row r="175" ht="175" customHeight="1">
      <x:c r="A175" s="10" t="n">
        <x:v>174</x:v>
      </x:c>
      <x:c r="B175" s="10" t="str">
        <x:v>ADMIN-07-0023</x:v>
      </x:c>
      <x:c r="C175" s="10" t="str">
        <x:v>运营配置</x:v>
      </x:c>
      <x:c r="D175" s="10" t="str">
        <x:v>推送编辑（平台管理员视角）</x:v>
      </x:c>
      <x:c r="E175" s="10" t="str">
        <x:v>业务流程</x:v>
      </x:c>
      <x:c r="F175" s="10" t="str">
        <x:v>P0</x:v>
      </x:c>
      <x:c r="G175" s="9" t="str">
        <x:v>验证有效推送发送后只读</x:v>
      </x:c>
      <x:c r="H175" s="9" t="str">
        <x:v>推送发送终态</x:v>
      </x:c>
      <x:c r="I175" s="9" t="str">
        <x:v>1. 执行角色为平台管理员
2. 账号具有当前模块访问及本次操作权限
3. 业务数据已准备且本页已打开；表单和筛选保持下列指定状态
4. 四语标题正文及目标用户有效
5. 环境准备：测试推送通道可用并能返回发送结果；原型仅模拟发送</x:v>
      </x:c>
      <x:c r="J175" s="9" t="str">
        <x:v>1. 查看推送编辑页
2. 点击立即发送</x:v>
      </x:c>
      <x:c r="K175" s="9" t="str">
        <x:v>当前推送编辑页变为只读</x:v>
      </x:c>
      <x:c r="L175" s="10" t="str">
        <x:v>FLOW-17AE44CAF5</x:v>
      </x:c>
      <x:c r="M175" s="10" t="str">
        <x:v>未测</x:v>
      </x:c>
      <x:c r="N175" s="10" t="str"/>
      <x:c r="O175" s="9" t="str">
        <x:v>1. 来源（当前证据）：liveshow-proto/MainBasis/统一需求文档.md；位置：REQ-844672cd70f7；行4185
2. 规则：BR-9b48694c98138447
3. 未动态验证</x:v>
      </x:c>
    </x:row>
    <x:row r="176" ht="130" customHeight="1">
      <x:c r="A176" s="10" t="n">
        <x:v>175</x:v>
      </x:c>
      <x:c r="B176" s="10" t="str">
        <x:v>ADMIN-07-0024</x:v>
      </x:c>
      <x:c r="C176" s="10" t="str">
        <x:v>运营配置</x:v>
      </x:c>
      <x:c r="D176" s="10" t="str">
        <x:v>推送管理（平台管理员视角）</x:v>
      </x:c>
      <x:c r="E176" s="10" t="str">
        <x:v>逻辑校验</x:v>
      </x:c>
      <x:c r="F176" s="10" t="str">
        <x:v>P1</x:v>
      </x:c>
      <x:c r="G176" s="9" t="str">
        <x:v>验证推送人数按成功账号去重</x:v>
      </x:c>
      <x:c r="H176" s="9" t="str">
        <x:v>推送成功人数</x:v>
      </x:c>
      <x:c r="I176" s="9" t="str">
        <x:v>1. 执行角色为平台管理员
2. 账号具有当前模块访问及本次操作权限
3. 业务数据已准备且本页已打开；表单和筛选保持下列指定状态
4. 用户甲成功2次回执、乙成功1次、丙失败</x:v>
      </x:c>
      <x:c r="J176" s="9" t="str">
        <x:v>1. 查看推送管理页</x:v>
      </x:c>
      <x:c r="K176" s="9" t="str">
        <x:v>发送人数显示2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来源（当前证据）：liveshow-proto/MainBasis/统一需求文档.md；位置：REQ-f339c8fa382b；行4164
2. 规则：BR-6c68f8cec6661ce2
3. 未动态验证</x:v>
      </x:c>
    </x:row>
    <x:row r="177" ht="85" customHeight="1">
      <x:c r="A177" s="10" t="n">
        <x:v>176</x:v>
      </x:c>
      <x:c r="B177" s="10" t="str">
        <x:v>ADMIN-07-0025</x:v>
      </x:c>
      <x:c r="C177" s="10" t="str">
        <x:v>运营配置</x:v>
      </x:c>
      <x:c r="D177" s="10" t="str">
        <x:v>充值套餐编辑（平台管理员视角）</x:v>
      </x:c>
      <x:c r="E177" s="10" t="str">
        <x:v>逻辑校验</x:v>
      </x:c>
      <x:c r="F177" s="10" t="str">
        <x:v>P1</x:v>
      </x:c>
      <x:c r="G177" s="9" t="str">
        <x:v>验证充值套餐两个平台都关闭不能保存</x:v>
      </x:c>
      <x:c r="H177" s="9" t="str">
        <x:v>套餐平台至少一个</x:v>
      </x:c>
      <x:c r="I177" s="9" t="str">
        <x:v>1. 执行角色为平台管理员
2. 账号具有当前模块访问及本次操作权限</x:v>
      </x:c>
      <x:c r="J177" s="9" t="str">
        <x:v>1. 进入充值套餐编辑页
2. 关闭iOS平台
3. 关闭Android平台
4. 点击保存</x:v>
      </x:c>
      <x:c r="K177" s="9" t="str">
        <x:v>不能保存未启用任何平台的套餐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来源（当前证据）：liveshow-proto/MainBasis/统一需求文档.md；位置：REQ-b6e63b69aae4；行4225
2. 规则：BR-c4d46b80838dfc71
3. 未动态验证</x:v>
      </x:c>
    </x:row>
    <x:row r="178" ht="115" customHeight="1">
      <x:c r="A178" s="10" t="n">
        <x:v>177</x:v>
      </x:c>
      <x:c r="B178" s="10" t="str">
        <x:v>ADMIN-07-0026</x:v>
      </x:c>
      <x:c r="C178" s="10" t="str">
        <x:v>运营配置</x:v>
      </x:c>
      <x:c r="D178" s="10" t="str">
        <x:v>充值套餐编辑（平台管理员视角）</x:v>
      </x:c>
      <x:c r="E178" s="10" t="str">
        <x:v>逻辑校验</x:v>
      </x:c>
      <x:c r="F178" s="10" t="str">
        <x:v>P1</x:v>
      </x:c>
      <x:c r="G178" s="9" t="str">
        <x:v>验证iOS启用未选商品不能保存</x:v>
      </x:c>
      <x:c r="H178" s="9" t="str">
        <x:v>iOS商品必选</x:v>
      </x:c>
      <x:c r="I178" s="9" t="str">
        <x:v>1. 执行角色为平台管理员
2. 账号具有当前模块访问及本次操作权限
3. 业务数据已准备且本页已打开；表单和筛选保持下列指定状态
4. 其他配置完整</x:v>
      </x:c>
      <x:c r="J178" s="9" t="str">
        <x:v>1. 查看充值套餐编辑页
2. 启用iOS平台
3. 清空iOS商品
4. 点击保存</x:v>
      </x:c>
      <x:c r="K178" s="9" t="str">
        <x:v>不能保存缺少商品的启用平台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来源（当前证据）：liveshow-proto/MainBasis/统一需求文档.md；位置：REQ-b6e63b69aae4；行4225
2. 规则：BR-9e2e8e2aa3790458
3. 未动态验证</x:v>
      </x:c>
    </x:row>
    <x:row r="179" ht="115" customHeight="1">
      <x:c r="A179" s="10" t="n">
        <x:v>178</x:v>
      </x:c>
      <x:c r="B179" s="10" t="str">
        <x:v>ADMIN-07-0027</x:v>
      </x:c>
      <x:c r="C179" s="10" t="str">
        <x:v>运营配置</x:v>
      </x:c>
      <x:c r="D179" s="10" t="str">
        <x:v>充值套餐编辑（平台管理员视角）</x:v>
      </x:c>
      <x:c r="E179" s="10" t="str">
        <x:v>逻辑校验</x:v>
      </x:c>
      <x:c r="F179" s="10" t="str">
        <x:v>P1</x:v>
      </x:c>
      <x:c r="G179" s="9" t="str">
        <x:v>验证iOS未选商品不能输入金币</x:v>
      </x:c>
      <x:c r="H179" s="9" t="str">
        <x:v>iOS金币输入前置</x:v>
      </x:c>
      <x:c r="I179" s="9" t="str">
        <x:v>1. 执行角色为平台管理员
2. 账号具有当前模块访问及本次操作权限
3. 业务数据已准备且本页已打开；表单和筛选保持下列指定状态
4. iOS平台已启用但未选商品</x:v>
      </x:c>
      <x:c r="J179" s="9" t="str">
        <x:v>1. 查看充值套餐编辑页</x:v>
      </x:c>
      <x:c r="K179" s="9" t="str">
        <x:v>iOS金币输入不可用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来源（当前证据）：liveshow-proto/MainBasis/统一需求文档.md；位置：REQ-61cdebdb8329；行4237
2. 规则：BR-9c5428fec00c5fd2
3. 未动态验证</x:v>
      </x:c>
    </x:row>
    <x:row r="180" ht="130" customHeight="1">
      <x:c r="A180" s="10" t="n">
        <x:v>179</x:v>
      </x:c>
      <x:c r="B180" s="10" t="str">
        <x:v>ADMIN-07-0028</x:v>
      </x:c>
      <x:c r="C180" s="10" t="str">
        <x:v>运营配置</x:v>
      </x:c>
      <x:c r="D180" s="10" t="str">
        <x:v>充值套餐编辑（平台管理员视角）</x:v>
      </x:c>
      <x:c r="E180" s="10" t="str">
        <x:v>逻辑校验</x:v>
      </x:c>
      <x:c r="F180" s="10" t="str">
        <x:v>P1</x:v>
      </x:c>
      <x:c r="G180" s="9" t="str">
        <x:v>验证iOS商品不允许重复绑定</x:v>
      </x:c>
      <x:c r="H180" s="9" t="str">
        <x:v>iOS商店商品唯一绑定</x:v>
      </x:c>
      <x:c r="I180" s="9" t="str">
        <x:v>1. 执行角色为平台管理员
2. 账号具有当前模块访问及本次操作权限
3. 业务数据已准备且本页已打开；表单和筛选保持下列指定状态
4. iOS商品S已绑定另一个套餐，其他输入完整</x:v>
      </x:c>
      <x:c r="J180" s="9" t="str">
        <x:v>1. 查看充值套餐编辑页
2. 选择iOS商品为S
3. 点击保存</x:v>
      </x:c>
      <x:c r="K180" s="9" t="str">
        <x:v>不能保存重复商品绑定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来源（当前证据）：liveshow-proto/MainBasis/统一需求文档.md；位置：REQ-c6debf4e6c39；行4227
2. 规则：BR-f5784594cf06a92f
3. 未动态验证</x:v>
      </x:c>
    </x:row>
    <x:row r="181" ht="115" customHeight="1">
      <x:c r="A181" s="10" t="n">
        <x:v>180</x:v>
      </x:c>
      <x:c r="B181" s="10" t="str">
        <x:v>ADMIN-07-0029</x:v>
      </x:c>
      <x:c r="C181" s="10" t="str">
        <x:v>运营配置</x:v>
      </x:c>
      <x:c r="D181" s="10" t="str">
        <x:v>充值套餐编辑（平台管理员视角）</x:v>
      </x:c>
      <x:c r="E181" s="10" t="str">
        <x:v>逻辑校验</x:v>
      </x:c>
      <x:c r="F181" s="10" t="str">
        <x:v>P1</x:v>
      </x:c>
      <x:c r="G181" s="9" t="str">
        <x:v>验证关闭iOS禁用商品配置</x:v>
      </x:c>
      <x:c r="H181" s="9" t="str">
        <x:v>iOS关闭后输入状态</x:v>
      </x:c>
      <x:c r="I181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1" s="9" t="str">
        <x:v>1. 查看充值套餐编辑页
2. 关闭iOS平台</x:v>
      </x:c>
      <x:c r="K181" s="9" t="str">
        <x:v>iOS商品及金币输入不可用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来源（当前证据）：liveshow-proto/MainBasis/统一需求文档.md；位置：REQ-8708af26b46a；行4243
2. 规则：BR-c740b1cd817bead3
3. 未动态验证</x:v>
      </x:c>
    </x:row>
    <x:row r="182" ht="115" customHeight="1">
      <x:c r="A182" s="10" t="n">
        <x:v>181</x:v>
      </x:c>
      <x:c r="B182" s="10" t="str">
        <x:v>ADMIN-07-0030</x:v>
      </x:c>
      <x:c r="C182" s="10" t="str">
        <x:v>运营配置</x:v>
      </x:c>
      <x:c r="D182" s="10" t="str">
        <x:v>充值套餐编辑（平台管理员视角）</x:v>
      </x:c>
      <x:c r="E182" s="10" t="str">
        <x:v>逻辑校验</x:v>
      </x:c>
      <x:c r="F182" s="10" t="str">
        <x:v>P1</x:v>
      </x:c>
      <x:c r="G182" s="9" t="str">
        <x:v>验证Android启用未选商品不能保存</x:v>
      </x:c>
      <x:c r="H182" s="9" t="str">
        <x:v>Android商品必选</x:v>
      </x:c>
      <x:c r="I182" s="9" t="str">
        <x:v>1. 执行角色为平台管理员
2. 账号具有当前模块访问及本次操作权限
3. 业务数据已准备且本页已打开；表单和筛选保持下列指定状态
4. 其他配置完整</x:v>
      </x:c>
      <x:c r="J182" s="9" t="str">
        <x:v>1. 查看充值套餐编辑页
2. 启用Android平台
3. 清空Android商品
4. 点击保存</x:v>
      </x:c>
      <x:c r="K182" s="9" t="str">
        <x:v>不能保存缺少商品的启用平台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来源（当前证据）：liveshow-proto/MainBasis/统一需求文档.md；位置：REQ-b6e63b69aae4；行4225
2. 规则：BR-1df0ee8f2bf3bec2
3. 未动态验证</x:v>
      </x:c>
    </x:row>
    <x:row r="183" ht="130" customHeight="1">
      <x:c r="A183" s="10" t="n">
        <x:v>182</x:v>
      </x:c>
      <x:c r="B183" s="10" t="str">
        <x:v>ADMIN-07-0031</x:v>
      </x:c>
      <x:c r="C183" s="10" t="str">
        <x:v>运营配置</x:v>
      </x:c>
      <x:c r="D183" s="10" t="str">
        <x:v>充值套餐编辑（平台管理员视角）</x:v>
      </x:c>
      <x:c r="E183" s="10" t="str">
        <x:v>逻辑校验</x:v>
      </x:c>
      <x:c r="F183" s="10" t="str">
        <x:v>P1</x:v>
      </x:c>
      <x:c r="G183" s="9" t="str">
        <x:v>验证Android未选商品不能输入金币</x:v>
      </x:c>
      <x:c r="H183" s="9" t="str">
        <x:v>Android金币输入前置</x:v>
      </x:c>
      <x:c r="I183" s="9" t="str">
        <x:v>1. 执行角色为平台管理员
2. 账号具有当前模块访问及本次操作权限
3. 业务数据已准备且本页已打开；表单和筛选保持下列指定状态
4. Android平台已启用但未选商品</x:v>
      </x:c>
      <x:c r="J183" s="9" t="str">
        <x:v>1. 查看充值套餐编辑页</x:v>
      </x:c>
      <x:c r="K183" s="9" t="str">
        <x:v>Android金币输入不可用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来源（当前证据）：liveshow-proto/MainBasis/统一需求文档.md；位置：REQ-61cdebdb8329；行4237
2. 规则：BR-8a20750b915323d2
3. 未动态验证</x:v>
      </x:c>
    </x:row>
    <x:row r="184" ht="130" customHeight="1">
      <x:c r="A184" s="10" t="n">
        <x:v>183</x:v>
      </x:c>
      <x:c r="B184" s="10" t="str">
        <x:v>ADMIN-07-0032</x:v>
      </x:c>
      <x:c r="C184" s="10" t="str">
        <x:v>运营配置</x:v>
      </x:c>
      <x:c r="D184" s="10" t="str">
        <x:v>充值套餐编辑（平台管理员视角）</x:v>
      </x:c>
      <x:c r="E184" s="10" t="str">
        <x:v>逻辑校验</x:v>
      </x:c>
      <x:c r="F184" s="10" t="str">
        <x:v>P1</x:v>
      </x:c>
      <x:c r="G184" s="9" t="str">
        <x:v>验证Android商品不允许重复绑定</x:v>
      </x:c>
      <x:c r="H184" s="9" t="str">
        <x:v>Android商店商品唯一绑定</x:v>
      </x:c>
      <x:c r="I184" s="9" t="str">
        <x:v>1. 执行角色为平台管理员
2. 账号具有当前模块访问及本次操作权限
3. 业务数据已准备且本页已打开；表单和筛选保持下列指定状态
4. Android商品S已绑定另一个套餐，其他输入完整</x:v>
      </x:c>
      <x:c r="J184" s="9" t="str">
        <x:v>1. 查看充值套餐编辑页
2. 选择Android商品为S
3. 点击保存</x:v>
      </x:c>
      <x:c r="K184" s="9" t="str">
        <x:v>不能保存重复商品绑定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来源（当前证据）：liveshow-proto/MainBasis/统一需求文档.md；位置：REQ-c6debf4e6c39；行4227
2. 规则：BR-a67546906f60c752
3. 未动态验证</x:v>
      </x:c>
    </x:row>
    <x:row r="185" ht="115" customHeight="1">
      <x:c r="A185" s="10" t="n">
        <x:v>184</x:v>
      </x:c>
      <x:c r="B185" s="10" t="str">
        <x:v>ADMIN-07-0033</x:v>
      </x:c>
      <x:c r="C185" s="10" t="str">
        <x:v>运营配置</x:v>
      </x:c>
      <x:c r="D185" s="10" t="str">
        <x:v>充值套餐编辑（平台管理员视角）</x:v>
      </x:c>
      <x:c r="E185" s="10" t="str">
        <x:v>逻辑校验</x:v>
      </x:c>
      <x:c r="F185" s="10" t="str">
        <x:v>P1</x:v>
      </x:c>
      <x:c r="G185" s="9" t="str">
        <x:v>验证关闭Android禁用商品配置</x:v>
      </x:c>
      <x:c r="H185" s="9" t="str">
        <x:v>Android关闭后输入状态</x:v>
      </x:c>
      <x:c r="I185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5" s="9" t="str">
        <x:v>1. 查看充值套餐编辑页
2. 关闭Android平台</x:v>
      </x:c>
      <x:c r="K185" s="9" t="str">
        <x:v>Android商品及金币输入不可用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来源（当前证据）：liveshow-proto/MainBasis/统一需求文档.md；位置：REQ-8708af26b46a；行4243
2. 规则：BR-7c5a442560129779
3. 未动态验证</x:v>
      </x:c>
    </x:row>
    <x:row r="186" ht="145" customHeight="1">
      <x:c r="A186" s="10" t="n">
        <x:v>185</x:v>
      </x:c>
      <x:c r="B186" s="10" t="str">
        <x:v>ADMIN-07-0034</x:v>
      </x:c>
      <x:c r="C186" s="10" t="str">
        <x:v>运营配置</x:v>
      </x:c>
      <x:c r="D186" s="10" t="str">
        <x:v>充值套餐编辑（平台管理员视角）</x:v>
      </x:c>
      <x:c r="E186" s="10" t="str">
        <x:v>逻辑校验</x:v>
      </x:c>
      <x:c r="F186" s="10" t="str">
        <x:v>P1</x:v>
      </x:c>
      <x:c r="G186" s="9" t="str">
        <x:v>验证双平台商品档位不同不允许保存</x:v>
      </x:c>
      <x:c r="H186" s="9" t="str">
        <x:v>充值双端商品档位一致性</x:v>
      </x:c>
      <x:c r="I186" s="9" t="str">
        <x:v>1. 执行角色为平台管理员
2. 账号具有当前模块访问及本次操作权限
3. 业务数据已准备且本页已打开；表单和筛选保持下列指定状态
4. 两平台商品均来自可用商店目录，仅商品档位不同，其余配置有效</x:v>
      </x:c>
      <x:c r="J186" s="9" t="str">
        <x:v>1. 查看充值套餐编辑页
2. 点击保存</x:v>
      </x:c>
      <x:c r="K186" s="9" t="str">
        <x:v>不能保存双平台商品档位不一致的套餐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来源（当前证据）：liveshow-proto/MainBasis/统一需求文档.md；位置：REQ-087ce2d2c963；行4229
2. 规则：BR-75619eefe8a83acb
3. 未动态验证</x:v>
      </x:c>
    </x:row>
    <x:row r="187" ht="145" customHeight="1">
      <x:c r="A187" s="10" t="n">
        <x:v>186</x:v>
      </x:c>
      <x:c r="B187" s="10" t="str">
        <x:v>ADMIN-07-0035</x:v>
      </x:c>
      <x:c r="C187" s="10" t="str">
        <x:v>运营配置</x:v>
      </x:c>
      <x:c r="D187" s="10" t="str">
        <x:v>充值套餐编辑（平台管理员视角）</x:v>
      </x:c>
      <x:c r="E187" s="10" t="str">
        <x:v>逻辑校验</x:v>
      </x:c>
      <x:c r="F187" s="10" t="str">
        <x:v>P1</x:v>
      </x:c>
      <x:c r="G187" s="9" t="str">
        <x:v>验证双平台价格不同不允许保存</x:v>
      </x:c>
      <x:c r="H187" s="9" t="str">
        <x:v>充值双端价格一致性</x:v>
      </x:c>
      <x:c r="I187" s="9" t="str">
        <x:v>1. 执行角色为平台管理员
2. 账号具有当前模块访问及本次操作权限
3. 业务数据已准备且本页已打开；表单和筛选保持下列指定状态
4. 两平台商品均来自可用商店目录，仅价格不同，其余配置有效</x:v>
      </x:c>
      <x:c r="J187" s="9" t="str">
        <x:v>1. 查看充值套餐编辑页
2. 点击保存</x:v>
      </x:c>
      <x:c r="K187" s="9" t="str">
        <x:v>不能保存双平台价格不一致的套餐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来源（当前证据）：liveshow-proto/MainBasis/统一需求文档.md；位置：REQ-087ce2d2c963；行4229
2. 规则：BR-558b02320a1b1482
3. 未动态验证</x:v>
      </x:c>
    </x:row>
    <x:row r="188" ht="145" customHeight="1">
      <x:c r="A188" s="10" t="n">
        <x:v>187</x:v>
      </x:c>
      <x:c r="B188" s="10" t="str">
        <x:v>ADMIN-07-0036</x:v>
      </x:c>
      <x:c r="C188" s="10" t="str">
        <x:v>运营配置</x:v>
      </x:c>
      <x:c r="D188" s="10" t="str">
        <x:v>充值套餐编辑（平台管理员视角）</x:v>
      </x:c>
      <x:c r="E188" s="10" t="str">
        <x:v>逻辑校验</x:v>
      </x:c>
      <x:c r="F188" s="10" t="str">
        <x:v>P1</x:v>
      </x:c>
      <x:c r="G188" s="9" t="str">
        <x:v>验证双平台币种不同不允许保存</x:v>
      </x:c>
      <x:c r="H188" s="9" t="str">
        <x:v>充值双端币种一致性</x:v>
      </x:c>
      <x:c r="I188" s="9" t="str">
        <x:v>1. 执行角色为平台管理员
2. 账号具有当前模块访问及本次操作权限
3. 业务数据已准备且本页已打开；表单和筛选保持下列指定状态
4. 两平台商品均来自可用商店目录，仅币种不同，其余配置有效</x:v>
      </x:c>
      <x:c r="J188" s="9" t="str">
        <x:v>1. 查看充值套餐编辑页
2. 点击保存</x:v>
      </x:c>
      <x:c r="K188" s="9" t="str">
        <x:v>不能保存双平台币种不一致的套餐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来源（当前证据）：liveshow-proto/MainBasis/统一需求文档.md；位置：REQ-087ce2d2c963；行4229
2. 规则：BR-faea264cc6a38fd9
3. 未动态验证</x:v>
      </x:c>
    </x:row>
    <x:row r="189" ht="145" customHeight="1">
      <x:c r="A189" s="10" t="n">
        <x:v>188</x:v>
      </x:c>
      <x:c r="B189" s="10" t="str">
        <x:v>ADMIN-07-0037</x:v>
      </x:c>
      <x:c r="C189" s="10" t="str">
        <x:v>运营配置</x:v>
      </x:c>
      <x:c r="D189" s="10" t="str">
        <x:v>充值套餐编辑（平台管理员视角）</x:v>
      </x:c>
      <x:c r="E189" s="10" t="str">
        <x:v>逻辑校验</x:v>
      </x:c>
      <x:c r="F189" s="10" t="str">
        <x:v>P1</x:v>
      </x:c>
      <x:c r="G189" s="9" t="str">
        <x:v>验证双平台地区不同不允许保存</x:v>
      </x:c>
      <x:c r="H189" s="9" t="str">
        <x:v>充值双端地区一致性</x:v>
      </x:c>
      <x:c r="I189" s="9" t="str">
        <x:v>1. 执行角色为平台管理员
2. 账号具有当前模块访问及本次操作权限
3. 业务数据已准备且本页已打开；表单和筛选保持下列指定状态
4. 两平台商品均来自可用商店目录，仅地区不同，其余配置有效</x:v>
      </x:c>
      <x:c r="J189" s="9" t="str">
        <x:v>1. 查看充值套餐编辑页
2. 点击保存</x:v>
      </x:c>
      <x:c r="K189" s="9" t="str">
        <x:v>不能保存双平台地区不一致的套餐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来源（当前证据）：liveshow-proto/MainBasis/统一需求文档.md；位置：REQ-087ce2d2c963；行4229
2. 规则：BR-7b11c369425fb72a
3. 未动态验证</x:v>
      </x:c>
    </x:row>
    <x:row r="190" ht="145" customHeight="1">
      <x:c r="A190" s="10" t="n">
        <x:v>189</x:v>
      </x:c>
      <x:c r="B190" s="10" t="str">
        <x:v>ADMIN-07-0038</x:v>
      </x:c>
      <x:c r="C190" s="10" t="str">
        <x:v>运营配置</x:v>
      </x:c>
      <x:c r="D190" s="10" t="str">
        <x:v>充值套餐编辑（平台管理员视角）</x:v>
      </x:c>
      <x:c r="E190" s="10" t="str">
        <x:v>业务流程</x:v>
      </x:c>
      <x:c r="F190" s="10" t="str">
        <x:v>P0</x:v>
      </x:c>
      <x:c r="G190" s="9" t="str">
        <x:v>验证双端商品ID不同但同档允许保存</x:v>
      </x:c>
      <x:c r="H190" s="9" t="str">
        <x:v>充值双平台商品关联</x:v>
      </x:c>
      <x:c r="I190" s="9" t="str">
        <x:v>1. 执行角色为平台管理员
2. 账号具有当前模块访问及本次操作权限
3. 业务数据已准备且本页已打开；表单和筛选保持下列指定状态
4. iOS商品I1、Android商品A1，档位价格币种地区一致，金币与公共字段有效</x:v>
      </x:c>
      <x:c r="J190" s="9" t="str">
        <x:v>1. 查看充值套餐编辑页
2. 点击保存</x:v>
      </x:c>
      <x:c r="K190" s="9" t="str">
        <x:v>保存成功后留在当前页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来源（当前证据）：liveshow-proto/MainBasis/统一需求文档.md；位置：REQ-087ce2d2c963；行4229
2. 规则：BR-b61e551fa8813adf
3. 未动态验证</x:v>
      </x:c>
    </x:row>
    <x:row r="191" ht="130" customHeight="1">
      <x:c r="A191" s="10" t="n">
        <x:v>190</x:v>
      </x:c>
      <x:c r="B191" s="10" t="str">
        <x:v>ADMIN-07-0039</x:v>
      </x:c>
      <x:c r="C191" s="10" t="str">
        <x:v>运营配置</x:v>
      </x:c>
      <x:c r="D191" s="10" t="str">
        <x:v>充值套餐编辑（平台管理员视角）</x:v>
      </x:c>
      <x:c r="E191" s="10" t="str">
        <x:v>逻辑校验</x:v>
      </x:c>
      <x:c r="F191" s="10" t="str">
        <x:v>P1</x:v>
      </x:c>
      <x:c r="G191" s="9" t="str">
        <x:v>验证充值金币填写0不能保存</x:v>
      </x:c>
      <x:c r="H191" s="9" t="str">
        <x:v>套餐充值金币约束</x:v>
      </x:c>
      <x:c r="I191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1" s="9" t="str">
        <x:v>1. 查看充值套餐编辑页
2. 填写iOS充值金币为0
3. 点击保存</x:v>
      </x:c>
      <x:c r="K191" s="9" t="str">
        <x:v>不能保存金币配置不合法的套餐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来源（当前证据）：liveshow-proto/MainBasis/统一需求文档.md；位置：REQ-adbeef94f7fc；行4223
2. 规则：BR-1c89d16ca11cebbb
3. 未动态验证</x:v>
      </x:c>
    </x:row>
    <x:row r="192" ht="130" customHeight="1">
      <x:c r="A192" s="10" t="n">
        <x:v>191</x:v>
      </x:c>
      <x:c r="B192" s="10" t="str">
        <x:v>ADMIN-07-0040</x:v>
      </x:c>
      <x:c r="C192" s="10" t="str">
        <x:v>运营配置</x:v>
      </x:c>
      <x:c r="D192" s="10" t="str">
        <x:v>充值套餐编辑（平台管理员视角）</x:v>
      </x:c>
      <x:c r="E192" s="10" t="str">
        <x:v>逻辑校验</x:v>
      </x:c>
      <x:c r="F192" s="10" t="str">
        <x:v>P1</x:v>
      </x:c>
      <x:c r="G192" s="9" t="str">
        <x:v>验证充值金币填写-1不能保存</x:v>
      </x:c>
      <x:c r="H192" s="9" t="str">
        <x:v>套餐充值金币约束</x:v>
      </x:c>
      <x:c r="I192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2" s="9" t="str">
        <x:v>1. 查看充值套餐编辑页
2. 填写iOS充值金币为-1
3. 点击保存</x:v>
      </x:c>
      <x:c r="K192" s="9" t="str">
        <x:v>不能保存金币配置不合法的套餐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来源（当前证据）：liveshow-proto/MainBasis/统一需求文档.md；位置：REQ-adbeef94f7fc；行4223
2. 规则：BR-5d9d24173a0c833e
3. 未动态验证</x:v>
      </x:c>
    </x:row>
    <x:row r="193" ht="130" customHeight="1">
      <x:c r="A193" s="10" t="n">
        <x:v>192</x:v>
      </x:c>
      <x:c r="B193" s="10" t="str">
        <x:v>ADMIN-07-0041</x:v>
      </x:c>
      <x:c r="C193" s="10" t="str">
        <x:v>运营配置</x:v>
      </x:c>
      <x:c r="D193" s="10" t="str">
        <x:v>充值套餐编辑（平台管理员视角）</x:v>
      </x:c>
      <x:c r="E193" s="10" t="str">
        <x:v>逻辑校验</x:v>
      </x:c>
      <x:c r="F193" s="10" t="str">
        <x:v>P1</x:v>
      </x:c>
      <x:c r="G193" s="9" t="str">
        <x:v>验证充值金币填写1.5不能保存</x:v>
      </x:c>
      <x:c r="H193" s="9" t="str">
        <x:v>套餐充值金币约束</x:v>
      </x:c>
      <x:c r="I193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3" s="9" t="str">
        <x:v>1. 查看充值套餐编辑页
2. 填写iOS充值金币为1.5
3. 点击保存</x:v>
      </x:c>
      <x:c r="K193" s="9" t="str">
        <x:v>不能保存金币配置不合法的套餐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来源（当前证据）：liveshow-proto/MainBasis/统一需求文档.md；位置：REQ-adbeef94f7fc；行4223
2. 规则：BR-04b410c5e38fe4e7
3. 未动态验证</x:v>
      </x:c>
    </x:row>
    <x:row r="194" ht="130" customHeight="1">
      <x:c r="A194" s="10" t="n">
        <x:v>193</x:v>
      </x:c>
      <x:c r="B194" s="10" t="str">
        <x:v>ADMIN-07-0042</x:v>
      </x:c>
      <x:c r="C194" s="10" t="str">
        <x:v>运营配置</x:v>
      </x:c>
      <x:c r="D194" s="10" t="str">
        <x:v>充值套餐编辑（平台管理员视角）</x:v>
      </x:c>
      <x:c r="E194" s="10" t="str">
        <x:v>逻辑校验</x:v>
      </x:c>
      <x:c r="F194" s="10" t="str">
        <x:v>P1</x:v>
      </x:c>
      <x:c r="G194" s="9" t="str">
        <x:v>验证赠送金币填写-1不能保存</x:v>
      </x:c>
      <x:c r="H194" s="9" t="str">
        <x:v>套餐赠送金币约束</x:v>
      </x:c>
      <x:c r="I194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4" s="9" t="str">
        <x:v>1. 查看充值套餐编辑页
2. 填写iOS赠送金币为-1
3. 点击保存</x:v>
      </x:c>
      <x:c r="K194" s="9" t="str">
        <x:v>不能保存金币配置不合法的套餐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来源（当前证据）：liveshow-proto/MainBasis/统一需求文档.md；位置：REQ-adbeef94f7fc；行4223
2. 规则：BR-92d4453b7df181dc
3. 未动态验证</x:v>
      </x:c>
    </x:row>
    <x:row r="195" ht="130" customHeight="1">
      <x:c r="A195" s="10" t="n">
        <x:v>194</x:v>
      </x:c>
      <x:c r="B195" s="10" t="str">
        <x:v>ADMIN-07-0043</x:v>
      </x:c>
      <x:c r="C195" s="10" t="str">
        <x:v>运营配置</x:v>
      </x:c>
      <x:c r="D195" s="10" t="str">
        <x:v>充值套餐编辑（平台管理员视角）</x:v>
      </x:c>
      <x:c r="E195" s="10" t="str">
        <x:v>逻辑校验</x:v>
      </x:c>
      <x:c r="F195" s="10" t="str">
        <x:v>P1</x:v>
      </x:c>
      <x:c r="G195" s="9" t="str">
        <x:v>验证赠送金币填写1.5不能保存</x:v>
      </x:c>
      <x:c r="H195" s="9" t="str">
        <x:v>套餐赠送金币约束</x:v>
      </x:c>
      <x:c r="I195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5" s="9" t="str">
        <x:v>1. 查看充值套餐编辑页
2. 填写iOS赠送金币为1.5
3. 点击保存</x:v>
      </x:c>
      <x:c r="K195" s="9" t="str">
        <x:v>不能保存金币配置不合法的套餐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来源（当前证据）：liveshow-proto/MainBasis/统一需求文档.md；位置：REQ-adbeef94f7fc；行4223
2. 规则：BR-20ca0a98011bb0e2
3. 未动态验证</x:v>
      </x:c>
    </x:row>
    <x:row r="196" ht="130" customHeight="1">
      <x:c r="A196" s="10" t="n">
        <x:v>195</x:v>
      </x:c>
      <x:c r="B196" s="10" t="str">
        <x:v>ADMIN-07-0044</x:v>
      </x:c>
      <x:c r="C196" s="10" t="str">
        <x:v>运营配置</x:v>
      </x:c>
      <x:c r="D196" s="10" t="str">
        <x:v>充值套餐编辑（平台管理员视角）</x:v>
      </x:c>
      <x:c r="E196" s="10" t="str">
        <x:v>逻辑校验</x:v>
      </x:c>
      <x:c r="F196" s="10" t="str">
        <x:v>P1</x:v>
      </x:c>
      <x:c r="G196" s="9" t="str">
        <x:v>验证充值套餐允许赠送0金币</x:v>
      </x:c>
      <x:c r="H196" s="9" t="str">
        <x:v>充值套餐赠送零值</x:v>
      </x:c>
      <x:c r="I196" s="9" t="str">
        <x:v>1. 执行角色为平台管理员
2. 账号具有当前模块访问及本次操作权限
3. 业务数据已准备且本页已打开；表单和筛选保持下列指定状态
4. iOS商品已选，充值金币100，其他配置有效</x:v>
      </x:c>
      <x:c r="J196" s="9" t="str">
        <x:v>1. 查看充值套餐编辑页
2. 填写iOS赠送金币为0
3. 点击保存</x:v>
      </x:c>
      <x:c r="K196" s="9" t="str">
        <x:v>套餐保存成功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来源（当前证据）：liveshow-proto/MainBasis/统一需求文档.md；位置：REQ-adbeef94f7fc；行4223
2. 规则：BR-badb2b5ad1a68ddd
3. 未动态验证</x:v>
      </x:c>
    </x:row>
    <x:row r="197" ht="115" customHeight="1">
      <x:c r="A197" s="10" t="n">
        <x:v>196</x:v>
      </x:c>
      <x:c r="B197" s="10" t="str">
        <x:v>ADMIN-07-0045</x:v>
      </x:c>
      <x:c r="C197" s="10" t="str">
        <x:v>运营配置</x:v>
      </x:c>
      <x:c r="D197" s="10" t="str">
        <x:v>充值套餐编辑（平台管理员视角）</x:v>
      </x:c>
      <x:c r="E197" s="10" t="str">
        <x:v>逻辑校验</x:v>
      </x:c>
      <x:c r="F197" s="10" t="str">
        <x:v>P1</x:v>
      </x:c>
      <x:c r="G197" s="9" t="str">
        <x:v>验证商店商品价格地区仅回显</x:v>
      </x:c>
      <x:c r="H197" s="9" t="str">
        <x:v>充值商店定价只读</x:v>
      </x:c>
      <x:c r="I197" s="9" t="str">
        <x:v>1. 执行角色为平台管理员
2. 账号具有当前模块访问及本次操作权限
3. 业务数据已准备且本页已打开；表单和筛选保持下列指定状态
4. 已选择有效商店商品</x:v>
      </x:c>
      <x:c r="J197" s="9" t="str">
        <x:v>1. 查看充值套餐编辑页</x:v>
      </x:c>
      <x:c r="K197" s="9" t="str">
        <x:v>销售价格和地区不可编辑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来源（当前证据）：liveshow-proto/MainBasis/统一需求文档.md；位置：REQ-0c66a74e8279；行4213
2. 规则：BR-71fcb6b9d04e86f3
3. 未动态验证</x:v>
      </x:c>
    </x:row>
    <x:row r="198" ht="85" customHeight="1">
      <x:c r="A198" s="10" t="n">
        <x:v>197</x:v>
      </x:c>
      <x:c r="B198" s="10" t="str">
        <x:v>ADMIN-07-0046</x:v>
      </x:c>
      <x:c r="C198" s="10" t="str">
        <x:v>运营配置</x:v>
      </x:c>
      <x:c r="D198" s="10" t="str">
        <x:v>充值套餐编辑（平台管理员视角）</x:v>
      </x:c>
      <x:c r="E198" s="10" t="str">
        <x:v>功能需求</x:v>
      </x:c>
      <x:c r="F198" s="10" t="str">
        <x:v>P2</x:v>
      </x:c>
      <x:c r="G198" s="9" t="str">
        <x:v>验证常规套餐期限限购不限</x:v>
      </x:c>
      <x:c r="H198" s="9" t="str">
        <x:v>常规套餐销售限制</x:v>
      </x:c>
      <x:c r="I198" s="9" t="str">
        <x:v>1. 执行角色为平台管理员
2. 账号具有当前模块访问及本次操作权限</x:v>
      </x:c>
      <x:c r="J198" s="9" t="str">
        <x:v>1. 进入充值套餐编辑页
2. 选择套餐类型为常规</x:v>
      </x:c>
      <x:c r="K198" s="9" t="str">
        <x:v>限购次数和有效时间显示不限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来源（当前证据）：liveshow-proto/MainBasis/统一需求文档.md；位置：REQ-8227bce6a116；行4233
2. 规则：BR-72dcf43b291cbcdd
3. 未动态验证</x:v>
      </x:c>
    </x:row>
    <x:row r="199" ht="85" customHeight="1">
      <x:c r="A199" s="10" t="n">
        <x:v>198</x:v>
      </x:c>
      <x:c r="B199" s="10" t="str">
        <x:v>ADMIN-07-0047</x:v>
      </x:c>
      <x:c r="C199" s="10" t="str">
        <x:v>运营配置</x:v>
      </x:c>
      <x:c r="D199" s="10" t="str">
        <x:v>充值套餐编辑（平台管理员视角）</x:v>
      </x:c>
      <x:c r="E199" s="10" t="str">
        <x:v>逻辑校验</x:v>
      </x:c>
      <x:c r="F199" s="10" t="str">
        <x:v>P1</x:v>
      </x:c>
      <x:c r="G199" s="9" t="str">
        <x:v>验证活动套餐默认单用户限购1次</x:v>
      </x:c>
      <x:c r="H199" s="9" t="str">
        <x:v>活动套餐默认限购</x:v>
      </x:c>
      <x:c r="I199" s="9" t="str">
        <x:v>1. 执行角色为平台管理员
2. 账号具有当前模块访问及本次操作权限</x:v>
      </x:c>
      <x:c r="J199" s="9" t="str">
        <x:v>1. 进入充值套餐编辑页
2. 选择套餐类型为活动</x:v>
      </x:c>
      <x:c r="K199" s="9" t="str">
        <x:v>单用户限购次数为1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来源（当前证据）：liveshow-proto/MainBasis/统一需求文档.md；位置：REQ-dccf743d40a1；行4235
2. 规则：BR-9f538beba489935b
3. 未动态验证</x:v>
      </x:c>
    </x:row>
    <x:row r="200" ht="130" customHeight="1">
      <x:c r="A200" s="10" t="n">
        <x:v>199</x:v>
      </x:c>
      <x:c r="B200" s="10" t="str">
        <x:v>ADMIN-07-0048</x:v>
      </x:c>
      <x:c r="C200" s="10" t="str">
        <x:v>运营配置</x:v>
      </x:c>
      <x:c r="D200" s="10" t="str">
        <x:v>充值套餐编辑（平台管理员视角）</x:v>
      </x:c>
      <x:c r="E200" s="10" t="str">
        <x:v>逻辑校验</x:v>
      </x:c>
      <x:c r="F200" s="10" t="str">
        <x:v>P1</x:v>
      </x:c>
      <x:c r="G200" s="9" t="str">
        <x:v>验证活动套餐默认一个月有效期</x:v>
      </x:c>
      <x:c r="H200" s="9" t="str">
        <x:v>活动套餐默认期限</x:v>
      </x:c>
      <x:c r="I200" s="9" t="str">
        <x:v>1. 执行角色为平台管理员
2. 账号具有当前模块访问及本次操作权限
3. 业务数据已准备且本页已打开；表单和筛选保持下列指定状态
4. 测试时钟为2026年9月16日10:00</x:v>
      </x:c>
      <x:c r="J200" s="9" t="str">
        <x:v>1. 查看充值套餐编辑页
2. 选择套餐类型为活动</x:v>
      </x:c>
      <x:c r="K200" s="9" t="str">
        <x:v>有效期为2026年9月16日10:00至10月16日10:00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来源（当前证据）：liveshow-proto/MainBasis/统一需求文档.md；位置：REQ-bd78198f3cbc；行4217、REQ-dccf743d40a1；行4235
2. 规则：BR-38fd33f3b347271b
3. 未动态验证</x:v>
      </x:c>
    </x:row>
    <x:row r="201" ht="115" customHeight="1">
      <x:c r="A201" s="10" t="n">
        <x:v>200</x:v>
      </x:c>
      <x:c r="B201" s="10" t="str">
        <x:v>ADMIN-07-0049</x:v>
      </x:c>
      <x:c r="C201" s="10" t="str">
        <x:v>运营配置</x:v>
      </x:c>
      <x:c r="D201" s="10" t="str">
        <x:v>任务编辑（平台管理员视角）</x:v>
      </x:c>
      <x:c r="E201" s="10" t="str">
        <x:v>逻辑校验</x:v>
      </x:c>
      <x:c r="F201" s="10" t="str">
        <x:v>P1</x:v>
      </x:c>
      <x:c r="G201" s="9" t="str">
        <x:v>验证任务中文名称必填</x:v>
      </x:c>
      <x:c r="H201" s="9" t="str">
        <x:v>任务中文名称校验</x:v>
      </x:c>
      <x:c r="I201" s="9" t="str">
        <x:v>1. 执行角色为平台管理员
2. 账号具有当前模块访问及本次操作权限
3. 业务数据已准备且本页已打开；表单和筛选保持下列指定状态
4. 其他字段均有效</x:v>
      </x:c>
      <x:c r="J201" s="9" t="str">
        <x:v>1. 查看任务编辑页
2. 清空中文名称
3. 点击保存</x:v>
      </x:c>
      <x:c r="K201" s="9" t="str">
        <x:v>不能保存缺少四语名称的任务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来源（当前证据）：liveshow-proto/MainBasis/统一需求文档.md；位置：REQ-0d1b175fbd0b；行4269
2. 规则：BR-56754d8e239563ca
3. 未动态验证</x:v>
      </x:c>
    </x:row>
    <x:row r="202" ht="115" customHeight="1">
      <x:c r="A202" s="10" t="n">
        <x:v>201</x:v>
      </x:c>
      <x:c r="B202" s="10" t="str">
        <x:v>ADMIN-07-0050</x:v>
      </x:c>
      <x:c r="C202" s="10" t="str">
        <x:v>运营配置</x:v>
      </x:c>
      <x:c r="D202" s="10" t="str">
        <x:v>任务编辑（平台管理员视角）</x:v>
      </x:c>
      <x:c r="E202" s="10" t="str">
        <x:v>逻辑校验</x:v>
      </x:c>
      <x:c r="F202" s="10" t="str">
        <x:v>P1</x:v>
      </x:c>
      <x:c r="G202" s="9" t="str">
        <x:v>验证任务英语名称必填</x:v>
      </x:c>
      <x:c r="H202" s="9" t="str">
        <x:v>任务英语名称校验</x:v>
      </x:c>
      <x:c r="I202" s="9" t="str">
        <x:v>1. 执行角色为平台管理员
2. 账号具有当前模块访问及本次操作权限
3. 业务数据已准备且本页已打开；表单和筛选保持下列指定状态
4. 其他字段均有效</x:v>
      </x:c>
      <x:c r="J202" s="9" t="str">
        <x:v>1. 查看任务编辑页
2. 清空英语名称
3. 点击保存</x:v>
      </x:c>
      <x:c r="K202" s="9" t="str">
        <x:v>不能保存缺少四语名称的任务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来源（当前证据）：liveshow-proto/MainBasis/统一需求文档.md；位置：REQ-0d1b175fbd0b；行4269
2. 规则：BR-23f3bc3c2d7cbe0f
3. 未动态验证</x:v>
      </x:c>
    </x:row>
    <x:row r="203" ht="115" customHeight="1">
      <x:c r="A203" s="10" t="n">
        <x:v>202</x:v>
      </x:c>
      <x:c r="B203" s="10" t="str">
        <x:v>ADMIN-07-0051</x:v>
      </x:c>
      <x:c r="C203" s="10" t="str">
        <x:v>运营配置</x:v>
      </x:c>
      <x:c r="D203" s="10" t="str">
        <x:v>任务编辑（平台管理员视角）</x:v>
      </x:c>
      <x:c r="E203" s="10" t="str">
        <x:v>逻辑校验</x:v>
      </x:c>
      <x:c r="F203" s="10" t="str">
        <x:v>P1</x:v>
      </x:c>
      <x:c r="G203" s="9" t="str">
        <x:v>验证任务印尼语名称必填</x:v>
      </x:c>
      <x:c r="H203" s="9" t="str">
        <x:v>任务印尼语名称校验</x:v>
      </x:c>
      <x:c r="I203" s="9" t="str">
        <x:v>1. 执行角色为平台管理员
2. 账号具有当前模块访问及本次操作权限
3. 业务数据已准备且本页已打开；表单和筛选保持下列指定状态
4. 其他字段均有效</x:v>
      </x:c>
      <x:c r="J203" s="9" t="str">
        <x:v>1. 查看任务编辑页
2. 清空印尼语名称
3. 点击保存</x:v>
      </x:c>
      <x:c r="K203" s="9" t="str">
        <x:v>不能保存缺少四语名称的任务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来源（当前证据）：liveshow-proto/MainBasis/统一需求文档.md；位置：REQ-0d1b175fbd0b；行4269
2. 规则：BR-018a711ef252f5ed
3. 未动态验证</x:v>
      </x:c>
    </x:row>
    <x:row r="204" ht="115" customHeight="1">
      <x:c r="A204" s="10" t="n">
        <x:v>203</x:v>
      </x:c>
      <x:c r="B204" s="10" t="str">
        <x:v>ADMIN-07-0052</x:v>
      </x:c>
      <x:c r="C204" s="10" t="str">
        <x:v>运营配置</x:v>
      </x:c>
      <x:c r="D204" s="10" t="str">
        <x:v>任务编辑（平台管理员视角）</x:v>
      </x:c>
      <x:c r="E204" s="10" t="str">
        <x:v>逻辑校验</x:v>
      </x:c>
      <x:c r="F204" s="10" t="str">
        <x:v>P1</x:v>
      </x:c>
      <x:c r="G204" s="9" t="str">
        <x:v>验证任务马来语名称必填</x:v>
      </x:c>
      <x:c r="H204" s="9" t="str">
        <x:v>任务马来语名称校验</x:v>
      </x:c>
      <x:c r="I204" s="9" t="str">
        <x:v>1. 执行角色为平台管理员
2. 账号具有当前模块访问及本次操作权限
3. 业务数据已准备且本页已打开；表单和筛选保持下列指定状态
4. 其他字段均有效</x:v>
      </x:c>
      <x:c r="J204" s="9" t="str">
        <x:v>1. 查看任务编辑页
2. 清空马来语名称
3. 点击保存</x:v>
      </x:c>
      <x:c r="K204" s="9" t="str">
        <x:v>不能保存缺少四语名称的任务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来源（当前证据）：liveshow-proto/MainBasis/统一需求文档.md；位置：REQ-0d1b175fbd0b；行4269
2. 规则：BR-9c04caf34342516b
3. 未动态验证</x:v>
      </x:c>
    </x:row>
    <x:row r="205" ht="130" customHeight="1">
      <x:c r="A205" s="10" t="n">
        <x:v>204</x:v>
      </x:c>
      <x:c r="B205" s="10" t="str">
        <x:v>ADMIN-07-0053</x:v>
      </x:c>
      <x:c r="C205" s="10" t="str">
        <x:v>运营配置</x:v>
      </x:c>
      <x:c r="D205" s="10" t="str">
        <x:v>任务编辑（平台管理员视角）</x:v>
      </x:c>
      <x:c r="E205" s="10" t="str">
        <x:v>逻辑校验</x:v>
      </x:c>
      <x:c r="F205" s="10" t="str">
        <x:v>P1</x:v>
      </x:c>
      <x:c r="G205" s="9" t="str">
        <x:v>验证任务不能删除全部达成条件</x:v>
      </x:c>
      <x:c r="H205" s="9" t="str">
        <x:v>任务条件最少数量</x:v>
      </x:c>
      <x:c r="I205" s="9" t="str">
        <x:v>1. 执行角色为平台管理员
2. 账号具有当前模块访问及本次操作权限
3. 业务数据已准备且本页已打开；表单和筛选保持下列指定状态
4. 已有1条达成条件，其他字段有效</x:v>
      </x:c>
      <x:c r="J205" s="9" t="str">
        <x:v>1. 查看任务编辑页
2. 删除达成条件
3. 点击保存</x:v>
      </x:c>
      <x:c r="K205" s="9" t="str">
        <x:v>不能保存无达成条件的任务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来源（当前证据）：liveshow-proto/MainBasis/统一需求文档.md；位置：REQ-3252e7c24370；行4277
2. 规则：BR-0e95e9f761608559
3. 未动态验证</x:v>
      </x:c>
    </x:row>
    <x:row r="206" ht="115" customHeight="1">
      <x:c r="A206" s="10" t="n">
        <x:v>205</x:v>
      </x:c>
      <x:c r="B206" s="10" t="str">
        <x:v>ADMIN-07-0054</x:v>
      </x:c>
      <x:c r="C206" s="10" t="str">
        <x:v>运营配置</x:v>
      </x:c>
      <x:c r="D206" s="10" t="str">
        <x:v>任务编辑（平台管理员视角）</x:v>
      </x:c>
      <x:c r="E206" s="10" t="str">
        <x:v>逻辑校验</x:v>
      </x:c>
      <x:c r="F206" s="10" t="str">
        <x:v>P1</x:v>
      </x:c>
      <x:c r="G206" s="9" t="str">
        <x:v>验证任务阈值0不能保存</x:v>
      </x:c>
      <x:c r="H206" s="9" t="str">
        <x:v>任务阈值正数限制</x:v>
      </x:c>
      <x:c r="I206" s="9" t="str">
        <x:v>1. 执行角色为平台管理员
2. 账号具有当前模块访问及本次操作权限
3. 业务数据已准备且本页已打开；表单和筛选保持下列指定状态
4. 其他配置有效</x:v>
      </x:c>
      <x:c r="J206" s="9" t="str">
        <x:v>1. 查看任务编辑页
2. 填写达成阈值为0
3. 点击保存</x:v>
      </x:c>
      <x:c r="K206" s="9" t="str">
        <x:v>不能保存非正阈值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来源（当前证据）：liveshow-proto/MainBasis/统一需求文档.md；位置：REQ-3252e7c24370；行4277
2. 规则：BR-6d94da970a335d99
3. 未动态验证</x:v>
      </x:c>
    </x:row>
    <x:row r="207" ht="115" customHeight="1">
      <x:c r="A207" s="10" t="n">
        <x:v>206</x:v>
      </x:c>
      <x:c r="B207" s="10" t="str">
        <x:v>ADMIN-07-0055</x:v>
      </x:c>
      <x:c r="C207" s="10" t="str">
        <x:v>运营配置</x:v>
      </x:c>
      <x:c r="D207" s="10" t="str">
        <x:v>任务编辑（平台管理员视角）</x:v>
      </x:c>
      <x:c r="E207" s="10" t="str">
        <x:v>逻辑校验</x:v>
      </x:c>
      <x:c r="F207" s="10" t="str">
        <x:v>P1</x:v>
      </x:c>
      <x:c r="G207" s="9" t="str">
        <x:v>验证任务阈值-1不能保存</x:v>
      </x:c>
      <x:c r="H207" s="9" t="str">
        <x:v>任务阈值正数限制</x:v>
      </x:c>
      <x:c r="I207" s="9" t="str">
        <x:v>1. 执行角色为平台管理员
2. 账号具有当前模块访问及本次操作权限
3. 业务数据已准备且本页已打开；表单和筛选保持下列指定状态
4. 其他配置有效</x:v>
      </x:c>
      <x:c r="J207" s="9" t="str">
        <x:v>1. 查看任务编辑页
2. 填写达成阈值为-1
3. 点击保存</x:v>
      </x:c>
      <x:c r="K207" s="9" t="str">
        <x:v>不能保存非正阈值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来源（当前证据）：liveshow-proto/MainBasis/统一需求文档.md；位置：REQ-3252e7c24370；行4277
2. 规则：BR-5e7b359cda7efb1d
3. 未动态验证</x:v>
      </x:c>
    </x:row>
    <x:row r="208" ht="115" customHeight="1">
      <x:c r="A208" s="10" t="n">
        <x:v>207</x:v>
      </x:c>
      <x:c r="B208" s="10" t="str">
        <x:v>ADMIN-07-0056</x:v>
      </x:c>
      <x:c r="C208" s="10" t="str">
        <x:v>运营配置</x:v>
      </x:c>
      <x:c r="D208" s="10" t="str">
        <x:v>任务编辑（平台管理员视角）</x:v>
      </x:c>
      <x:c r="E208" s="10" t="str">
        <x:v>逻辑校验</x:v>
      </x:c>
      <x:c r="F208" s="10" t="str">
        <x:v>P1</x:v>
      </x:c>
      <x:c r="G208" s="9" t="str">
        <x:v>验证任务同一阈值不能配置两次</x:v>
      </x:c>
      <x:c r="H208" s="9" t="str">
        <x:v>任务阈值唯一性</x:v>
      </x:c>
      <x:c r="I208" s="9" t="str">
        <x:v>1. 执行角色为平台管理员
2. 账号具有当前模块访问及本次操作权限
3. 业务数据已准备且本页已打开；表单和筛选保持下列指定状态
4. 同一任务已配置阈值10</x:v>
      </x:c>
      <x:c r="J208" s="9" t="str">
        <x:v>1. 查看任务编辑页
2. 点击添加达成条件
3. 填写新条件阈值为10
4. 点击保存</x:v>
      </x:c>
      <x:c r="K208" s="9" t="str">
        <x:v>不能保存重复阈值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来源（当前证据）：liveshow-proto/MainBasis/统一需求文档.md；位置：REQ-3252e7c24370；行4277
2. 规则：BR-9966f8b3daaf070f
3. 未动态验证</x:v>
      </x:c>
    </x:row>
    <x:row r="209" ht="115" customHeight="1">
      <x:c r="A209" s="10" t="n">
        <x:v>208</x:v>
      </x:c>
      <x:c r="B209" s="10" t="str">
        <x:v>ADMIN-07-0057</x:v>
      </x:c>
      <x:c r="C209" s="10" t="str">
        <x:v>运营配置</x:v>
      </x:c>
      <x:c r="D209" s="10" t="str">
        <x:v>任务编辑（平台管理员视角）</x:v>
      </x:c>
      <x:c r="E209" s="10" t="str">
        <x:v>逻辑校验</x:v>
      </x:c>
      <x:c r="F209" s="10" t="str">
        <x:v>P1</x:v>
      </x:c>
      <x:c r="G209" s="9" t="str">
        <x:v>验证任务奖励0金币不合法</x:v>
      </x:c>
      <x:c r="H209" s="9" t="str">
        <x:v>任务金币奖励约束</x:v>
      </x:c>
      <x:c r="I209" s="9" t="str">
        <x:v>1. 执行角色为平台管理员
2. 账号具有当前模块访问及本次操作权限
3. 业务数据已准备且本页已打开；表单和筛选保持下列指定状态
4. 其他配置有效</x:v>
      </x:c>
      <x:c r="J209" s="9" t="str">
        <x:v>1. 查看任务编辑页
2. 填写达成奖励为0
3. 点击保存</x:v>
      </x:c>
      <x:c r="K209" s="9" t="str">
        <x:v>不能保存非正整数奖励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来源（当前证据）：liveshow-proto/MainBasis/统一需求文档.md；位置：REQ-cc77c6820c53；行4279
2. 规则：BR-b2047a954e092d6c
3. 未动态验证</x:v>
      </x:c>
    </x:row>
    <x:row r="210" ht="115" customHeight="1">
      <x:c r="A210" s="10" t="n">
        <x:v>209</x:v>
      </x:c>
      <x:c r="B210" s="10" t="str">
        <x:v>ADMIN-07-0058</x:v>
      </x:c>
      <x:c r="C210" s="10" t="str">
        <x:v>运营配置</x:v>
      </x:c>
      <x:c r="D210" s="10" t="str">
        <x:v>任务编辑（平台管理员视角）</x:v>
      </x:c>
      <x:c r="E210" s="10" t="str">
        <x:v>逻辑校验</x:v>
      </x:c>
      <x:c r="F210" s="10" t="str">
        <x:v>P1</x:v>
      </x:c>
      <x:c r="G210" s="9" t="str">
        <x:v>验证任务奖励-1金币不合法</x:v>
      </x:c>
      <x:c r="H210" s="9" t="str">
        <x:v>任务金币奖励约束</x:v>
      </x:c>
      <x:c r="I210" s="9" t="str">
        <x:v>1. 执行角色为平台管理员
2. 账号具有当前模块访问及本次操作权限
3. 业务数据已准备且本页已打开；表单和筛选保持下列指定状态
4. 其他配置有效</x:v>
      </x:c>
      <x:c r="J210" s="9" t="str">
        <x:v>1. 查看任务编辑页
2. 填写达成奖励为-1
3. 点击保存</x:v>
      </x:c>
      <x:c r="K210" s="9" t="str">
        <x:v>不能保存非正整数奖励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来源（当前证据）：liveshow-proto/MainBasis/统一需求文档.md；位置：REQ-cc77c6820c53；行4279
2. 规则：BR-1d76f747077c6c32
3. 未动态验证</x:v>
      </x:c>
    </x:row>
    <x:row r="211" ht="115" customHeight="1">
      <x:c r="A211" s="10" t="n">
        <x:v>210</x:v>
      </x:c>
      <x:c r="B211" s="10" t="str">
        <x:v>ADMIN-07-0059</x:v>
      </x:c>
      <x:c r="C211" s="10" t="str">
        <x:v>运营配置</x:v>
      </x:c>
      <x:c r="D211" s="10" t="str">
        <x:v>任务编辑（平台管理员视角）</x:v>
      </x:c>
      <x:c r="E211" s="10" t="str">
        <x:v>逻辑校验</x:v>
      </x:c>
      <x:c r="F211" s="10" t="str">
        <x:v>P1</x:v>
      </x:c>
      <x:c r="G211" s="9" t="str">
        <x:v>验证任务奖励1.5金币不合法</x:v>
      </x:c>
      <x:c r="H211" s="9" t="str">
        <x:v>任务金币奖励约束</x:v>
      </x:c>
      <x:c r="I211" s="9" t="str">
        <x:v>1. 执行角色为平台管理员
2. 账号具有当前模块访问及本次操作权限
3. 业务数据已准备且本页已打开；表单和筛选保持下列指定状态
4. 其他配置有效</x:v>
      </x:c>
      <x:c r="J211" s="9" t="str">
        <x:v>1. 查看任务编辑页
2. 填写达成奖励为1.5
3. 点击保存</x:v>
      </x:c>
      <x:c r="K211" s="9" t="str">
        <x:v>不能保存非正整数奖励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来源（当前证据）：liveshow-proto/MainBasis/统一需求文档.md；位置：REQ-cc77c6820c53；行4279
2. 规则：BR-04eceaaf3a394fff
3. 未动态验证</x:v>
      </x:c>
    </x:row>
    <x:row r="212" ht="130" customHeight="1">
      <x:c r="A212" s="10" t="n">
        <x:v>211</x:v>
      </x:c>
      <x:c r="B212" s="10" t="str">
        <x:v>ADMIN-07-0060</x:v>
      </x:c>
      <x:c r="C212" s="10" t="str">
        <x:v>运营配置</x:v>
      </x:c>
      <x:c r="D212" s="10" t="str">
        <x:v>任务编辑（平台管理员视角）</x:v>
      </x:c>
      <x:c r="E212" s="10" t="str">
        <x:v>逻辑校验</x:v>
      </x:c>
      <x:c r="F212" s="10" t="str">
        <x:v>P1</x:v>
      </x:c>
      <x:c r="G212" s="9" t="str">
        <x:v>验证任务切换动作更新指标周期</x:v>
      </x:c>
      <x:c r="H212" s="9" t="str">
        <x:v>任务动作指标联动</x:v>
      </x:c>
      <x:c r="I212" s="9" t="str">
        <x:v>1. 执行角色为平台管理员
2. 账号具有当前模块访问及本次操作权限
3. 业务数据已准备且本页已打开；表单和筛选保持下列指定状态
4. 当前动作已有指标和周期选择</x:v>
      </x:c>
      <x:c r="J212" s="9" t="str">
        <x:v>1. 查看任务编辑页
2. 切换用户动作为另一预置动作</x:v>
      </x:c>
      <x:c r="K212" s="9" t="str">
        <x:v>指标与周期重置为新动作支持的选项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来源（当前证据）：liveshow-proto/MainBasis/统一需求文档.md；位置：REQ-d93c44224736；行4283
2. 规则：BR-59a10aa8d687111b
3. 未动态验证</x:v>
      </x:c>
    </x:row>
    <x:row r="213" ht="115" customHeight="1">
      <x:c r="A213" s="10" t="n">
        <x:v>212</x:v>
      </x:c>
      <x:c r="B213" s="10" t="str">
        <x:v>ADMIN-07-0061</x:v>
      </x:c>
      <x:c r="C213" s="10" t="str">
        <x:v>运营配置</x:v>
      </x:c>
      <x:c r="D213" s="10" t="str">
        <x:v>任务编辑（平台管理员视角）</x:v>
      </x:c>
      <x:c r="E213" s="10" t="str">
        <x:v>逻辑校验</x:v>
      </x:c>
      <x:c r="F213" s="10" t="str">
        <x:v>P1</x:v>
      </x:c>
      <x:c r="G213" s="9" t="str">
        <x:v>验证任务结束时间不得等于开始</x:v>
      </x:c>
      <x:c r="H213" s="9" t="str">
        <x:v>任务生效时间校验</x:v>
      </x:c>
      <x:c r="I213" s="9" t="str">
        <x:v>1. 执行角色为平台管理员
2. 账号具有当前模块访问及本次操作权限
3. 业务数据已准备且本页已打开；表单和筛选保持下列指定状态
4. 其他配置有效</x:v>
      </x:c>
      <x:c r="J213" s="9" t="str">
        <x:v>1. 查看任务编辑页
2. 填写开始时间为9月16日10:00
3. 填写结束时间为9月16日10:00
4. 点击保存</x:v>
      </x:c>
      <x:c r="K213" s="9" t="str">
        <x:v>不能保存零时长任务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来源（当前证据）：liveshow-proto/MainBasis/统一需求文档.md；位置：REQ-fc1d202f34ef；行4271
2. 规则：BR-190b5c6ec90b4564
3. 未动态验证</x:v>
      </x:c>
    </x:row>
    <x:row r="214" ht="130" customHeight="1">
      <x:c r="A214" s="10" t="n">
        <x:v>213</x:v>
      </x:c>
      <x:c r="B214" s="10" t="str">
        <x:v>ADMIN-07-0062</x:v>
      </x:c>
      <x:c r="C214" s="10" t="str">
        <x:v>运营配置</x:v>
      </x:c>
      <x:c r="D214" s="10" t="str">
        <x:v>公会推荐编辑（平台管理员视角）</x:v>
      </x:c>
      <x:c r="E214" s="10" t="str">
        <x:v>逻辑校验</x:v>
      </x:c>
      <x:c r="F214" s="10" t="str">
        <x:v>P1</x:v>
      </x:c>
      <x:c r="G214" s="9" t="str">
        <x:v>验证已推荐公会不能重复推荐</x:v>
      </x:c>
      <x:c r="H214" s="9" t="str">
        <x:v>推荐公会唯一性</x:v>
      </x:c>
      <x:c r="I214" s="9" t="str">
        <x:v>1. 执行角色为平台管理员
2. 账号具有当前模块访问及本次操作权限
3. 业务数据已准备且本页已打开；表单和筛选保持下列指定状态
4. 公会A有效且已存在推荐配置</x:v>
      </x:c>
      <x:c r="J214" s="9" t="str">
        <x:v>1. 查看公会推荐编辑页
2. 选择推荐公会为A
3. 点击保存</x:v>
      </x:c>
      <x:c r="K214" s="9" t="str">
        <x:v>不能保存重复公会推荐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来源（当前证据）：liveshow-proto/MainBasis/统一需求文档.md；位置：REQ-59953fab8b22；行4305
2. 规则：BR-9f62cab315cc9b31
3. 未动态验证</x:v>
      </x:c>
    </x:row>
    <x:row r="215" ht="115" customHeight="1">
      <x:c r="A215" s="10" t="n">
        <x:v>214</x:v>
      </x:c>
      <x:c r="B215" s="10" t="str">
        <x:v>ADMIN-07-0063</x:v>
      </x:c>
      <x:c r="C215" s="10" t="str">
        <x:v>运营配置</x:v>
      </x:c>
      <x:c r="D215" s="10" t="str">
        <x:v>公会推荐编辑（平台管理员视角）</x:v>
      </x:c>
      <x:c r="E215" s="10" t="str">
        <x:v>逻辑校验</x:v>
      </x:c>
      <x:c r="F215" s="10" t="str">
        <x:v>P1</x:v>
      </x:c>
      <x:c r="G215" s="9" t="str">
        <x:v>验证推荐权重0不合法</x:v>
      </x:c>
      <x:c r="H215" s="9" t="str">
        <x:v>公会推荐权重校验</x:v>
      </x:c>
      <x:c r="I215" s="9" t="str">
        <x:v>1. 执行角色为平台管理员
2. 账号具有当前模块访问及本次操作权限
3. 业务数据已准备且本页已打开；表单和筛选保持下列指定状态
4. 已选择有效未推荐公会</x:v>
      </x:c>
      <x:c r="J215" s="9" t="str">
        <x:v>1. 查看公会推荐编辑页
2. 填写排序权重为0
3. 点击保存</x:v>
      </x:c>
      <x:c r="K215" s="9" t="str">
        <x:v>不能保存非正整数权重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来源（当前证据）：liveshow-proto/MainBasis/统一需求文档.md；位置：REQ-e5c8bd6e30f2；行4307
2. 规则：BR-7a003a3e7dc7e874
3. 未动态验证</x:v>
      </x:c>
    </x:row>
    <x:row r="216" ht="115" customHeight="1">
      <x:c r="A216" s="10" t="n">
        <x:v>215</x:v>
      </x:c>
      <x:c r="B216" s="10" t="str">
        <x:v>ADMIN-07-0064</x:v>
      </x:c>
      <x:c r="C216" s="10" t="str">
        <x:v>运营配置</x:v>
      </x:c>
      <x:c r="D216" s="10" t="str">
        <x:v>公会推荐编辑（平台管理员视角）</x:v>
      </x:c>
      <x:c r="E216" s="10" t="str">
        <x:v>逻辑校验</x:v>
      </x:c>
      <x:c r="F216" s="10" t="str">
        <x:v>P1</x:v>
      </x:c>
      <x:c r="G216" s="9" t="str">
        <x:v>验证推荐权重-1不合法</x:v>
      </x:c>
      <x:c r="H216" s="9" t="str">
        <x:v>公会推荐权重校验</x:v>
      </x:c>
      <x:c r="I216" s="9" t="str">
        <x:v>1. 执行角色为平台管理员
2. 账号具有当前模块访问及本次操作权限
3. 业务数据已准备且本页已打开；表单和筛选保持下列指定状态
4. 已选择有效未推荐公会</x:v>
      </x:c>
      <x:c r="J216" s="9" t="str">
        <x:v>1. 查看公会推荐编辑页
2. 填写排序权重为-1
3. 点击保存</x:v>
      </x:c>
      <x:c r="K216" s="9" t="str">
        <x:v>不能保存非正整数权重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来源（当前证据）：liveshow-proto/MainBasis/统一需求文档.md；位置：REQ-e5c8bd6e30f2；行4307
2. 规则：BR-d752348c924620a1
3. 未动态验证</x:v>
      </x:c>
    </x:row>
    <x:row r="217" ht="115" customHeight="1">
      <x:c r="A217" s="10" t="n">
        <x:v>216</x:v>
      </x:c>
      <x:c r="B217" s="10" t="str">
        <x:v>ADMIN-07-0065</x:v>
      </x:c>
      <x:c r="C217" s="10" t="str">
        <x:v>运营配置</x:v>
      </x:c>
      <x:c r="D217" s="10" t="str">
        <x:v>公会推荐编辑（平台管理员视角）</x:v>
      </x:c>
      <x:c r="E217" s="10" t="str">
        <x:v>逻辑校验</x:v>
      </x:c>
      <x:c r="F217" s="10" t="str">
        <x:v>P1</x:v>
      </x:c>
      <x:c r="G217" s="9" t="str">
        <x:v>验证推荐权重1.5不合法</x:v>
      </x:c>
      <x:c r="H217" s="9" t="str">
        <x:v>公会推荐权重校验</x:v>
      </x:c>
      <x:c r="I217" s="9" t="str">
        <x:v>1. 执行角色为平台管理员
2. 账号具有当前模块访问及本次操作权限
3. 业务数据已准备且本页已打开；表单和筛选保持下列指定状态
4. 已选择有效未推荐公会</x:v>
      </x:c>
      <x:c r="J217" s="9" t="str">
        <x:v>1. 查看公会推荐编辑页
2. 填写排序权重为1.5
3. 点击保存</x:v>
      </x:c>
      <x:c r="K217" s="9" t="str">
        <x:v>不能保存非正整数权重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来源（当前证据）：liveshow-proto/MainBasis/统一需求文档.md；位置：REQ-e5c8bd6e30f2；行4307
2. 规则：BR-91d55a50acf3f6a5
3. 未动态验证</x:v>
      </x:c>
    </x:row>
    <x:row r="218" ht="115" customHeight="1">
      <x:c r="A218" s="10" t="n">
        <x:v>217</x:v>
      </x:c>
      <x:c r="B218" s="10" t="str">
        <x:v>ADMIN-05-0013</x:v>
      </x:c>
      <x:c r="C218" s="10" t="str">
        <x:v>公会管理</x:v>
      </x:c>
      <x:c r="D218" s="10" t="str">
        <x:v>公会列表（平台管理员视角）</x:v>
      </x:c>
      <x:c r="E218" s="10" t="str">
        <x:v>逻辑校验</x:v>
      </x:c>
      <x:c r="F218" s="10" t="str">
        <x:v>P1</x:v>
      </x:c>
      <x:c r="G218" s="9" t="str">
        <x:v>验证取消推荐保留公会启用状态</x:v>
      </x:c>
      <x:c r="H218" s="9" t="str">
        <x:v>推荐与公会状态独立</x:v>
      </x:c>
      <x:c r="I218" s="9" t="str">
        <x:v>1. 执行角色为平台管理员
2. 账号具有当前模块访问及本次操作权限
3. 业务数据已准备且本页已打开；表单和筛选保持下列指定状态
4. 公会A启用且已推荐</x:v>
      </x:c>
      <x:c r="J218" s="9" t="str">
        <x:v>1. 查看公会推荐页
2. 点击公会A移除
3. 点击确认
4. 进入公会列表页</x:v>
      </x:c>
      <x:c r="K218" s="9" t="str">
        <x:v>公会A状态仍为启用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来源（当前证据）：liveshow-proto/MainBasis/统一需求文档.md；位置：REQ-c75a1ad2560c；行4296、REQ-00fcb3af14ad；行3879
2. 规则：BR-c5d34893dd9b8fbe
3. 未动态验证</x:v>
      </x:c>
    </x:row>
    <x:row r="219" ht="85" customHeight="1">
      <x:c r="A219" s="10" t="n">
        <x:v>218</x:v>
      </x:c>
      <x:c r="B219" s="10" t="str">
        <x:v>ADMIN-07-0066</x:v>
      </x:c>
      <x:c r="C219" s="10" t="str">
        <x:v>运营配置</x:v>
      </x:c>
      <x:c r="D219" s="10" t="str">
        <x:v>等级配置（平台管理员视角）</x:v>
      </x:c>
      <x:c r="E219" s="10" t="str">
        <x:v>逻辑校验</x:v>
      </x:c>
      <x:c r="F219" s="10" t="str">
        <x:v>P1</x:v>
      </x:c>
      <x:c r="G219" s="9" t="str">
        <x:v>验证主播等级基础门槛固定0</x:v>
      </x:c>
      <x:c r="H219" s="9" t="str">
        <x:v>主播等级1级门槛</x:v>
      </x:c>
      <x:c r="I219" s="9" t="str">
        <x:v>1. 执行角色为平台管理员
2. 账号具有当前模块访问及本次操作权限</x:v>
      </x:c>
      <x:c r="J219" s="9" t="str">
        <x:v>1. 进入等级配置页
2. 切换主播等级</x:v>
      </x:c>
      <x:c r="K219" s="9" t="str">
        <x:v>1级门槛为0且不可修改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来源（当前证据）：liveshow-proto/MainBasis/统一需求文档.md；位置：REQ-9376b0d200c0；行4338
2. 规则：BR-aeb8a8526f5973a3
3. 未动态验证</x:v>
      </x:c>
    </x:row>
    <x:row r="220" ht="115" customHeight="1">
      <x:c r="A220" s="10" t="n">
        <x:v>219</x:v>
      </x:c>
      <x:c r="B220" s="10" t="str">
        <x:v>ADMIN-07-0067</x:v>
      </x:c>
      <x:c r="C220" s="10" t="str">
        <x:v>运营配置</x:v>
      </x:c>
      <x:c r="D220" s="10" t="str">
        <x:v>等级配置（平台管理员视角）</x:v>
      </x:c>
      <x:c r="E220" s="10" t="str">
        <x:v>功能需求</x:v>
      </x:c>
      <x:c r="F220" s="10" t="str">
        <x:v>P2</x:v>
      </x:c>
      <x:c r="G220" s="9" t="str">
        <x:v>验证主播等级新增等级自动连续编号</x:v>
      </x:c>
      <x:c r="H220" s="9" t="str">
        <x:v>主播等级新增编号</x:v>
      </x:c>
      <x:c r="I220" s="9" t="str">
        <x:v>1. 执行角色为平台管理员
2. 账号具有当前模块访问及本次操作权限
3. 业务数据已准备且本页已打开；表单和筛选保持下列指定状态
4. 当前主播等级最高等级为3</x:v>
      </x:c>
      <x:c r="J220" s="9" t="str">
        <x:v>1. 查看等级配置页
2. 切换主播等级
3. 点击新增等级</x:v>
      </x:c>
      <x:c r="K220" s="9" t="str">
        <x:v>新等级编号为4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来源（当前证据）：liveshow-proto/MainBasis/统一需求文档.md；位置：REQ-fb5475333eb2；行4340
2. 规则：BR-057e99701d33e37e
3. 未动态验证</x:v>
      </x:c>
    </x:row>
    <x:row r="221" ht="130" customHeight="1">
      <x:c r="A221" s="10" t="n">
        <x:v>220</x:v>
      </x:c>
      <x:c r="B221" s="10" t="str">
        <x:v>ADMIN-07-0068</x:v>
      </x:c>
      <x:c r="C221" s="10" t="str">
        <x:v>运营配置</x:v>
      </x:c>
      <x:c r="D221" s="10" t="str">
        <x:v>等级配置（平台管理员视角）</x:v>
      </x:c>
      <x:c r="E221" s="10" t="str">
        <x:v>逻辑校验</x:v>
      </x:c>
      <x:c r="F221" s="10" t="str">
        <x:v>P1</x:v>
      </x:c>
      <x:c r="G221" s="9" t="str">
        <x:v>验证主播等级门槛等于上级不能保存</x:v>
      </x:c>
      <x:c r="H221" s="9" t="str">
        <x:v>主播等级门槛递增</x:v>
      </x:c>
      <x:c r="I221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1" s="9" t="str">
        <x:v>1. 查看等级配置页
2. 切换主播等级
3. 填写2级门槛为100
4. 填写3级门槛为100
5. 点击保存</x:v>
      </x:c>
      <x:c r="K221" s="9" t="str">
        <x:v>错误定位到3级门槛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来源（当前证据）：liveshow-proto/MainBasis/统一需求文档.md；位置：REQ-9376b0d200c0；行4338
2. 规则：BR-fc7a992604f6da78
3. 未动态验证</x:v>
      </x:c>
    </x:row>
    <x:row r="222" ht="115" customHeight="1">
      <x:c r="A222" s="10" t="n">
        <x:v>221</x:v>
      </x:c>
      <x:c r="B222" s="10" t="str">
        <x:v>ADMIN-07-0069</x:v>
      </x:c>
      <x:c r="C222" s="10" t="str">
        <x:v>运营配置</x:v>
      </x:c>
      <x:c r="D222" s="10" t="str">
        <x:v>等级配置（平台管理员视角）</x:v>
      </x:c>
      <x:c r="E222" s="10" t="str">
        <x:v>逻辑校验</x:v>
      </x:c>
      <x:c r="F222" s="10" t="str">
        <x:v>P1</x:v>
      </x:c>
      <x:c r="G222" s="9" t="str">
        <x:v>验证主播等级缺图不能保存</x:v>
      </x:c>
      <x:c r="H222" s="9" t="str">
        <x:v>主播等级勋章图必填</x:v>
      </x:c>
      <x:c r="I222" s="9" t="str">
        <x:v>1. 执行角色为平台管理员
2. 账号具有当前模块访问及本次操作权限
3. 业务数据已准备且本页已打开；表单和筛选保持下列指定状态
4. 2级门槛合法但未上传图片</x:v>
      </x:c>
      <x:c r="J222" s="9" t="str">
        <x:v>1. 查看等级配置页
2. 切换主播等级
3. 点击保存</x:v>
      </x:c>
      <x:c r="K222" s="9" t="str">
        <x:v>提示2级缺少勋章图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来源（当前证据）：liveshow-proto/MainBasis/统一需求文档.md；位置：REQ-983fffee488e；行4342
2. 规则：BR-fa3d34f0db034e2b
3. 未动态验证</x:v>
      </x:c>
    </x:row>
    <x:row r="223" ht="85" customHeight="1">
      <x:c r="A223" s="10" t="n">
        <x:v>222</x:v>
      </x:c>
      <x:c r="B223" s="10" t="str">
        <x:v>ADMIN-07-0070</x:v>
      </x:c>
      <x:c r="C223" s="10" t="str">
        <x:v>运营配置</x:v>
      </x:c>
      <x:c r="D223" s="10" t="str">
        <x:v>等级配置（平台管理员视角）</x:v>
      </x:c>
      <x:c r="E223" s="10" t="str">
        <x:v>逻辑校验</x:v>
      </x:c>
      <x:c r="F223" s="10" t="str">
        <x:v>P1</x:v>
      </x:c>
      <x:c r="G223" s="9" t="str">
        <x:v>验证财富等级基础门槛固定0</x:v>
      </x:c>
      <x:c r="H223" s="9" t="str">
        <x:v>财富等级1级门槛</x:v>
      </x:c>
      <x:c r="I223" s="9" t="str">
        <x:v>1. 执行角色为平台管理员
2. 账号具有当前模块访问及本次操作权限</x:v>
      </x:c>
      <x:c r="J223" s="9" t="str">
        <x:v>1. 进入等级配置页
2. 切换财富等级</x:v>
      </x:c>
      <x:c r="K223" s="9" t="str">
        <x:v>1级门槛为0且不可修改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来源（当前证据）：liveshow-proto/MainBasis/统一需求文档.md；位置：REQ-9376b0d200c0；行4338
2. 规则：BR-7e5b9baaa46a7c07
3. 未动态验证</x:v>
      </x:c>
    </x:row>
    <x:row r="224" ht="115" customHeight="1">
      <x:c r="A224" s="10" t="n">
        <x:v>223</x:v>
      </x:c>
      <x:c r="B224" s="10" t="str">
        <x:v>ADMIN-07-0071</x:v>
      </x:c>
      <x:c r="C224" s="10" t="str">
        <x:v>运营配置</x:v>
      </x:c>
      <x:c r="D224" s="10" t="str">
        <x:v>等级配置（平台管理员视角）</x:v>
      </x:c>
      <x:c r="E224" s="10" t="str">
        <x:v>功能需求</x:v>
      </x:c>
      <x:c r="F224" s="10" t="str">
        <x:v>P2</x:v>
      </x:c>
      <x:c r="G224" s="9" t="str">
        <x:v>验证财富等级新增等级自动连续编号</x:v>
      </x:c>
      <x:c r="H224" s="9" t="str">
        <x:v>财富等级新增编号</x:v>
      </x:c>
      <x:c r="I224" s="9" t="str">
        <x:v>1. 执行角色为平台管理员
2. 账号具有当前模块访问及本次操作权限
3. 业务数据已准备且本页已打开；表单和筛选保持下列指定状态
4. 当前财富等级最高等级为3</x:v>
      </x:c>
      <x:c r="J224" s="9" t="str">
        <x:v>1. 查看等级配置页
2. 切换财富等级
3. 点击新增等级</x:v>
      </x:c>
      <x:c r="K224" s="9" t="str">
        <x:v>新等级编号为4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来源（当前证据）：liveshow-proto/MainBasis/统一需求文档.md；位置：REQ-fb5475333eb2；行4340
2. 规则：BR-eaab93e36b517126
3. 未动态验证</x:v>
      </x:c>
    </x:row>
    <x:row r="225" ht="130" customHeight="1">
      <x:c r="A225" s="10" t="n">
        <x:v>224</x:v>
      </x:c>
      <x:c r="B225" s="10" t="str">
        <x:v>ADMIN-07-0072</x:v>
      </x:c>
      <x:c r="C225" s="10" t="str">
        <x:v>运营配置</x:v>
      </x:c>
      <x:c r="D225" s="10" t="str">
        <x:v>等级配置（平台管理员视角）</x:v>
      </x:c>
      <x:c r="E225" s="10" t="str">
        <x:v>逻辑校验</x:v>
      </x:c>
      <x:c r="F225" s="10" t="str">
        <x:v>P1</x:v>
      </x:c>
      <x:c r="G225" s="9" t="str">
        <x:v>验证财富等级门槛等于上级不能保存</x:v>
      </x:c>
      <x:c r="H225" s="9" t="str">
        <x:v>财富等级门槛递增</x:v>
      </x:c>
      <x:c r="I225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5" s="9" t="str">
        <x:v>1. 查看等级配置页
2. 切换财富等级
3. 填写2级门槛为100
4. 填写3级门槛为100
5. 点击保存</x:v>
      </x:c>
      <x:c r="K225" s="9" t="str">
        <x:v>错误定位到3级门槛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来源（当前证据）：liveshow-proto/MainBasis/统一需求文档.md；位置：REQ-9376b0d200c0；行4338
2. 规则：BR-13653711acad852d
3. 未动态验证</x:v>
      </x:c>
    </x:row>
    <x:row r="226" ht="115" customHeight="1">
      <x:c r="A226" s="10" t="n">
        <x:v>225</x:v>
      </x:c>
      <x:c r="B226" s="10" t="str">
        <x:v>ADMIN-07-0073</x:v>
      </x:c>
      <x:c r="C226" s="10" t="str">
        <x:v>运营配置</x:v>
      </x:c>
      <x:c r="D226" s="10" t="str">
        <x:v>等级配置（平台管理员视角）</x:v>
      </x:c>
      <x:c r="E226" s="10" t="str">
        <x:v>逻辑校验</x:v>
      </x:c>
      <x:c r="F226" s="10" t="str">
        <x:v>P1</x:v>
      </x:c>
      <x:c r="G226" s="9" t="str">
        <x:v>验证财富等级缺图不能保存</x:v>
      </x:c>
      <x:c r="H226" s="9" t="str">
        <x:v>财富等级勋章图必填</x:v>
      </x:c>
      <x:c r="I226" s="9" t="str">
        <x:v>1. 执行角色为平台管理员
2. 账号具有当前模块访问及本次操作权限
3. 业务数据已准备且本页已打开；表单和筛选保持下列指定状态
4. 2级门槛合法但未上传图片</x:v>
      </x:c>
      <x:c r="J226" s="9" t="str">
        <x:v>1. 查看等级配置页
2. 切换财富等级
3. 点击保存</x:v>
      </x:c>
      <x:c r="K226" s="9" t="str">
        <x:v>提示2级缺少勋章图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来源（当前证据）：liveshow-proto/MainBasis/统一需求文档.md；位置：REQ-983fffee488e；行4342
2. 规则：BR-d07a69dccb1b1c62
3. 未动态验证</x:v>
      </x:c>
    </x:row>
    <x:row r="227" ht="85" customHeight="1">
      <x:c r="A227" s="10" t="n">
        <x:v>226</x:v>
      </x:c>
      <x:c r="B227" s="10" t="str">
        <x:v>ADMIN-07-0074</x:v>
      </x:c>
      <x:c r="C227" s="10" t="str">
        <x:v>运营配置</x:v>
      </x:c>
      <x:c r="D227" s="10" t="str">
        <x:v>等级配置（平台管理员视角）</x:v>
      </x:c>
      <x:c r="E227" s="10" t="str">
        <x:v>逻辑校验</x:v>
      </x:c>
      <x:c r="F227" s="10" t="str">
        <x:v>P1</x:v>
      </x:c>
      <x:c r="G227" s="9" t="str">
        <x:v>验证粉丝等级基础门槛固定0</x:v>
      </x:c>
      <x:c r="H227" s="9" t="str">
        <x:v>粉丝等级1级门槛</x:v>
      </x:c>
      <x:c r="I227" s="9" t="str">
        <x:v>1. 执行角色为平台管理员
2. 账号具有当前模块访问及本次操作权限</x:v>
      </x:c>
      <x:c r="J227" s="9" t="str">
        <x:v>1. 进入等级配置页
2. 切换粉丝等级</x:v>
      </x:c>
      <x:c r="K227" s="9" t="str">
        <x:v>1级门槛为0且不可修改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来源（当前证据）：liveshow-proto/MainBasis/统一需求文档.md；位置：REQ-9376b0d200c0；行4338
2. 规则：BR-f6c8fc4919effd24
3. 未动态验证</x:v>
      </x:c>
    </x:row>
    <x:row r="228" ht="115" customHeight="1">
      <x:c r="A228" s="10" t="n">
        <x:v>227</x:v>
      </x:c>
      <x:c r="B228" s="10" t="str">
        <x:v>ADMIN-07-0075</x:v>
      </x:c>
      <x:c r="C228" s="10" t="str">
        <x:v>运营配置</x:v>
      </x:c>
      <x:c r="D228" s="10" t="str">
        <x:v>等级配置（平台管理员视角）</x:v>
      </x:c>
      <x:c r="E228" s="10" t="str">
        <x:v>功能需求</x:v>
      </x:c>
      <x:c r="F228" s="10" t="str">
        <x:v>P2</x:v>
      </x:c>
      <x:c r="G228" s="9" t="str">
        <x:v>验证粉丝等级新增等级自动连续编号</x:v>
      </x:c>
      <x:c r="H228" s="9" t="str">
        <x:v>粉丝等级新增编号</x:v>
      </x:c>
      <x:c r="I228" s="9" t="str">
        <x:v>1. 执行角色为平台管理员
2. 账号具有当前模块访问及本次操作权限
3. 业务数据已准备且本页已打开；表单和筛选保持下列指定状态
4. 当前粉丝等级最高等级为3</x:v>
      </x:c>
      <x:c r="J228" s="9" t="str">
        <x:v>1. 查看等级配置页
2. 切换粉丝等级
3. 点击新增等级</x:v>
      </x:c>
      <x:c r="K228" s="9" t="str">
        <x:v>新等级编号为4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来源（当前证据）：liveshow-proto/MainBasis/统一需求文档.md；位置：REQ-fb5475333eb2；行4340
2. 规则：BR-dc600541413d86df
3. 未动态验证</x:v>
      </x:c>
    </x:row>
    <x:row r="229" ht="130" customHeight="1">
      <x:c r="A229" s="10" t="n">
        <x:v>228</x:v>
      </x:c>
      <x:c r="B229" s="10" t="str">
        <x:v>ADMIN-07-0076</x:v>
      </x:c>
      <x:c r="C229" s="10" t="str">
        <x:v>运营配置</x:v>
      </x:c>
      <x:c r="D229" s="10" t="str">
        <x:v>等级配置（平台管理员视角）</x:v>
      </x:c>
      <x:c r="E229" s="10" t="str">
        <x:v>逻辑校验</x:v>
      </x:c>
      <x:c r="F229" s="10" t="str">
        <x:v>P1</x:v>
      </x:c>
      <x:c r="G229" s="9" t="str">
        <x:v>验证粉丝等级门槛等于上级不能保存</x:v>
      </x:c>
      <x:c r="H229" s="9" t="str">
        <x:v>粉丝等级门槛递增</x:v>
      </x:c>
      <x:c r="I229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9" s="9" t="str">
        <x:v>1. 查看等级配置页
2. 切换粉丝等级
3. 填写2级门槛为100
4. 填写3级门槛为100
5. 点击保存</x:v>
      </x:c>
      <x:c r="K229" s="9" t="str">
        <x:v>错误定位到3级门槛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来源（当前证据）：liveshow-proto/MainBasis/统一需求文档.md；位置：REQ-9376b0d200c0；行4338
2. 规则：BR-7282fd19d739c647
3. 未动态验证</x:v>
      </x:c>
    </x:row>
    <x:row r="230" ht="115" customHeight="1">
      <x:c r="A230" s="10" t="n">
        <x:v>229</x:v>
      </x:c>
      <x:c r="B230" s="10" t="str">
        <x:v>ADMIN-07-0077</x:v>
      </x:c>
      <x:c r="C230" s="10" t="str">
        <x:v>运营配置</x:v>
      </x:c>
      <x:c r="D230" s="10" t="str">
        <x:v>等级配置（平台管理员视角）</x:v>
      </x:c>
      <x:c r="E230" s="10" t="str">
        <x:v>逻辑校验</x:v>
      </x:c>
      <x:c r="F230" s="10" t="str">
        <x:v>P1</x:v>
      </x:c>
      <x:c r="G230" s="9" t="str">
        <x:v>验证粉丝等级缺图不能保存</x:v>
      </x:c>
      <x:c r="H230" s="9" t="str">
        <x:v>粉丝等级勋章图必填</x:v>
      </x:c>
      <x:c r="I230" s="9" t="str">
        <x:v>1. 执行角色为平台管理员
2. 账号具有当前模块访问及本次操作权限
3. 业务数据已准备且本页已打开；表单和筛选保持下列指定状态
4. 2级门槛合法但未上传图片</x:v>
      </x:c>
      <x:c r="J230" s="9" t="str">
        <x:v>1. 查看等级配置页
2. 切换粉丝等级
3. 点击保存</x:v>
      </x:c>
      <x:c r="K230" s="9" t="str">
        <x:v>提示2级缺少勋章图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来源（当前证据）：liveshow-proto/MainBasis/统一需求文档.md；位置：REQ-983fffee488e；行4342
2. 规则：BR-ae5630a5a56823bc
3. 未动态验证</x:v>
      </x:c>
    </x:row>
    <x:row r="231" ht="85" customHeight="1">
      <x:c r="A231" s="10" t="n">
        <x:v>230</x:v>
      </x:c>
      <x:c r="B231" s="10" t="str">
        <x:v>ADMIN-07-0078</x:v>
      </x:c>
      <x:c r="C231" s="10" t="str">
        <x:v>运营配置</x:v>
      </x:c>
      <x:c r="D231" s="10" t="str">
        <x:v>等级配置（平台管理员视角）</x:v>
      </x:c>
      <x:c r="E231" s="10" t="str">
        <x:v>逻辑校验</x:v>
      </x:c>
      <x:c r="F231" s="10" t="str">
        <x:v>P1</x:v>
      </x:c>
      <x:c r="G231" s="9" t="str">
        <x:v>验证粉丝团等级基础门槛固定0</x:v>
      </x:c>
      <x:c r="H231" s="9" t="str">
        <x:v>粉丝团等级1级门槛</x:v>
      </x:c>
      <x:c r="I231" s="9" t="str">
        <x:v>1. 执行角色为平台管理员
2. 账号具有当前模块访问及本次操作权限</x:v>
      </x:c>
      <x:c r="J231" s="9" t="str">
        <x:v>1. 进入等级配置页
2. 切换粉丝团等级</x:v>
      </x:c>
      <x:c r="K231" s="9" t="str">
        <x:v>1级门槛为0且不可修改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来源（当前证据）：liveshow-proto/MainBasis/统一需求文档.md；位置：REQ-9376b0d200c0；行4338
2. 规则：BR-95d3a2e8d4c6757e
3. 未动态验证</x:v>
      </x:c>
    </x:row>
    <x:row r="232" ht="130" customHeight="1">
      <x:c r="A232" s="10" t="n">
        <x:v>231</x:v>
      </x:c>
      <x:c r="B232" s="10" t="str">
        <x:v>ADMIN-07-0079</x:v>
      </x:c>
      <x:c r="C232" s="10" t="str">
        <x:v>运营配置</x:v>
      </x:c>
      <x:c r="D232" s="10" t="str">
        <x:v>等级配置（平台管理员视角）</x:v>
      </x:c>
      <x:c r="E232" s="10" t="str">
        <x:v>功能需求</x:v>
      </x:c>
      <x:c r="F232" s="10" t="str">
        <x:v>P2</x:v>
      </x:c>
      <x:c r="G232" s="9" t="str">
        <x:v>验证粉丝团等级新增等级自动连续编号</x:v>
      </x:c>
      <x:c r="H232" s="9" t="str">
        <x:v>粉丝团等级新增编号</x:v>
      </x:c>
      <x:c r="I232" s="9" t="str">
        <x:v>1. 执行角色为平台管理员
2. 账号具有当前模块访问及本次操作权限
3. 业务数据已准备且本页已打开；表单和筛选保持下列指定状态
4. 当前粉丝团等级最高等级为3</x:v>
      </x:c>
      <x:c r="J232" s="9" t="str">
        <x:v>1. 查看等级配置页
2. 切换粉丝团等级
3. 点击新增等级</x:v>
      </x:c>
      <x:c r="K232" s="9" t="str">
        <x:v>新等级编号为4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来源（当前证据）：liveshow-proto/MainBasis/统一需求文档.md；位置：REQ-fb5475333eb2；行4340
2. 规则：BR-c44a03191f4eabde
3. 未动态验证</x:v>
      </x:c>
    </x:row>
    <x:row r="233" ht="130" customHeight="1">
      <x:c r="A233" s="10" t="n">
        <x:v>232</x:v>
      </x:c>
      <x:c r="B233" s="10" t="str">
        <x:v>ADMIN-07-0080</x:v>
      </x:c>
      <x:c r="C233" s="10" t="str">
        <x:v>运营配置</x:v>
      </x:c>
      <x:c r="D233" s="10" t="str">
        <x:v>等级配置（平台管理员视角）</x:v>
      </x:c>
      <x:c r="E233" s="10" t="str">
        <x:v>逻辑校验</x:v>
      </x:c>
      <x:c r="F233" s="10" t="str">
        <x:v>P1</x:v>
      </x:c>
      <x:c r="G233" s="9" t="str">
        <x:v>验证粉丝团等级门槛等于上级不能保存</x:v>
      </x:c>
      <x:c r="H233" s="9" t="str">
        <x:v>粉丝团等级门槛递增</x:v>
      </x:c>
      <x:c r="I233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33" s="9" t="str">
        <x:v>1. 查看等级配置页
2. 切换粉丝团等级
3. 填写2级门槛为100
4. 填写3级门槛为100
5. 点击保存</x:v>
      </x:c>
      <x:c r="K233" s="9" t="str">
        <x:v>错误定位到3级门槛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来源（当前证据）：liveshow-proto/MainBasis/统一需求文档.md；位置：REQ-9376b0d200c0；行4338
2. 规则：BR-ac9434e0c548dcea
3. 未动态验证</x:v>
      </x:c>
    </x:row>
    <x:row r="234" ht="115" customHeight="1">
      <x:c r="A234" s="10" t="n">
        <x:v>233</x:v>
      </x:c>
      <x:c r="B234" s="10" t="str">
        <x:v>ADMIN-07-0081</x:v>
      </x:c>
      <x:c r="C234" s="10" t="str">
        <x:v>运营配置</x:v>
      </x:c>
      <x:c r="D234" s="10" t="str">
        <x:v>等级配置（平台管理员视角）</x:v>
      </x:c>
      <x:c r="E234" s="10" t="str">
        <x:v>逻辑校验</x:v>
      </x:c>
      <x:c r="F234" s="10" t="str">
        <x:v>P1</x:v>
      </x:c>
      <x:c r="G234" s="9" t="str">
        <x:v>验证粉丝团等级缺图不能保存</x:v>
      </x:c>
      <x:c r="H234" s="9" t="str">
        <x:v>粉丝团等级勋章图必填</x:v>
      </x:c>
      <x:c r="I234" s="9" t="str">
        <x:v>1. 执行角色为平台管理员
2. 账号具有当前模块访问及本次操作权限
3. 业务数据已准备且本页已打开；表单和筛选保持下列指定状态
4. 2级门槛合法但未上传图片</x:v>
      </x:c>
      <x:c r="J234" s="9" t="str">
        <x:v>1. 查看等级配置页
2. 切换粉丝团等级
3. 点击保存</x:v>
      </x:c>
      <x:c r="K234" s="9" t="str">
        <x:v>提示2级缺少勋章图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来源（当前证据）：liveshow-proto/MainBasis/统一需求文档.md；位置：REQ-983fffee488e；行4342
2. 规则：BR-40fa8276b81a935b
3. 未动态验证</x:v>
      </x:c>
    </x:row>
    <x:row r="235" ht="130" customHeight="1">
      <x:c r="A235" s="10" t="n">
        <x:v>234</x:v>
      </x:c>
      <x:c r="B235" s="10" t="str">
        <x:v>ADMIN-07-0082</x:v>
      </x:c>
      <x:c r="C235" s="10" t="str">
        <x:v>运营配置</x:v>
      </x:c>
      <x:c r="D235" s="10" t="str">
        <x:v>等级配置（平台管理员视角）</x:v>
      </x:c>
      <x:c r="E235" s="10" t="str">
        <x:v>逻辑校验</x:v>
      </x:c>
      <x:c r="F235" s="10" t="str">
        <x:v>P1</x:v>
      </x:c>
      <x:c r="G235" s="9" t="str">
        <x:v>验证保存财富等级不被其他Tab错误阻断</x:v>
      </x:c>
      <x:c r="H235" s="9" t="str">
        <x:v>等级保存范围</x:v>
      </x:c>
      <x:c r="I235" s="9" t="str">
        <x:v>1. 执行角色为平台管理员
2. 账号具有当前模块访问及本次操作权限
3. 业务数据已准备且本页已打开；表单和筛选保持下列指定状态
4. 财富等级完整有效，主播等级存在未保存空门槛</x:v>
      </x:c>
      <x:c r="J235" s="9" t="str">
        <x:v>1. 查看等级配置页
2. 切换财富等级
3. 点击保存</x:v>
      </x:c>
      <x:c r="K235" s="9" t="str">
        <x:v>财富等级保存成功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来源（当前证据）：liveshow-proto/MainBasis/统一需求文档.md；位置：REQ-983fffee488e；行4342
2. 规则：BR-cf95bf20f7a02a72
3. 未动态验证</x:v>
      </x:c>
    </x:row>
    <x:row r="236" ht="115" customHeight="1">
      <x:c r="A236" s="10" t="n">
        <x:v>235</x:v>
      </x:c>
      <x:c r="B236" s="10" t="str">
        <x:v>ADMIN-07-0083</x:v>
      </x:c>
      <x:c r="C236" s="10" t="str">
        <x:v>运营配置</x:v>
      </x:c>
      <x:c r="D236" s="10" t="str">
        <x:v>等级配置（平台管理员视角）</x:v>
      </x:c>
      <x:c r="E236" s="10" t="str">
        <x:v>逻辑校验</x:v>
      </x:c>
      <x:c r="F236" s="10" t="str">
        <x:v>P1</x:v>
      </x:c>
      <x:c r="G236" s="9" t="str">
        <x:v>验证等级Tab切换保留未保存编辑</x:v>
      </x:c>
      <x:c r="H236" s="9" t="str">
        <x:v>等级Tab草稿保留</x:v>
      </x:c>
      <x:c r="I236" s="9" t="str">
        <x:v>1. 执行角色为平台管理员
2. 账号具有当前模块访问及本次操作权限
3. 业务数据已准备且本页已打开；表单和筛选保持下列指定状态
4. 财富等级2级原门槛100</x:v>
      </x:c>
      <x:c r="J236" s="9" t="str">
        <x:v>1. 查看等级配置页
2. 切换财富等级
3. 填写2级门槛为200
4. 切换主播等级
5. 切换财富等级</x:v>
      </x:c>
      <x:c r="K236" s="9" t="str">
        <x:v>2级门槛仍为未保存的200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来源（当前证据）：liveshow-proto/MainBasis/统一需求文档.md；位置：REQ-983fffee488e；行4342
2. 规则：BR-f4ed3a37fdc400fd
3. 未动态验证</x:v>
      </x:c>
    </x:row>
    <x:row r="237" ht="115" customHeight="1">
      <x:c r="A237" s="10" t="n">
        <x:v>236</x:v>
      </x:c>
      <x:c r="B237" s="10" t="str">
        <x:v>ADMIN-07-0084</x:v>
      </x:c>
      <x:c r="C237" s="10" t="str">
        <x:v>运营配置</x:v>
      </x:c>
      <x:c r="D237" s="10" t="str">
        <x:v>等级配置（平台管理员视角）</x:v>
      </x:c>
      <x:c r="E237" s="10" t="str">
        <x:v>功能需求</x:v>
      </x:c>
      <x:c r="F237" s="10" t="str">
        <x:v>P2</x:v>
      </x:c>
      <x:c r="G237" s="9" t="str">
        <x:v>验证取消更换勋章图保留原图</x:v>
      </x:c>
      <x:c r="H237" s="9" t="str">
        <x:v>等级图片取消选择</x:v>
      </x:c>
      <x:c r="I237" s="9" t="str">
        <x:v>1. 执行角色为平台管理员
2. 账号具有当前模块访问及本次操作权限
3. 业务数据已准备且本页已打开；表单和筛选保持下列指定状态
4. 当前等级有有效图片A</x:v>
      </x:c>
      <x:c r="J237" s="9" t="str">
        <x:v>1. 查看等级配置页
2. 点击更换图片
3. 取消文件选择</x:v>
      </x:c>
      <x:c r="K237" s="9" t="str">
        <x:v>该等级仍预览图片A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来源（当前证据）：liveshow-proto/MainBasis/统一需求文档.md；位置：REQ-1785b566a51e；行4346
2. 规则：BR-9f9364efc4abe443
3. 未动态验证</x:v>
      </x:c>
    </x:row>
    <x:row r="238" ht="130" customHeight="1">
      <x:c r="A238" s="10" t="n">
        <x:v>237</x:v>
      </x:c>
      <x:c r="B238" s="10" t="str">
        <x:v>ADMIN-07-0085</x:v>
      </x:c>
      <x:c r="C238" s="10" t="str">
        <x:v>运营配置</x:v>
      </x:c>
      <x:c r="D238" s="10" t="str">
        <x:v>等级配置（平台管理员视角）</x:v>
      </x:c>
      <x:c r="E238" s="10" t="str">
        <x:v>逻辑校验</x:v>
      </x:c>
      <x:c r="F238" s="10" t="str">
        <x:v>P1</x:v>
      </x:c>
      <x:c r="G238" s="9" t="str">
        <x:v>验证等级上传qa.txt保留原有效图片</x:v>
      </x:c>
      <x:c r="H238" s="9" t="str">
        <x:v>等级非法图片处理</x:v>
      </x:c>
      <x:c r="I238" s="9" t="str">
        <x:v>1. 执行角色为平台管理员
2. 账号具有当前模块访问及本次操作权限
3. 业务数据已准备且本页已打开；表单和筛选保持下列指定状态
4. 当前等级有有效图片A
5. 准备qa.txt</x:v>
      </x:c>
      <x:c r="J238" s="9" t="str">
        <x:v>1. 查看等级配置页
2. 上传勋章图选择qa.txt</x:v>
      </x:c>
      <x:c r="K238" s="9" t="str">
        <x:v>原有效图片A被保留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来源（当前证据）：liveshow-proto/MainBasis/统一需求文档.md；位置：REQ-1785b566a51e；行4346
2. 规则：BR-cb75a06a697390cb
3. 未动态验证</x:v>
      </x:c>
    </x:row>
    <x:row r="239" ht="130" customHeight="1">
      <x:c r="A239" s="10" t="n">
        <x:v>238</x:v>
      </x:c>
      <x:c r="B239" s="10" t="str">
        <x:v>ADMIN-07-0086</x:v>
      </x:c>
      <x:c r="C239" s="10" t="str">
        <x:v>运营配置</x:v>
      </x:c>
      <x:c r="D239" s="10" t="str">
        <x:v>等级配置（平台管理员视角）</x:v>
      </x:c>
      <x:c r="E239" s="10" t="str">
        <x:v>逻辑校验</x:v>
      </x:c>
      <x:c r="F239" s="10" t="str">
        <x:v>P1</x:v>
      </x:c>
      <x:c r="G239" s="9" t="str">
        <x:v>验证等级上传损坏的qa.png保留原有效图片</x:v>
      </x:c>
      <x:c r="H239" s="9" t="str">
        <x:v>等级非法图片处理</x:v>
      </x:c>
      <x:c r="I239" s="9" t="str">
        <x:v>1. 执行角色为平台管理员
2. 账号具有当前模块访问及本次操作权限
3. 业务数据已准备且本页已打开；表单和筛选保持下列指定状态
4. 当前等级有有效图片A
5. 准备损坏的qa.png</x:v>
      </x:c>
      <x:c r="J239" s="9" t="str">
        <x:v>1. 查看等级配置页
2. 上传勋章图选择损坏的qa.png</x:v>
      </x:c>
      <x:c r="K239" s="9" t="str">
        <x:v>原有效图片A被保留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来源（当前证据）：liveshow-proto/MainBasis/统一需求文档.md；位置：REQ-1785b566a51e；行4346
2. 规则：BR-3fead231477dafd5
3. 未动态验证</x:v>
      </x:c>
    </x:row>
    <x:row r="240" ht="130" customHeight="1">
      <x:c r="A240" s="10" t="n">
        <x:v>239</x:v>
      </x:c>
      <x:c r="B240" s="10" t="str">
        <x:v>ADMIN-07-0087</x:v>
      </x:c>
      <x:c r="C240" s="10" t="str">
        <x:v>运营配置</x:v>
      </x:c>
      <x:c r="D240" s="10" t="str">
        <x:v>直播类型（平台管理员视角）</x:v>
      </x:c>
      <x:c r="E240" s="10" t="str">
        <x:v>逻辑校验</x:v>
      </x:c>
      <x:c r="F240" s="10" t="str">
        <x:v>P1</x:v>
      </x:c>
      <x:c r="G240" s="9" t="str">
        <x:v>验证直播类型中文名称必填</x:v>
      </x:c>
      <x:c r="H240" s="9" t="str">
        <x:v>直播类型中文校验</x:v>
      </x:c>
      <x:c r="I240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0" s="9" t="str">
        <x:v>1. 查看直播类型页
2. 点击新建
3. 填写英语名称为QA-英语
4. 填写印尼语名称为QA-印尼语
5. 填写马来语名称为QA-马来语
6. 清空中文名称
7. 点击保存</x:v>
      </x:c>
      <x:c r="K240" s="9" t="str">
        <x:v>不能保存缺少四语名称的类型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来源（当前证据）：liveshow-proto/MainBasis/统一需求文档.md；位置：REQ-df2a9afe3f5f；行4363
2. 规则：BR-0d8cc33b058a523b
3. 未动态验证</x:v>
      </x:c>
    </x:row>
    <x:row r="241" ht="130" customHeight="1">
      <x:c r="A241" s="10" t="n">
        <x:v>240</x:v>
      </x:c>
      <x:c r="B241" s="10" t="str">
        <x:v>ADMIN-07-0088</x:v>
      </x:c>
      <x:c r="C241" s="10" t="str">
        <x:v>运营配置</x:v>
      </x:c>
      <x:c r="D241" s="10" t="str">
        <x:v>直播类型（平台管理员视角）</x:v>
      </x:c>
      <x:c r="E241" s="10" t="str">
        <x:v>逻辑校验</x:v>
      </x:c>
      <x:c r="F241" s="10" t="str">
        <x:v>P1</x:v>
      </x:c>
      <x:c r="G241" s="9" t="str">
        <x:v>验证直播类型英语名称必填</x:v>
      </x:c>
      <x:c r="H241" s="9" t="str">
        <x:v>直播类型英语校验</x:v>
      </x:c>
      <x:c r="I241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1" s="9" t="str">
        <x:v>1. 查看直播类型页
2. 点击新建
3. 填写中文名称为QA-中文
4. 填写印尼语名称为QA-印尼语
5. 填写马来语名称为QA-马来语
6. 清空英语名称
7. 点击保存</x:v>
      </x:c>
      <x:c r="K241" s="9" t="str">
        <x:v>不能保存缺少四语名称的类型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来源（当前证据）：liveshow-proto/MainBasis/统一需求文档.md；位置：REQ-df2a9afe3f5f；行4363
2. 规则：BR-b3fe16b36251361d
3. 未动态验证</x:v>
      </x:c>
    </x:row>
    <x:row r="242" ht="130" customHeight="1">
      <x:c r="A242" s="10" t="n">
        <x:v>241</x:v>
      </x:c>
      <x:c r="B242" s="10" t="str">
        <x:v>ADMIN-07-0089</x:v>
      </x:c>
      <x:c r="C242" s="10" t="str">
        <x:v>运营配置</x:v>
      </x:c>
      <x:c r="D242" s="10" t="str">
        <x:v>直播类型（平台管理员视角）</x:v>
      </x:c>
      <x:c r="E242" s="10" t="str">
        <x:v>逻辑校验</x:v>
      </x:c>
      <x:c r="F242" s="10" t="str">
        <x:v>P1</x:v>
      </x:c>
      <x:c r="G242" s="9" t="str">
        <x:v>验证直播类型印尼语名称必填</x:v>
      </x:c>
      <x:c r="H242" s="9" t="str">
        <x:v>直播类型印尼语校验</x:v>
      </x:c>
      <x:c r="I242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2" s="9" t="str">
        <x:v>1. 查看直播类型页
2. 点击新建
3. 填写中文名称为QA-中文
4. 填写英语名称为QA-英语
5. 填写马来语名称为QA-马来语
6. 清空印尼语名称
7. 点击保存</x:v>
      </x:c>
      <x:c r="K242" s="9" t="str">
        <x:v>不能保存缺少四语名称的类型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来源（当前证据）：liveshow-proto/MainBasis/统一需求文档.md；位置：REQ-df2a9afe3f5f；行4363
2. 规则：BR-2841168cf4203d15
3. 未动态验证</x:v>
      </x:c>
    </x:row>
    <x:row r="243" ht="130" customHeight="1">
      <x:c r="A243" s="10" t="n">
        <x:v>242</x:v>
      </x:c>
      <x:c r="B243" s="10" t="str">
        <x:v>ADMIN-07-0090</x:v>
      </x:c>
      <x:c r="C243" s="10" t="str">
        <x:v>运营配置</x:v>
      </x:c>
      <x:c r="D243" s="10" t="str">
        <x:v>直播类型（平台管理员视角）</x:v>
      </x:c>
      <x:c r="E243" s="10" t="str">
        <x:v>逻辑校验</x:v>
      </x:c>
      <x:c r="F243" s="10" t="str">
        <x:v>P1</x:v>
      </x:c>
      <x:c r="G243" s="9" t="str">
        <x:v>验证直播类型马来语名称必填</x:v>
      </x:c>
      <x:c r="H243" s="9" t="str">
        <x:v>直播类型马来语校验</x:v>
      </x:c>
      <x:c r="I243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3" s="9" t="str">
        <x:v>1. 查看直播类型页
2. 点击新建
3. 填写中文名称为QA-中文
4. 填写英语名称为QA-英语
5. 填写印尼语名称为QA-印尼语
6. 清空马来语名称
7. 点击保存</x:v>
      </x:c>
      <x:c r="K243" s="9" t="str">
        <x:v>不能保存缺少四语名称的类型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来源（当前证据）：liveshow-proto/MainBasis/统一需求文档.md；位置：REQ-df2a9afe3f5f；行4363
2. 规则：BR-9226616d5616ba64
3. 未动态验证</x:v>
      </x:c>
    </x:row>
    <x:row r="244" ht="130" customHeight="1">
      <x:c r="A244" s="10" t="n">
        <x:v>243</x:v>
      </x:c>
      <x:c r="B244" s="10" t="str">
        <x:v>ADMIN-07-0091</x:v>
      </x:c>
      <x:c r="C244" s="10" t="str">
        <x:v>运营配置</x:v>
      </x:c>
      <x:c r="D244" s="10" t="str">
        <x:v>直播类型（平台管理员视角）</x:v>
      </x:c>
      <x:c r="E244" s="10" t="str">
        <x:v>逻辑校验</x:v>
      </x:c>
      <x:c r="F244" s="10" t="str">
        <x:v>P1</x:v>
      </x:c>
      <x:c r="G244" s="9" t="str">
        <x:v>验证同语种直播类型名称不得重复</x:v>
      </x:c>
      <x:c r="H244" s="9" t="str">
        <x:v>直播类型名称唯一性</x:v>
      </x:c>
      <x:c r="I244" s="9" t="str">
        <x:v>1. 执行角色为平台管理员
2. 账号具有当前模块访问及本次操作权限
3. 业务数据已准备且本页已打开；表单和筛选保持下列指定状态
4. 已有中文类型A；其余三语测试名称均未被使用</x:v>
      </x:c>
      <x:c r="J244" s="9" t="str">
        <x:v>1. 查看直播类型页
2. 点击新建
3. 填写中文名称为A
4. 填写英语名称为QA-英语
5. 填写印尼语名称为QA-印尼语
6. 填写马来语名称为QA-马来语
7. 点击保存</x:v>
      </x:c>
      <x:c r="K244" s="9" t="str">
        <x:v>不能保存同语言重复名称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来源（当前证据）：liveshow-proto/MainBasis/统一需求文档.md；位置：REQ-df2a9afe3f5f；行4363
2. 规则：BR-b739b2eb8bffa5ae
3. 未动态验证</x:v>
      </x:c>
    </x:row>
    <x:row r="245" ht="85" customHeight="1">
      <x:c r="A245" s="10" t="n">
        <x:v>244</x:v>
      </x:c>
      <x:c r="B245" s="10" t="str">
        <x:v>ADMIN-07-0092</x:v>
      </x:c>
      <x:c r="C245" s="10" t="str">
        <x:v>运营配置</x:v>
      </x:c>
      <x:c r="D245" s="10" t="str">
        <x:v>直播房型（平台管理员视角）</x:v>
      </x:c>
      <x:c r="E245" s="10" t="str">
        <x:v>逻辑校验</x:v>
      </x:c>
      <x:c r="F245" s="10" t="str">
        <x:v>P1</x:v>
      </x:c>
      <x:c r="G245" s="9" t="str">
        <x:v>验证直播房型只提供系统预置项</x:v>
      </x:c>
      <x:c r="H245" s="9" t="str">
        <x:v>直播房型不可自定义</x:v>
      </x:c>
      <x:c r="I245" s="9" t="str">
        <x:v>1. 执行角色为平台管理员
2. 账号具有当前模块访问及本次操作权限</x:v>
      </x:c>
      <x:c r="J245" s="9" t="str">
        <x:v>1. 进入直播房型页</x:v>
      </x:c>
      <x:c r="K245" s="9" t="str">
        <x:v>不提供新增或编辑房型名称入口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来源（当前证据）：liveshow-proto/MainBasis/统一需求文档.md；位置：REQ-a4e04eaafd6e；行4376
2. 规则：BR-6abc9bf8ed51bd35
3. 未动态验证</x:v>
      </x:c>
    </x:row>
    <x:row r="246" ht="115" customHeight="1">
      <x:c r="A246" s="10" t="n">
        <x:v>245</x:v>
      </x:c>
      <x:c r="B246" s="10" t="str">
        <x:v>ADMIN-07-0093</x:v>
      </x:c>
      <x:c r="C246" s="10" t="str">
        <x:v>运营配置</x:v>
      </x:c>
      <x:c r="D246" s="10" t="str">
        <x:v>直播房型（平台管理员视角）</x:v>
      </x:c>
      <x:c r="E246" s="10" t="str">
        <x:v>逻辑校验</x:v>
      </x:c>
      <x:c r="F246" s="10" t="str">
        <x:v>P1</x:v>
      </x:c>
      <x:c r="G246" s="9" t="str">
        <x:v>验证关闭门票房功能状态</x:v>
      </x:c>
      <x:c r="H246" s="9" t="str">
        <x:v>后台房型关闭</x:v>
      </x:c>
      <x:c r="I246" s="9" t="str">
        <x:v>1. 执行角色为平台管理员
2. 账号具有当前模块访问及本次操作权限
3. 业务数据已准备且本页已打开；表单和筛选保持下列指定状态
4. 门票房当前开启</x:v>
      </x:c>
      <x:c r="J246" s="9" t="str">
        <x:v>1. 查看直播房型页
2. 关闭门票房开关</x:v>
      </x:c>
      <x:c r="K246" s="9" t="str">
        <x:v>门票房状态为关闭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来源（当前证据）：liveshow-proto/MainBasis/统一需求文档.md；位置：REQ-5c2437cc4eb8；行4384
2. 规则：BR-6418a479fd67c197
3. 未动态验证</x:v>
      </x:c>
    </x:row>
    <x:row r="247" ht="115" customHeight="1">
      <x:c r="A247" s="10" t="n">
        <x:v>246</x:v>
      </x:c>
      <x:c r="B247" s="10" t="str">
        <x:v>ADMIN-07-0094</x:v>
      </x:c>
      <x:c r="C247" s="10" t="str">
        <x:v>运营配置</x:v>
      </x:c>
      <x:c r="D247" s="10" t="str">
        <x:v>直播房型（平台管理员视角）</x:v>
      </x:c>
      <x:c r="E247" s="10" t="str">
        <x:v>逻辑校验</x:v>
      </x:c>
      <x:c r="F247" s="10" t="str">
        <x:v>P1</x:v>
      </x:c>
      <x:c r="G247" s="9" t="str">
        <x:v>验证关闭密码房功能状态</x:v>
      </x:c>
      <x:c r="H247" s="9" t="str">
        <x:v>后台房型关闭</x:v>
      </x:c>
      <x:c r="I247" s="9" t="str">
        <x:v>1. 执行角色为平台管理员
2. 账号具有当前模块访问及本次操作权限
3. 业务数据已准备且本页已打开；表单和筛选保持下列指定状态
4. 密码房当前开启</x:v>
      </x:c>
      <x:c r="J247" s="9" t="str">
        <x:v>1. 查看直播房型页
2. 关闭密码房开关</x:v>
      </x:c>
      <x:c r="K247" s="9" t="str">
        <x:v>密码房状态为关闭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来源（当前证据）：liveshow-proto/MainBasis/统一需求文档.md；位置：REQ-5c2437cc4eb8；行4384
2. 规则：BR-19fc6391af6e1c8b
3. 未动态验证</x:v>
      </x:c>
    </x:row>
    <x:row r="248" ht="115" customHeight="1">
      <x:c r="A248" s="10" t="n">
        <x:v>247</x:v>
      </x:c>
      <x:c r="B248" s="10" t="str">
        <x:v>ADMIN-07-0095</x:v>
      </x:c>
      <x:c r="C248" s="10" t="str">
        <x:v>运营配置</x:v>
      </x:c>
      <x:c r="D248" s="10" t="str">
        <x:v>门票价格档位（平台管理员视角）</x:v>
      </x:c>
      <x:c r="E248" s="10" t="str">
        <x:v>逻辑校验</x:v>
      </x:c>
      <x:c r="F248" s="10" t="str">
        <x:v>P1</x:v>
      </x:c>
      <x:c r="G248" s="9" t="str">
        <x:v>验证最后一个启用门票档位不能停用</x:v>
      </x:c>
      <x:c r="H248" s="9" t="str">
        <x:v>门票至少一个有效价格</x:v>
      </x:c>
      <x:c r="I248" s="9" t="str">
        <x:v>1. 执行角色为平台管理员
2. 账号具有当前模块访问及本次操作权限
3. 业务数据已准备且本页已打开；表单和筛选保持下列指定状态
4. 仅价格10金币档位启用</x:v>
      </x:c>
      <x:c r="J248" s="9" t="str">
        <x:v>1. 查看门票价格档位页
2. 点击10金币档位停用</x:v>
      </x:c>
      <x:c r="K248" s="9" t="str">
        <x:v>10金币档位仍启用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来源（当前证据）：liveshow-proto/MainBasis/统一需求文档.md；位置：REQ-0ed87f5918f5；行4401
2. 规则：BR-d7ca917b19d0017c
3. 未动态验证</x:v>
      </x:c>
    </x:row>
    <x:row r="249" ht="115" customHeight="1">
      <x:c r="A249" s="10" t="n">
        <x:v>248</x:v>
      </x:c>
      <x:c r="B249" s="10" t="str">
        <x:v>ADMIN-07-0096</x:v>
      </x:c>
      <x:c r="C249" s="10" t="str">
        <x:v>运营配置</x:v>
      </x:c>
      <x:c r="D249" s="10" t="str">
        <x:v>门票价格档位编辑（平台管理员视角）</x:v>
      </x:c>
      <x:c r="E249" s="10" t="str">
        <x:v>逻辑校验</x:v>
      </x:c>
      <x:c r="F249" s="10" t="str">
        <x:v>P1</x:v>
      </x:c>
      <x:c r="G249" s="9" t="str">
        <x:v>验证门票价格填写0不合法</x:v>
      </x:c>
      <x:c r="H249" s="9" t="str">
        <x:v>门票门票价格校验</x:v>
      </x:c>
      <x:c r="I249" s="9" t="str">
        <x:v>1. 执行角色为平台管理员
2. 账号具有当前模块访问及本次操作权限
3. 业务数据已准备且本页已打开；表单和筛选保持下列指定状态
4. 其他配置有效</x:v>
      </x:c>
      <x:c r="J249" s="9" t="str">
        <x:v>1. 查看门票价格档位编辑页
2. 填写门票价格为0
3. 点击保存</x:v>
      </x:c>
      <x:c r="K249" s="9" t="str">
        <x:v>不能保存非正整数配置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来源（当前证据）：liveshow-proto/MainBasis/统一需求文档.md；位置：REQ-90dc1e92d97d；行4410、REQ-038dcd1bdbef；行4412
2. 规则：BR-6b0822569233873b
3. 未动态验证</x:v>
      </x:c>
    </x:row>
    <x:row r="250" ht="115" customHeight="1">
      <x:c r="A250" s="10" t="n">
        <x:v>249</x:v>
      </x:c>
      <x:c r="B250" s="10" t="str">
        <x:v>ADMIN-07-0097</x:v>
      </x:c>
      <x:c r="C250" s="10" t="str">
        <x:v>运营配置</x:v>
      </x:c>
      <x:c r="D250" s="10" t="str">
        <x:v>门票价格档位编辑（平台管理员视角）</x:v>
      </x:c>
      <x:c r="E250" s="10" t="str">
        <x:v>逻辑校验</x:v>
      </x:c>
      <x:c r="F250" s="10" t="str">
        <x:v>P1</x:v>
      </x:c>
      <x:c r="G250" s="9" t="str">
        <x:v>验证门票价格填写-1不合法</x:v>
      </x:c>
      <x:c r="H250" s="9" t="str">
        <x:v>门票门票价格校验</x:v>
      </x:c>
      <x:c r="I250" s="9" t="str">
        <x:v>1. 执行角色为平台管理员
2. 账号具有当前模块访问及本次操作权限
3. 业务数据已准备且本页已打开；表单和筛选保持下列指定状态
4. 其他配置有效</x:v>
      </x:c>
      <x:c r="J250" s="9" t="str">
        <x:v>1. 查看门票价格档位编辑页
2. 填写门票价格为-1
3. 点击保存</x:v>
      </x:c>
      <x:c r="K250" s="9" t="str">
        <x:v>不能保存非正整数配置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来源（当前证据）：liveshow-proto/MainBasis/统一需求文档.md；位置：REQ-90dc1e92d97d；行4410、REQ-038dcd1bdbef；行4412
2. 规则：BR-055670791edf59e1
3. 未动态验证</x:v>
      </x:c>
    </x:row>
    <x:row r="251" ht="115" customHeight="1">
      <x:c r="A251" s="10" t="n">
        <x:v>250</x:v>
      </x:c>
      <x:c r="B251" s="10" t="str">
        <x:v>ADMIN-07-0098</x:v>
      </x:c>
      <x:c r="C251" s="10" t="str">
        <x:v>运营配置</x:v>
      </x:c>
      <x:c r="D251" s="10" t="str">
        <x:v>门票价格档位编辑（平台管理员视角）</x:v>
      </x:c>
      <x:c r="E251" s="10" t="str">
        <x:v>逻辑校验</x:v>
      </x:c>
      <x:c r="F251" s="10" t="str">
        <x:v>P1</x:v>
      </x:c>
      <x:c r="G251" s="9" t="str">
        <x:v>验证门票价格填写1.5不合法</x:v>
      </x:c>
      <x:c r="H251" s="9" t="str">
        <x:v>门票门票价格校验</x:v>
      </x:c>
      <x:c r="I251" s="9" t="str">
        <x:v>1. 执行角色为平台管理员
2. 账号具有当前模块访问及本次操作权限
3. 业务数据已准备且本页已打开；表单和筛选保持下列指定状态
4. 其他配置有效</x:v>
      </x:c>
      <x:c r="J251" s="9" t="str">
        <x:v>1. 查看门票价格档位编辑页
2. 填写门票价格为1.5
3. 点击保存</x:v>
      </x:c>
      <x:c r="K251" s="9" t="str">
        <x:v>不能保存非正整数配置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来源（当前证据）：liveshow-proto/MainBasis/统一需求文档.md；位置：REQ-90dc1e92d97d；行4410、REQ-038dcd1bdbef；行4412
2. 规则：BR-6da1cafa0489bb04
3. 未动态验证</x:v>
      </x:c>
    </x:row>
    <x:row r="252" ht="115" customHeight="1">
      <x:c r="A252" s="10" t="n">
        <x:v>251</x:v>
      </x:c>
      <x:c r="B252" s="10" t="str">
        <x:v>ADMIN-07-0099</x:v>
      </x:c>
      <x:c r="C252" s="10" t="str">
        <x:v>运营配置</x:v>
      </x:c>
      <x:c r="D252" s="10" t="str">
        <x:v>门票价格档位编辑（平台管理员视角）</x:v>
      </x:c>
      <x:c r="E252" s="10" t="str">
        <x:v>逻辑校验</x:v>
      </x:c>
      <x:c r="F252" s="10" t="str">
        <x:v>P1</x:v>
      </x:c>
      <x:c r="G252" s="9" t="str">
        <x:v>验证排序填写0不合法</x:v>
      </x:c>
      <x:c r="H252" s="9" t="str">
        <x:v>门票排序校验</x:v>
      </x:c>
      <x:c r="I252" s="9" t="str">
        <x:v>1. 执行角色为平台管理员
2. 账号具有当前模块访问及本次操作权限
3. 业务数据已准备且本页已打开；表单和筛选保持下列指定状态
4. 其他配置有效</x:v>
      </x:c>
      <x:c r="J252" s="9" t="str">
        <x:v>1. 查看门票价格档位编辑页
2. 填写排序为0
3. 点击保存</x:v>
      </x:c>
      <x:c r="K252" s="9" t="str">
        <x:v>不能保存非正整数配置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来源（当前证据）：liveshow-proto/MainBasis/统一需求文档.md；位置：REQ-90dc1e92d97d；行4410、REQ-038dcd1bdbef；行4412
2. 规则：BR-c9411a22dcadaa87
3. 未动态验证</x:v>
      </x:c>
    </x:row>
    <x:row r="253" ht="115" customHeight="1">
      <x:c r="A253" s="10" t="n">
        <x:v>252</x:v>
      </x:c>
      <x:c r="B253" s="10" t="str">
        <x:v>ADMIN-07-0100</x:v>
      </x:c>
      <x:c r="C253" s="10" t="str">
        <x:v>运营配置</x:v>
      </x:c>
      <x:c r="D253" s="10" t="str">
        <x:v>门票价格档位编辑（平台管理员视角）</x:v>
      </x:c>
      <x:c r="E253" s="10" t="str">
        <x:v>逻辑校验</x:v>
      </x:c>
      <x:c r="F253" s="10" t="str">
        <x:v>P1</x:v>
      </x:c>
      <x:c r="G253" s="9" t="str">
        <x:v>验证排序填写-1不合法</x:v>
      </x:c>
      <x:c r="H253" s="9" t="str">
        <x:v>门票排序校验</x:v>
      </x:c>
      <x:c r="I253" s="9" t="str">
        <x:v>1. 执行角色为平台管理员
2. 账号具有当前模块访问及本次操作权限
3. 业务数据已准备且本页已打开；表单和筛选保持下列指定状态
4. 其他配置有效</x:v>
      </x:c>
      <x:c r="J253" s="9" t="str">
        <x:v>1. 查看门票价格档位编辑页
2. 填写排序为-1
3. 点击保存</x:v>
      </x:c>
      <x:c r="K253" s="9" t="str">
        <x:v>不能保存非正整数配置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来源（当前证据）：liveshow-proto/MainBasis/统一需求文档.md；位置：REQ-90dc1e92d97d；行4410、REQ-038dcd1bdbef；行4412
2. 规则：BR-57305857b9f9b0e7
3. 未动态验证</x:v>
      </x:c>
    </x:row>
    <x:row r="254" ht="115" customHeight="1">
      <x:c r="A254" s="10" t="n">
        <x:v>253</x:v>
      </x:c>
      <x:c r="B254" s="10" t="str">
        <x:v>ADMIN-07-0101</x:v>
      </x:c>
      <x:c r="C254" s="10" t="str">
        <x:v>运营配置</x:v>
      </x:c>
      <x:c r="D254" s="10" t="str">
        <x:v>门票价格档位编辑（平台管理员视角）</x:v>
      </x:c>
      <x:c r="E254" s="10" t="str">
        <x:v>逻辑校验</x:v>
      </x:c>
      <x:c r="F254" s="10" t="str">
        <x:v>P1</x:v>
      </x:c>
      <x:c r="G254" s="9" t="str">
        <x:v>验证排序填写1.5不合法</x:v>
      </x:c>
      <x:c r="H254" s="9" t="str">
        <x:v>门票排序校验</x:v>
      </x:c>
      <x:c r="I254" s="9" t="str">
        <x:v>1. 执行角色为平台管理员
2. 账号具有当前模块访问及本次操作权限
3. 业务数据已准备且本页已打开；表单和筛选保持下列指定状态
4. 其他配置有效</x:v>
      </x:c>
      <x:c r="J254" s="9" t="str">
        <x:v>1. 查看门票价格档位编辑页
2. 填写排序为1.5
3. 点击保存</x:v>
      </x:c>
      <x:c r="K254" s="9" t="str">
        <x:v>不能保存非正整数配置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来源（当前证据）：liveshow-proto/MainBasis/统一需求文档.md；位置：REQ-90dc1e92d97d；行4410、REQ-038dcd1bdbef；行4412
2. 规则：BR-a2aade04be8d77fa
3. 未动态验证</x:v>
      </x:c>
    </x:row>
    <x:row r="255" ht="115" customHeight="1">
      <x:c r="A255" s="10" t="n">
        <x:v>254</x:v>
      </x:c>
      <x:c r="B255" s="10" t="str">
        <x:v>ADMIN-07-0102</x:v>
      </x:c>
      <x:c r="C255" s="10" t="str">
        <x:v>运营配置</x:v>
      </x:c>
      <x:c r="D255" s="10" t="str">
        <x:v>门票价格档位编辑（平台管理员视角）</x:v>
      </x:c>
      <x:c r="E255" s="10" t="str">
        <x:v>逻辑校验</x:v>
      </x:c>
      <x:c r="F255" s="10" t="str">
        <x:v>P1</x:v>
      </x:c>
      <x:c r="G255" s="9" t="str">
        <x:v>验证门票价格不能重复配置</x:v>
      </x:c>
      <x:c r="H255" s="9" t="str">
        <x:v>门票价格唯一性</x:v>
      </x:c>
      <x:c r="I255" s="9" t="str">
        <x:v>1. 执行角色为平台管理员
2. 账号具有当前模块访问及本次操作权限
3. 业务数据已准备且本页已打开；表单和筛选保持下列指定状态
4. 已有10金币档位</x:v>
      </x:c>
      <x:c r="J255" s="9" t="str">
        <x:v>1. 查看门票价格档位编辑页
2. 填写门票价格为10
3. 点击保存</x:v>
      </x:c>
      <x:c r="K255" s="9" t="str">
        <x:v>不能保存重复门票价格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来源（当前证据）：liveshow-proto/MainBasis/统一需求文档.md；位置：REQ-90dc1e92d97d；行4410
2. 规则：BR-d174ca936b720530
3. 未动态验证</x:v>
      </x:c>
    </x:row>
    <x:row r="256" ht="115" customHeight="1">
      <x:c r="A256" s="10" t="n">
        <x:v>255</x:v>
      </x:c>
      <x:c r="B256" s="10" t="str">
        <x:v>ADMIN-07-0103</x:v>
      </x:c>
      <x:c r="C256" s="10" t="str">
        <x:v>运营配置</x:v>
      </x:c>
      <x:c r="D256" s="10" t="str">
        <x:v>敏感词编辑（平台管理员视角）</x:v>
      </x:c>
      <x:c r="E256" s="10" t="str">
        <x:v>逻辑校验</x:v>
      </x:c>
      <x:c r="F256" s="10" t="str">
        <x:v>P1</x:v>
      </x:c>
      <x:c r="G256" s="9" t="str">
        <x:v>验证敏感词规则敏感词必填</x:v>
      </x:c>
      <x:c r="H256" s="9" t="str">
        <x:v>敏感词敏感词校验</x:v>
      </x:c>
      <x:c r="I256" s="9" t="str">
        <x:v>1. 执行角色为平台管理员
2. 账号具有当前模块访问及本次操作权限
3. 业务数据已准备且本页已打开；表单和筛选保持下列指定状态
4. 其他字段和场景已填写</x:v>
      </x:c>
      <x:c r="J256" s="9" t="str">
        <x:v>1. 查看敏感词编辑页
2. 清空敏感词
3. 点击保存</x:v>
      </x:c>
      <x:c r="K256" s="9" t="str">
        <x:v>不能保存缺少必填项的敏感词规则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来源（当前证据）：liveshow-proto/MainBasis/统一需求文档.md；位置：REQ-affce27eecc6；行4444
2. 规则：BR-5f29433dc944522f
3. 未动态验证</x:v>
      </x:c>
    </x:row>
    <x:row r="257" ht="115" customHeight="1">
      <x:c r="A257" s="10" t="n">
        <x:v>256</x:v>
      </x:c>
      <x:c r="B257" s="10" t="str">
        <x:v>ADMIN-07-0104</x:v>
      </x:c>
      <x:c r="C257" s="10" t="str">
        <x:v>运营配置</x:v>
      </x:c>
      <x:c r="D257" s="10" t="str">
        <x:v>敏感词编辑（平台管理员视角）</x:v>
      </x:c>
      <x:c r="E257" s="10" t="str">
        <x:v>逻辑校验</x:v>
      </x:c>
      <x:c r="F257" s="10" t="str">
        <x:v>P1</x:v>
      </x:c>
      <x:c r="G257" s="9" t="str">
        <x:v>验证敏感词规则分类必填</x:v>
      </x:c>
      <x:c r="H257" s="9" t="str">
        <x:v>敏感词分类校验</x:v>
      </x:c>
      <x:c r="I257" s="9" t="str">
        <x:v>1. 执行角色为平台管理员
2. 账号具有当前模块访问及本次操作权限
3. 业务数据已准备且本页已打开；表单和筛选保持下列指定状态
4. 其他字段和场景已填写</x:v>
      </x:c>
      <x:c r="J257" s="9" t="str">
        <x:v>1. 查看敏感词编辑页
2. 清空分类
3. 点击保存</x:v>
      </x:c>
      <x:c r="K257" s="9" t="str">
        <x:v>不能保存缺少必填项的敏感词规则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来源（当前证据）：liveshow-proto/MainBasis/统一需求文档.md；位置：REQ-affce27eecc6；行4444
2. 规则：BR-4e22b5bea4207f00
3. 未动态验证</x:v>
      </x:c>
    </x:row>
    <x:row r="258" ht="115" customHeight="1">
      <x:c r="A258" s="10" t="n">
        <x:v>257</x:v>
      </x:c>
      <x:c r="B258" s="10" t="str">
        <x:v>ADMIN-07-0105</x:v>
      </x:c>
      <x:c r="C258" s="10" t="str">
        <x:v>运营配置</x:v>
      </x:c>
      <x:c r="D258" s="10" t="str">
        <x:v>敏感词编辑（平台管理员视角）</x:v>
      </x:c>
      <x:c r="E258" s="10" t="str">
        <x:v>逻辑校验</x:v>
      </x:c>
      <x:c r="F258" s="10" t="str">
        <x:v>P1</x:v>
      </x:c>
      <x:c r="G258" s="9" t="str">
        <x:v>验证敏感词规则替换内容必填</x:v>
      </x:c>
      <x:c r="H258" s="9" t="str">
        <x:v>敏感词替换内容校验</x:v>
      </x:c>
      <x:c r="I258" s="9" t="str">
        <x:v>1. 执行角色为平台管理员
2. 账号具有当前模块访问及本次操作权限
3. 业务数据已准备且本页已打开；表单和筛选保持下列指定状态
4. 其他字段和场景已填写</x:v>
      </x:c>
      <x:c r="J258" s="9" t="str">
        <x:v>1. 查看敏感词编辑页
2. 清空替换内容
3. 点击保存</x:v>
      </x:c>
      <x:c r="K258" s="9" t="str">
        <x:v>不能保存缺少必填项的敏感词规则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来源（当前证据）：liveshow-proto/MainBasis/统一需求文档.md；位置：REQ-40d324f06aa0；行4450
2. 规则：BR-3a9c93fdcb85a63a
3. 未动态验证</x:v>
      </x:c>
    </x:row>
    <x:row r="259" ht="115" customHeight="1">
      <x:c r="A259" s="10" t="n">
        <x:v>258</x:v>
      </x:c>
      <x:c r="B259" s="10" t="str">
        <x:v>ADMIN-07-0106</x:v>
      </x:c>
      <x:c r="C259" s="10" t="str">
        <x:v>运营配置</x:v>
      </x:c>
      <x:c r="D259" s="10" t="str">
        <x:v>敏感词编辑（平台管理员视角）</x:v>
      </x:c>
      <x:c r="E259" s="10" t="str">
        <x:v>逻辑校验</x:v>
      </x:c>
      <x:c r="F259" s="10" t="str">
        <x:v>P1</x:v>
      </x:c>
      <x:c r="G259" s="9" t="str">
        <x:v>验证敏感词规则至少一个使用场景</x:v>
      </x:c>
      <x:c r="H259" s="9" t="str">
        <x:v>敏感词场景必选</x:v>
      </x:c>
      <x:c r="I259" s="9" t="str">
        <x:v>1. 执行角色为平台管理员
2. 账号具有当前模块访问及本次操作权限
3. 业务数据已准备且本页已打开；表单和筛选保持下列指定状态
4. 词条分类替换内容完整</x:v>
      </x:c>
      <x:c r="J259" s="9" t="str">
        <x:v>1. 查看敏感词编辑页
2. 清空使用场景
3. 点击保存</x:v>
      </x:c>
      <x:c r="K259" s="9" t="str">
        <x:v>不能保存无使用场景的规则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来源（当前证据）：liveshow-proto/MainBasis/统一需求文档.md；位置：REQ-62d66da4c13f；行4448
2. 规则：BR-2da5f5266e93f16d
3. 未动态验证</x:v>
      </x:c>
    </x:row>
    <x:row r="260" ht="115" customHeight="1">
      <x:c r="A260" s="10" t="n">
        <x:v>259</x:v>
      </x:c>
      <x:c r="B260" s="10" t="str">
        <x:v>ADMIN-07-0107</x:v>
      </x:c>
      <x:c r="C260" s="10" t="str">
        <x:v>运营配置</x:v>
      </x:c>
      <x:c r="D260" s="10" t="str">
        <x:v>敏感词编辑（平台管理员视角）</x:v>
      </x:c>
      <x:c r="E260" s="10" t="str">
        <x:v>逻辑校验</x:v>
      </x:c>
      <x:c r="F260" s="10" t="str">
        <x:v>P1</x:v>
      </x:c>
      <x:c r="G260" s="9" t="str">
        <x:v>验证同匹配规则下敏感词去重</x:v>
      </x:c>
      <x:c r="H260" s="9" t="str">
        <x:v>敏感词规则唯一性</x:v>
      </x:c>
      <x:c r="I260" s="9" t="str">
        <x:v>1. 执行角色为平台管理员
2. 账号具有当前模块访问及本次操作权限
3. 业务数据已准备且本页已打开；表单和筛选保持下列指定状态
4. 已有包含匹配词条QA</x:v>
      </x:c>
      <x:c r="J260" s="9" t="str">
        <x:v>1. 查看敏感词编辑页
2. 填写敏感词为QA
3. 选择匹配规则为包含匹配
4. 点击保存</x:v>
      </x:c>
      <x:c r="K260" s="9" t="str">
        <x:v>不能保存重复包含匹配词条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来源（当前证据）：liveshow-proto/MainBasis/统一需求文档.md；位置：REQ-affce27eecc6；行4444
2. 规则：BR-6e817c130786e9ca
3. 未动态验证</x:v>
      </x:c>
    </x:row>
    <x:row r="261" ht="130" customHeight="1">
      <x:c r="A261" s="10" t="n">
        <x:v>260</x:v>
      </x:c>
      <x:c r="B261" s="10" t="str">
        <x:v>ADMIN-08-0001</x:v>
      </x:c>
      <x:c r="C261" s="10" t="str">
        <x:v>订单管理</x:v>
      </x:c>
      <x:c r="D261" s="10" t="str">
        <x:v>充值订单详情（平台管理员视角）</x:v>
      </x:c>
      <x:c r="E261" s="10" t="str">
        <x:v>逻辑校验</x:v>
      </x:c>
      <x:c r="F261" s="10" t="str">
        <x:v>P1</x:v>
      </x:c>
      <x:c r="G261" s="9" t="str">
        <x:v>验证充值到账包含赠送金币</x:v>
      </x:c>
      <x:c r="H261" s="9" t="str">
        <x:v>后台充值总到账</x:v>
      </x:c>
      <x:c r="I261" s="9" t="str">
        <x:v>1. 执行角色为平台管理员
2. 账号具有当前模块访问及本次操作权限
3. 业务数据已准备且本页已打开；表单和筛选保持下列指定状态
4. 原订单基础1000金币、赠送100金币</x:v>
      </x:c>
      <x:c r="J261" s="9" t="str">
        <x:v>1. 查看充值订单详情页</x:v>
      </x:c>
      <x:c r="K261" s="9" t="str">
        <x:v>总到账金币 = 1100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来源（当前证据）：liveshow-proto/MainBasis/统一需求文档.md；位置：REQ-00f1bdc8a4a4；行4486
2. 规则：BR-38e2a206276c88e9
3. 未动态验证</x:v>
      </x:c>
    </x:row>
    <x:row r="262" ht="130" customHeight="1">
      <x:c r="A262" s="10" t="n">
        <x:v>261</x:v>
      </x:c>
      <x:c r="B262" s="10" t="str">
        <x:v>ADMIN-08-0002</x:v>
      </x:c>
      <x:c r="C262" s="10" t="str">
        <x:v>订单管理</x:v>
      </x:c>
      <x:c r="D262" s="10" t="str">
        <x:v>充值订单详情（平台管理员视角）</x:v>
      </x:c>
      <x:c r="E262" s="10" t="str">
        <x:v>业务流程</x:v>
      </x:c>
      <x:c r="F262" s="10" t="str">
        <x:v>P0</x:v>
      </x:c>
      <x:c r="G262" s="9" t="str">
        <x:v>验证充值退款按实付金额全退</x:v>
      </x:c>
      <x:c r="H262" s="9" t="str">
        <x:v>后台退款金额口径</x:v>
      </x:c>
      <x:c r="I262" s="9" t="str">
        <x:v>1. 执行角色为平台管理员
2. 账号具有当前模块访问及本次操作权限
3. 业务数据已准备且本页已打开；表单和筛选保持下列指定状态
4. 订单标价10USD，实付8USD，支付成功且未退款</x:v>
      </x:c>
      <x:c r="J262" s="9" t="str">
        <x:v>1. 查看充值订单详情页
2. 点击手动退款
3. 填写原因为测试退款
4. 点击确认</x:v>
      </x:c>
      <x:c r="K262" s="9" t="str">
        <x:v>退款金额显示8USD</x:v>
      </x:c>
      <x:c r="L262" s="10" t="str">
        <x:v>FLOW-2BA2481A2F</x:v>
      </x:c>
      <x:c r="M262" s="10" t="str">
        <x:v>未测</x:v>
      </x:c>
      <x:c r="N262" s="10" t="str"/>
      <x:c r="O262" s="9" t="str">
        <x:v>1. 来源（当前证据）：liveshow-proto/MainBasis/统一需求文档.md；位置：REQ-64e74d191e3c；行4488
2. 规则：BR-c570356918b9e52d
3. 未动态验证</x:v>
      </x:c>
    </x:row>
    <x:row r="263" ht="115" customHeight="1">
      <x:c r="A263" s="10" t="n">
        <x:v>262</x:v>
      </x:c>
      <x:c r="B263" s="10" t="str">
        <x:v>ADMIN-08-0003</x:v>
      </x:c>
      <x:c r="C263" s="10" t="str">
        <x:v>订单管理</x:v>
      </x:c>
      <x:c r="D263" s="10" t="str">
        <x:v>充值订单详情（平台管理员视角）</x:v>
      </x:c>
      <x:c r="E263" s="10" t="str">
        <x:v>逻辑校验</x:v>
      </x:c>
      <x:c r="F263" s="10" t="str">
        <x:v>P1</x:v>
      </x:c>
      <x:c r="G263" s="9" t="str">
        <x:v>验证已退款订单不能重复退款</x:v>
      </x:c>
      <x:c r="H263" s="9" t="str">
        <x:v>充值退款幂等</x:v>
      </x:c>
      <x:c r="I263" s="9" t="str">
        <x:v>1. 执行角色为平台管理员
2. 账号具有当前模块访问及本次操作权限
3. 业务数据已准备且本页已打开；表单和筛选保持下列指定状态
4. 订单已经完成全额退款</x:v>
      </x:c>
      <x:c r="J263" s="9" t="str">
        <x:v>1. 查看充值订单详情页</x:v>
      </x:c>
      <x:c r="K263" s="9" t="str">
        <x:v>不允许再次执行手动退款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来源（当前证据）：liveshow-proto/MainBasis/统一需求文档.md；位置：REQ-e502dcaa4789；行4494
2. 规则：BR-8139589485c3531c
3. 未动态验证</x:v>
      </x:c>
    </x:row>
    <x:row r="264" ht="115" customHeight="1">
      <x:c r="A264" s="10" t="n">
        <x:v>263</x:v>
      </x:c>
      <x:c r="B264" s="10" t="str">
        <x:v>ADMIN-08-0004</x:v>
      </x:c>
      <x:c r="C264" s="10" t="str">
        <x:v>订单管理</x:v>
      </x:c>
      <x:c r="D264" s="10" t="str">
        <x:v>充值订单详情（平台管理员视角）</x:v>
      </x:c>
      <x:c r="E264" s="10" t="str">
        <x:v>逻辑校验</x:v>
      </x:c>
      <x:c r="F264" s="10" t="str">
        <x:v>P1</x:v>
      </x:c>
      <x:c r="G264" s="9" t="str">
        <x:v>验证充值不提供部分金额退款</x:v>
      </x:c>
      <x:c r="H264" s="9" t="str">
        <x:v>充值全额退款限制</x:v>
      </x:c>
      <x:c r="I264" s="9" t="str">
        <x:v>1. 执行角色为平台管理员
2. 账号具有当前模块访问及本次操作权限
3. 业务数据已准备且本页已打开；表单和筛选保持下列指定状态
4. 订单支付成功未退款</x:v>
      </x:c>
      <x:c r="J264" s="9" t="str">
        <x:v>1. 查看充值订单详情页
2. 点击手动退款</x:v>
      </x:c>
      <x:c r="K264" s="9" t="str">
        <x:v>退款金额固定为原实付金额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来源（当前证据）：liveshow-proto/MainBasis/统一需求文档.md；位置：REQ-64e74d191e3c；行4488
2. 规则：BR-93b8b735bb4a6b4f
3. 未动态验证</x:v>
      </x:c>
    </x:row>
    <x:row r="265" ht="115" customHeight="1">
      <x:c r="A265" s="10" t="n">
        <x:v>264</x:v>
      </x:c>
      <x:c r="B265" s="10" t="str">
        <x:v>ADMIN-08-0005</x:v>
      </x:c>
      <x:c r="C265" s="10" t="str">
        <x:v>订单管理</x:v>
      </x:c>
      <x:c r="D265" s="10" t="str">
        <x:v>充值订单详情（平台管理员视角）</x:v>
      </x:c>
      <x:c r="E265" s="10" t="str">
        <x:v>逻辑校验</x:v>
      </x:c>
      <x:c r="F265" s="10" t="str">
        <x:v>P1</x:v>
      </x:c>
      <x:c r="G265" s="9" t="str">
        <x:v>验证充值手动退款原因必填</x:v>
      </x:c>
      <x:c r="H265" s="9" t="str">
        <x:v>充值退款原因校验</x:v>
      </x:c>
      <x:c r="I265" s="9" t="str">
        <x:v>1. 执行角色为平台管理员
2. 账号具有当前模块访问及本次操作权限
3. 业务数据已准备且本页已打开；表单和筛选保持下列指定状态
4. 订单可退款</x:v>
      </x:c>
      <x:c r="J265" s="9" t="str">
        <x:v>1. 查看充值订单详情页
2. 点击手动退款
3. 清空原因
4. 点击确认</x:v>
      </x:c>
      <x:c r="K265" s="9" t="str">
        <x:v>不能提交缺少原因的退款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来源（当前证据）：liveshow-proto/MainBasis/统一需求文档.md；位置：REQ-6dce44b86571；行4500
2. 规则：BR-11bb8af033f57658
3. 未动态验证</x:v>
      </x:c>
    </x:row>
    <x:row r="266" ht="130" customHeight="1">
      <x:c r="A266" s="10" t="n">
        <x:v>265</x:v>
      </x:c>
      <x:c r="B266" s="10" t="str">
        <x:v>ADMIN-08-0006</x:v>
      </x:c>
      <x:c r="C266" s="10" t="str">
        <x:v>订单管理</x:v>
      </x:c>
      <x:c r="D266" s="10" t="str">
        <x:v>充值订单详情（平台管理员视角）</x:v>
      </x:c>
      <x:c r="E266" s="10" t="str">
        <x:v>逻辑校验</x:v>
      </x:c>
      <x:c r="F266" s="10" t="str">
        <x:v>P1</x:v>
      </x:c>
      <x:c r="G266" s="9" t="str">
        <x:v>验证退款扣回基础及赠送金币</x:v>
      </x:c>
      <x:c r="H266" s="9" t="str">
        <x:v>充值退款扣回范围</x:v>
      </x:c>
      <x:c r="I266" s="9" t="str">
        <x:v>1. 执行角色为平台管理员
2. 账号具有当前模块访问及本次操作权限
3. 业务数据已准备且本页已打开；表单和筛选保持下列指定状态
4. 原订单基础1000金币、赠送100金币，退款已完成</x:v>
      </x:c>
      <x:c r="J266" s="9" t="str">
        <x:v>1. 查看充值订单详情页</x:v>
      </x:c>
      <x:c r="K266" s="9" t="str">
        <x:v>扣回金币 = 1100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来源（当前证据）：liveshow-proto/MainBasis/统一需求文档.md；位置：REQ-b6b84ff173c8；行4490
2. 规则：BR-192469a4ebafb00f
3. 未动态验证</x:v>
      </x:c>
    </x:row>
    <x:row r="267" ht="115" customHeight="1">
      <x:c r="A267" s="10" t="n">
        <x:v>266</x:v>
      </x:c>
      <x:c r="B267" s="10" t="str">
        <x:v>ADMIN-08-0007</x:v>
      </x:c>
      <x:c r="C267" s="10" t="str">
        <x:v>订单管理</x:v>
      </x:c>
      <x:c r="D267" s="10" t="str">
        <x:v>充值订单（平台管理员视角）</x:v>
      </x:c>
      <x:c r="E267" s="10" t="str">
        <x:v>功能需求</x:v>
      </x:c>
      <x:c r="F267" s="10" t="str">
        <x:v>P2</x:v>
      </x:c>
      <x:c r="G267" s="9" t="str">
        <x:v>验证导出充值订单保留筛选</x:v>
      </x:c>
      <x:c r="H267" s="9" t="str">
        <x:v>充值订单导出范围</x:v>
      </x:c>
      <x:c r="I267" s="9" t="str">
        <x:v>1. 执行角色为平台管理员
2. 账号具有当前模块访问及本次操作权限
3. 业务数据已准备且本页已打开；表单和筛选保持下列指定状态
4. 当前筛选仅订单A和B</x:v>
      </x:c>
      <x:c r="J267" s="9" t="str">
        <x:v>1. 查看充值订单页
2. 点击导出</x:v>
      </x:c>
      <x:c r="K267" s="9" t="str">
        <x:v>导出仅包含订单A和B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来源（当前证据）：liveshow-proto/MainBasis/统一需求文档.md；位置：REQ-24c272481a4b；行4475
2. 规则：BR-b270f3ae9c0a5d3a
3. 未动态验证</x:v>
      </x:c>
    </x:row>
    <x:row r="268" ht="130" customHeight="1">
      <x:c r="A268" s="10" t="n">
        <x:v>267</x:v>
      </x:c>
      <x:c r="B268" s="10" t="str">
        <x:v>ADMIN-08-0008</x:v>
      </x:c>
      <x:c r="C268" s="10" t="str">
        <x:v>订单管理</x:v>
      </x:c>
      <x:c r="D268" s="10" t="str">
        <x:v>消费订单详情（平台管理员视角）</x:v>
      </x:c>
      <x:c r="E268" s="10" t="str">
        <x:v>逻辑校验</x:v>
      </x:c>
      <x:c r="F268" s="10" t="str">
        <x:v>P1</x:v>
      </x:c>
      <x:c r="G268" s="9" t="str">
        <x:v>验证修改礼物价格不改历史消费单价</x:v>
      </x:c>
      <x:c r="H268" s="9" t="str">
        <x:v>消费订单商品快照</x:v>
      </x:c>
      <x:c r="I268" s="9" t="str">
        <x:v>1. 执行角色为平台管理员
2. 账号具有当前模块访问及本次操作权限
3. 业务数据已准备且本页已打开；表单和筛选保持下列指定状态
4. 订单成交单价10金币，配置后来改为20</x:v>
      </x:c>
      <x:c r="J268" s="9" t="str">
        <x:v>1. 查看消费订单详情页</x:v>
      </x:c>
      <x:c r="K268" s="9" t="str">
        <x:v>订单商品单价仍为10金币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来源（当前证据）：liveshow-proto/MainBasis/统一需求文档.md；位置：REQ-8ea130fa961d；行4530
2. 规则：BR-9d1aba610dfbdfe9
3. 未动态验证</x:v>
      </x:c>
    </x:row>
    <x:row r="269" ht="130" customHeight="1">
      <x:c r="A269" s="10" t="n">
        <x:v>268</x:v>
      </x:c>
      <x:c r="B269" s="10" t="str">
        <x:v>ADMIN-08-0009</x:v>
      </x:c>
      <x:c r="C269" s="10" t="str">
        <x:v>订单管理</x:v>
      </x:c>
      <x:c r="D269" s="10" t="str">
        <x:v>消费订单详情（平台管理员视角）</x:v>
      </x:c>
      <x:c r="E269" s="10" t="str">
        <x:v>逻辑校验</x:v>
      </x:c>
      <x:c r="F269" s="10" t="str">
        <x:v>P1</x:v>
      </x:c>
      <x:c r="G269" s="9" t="str">
        <x:v>验证消费扣减按历史单价和数量</x:v>
      </x:c>
      <x:c r="H269" s="9" t="str">
        <x:v>消费订单扣减公式</x:v>
      </x:c>
      <x:c r="I269" s="9" t="str">
        <x:v>1. 执行角色为平台管理员
2. 账号具有当前模块访问及本次操作权限
3. 业务数据已准备且本页已打开；表单和筛选保持下列指定状态
4. 订单快照单价10金币、数量20</x:v>
      </x:c>
      <x:c r="J269" s="9" t="str">
        <x:v>1. 查看消费订单详情页</x:v>
      </x:c>
      <x:c r="K269" s="9" t="str">
        <x:v>扣减金币 = 200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来源（当前证据）：liveshow-proto/MainBasis/统一需求文档.md；位置：REQ-84cd8caf2fa7；行4532
2. 规则：BR-36c902c60ebffd9d
3. 未动态验证</x:v>
      </x:c>
    </x:row>
    <x:row r="270" ht="130" customHeight="1">
      <x:c r="A270" s="10" t="n">
        <x:v>269</x:v>
      </x:c>
      <x:c r="B270" s="10" t="str">
        <x:v>ADMIN-08-0010</x:v>
      </x:c>
      <x:c r="C270" s="10" t="str">
        <x:v>订单管理</x:v>
      </x:c>
      <x:c r="D270" s="10" t="str">
        <x:v>消费订单详情（平台管理员视角）</x:v>
      </x:c>
      <x:c r="E270" s="10" t="str">
        <x:v>逻辑校验</x:v>
      </x:c>
      <x:c r="F270" s="10" t="str">
        <x:v>P1</x:v>
      </x:c>
      <x:c r="G270" s="9" t="str">
        <x:v>验证幸运返奖超过扣减时净消耗为负</x:v>
      </x:c>
      <x:c r="H270" s="9" t="str">
        <x:v>幸运订单净消耗</x:v>
      </x:c>
      <x:c r="I270" s="9" t="str">
        <x:v>1. 执行角色为平台管理员
2. 账号具有当前模块访问及本次操作权限
3. 业务数据已准备且本页已打开；表单和筛选保持下列指定状态
4. 订单扣减100金币、实际返奖1000金币</x:v>
      </x:c>
      <x:c r="J270" s="9" t="str">
        <x:v>1. 查看消费订单详情页</x:v>
      </x:c>
      <x:c r="K270" s="9" t="str">
        <x:v>用户净消耗 = -900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来源（当前证据）：liveshow-proto/MainBasis/统一需求文档.md；位置：REQ-4fc49544167b；行4536
2. 规则：BR-a1eeea0725493269
3. 未动态验证</x:v>
      </x:c>
    </x:row>
    <x:row r="271" ht="130" customHeight="1">
      <x:c r="A271" s="10" t="n">
        <x:v>270</x:v>
      </x:c>
      <x:c r="B271" s="10" t="str">
        <x:v>ADMIN-08-0011</x:v>
      </x:c>
      <x:c r="C271" s="10" t="str">
        <x:v>订单管理</x:v>
      </x:c>
      <x:c r="D271" s="10" t="str">
        <x:v>消费订单详情（平台管理员视角）</x:v>
      </x:c>
      <x:c r="E271" s="10" t="str">
        <x:v>逻辑校验</x:v>
      </x:c>
      <x:c r="F271" s="10" t="str">
        <x:v>P1</x:v>
      </x:c>
      <x:c r="G271" s="9" t="str">
        <x:v>验证幸运收益不按用户净消费计提</x:v>
      </x:c>
      <x:c r="H271" s="9" t="str">
        <x:v>后台幸运主播收益</x:v>
      </x:c>
      <x:c r="I271" s="9" t="str">
        <x:v>1. 执行角色为平台管理员
2. 账号具有当前模块访问及本次操作权限
3. 业务数据已准备且本页已打开；表单和筛选保持下列指定状态
4. 订单礼物价值1000金币，快照收益比例1%，返奖2000金币</x:v>
      </x:c>
      <x:c r="J271" s="9" t="str">
        <x:v>1. 查看消费订单详情页</x:v>
      </x:c>
      <x:c r="K271" s="9" t="str">
        <x:v>主播收益 = 10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来源（当前证据）：liveshow-proto/MainBasis/统一需求文档.md；位置：REQ-f543da3978a0；行4538
2. 规则：BR-e04c6403237ce72c
3. 未动态验证</x:v>
      </x:c>
    </x:row>
    <x:row r="272" ht="130" customHeight="1">
      <x:c r="A272" s="10" t="n">
        <x:v>271</x:v>
      </x:c>
      <x:c r="B272" s="10" t="str">
        <x:v>ADMIN-08-0012</x:v>
      </x:c>
      <x:c r="C272" s="10" t="str">
        <x:v>订单管理</x:v>
      </x:c>
      <x:c r="D272" s="10" t="str">
        <x:v>消费订单详情（平台管理员视角）</x:v>
      </x:c>
      <x:c r="E272" s="10" t="str">
        <x:v>逻辑校验</x:v>
      </x:c>
      <x:c r="F272" s="10" t="str">
        <x:v>P1</x:v>
      </x:c>
      <x:c r="G272" s="9" t="str">
        <x:v>验证普通礼物收益按实际扣减入账</x:v>
      </x:c>
      <x:c r="H272" s="9" t="str">
        <x:v>普通礼物后台收益口径</x:v>
      </x:c>
      <x:c r="I272" s="9" t="str">
        <x:v>1. 执行角色为平台管理员
2. 账号具有当前模块访问及本次操作权限
3. 业务数据已准备且本页已打开；表单和筛选保持下列指定状态
4. 普通礼物订单实际扣减100金币</x:v>
      </x:c>
      <x:c r="J272" s="9" t="str">
        <x:v>1. 查看消费订单详情页</x:v>
      </x:c>
      <x:c r="K272" s="9" t="str">
        <x:v>主播收益显示100金币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来源（当前证据）：liveshow-proto/MainBasis/统一需求文档.md；位置：REQ-f543da3978a0；行4538
2. 规则：BR-fe3fa5f807ee034d
3. 未动态验证</x:v>
      </x:c>
    </x:row>
    <x:row r="273" ht="130" customHeight="1">
      <x:c r="A273" s="10" t="n">
        <x:v>272</x:v>
      </x:c>
      <x:c r="B273" s="10" t="str">
        <x:v>ADMIN-08-0013</x:v>
      </x:c>
      <x:c r="C273" s="10" t="str">
        <x:v>订单管理</x:v>
      </x:c>
      <x:c r="D273" s="10" t="str">
        <x:v>消费订单详情（平台管理员视角）</x:v>
      </x:c>
      <x:c r="E273" s="10" t="str">
        <x:v>逻辑校验</x:v>
      </x:c>
      <x:c r="F273" s="10" t="str">
        <x:v>P1</x:v>
      </x:c>
      <x:c r="G273" s="9" t="str">
        <x:v>验证定制礼物收益按实际扣减入账</x:v>
      </x:c>
      <x:c r="H273" s="9" t="str">
        <x:v>定制礼物后台收益口径</x:v>
      </x:c>
      <x:c r="I273" s="9" t="str">
        <x:v>1. 执行角色为平台管理员
2. 账号具有当前模块访问及本次操作权限
3. 业务数据已准备且本页已打开；表单和筛选保持下列指定状态
4. 定制礼物订单实际扣减100金币</x:v>
      </x:c>
      <x:c r="J273" s="9" t="str">
        <x:v>1. 查看消费订单详情页</x:v>
      </x:c>
      <x:c r="K273" s="9" t="str">
        <x:v>主播收益显示100金币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来源（当前证据）：liveshow-proto/MainBasis/统一需求文档.md；位置：REQ-f543da3978a0；行4538
2. 规则：BR-b3b2def1316f0d1d
3. 未动态验证</x:v>
      </x:c>
    </x:row>
    <x:row r="274" ht="115" customHeight="1">
      <x:c r="A274" s="10" t="n">
        <x:v>273</x:v>
      </x:c>
      <x:c r="B274" s="10" t="str">
        <x:v>ADMIN-08-0014</x:v>
      </x:c>
      <x:c r="C274" s="10" t="str">
        <x:v>订单管理</x:v>
      </x:c>
      <x:c r="D274" s="10" t="str">
        <x:v>消费订单详情（平台管理员视角）</x:v>
      </x:c>
      <x:c r="E274" s="10" t="str">
        <x:v>逻辑校验</x:v>
      </x:c>
      <x:c r="F274" s="10" t="str">
        <x:v>P1</x:v>
      </x:c>
      <x:c r="G274" s="9" t="str">
        <x:v>验证门票收益按实际扣减入账</x:v>
      </x:c>
      <x:c r="H274" s="9" t="str">
        <x:v>门票后台收益口径</x:v>
      </x:c>
      <x:c r="I274" s="9" t="str">
        <x:v>1. 执行角色为平台管理员
2. 账号具有当前模块访问及本次操作权限
3. 业务数据已准备且本页已打开；表单和筛选保持下列指定状态
4. 门票订单实际扣减100金币</x:v>
      </x:c>
      <x:c r="J274" s="9" t="str">
        <x:v>1. 查看消费订单详情页</x:v>
      </x:c>
      <x:c r="K274" s="9" t="str">
        <x:v>主播收益显示100金币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来源（当前证据）：liveshow-proto/MainBasis/统一需求文档.md；位置：REQ-f543da3978a0；行4538
2. 规则：BR-a552e11105d4e55c
3. 未动态验证</x:v>
      </x:c>
    </x:row>
    <x:row r="275" ht="115" customHeight="1">
      <x:c r="A275" s="10" t="n">
        <x:v>274</x:v>
      </x:c>
      <x:c r="B275" s="10" t="str">
        <x:v>ADMIN-08-0015</x:v>
      </x:c>
      <x:c r="C275" s="10" t="str">
        <x:v>订单管理</x:v>
      </x:c>
      <x:c r="D275" s="10" t="str">
        <x:v>消费订单详情（平台管理员视角）</x:v>
      </x:c>
      <x:c r="E275" s="10" t="str">
        <x:v>逻辑校验</x:v>
      </x:c>
      <x:c r="F275" s="10" t="str">
        <x:v>P1</x:v>
      </x:c>
      <x:c r="G275" s="9" t="str">
        <x:v>验证消费订单详情无退款操作</x:v>
      </x:c>
      <x:c r="H275" s="9" t="str">
        <x:v>消费退款入口限制</x:v>
      </x:c>
      <x:c r="I275" s="9" t="str">
        <x:v>1. 执行角色为平台管理员
2. 账号具有当前模块访问及本次操作权限
3. 业务数据已准备且本页已打开；表单和筛选保持下列指定状态
4. 已支付消费订单</x:v>
      </x:c>
      <x:c r="J275" s="9" t="str">
        <x:v>1. 查看消费订单详情页</x:v>
      </x:c>
      <x:c r="K275" s="9" t="str">
        <x:v>不提供退款操作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来源（当前证据）：liveshow-proto/MainBasis/统一需求文档.md；位置：REQ-df427512f920；行4542
2. 规则：BR-6079572f1506639d
3. 未动态验证</x:v>
      </x:c>
    </x:row>
    <x:row r="276" ht="130" customHeight="1">
      <x:c r="A276" s="10" t="n">
        <x:v>275</x:v>
      </x:c>
      <x:c r="B276" s="10" t="str">
        <x:v>ADMIN-08-0016</x:v>
      </x:c>
      <x:c r="C276" s="10" t="str">
        <x:v>订单管理</x:v>
      </x:c>
      <x:c r="D276" s="10" t="str">
        <x:v>退款订单（平台管理员视角）</x:v>
      </x:c>
      <x:c r="E276" s="10" t="str">
        <x:v>逻辑校验</x:v>
      </x:c>
      <x:c r="F276" s="10" t="str">
        <x:v>P1</x:v>
      </x:c>
      <x:c r="G276" s="9" t="str">
        <x:v>验证渠道退款正确标记被动类型</x:v>
      </x:c>
      <x:c r="H276" s="9" t="str">
        <x:v>后台被动退款类型</x:v>
      </x:c>
      <x:c r="I276" s="9" t="str">
        <x:v>1. 执行角色为平台管理员
2. 账号具有当前模块访问及本次操作权限
3. 业务数据已准备且本页已打开；表单和筛选保持下列指定状态
4. 渠道已成功退回一笔充值订单</x:v>
      </x:c>
      <x:c r="J276" s="9" t="str">
        <x:v>1. 查看退款订单页</x:v>
      </x:c>
      <x:c r="K276" s="9" t="str">
        <x:v>该记录类型为被动退款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来源（当前证据）：liveshow-proto/MainBasis/统一需求文档.md；位置：REQ-0b03bdfdbba2；行4555
2. 规则：BR-1ce627c4fc6a153e
3. 未动态验证</x:v>
      </x:c>
    </x:row>
    <x:row r="277" ht="115" customHeight="1">
      <x:c r="A277" s="10" t="n">
        <x:v>276</x:v>
      </x:c>
      <x:c r="B277" s="10" t="str">
        <x:v>ADMIN-08-0017</x:v>
      </x:c>
      <x:c r="C277" s="10" t="str">
        <x:v>订单管理</x:v>
      </x:c>
      <x:c r="D277" s="10" t="str">
        <x:v>退款订单（平台管理员视角）</x:v>
      </x:c>
      <x:c r="E277" s="10" t="str">
        <x:v>功能需求</x:v>
      </x:c>
      <x:c r="F277" s="10" t="str">
        <x:v>P2</x:v>
      </x:c>
      <x:c r="G277" s="9" t="str">
        <x:v>验证退款订单关联原充值订单</x:v>
      </x:c>
      <x:c r="H277" s="9" t="str">
        <x:v>退款订单关联跳转</x:v>
      </x:c>
      <x:c r="I277" s="9" t="str">
        <x:v>1. 执行角色为平台管理员
2. 账号具有当前模块访问及本次操作权限
3. 业务数据已准备且本页已打开；表单和筛选保持下列指定状态
4. 退款R关联充值C</x:v>
      </x:c>
      <x:c r="J277" s="9" t="str">
        <x:v>1. 查看退款订单页
2. 点击退款R查看</x:v>
      </x:c>
      <x:c r="K277" s="9" t="str">
        <x:v>打开充值C详情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来源（当前证据）：liveshow-proto/MainBasis/统一需求文档.md；位置：REQ-18f1267c96d9；行4565
2. 规则：BR-b9e26598317ebcd5
3. 未动态验证</x:v>
      </x:c>
    </x:row>
    <x:row r="278" ht="145" customHeight="1">
      <x:c r="A278" s="10" t="n">
        <x:v>277</x:v>
      </x:c>
      <x:c r="B278" s="10" t="str">
        <x:v>ADMIN-09-0001</x:v>
      </x:c>
      <x:c r="C278" s="10" t="str">
        <x:v>财务分成</x:v>
      </x:c>
      <x:c r="D278" s="10" t="str">
        <x:v>主播分成记录（平台管理员视角）</x:v>
      </x:c>
      <x:c r="E278" s="10" t="str">
        <x:v>业务流程</x:v>
      </x:c>
      <x:c r="F278" s="10" t="str">
        <x:v>P0</x:v>
      </x:c>
      <x:c r="G278" s="9" t="str">
        <x:v>验证主播分成导入XLSX有效模板</x:v>
      </x:c>
      <x:c r="H278" s="9" t="str">
        <x:v>主播分成支持文件格式</x:v>
      </x:c>
      <x:c r="I278" s="9" t="str">
        <x:v>1. 执行角色为平台管理员
2. 账号具有当前模块访问及本次操作权限
3. 业务数据已准备且本页已打开；表单和筛选保持下列指定状态
4. 准备符合当前模板的XLSX文件，仅主播H存在于主播账户余额中，金额10USD</x:v>
      </x:c>
      <x:c r="J278" s="9" t="str">
        <x:v>1. 查看主播分成记录页
2. 点击上传
3. 填写分成备注为QA分成
4. 上传文件选择qa.xlsx
5. 点击确认上传</x:v>
      </x:c>
      <x:c r="K278" s="9" t="str">
        <x:v>确认后直接生成一条锁定的分成记录</x:v>
      </x:c>
      <x:c r="L278" s="10" t="str">
        <x:v>FLOW-3A2F6811F8</x:v>
      </x:c>
      <x:c r="M278" s="10" t="str">
        <x:v>未测</x:v>
      </x:c>
      <x:c r="N278" s="10" t="str"/>
      <x:c r="O278" s="9" t="str">
        <x:v>1. 来源（当前证据）：liveshow-proto/MainBasis/统一需求文档.md；位置：REQ-1e9cec750847；行4578、REQ-92a4b06086a3；行4592
2. 规则：BR-cc3e131dbd5aecc9
3. 未动态验证</x:v>
      </x:c>
    </x:row>
    <x:row r="279" ht="145" customHeight="1">
      <x:c r="A279" s="10" t="n">
        <x:v>278</x:v>
      </x:c>
      <x:c r="B279" s="10" t="str">
        <x:v>ADMIN-09-0002</x:v>
      </x:c>
      <x:c r="C279" s="10" t="str">
        <x:v>财务分成</x:v>
      </x:c>
      <x:c r="D279" s="10" t="str">
        <x:v>主播分成记录（平台管理员视角）</x:v>
      </x:c>
      <x:c r="E279" s="10" t="str">
        <x:v>业务流程</x:v>
      </x:c>
      <x:c r="F279" s="10" t="str">
        <x:v>P0</x:v>
      </x:c>
      <x:c r="G279" s="9" t="str">
        <x:v>验证主播分成导入XLS有效模板</x:v>
      </x:c>
      <x:c r="H279" s="9" t="str">
        <x:v>主播分成支持文件格式</x:v>
      </x:c>
      <x:c r="I279" s="9" t="str">
        <x:v>1. 执行角色为平台管理员
2. 账号具有当前模块访问及本次操作权限
3. 业务数据已准备且本页已打开；表单和筛选保持下列指定状态
4. 准备符合当前模板的XLS文件，仅主播H存在于主播账户余额中，金额10USD</x:v>
      </x:c>
      <x:c r="J279" s="9" t="str">
        <x:v>1. 查看主播分成记录页
2. 点击上传
3. 填写分成备注为QA分成
4. 上传文件选择qa.xls
5. 点击确认上传</x:v>
      </x:c>
      <x:c r="K279" s="9" t="str">
        <x:v>确认后直接生成一条锁定的分成记录</x:v>
      </x:c>
      <x:c r="L279" s="10" t="str">
        <x:v>FLOW-3A2F6811F8</x:v>
      </x:c>
      <x:c r="M279" s="10" t="str">
        <x:v>未测</x:v>
      </x:c>
      <x:c r="N279" s="10" t="str"/>
      <x:c r="O279" s="9" t="str">
        <x:v>1. 来源（当前证据）：liveshow-proto/MainBasis/统一需求文档.md；位置：REQ-1e9cec750847；行4578、REQ-92a4b06086a3；行4592
2. 规则：BR-2337c7ab5dad0ca8
3. 未动态验证</x:v>
      </x:c>
    </x:row>
    <x:row r="280" ht="145" customHeight="1">
      <x:c r="A280" s="10" t="n">
        <x:v>279</x:v>
      </x:c>
      <x:c r="B280" s="10" t="str">
        <x:v>ADMIN-09-0003</x:v>
      </x:c>
      <x:c r="C280" s="10" t="str">
        <x:v>财务分成</x:v>
      </x:c>
      <x:c r="D280" s="10" t="str">
        <x:v>主播分成记录（平台管理员视角）</x:v>
      </x:c>
      <x:c r="E280" s="10" t="str">
        <x:v>业务流程</x:v>
      </x:c>
      <x:c r="F280" s="10" t="str">
        <x:v>P0</x:v>
      </x:c>
      <x:c r="G280" s="9" t="str">
        <x:v>验证主播分成导入CSV有效模板</x:v>
      </x:c>
      <x:c r="H280" s="9" t="str">
        <x:v>主播分成支持文件格式</x:v>
      </x:c>
      <x:c r="I280" s="9" t="str">
        <x:v>1. 执行角色为平台管理员
2. 账号具有当前模块访问及本次操作权限
3. 业务数据已准备且本页已打开；表单和筛选保持下列指定状态
4. 准备符合当前模板的CSV文件，仅主播H存在于主播账户余额中，金额10USD</x:v>
      </x:c>
      <x:c r="J280" s="9" t="str">
        <x:v>1. 查看主播分成记录页
2. 点击上传
3. 填写分成备注为QA分成
4. 上传文件选择qa.csv
5. 点击确认上传</x:v>
      </x:c>
      <x:c r="K280" s="9" t="str">
        <x:v>确认后直接生成一条锁定的分成记录</x:v>
      </x:c>
      <x:c r="L280" s="10" t="str">
        <x:v>FLOW-3A2F6811F8</x:v>
      </x:c>
      <x:c r="M280" s="10" t="str">
        <x:v>未测</x:v>
      </x:c>
      <x:c r="N280" s="10" t="str"/>
      <x:c r="O280" s="9" t="str">
        <x:v>1. 来源（当前证据）：liveshow-proto/MainBasis/统一需求文档.md；位置：REQ-1e9cec750847；行4578、REQ-92a4b06086a3；行4592
2. 规则：BR-4ed9214ae75f3dad
3. 未动态验证</x:v>
      </x:c>
    </x:row>
    <x:row r="281" ht="145" customHeight="1">
      <x:c r="A281" s="10" t="n">
        <x:v>280</x:v>
      </x:c>
      <x:c r="B281" s="10" t="str">
        <x:v>ADMIN-09-0004</x:v>
      </x:c>
      <x:c r="C281" s="10" t="str">
        <x:v>财务分成</x:v>
      </x:c>
      <x:c r="D281" s="10" t="str">
        <x:v>主播分成记录（平台管理员视角）</x:v>
      </x:c>
      <x:c r="E281" s="10" t="str">
        <x:v>逻辑校验</x:v>
      </x:c>
      <x:c r="F281" s="10" t="str">
        <x:v>P1</x:v>
      </x:c>
      <x:c r="G281" s="9" t="str">
        <x:v>验证主播导入混合有效无效ID整批拒绝</x:v>
      </x:c>
      <x:c r="H281" s="9" t="str">
        <x:v>主播分成整批校验</x:v>
      </x:c>
      <x:c r="I281" s="9" t="str">
        <x:v>1. 执行角色为平台管理员
2. 账号具有当前模块访问及本次操作权限
3. 业务数据已准备且本页已打开；表单和筛选保持下列指定状态
4. 文件第2行主播H有效，第8行主播ID77219999不存在于主播账户余额</x:v>
      </x:c>
      <x:c r="J281" s="9" t="str">
        <x:v>1. 查看主播分成记录页
2. 点击上传
3. 填写分成备注为QA失败批次
4. 上传文件选择混合测试文件
5. 点击确认上传</x:v>
      </x:c>
      <x:c r="K281" s="9" t="str">
        <x:v>本批次不生成分成记录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来源（当前证据）：liveshow-proto/MainBasis/统一需求文档.md；位置：REQ-bdb32771de0f；行4586
2. 规则：BR-41c46220811a0737
3. 未动态验证</x:v>
      </x:c>
    </x:row>
    <x:row r="282" ht="130" customHeight="1">
      <x:c r="A282" s="10" t="n">
        <x:v>281</x:v>
      </x:c>
      <x:c r="B282" s="10" t="str">
        <x:v>ADMIN-09-0005</x:v>
      </x:c>
      <x:c r="C282" s="10" t="str">
        <x:v>财务分成</x:v>
      </x:c>
      <x:c r="D282" s="10" t="str">
        <x:v>主播账户余额（平台管理员视角）</x:v>
      </x:c>
      <x:c r="E282" s="10" t="str">
        <x:v>逻辑校验</x:v>
      </x:c>
      <x:c r="F282" s="10" t="str">
        <x:v>P1</x:v>
      </x:c>
      <x:c r="G282" s="9" t="str">
        <x:v>验证失败主播分成批次不部分入账</x:v>
      </x:c>
      <x:c r="H282" s="9" t="str">
        <x:v>分成失败原子性</x:v>
      </x:c>
      <x:c r="I282" s="9" t="str">
        <x:v>1. 执行角色为平台管理员
2. 账号具有当前模块访问及本次操作权限
3. 业务数据已准备且本页已打开；表单和筛选保持下列指定状态
4. 混合文件含有效H金额10USD及不存在ID，H原余额20USD</x:v>
      </x:c>
      <x:c r="J282" s="9" t="str">
        <x:v>1. 查看主播分成记录页
2. 点击上传
3. 填写分成备注为QA失败批次
4. 上传文件选择混合测试文件
5. 点击确认上传
6. 进入主播账户余额页</x:v>
      </x:c>
      <x:c r="K282" s="9" t="str">
        <x:v>H账户余额仍为20USD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来源（当前证据）：liveshow-proto/MainBasis/统一需求文档.md；位置：REQ-3a790e478831；行4588、REQ-7a95d2af56d1；行4620
2. 规则：BR-37a2e49aaeea0179
3. 未动态验证</x:v>
      </x:c>
    </x:row>
    <x:row r="283" ht="130" customHeight="1">
      <x:c r="A283" s="10" t="n">
        <x:v>282</x:v>
      </x:c>
      <x:c r="B283" s="10" t="str">
        <x:v>ADMIN-09-0006</x:v>
      </x:c>
      <x:c r="C283" s="10" t="str">
        <x:v>财务分成</x:v>
      </x:c>
      <x:c r="D283" s="10" t="str">
        <x:v>主播分成记录（平台管理员视角）</x:v>
      </x:c>
      <x:c r="E283" s="10" t="str">
        <x:v>逻辑校验</x:v>
      </x:c>
      <x:c r="F283" s="10" t="str">
        <x:v>P1</x:v>
      </x:c>
      <x:c r="G283" s="9" t="str">
        <x:v>验证主播分成错误明确行号与ID</x:v>
      </x:c>
      <x:c r="H283" s="9" t="str">
        <x:v>分成导入错误定位</x:v>
      </x:c>
      <x:c r="I283" s="9" t="str">
        <x:v>1. 执行角色为平台管理员
2. 账号具有当前模块访问及本次操作权限
3. 业务数据已准备且本页已打开；表单和筛选保持下列指定状态
4. 文件仅第8行ID77219999不存在</x:v>
      </x:c>
      <x:c r="J283" s="9" t="str">
        <x:v>1. 查看主播分成记录页
2. 点击上传
3. 填写分成备注为QA错误数据
4. 上传文件选择测试文件
5. 点击确认上传</x:v>
      </x:c>
      <x:c r="K283" s="9" t="str">
        <x:v>错误数据包含“第8行，未查询到主播ID77219999”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来源（当前证据）：liveshow-proto/MainBasis/统一需求文档.md；位置：REQ-e22b37b2dd0d；行4580
2. 规则：BR-6bd243d81bf8275a
3. 未动态验证</x:v>
      </x:c>
    </x:row>
    <x:row r="284" ht="85" customHeight="1">
      <x:c r="A284" s="10" t="n">
        <x:v>283</x:v>
      </x:c>
      <x:c r="B284" s="10" t="str">
        <x:v>ADMIN-09-0007</x:v>
      </x:c>
      <x:c r="C284" s="10" t="str">
        <x:v>财务分成</x:v>
      </x:c>
      <x:c r="D284" s="10" t="str">
        <x:v>主播分成记录（平台管理员视角）</x:v>
      </x:c>
      <x:c r="E284" s="10" t="str">
        <x:v>功能需求</x:v>
      </x:c>
      <x:c r="F284" s="10" t="str">
        <x:v>P2</x:v>
      </x:c>
      <x:c r="G284" s="9" t="str">
        <x:v>验证失败主播分成错误数据可复制</x:v>
      </x:c>
      <x:c r="H284" s="9" t="str">
        <x:v>分成导入错误文本复制</x:v>
      </x:c>
      <x:c r="I284" s="9" t="str">
        <x:v>1. 执行角色为平台管理员
2. 账号具有当前模块访问及本次操作权限
3. 上传弹窗已显示失败行号和ID</x:v>
      </x:c>
      <x:c r="J284" s="9" t="str">
        <x:v>1. 复制错误数据文本
2. 查看系统剪贴板</x:v>
      </x:c>
      <x:c r="K284" s="9" t="str">
        <x:v>复制内容包含失败行号和主播ID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来源（当前证据）：liveshow-proto/MainBasis/统一需求文档.md；位置：REQ-3f8ff60b6b4c；行4594
2. 规则：BR-f42eaaab862de5df
3. 未动态验证</x:v>
      </x:c>
    </x:row>
    <x:row r="285" ht="85" customHeight="1">
      <x:c r="A285" s="10" t="n">
        <x:v>284</x:v>
      </x:c>
      <x:c r="B285" s="10" t="str">
        <x:v>ADMIN-09-0008</x:v>
      </x:c>
      <x:c r="C285" s="10" t="str">
        <x:v>财务分成</x:v>
      </x:c>
      <x:c r="D285" s="10" t="str">
        <x:v>主播分成记录（平台管理员视角）</x:v>
      </x:c>
      <x:c r="E285" s="10" t="str">
        <x:v>功能需求</x:v>
      </x:c>
      <x:c r="F285" s="10" t="str">
        <x:v>P2</x:v>
      </x:c>
      <x:c r="G285" s="9" t="str">
        <x:v>验证失败主播分成重新上传保留备注</x:v>
      </x:c>
      <x:c r="H285" s="9" t="str">
        <x:v>分成导入重试备注</x:v>
      </x:c>
      <x:c r="I285" s="9" t="str">
        <x:v>1. 执行角色为平台管理员
2. 账号具有当前模块访问及本次操作权限
3. 弹窗失败，分成备注QA原备注</x:v>
      </x:c>
      <x:c r="J285" s="9" t="str">
        <x:v>1. 点击重新上传</x:v>
      </x:c>
      <x:c r="K285" s="9" t="str">
        <x:v>分成备注仍为QA原备注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来源（当前证据）：liveshow-proto/MainBasis/统一需求文档.md；位置：REQ-28aa6a118019；行4596
2. 规则：BR-88e80e460aaf2a57
3. 未动态验证</x:v>
      </x:c>
    </x:row>
    <x:row r="286" ht="85" customHeight="1">
      <x:c r="A286" s="10" t="n">
        <x:v>285</x:v>
      </x:c>
      <x:c r="B286" s="10" t="str">
        <x:v>ADMIN-09-0009</x:v>
      </x:c>
      <x:c r="C286" s="10" t="str">
        <x:v>财务分成</x:v>
      </x:c>
      <x:c r="D286" s="10" t="str">
        <x:v>主播分成记录（平台管理员视角）</x:v>
      </x:c>
      <x:c r="E286" s="10" t="str">
        <x:v>功能需求</x:v>
      </x:c>
      <x:c r="F286" s="10" t="str">
        <x:v>P2</x:v>
      </x:c>
      <x:c r="G286" s="9" t="str">
        <x:v>验证重新上传清空失败文件</x:v>
      </x:c>
      <x:c r="H286" s="9" t="str">
        <x:v>分成导入重试文件清空</x:v>
      </x:c>
      <x:c r="I286" s="9" t="str">
        <x:v>1. 执行角色为平台管理员
2. 账号具有当前模块访问及本次操作权限
3. 弹窗当前存在失败文件</x:v>
      </x:c>
      <x:c r="J286" s="9" t="str">
        <x:v>1. 点击重新上传</x:v>
      </x:c>
      <x:c r="K286" s="9" t="str">
        <x:v>文件选择为空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来源（当前证据）：liveshow-proto/MainBasis/统一需求文档.md；位置：REQ-28aa6a118019；行4596
2. 规则：BR-ef156f3c0d7aece9
3. 未动态验证</x:v>
      </x:c>
    </x:row>
    <x:row r="287" ht="85" customHeight="1">
      <x:c r="A287" s="10" t="n">
        <x:v>286</x:v>
      </x:c>
      <x:c r="B287" s="10" t="str">
        <x:v>ADMIN-09-0010</x:v>
      </x:c>
      <x:c r="C287" s="10" t="str">
        <x:v>财务分成</x:v>
      </x:c>
      <x:c r="D287" s="10" t="str">
        <x:v>主播分成记录（平台管理员视角）</x:v>
      </x:c>
      <x:c r="E287" s="10" t="str">
        <x:v>逻辑校验</x:v>
      </x:c>
      <x:c r="F287" s="10" t="str">
        <x:v>P1</x:v>
      </x:c>
      <x:c r="G287" s="9" t="str">
        <x:v>验证主播分成上传备注必填</x:v>
      </x:c>
      <x:c r="H287" s="9" t="str">
        <x:v>主播分成备注校验</x:v>
      </x:c>
      <x:c r="I287" s="9" t="str">
        <x:v>1. 执行角色为平台管理员
2. 账号具有当前模块访问及本次操作权限
3. 当前上传弹窗已打开且有效文件已选</x:v>
      </x:c>
      <x:c r="J287" s="9" t="str">
        <x:v>1. 清空分成备注
2. 点击确认上传</x:v>
      </x:c>
      <x:c r="K287" s="9" t="str">
        <x:v>不能上传缺少分成备注的结果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来源（当前证据）：liveshow-proto/MainBasis/统一需求文档.md；位置：REQ-8d751d5b5859；行4572
2. 规则：BR-bf511dd8d507e180
3. 未动态验证</x:v>
      </x:c>
    </x:row>
    <x:row r="288" ht="85" customHeight="1">
      <x:c r="A288" s="10" t="n">
        <x:v>287</x:v>
      </x:c>
      <x:c r="B288" s="10" t="str">
        <x:v>ADMIN-09-0011</x:v>
      </x:c>
      <x:c r="C288" s="10" t="str">
        <x:v>财务分成</x:v>
      </x:c>
      <x:c r="D288" s="10" t="str">
        <x:v>主播分成记录（平台管理员视角）</x:v>
      </x:c>
      <x:c r="E288" s="10" t="str">
        <x:v>逻辑校验</x:v>
      </x:c>
      <x:c r="F288" s="10" t="str">
        <x:v>P1</x:v>
      </x:c>
      <x:c r="G288" s="9" t="str">
        <x:v>验证主播分成备注101字不允许</x:v>
      </x:c>
      <x:c r="H288" s="9" t="str">
        <x:v>主播分成备注上限</x:v>
      </x:c>
      <x:c r="I288" s="9" t="str">
        <x:v>1. 执行角色为平台管理员
2. 账号具有当前模块访问及本次操作权限
3. 当前上传弹窗已打开且有效文件已选</x:v>
      </x:c>
      <x:c r="J288" s="9" t="str">
        <x:v>1. 填写分成备注为101个A
2. 点击确认上传</x:v>
      </x:c>
      <x:c r="K288" s="9" t="str">
        <x:v>不能保存超过100字的分成备注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来源（当前证据）：liveshow-proto/MainBasis/统一需求文档.md；位置：REQ-8d751d5b5859；行4572
2. 规则：BR-171e548f9c227ff0
3. 未动态验证</x:v>
      </x:c>
    </x:row>
    <x:row r="289" ht="115" customHeight="1">
      <x:c r="A289" s="10" t="n">
        <x:v>288</x:v>
      </x:c>
      <x:c r="B289" s="10" t="str">
        <x:v>ADMIN-09-0012</x:v>
      </x:c>
      <x:c r="C289" s="10" t="str">
        <x:v>财务分成</x:v>
      </x:c>
      <x:c r="D289" s="10" t="str">
        <x:v>主播分成记录详情（平台管理员视角）</x:v>
      </x:c>
      <x:c r="E289" s="10" t="str">
        <x:v>逻辑校验</x:v>
      </x:c>
      <x:c r="F289" s="10" t="str">
        <x:v>P1</x:v>
      </x:c>
      <x:c r="G289" s="9" t="str">
        <x:v>验证主播已导入分成详情不可修改</x:v>
      </x:c>
      <x:c r="H289" s="9" t="str">
        <x:v>主播分成批次只读</x:v>
      </x:c>
      <x:c r="I289" s="9" t="str">
        <x:v>1. 执行角色为平台管理员
2. 账号具有当前模块访问及本次操作权限
3. 业务数据已准备且本页已打开；表单和筛选保持下列指定状态
4. 该批次导入成功</x:v>
      </x:c>
      <x:c r="J289" s="9" t="str">
        <x:v>1. 查看主播分成记录详情页</x:v>
      </x:c>
      <x:c r="K289" s="9" t="str">
        <x:v>不提供编辑或删除批次操作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来源（当前证据）：liveshow-proto/MainBasis/统一需求文档.md；位置：REQ-b8f1fd0b545e；行4603、REQ-c8ab010bbd23；行4613
2. 规则：BR-0c0c183e59c611f5
3. 未动态验证</x:v>
      </x:c>
    </x:row>
    <x:row r="290" ht="130" customHeight="1">
      <x:c r="A290" s="10" t="n">
        <x:v>289</x:v>
      </x:c>
      <x:c r="B290" s="10" t="str">
        <x:v>ADMIN-09-0013</x:v>
      </x:c>
      <x:c r="C290" s="10" t="str">
        <x:v>财务分成</x:v>
      </x:c>
      <x:c r="D290" s="10" t="str">
        <x:v>主播分成记录详情（平台管理员视角）</x:v>
      </x:c>
      <x:c r="E290" s="10" t="str">
        <x:v>逻辑校验</x:v>
      </x:c>
      <x:c r="F290" s="10" t="str">
        <x:v>P1</x:v>
      </x:c>
      <x:c r="G290" s="9" t="str">
        <x:v>验证主播分成批次总额等于明细和</x:v>
      </x:c>
      <x:c r="H290" s="9" t="str">
        <x:v>主播分成总额核对</x:v>
      </x:c>
      <x:c r="I290" s="9" t="str">
        <x:v>1. 执行角色为平台管理员
2. 账号具有当前模块访问及本次操作权限
3. 业务数据已准备且本页已打开；表单和筛选保持下列指定状态
4. 有效批次明细甲10USD、乙20USD</x:v>
      </x:c>
      <x:c r="J290" s="9" t="str">
        <x:v>1. 查看主播分成记录详情页</x:v>
      </x:c>
      <x:c r="K290" s="9" t="str">
        <x:v>分成总金额 = 30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来源（当前证据）：liveshow-proto/MainBasis/统一需求文档.md；位置：REQ-3dc7d8857b17；行4611
2. 规则：BR-9d0edb75ebd9beb9
3. 未动态验证</x:v>
      </x:c>
    </x:row>
    <x:row r="291" ht="130" customHeight="1">
      <x:c r="A291" s="10" t="n">
        <x:v>290</x:v>
      </x:c>
      <x:c r="B291" s="10" t="str">
        <x:v>ADMIN-09-0014</x:v>
      </x:c>
      <x:c r="C291" s="10" t="str">
        <x:v>财务分成</x:v>
      </x:c>
      <x:c r="D291" s="10" t="str">
        <x:v>主播账户余额（平台管理员视角）</x:v>
      </x:c>
      <x:c r="E291" s="10" t="str">
        <x:v>逻辑校验</x:v>
      </x:c>
      <x:c r="F291" s="10" t="str">
        <x:v>P1</x:v>
      </x:c>
      <x:c r="G291" s="9" t="str">
        <x:v>验证主播余额汇总只算筛选范围</x:v>
      </x:c>
      <x:c r="H291" s="9" t="str">
        <x:v>主播余额筛选汇总</x:v>
      </x:c>
      <x:c r="I291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291" s="9" t="str">
        <x:v>1. 查看主播账户余额页
2. 点击查询</x:v>
      </x:c>
      <x:c r="K291" s="9" t="str">
        <x:v>汇总余额 = 30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来源（当前证据）：liveshow-proto/MainBasis/统一需求文档.md；位置：REQ-316e1ea331df；行4622
2. 规则：BR-145733f479d1ca01
3. 未动态验证</x:v>
      </x:c>
    </x:row>
    <x:row r="292" ht="115" customHeight="1">
      <x:c r="A292" s="10" t="n">
        <x:v>291</x:v>
      </x:c>
      <x:c r="B292" s="10" t="str">
        <x:v>ADMIN-09-0015</x:v>
      </x:c>
      <x:c r="C292" s="10" t="str">
        <x:v>财务分成</x:v>
      </x:c>
      <x:c r="D292" s="10" t="str">
        <x:v>主播余额变更记录（平台管理员视角）</x:v>
      </x:c>
      <x:c r="E292" s="10" t="str">
        <x:v>逻辑校验</x:v>
      </x:c>
      <x:c r="F292" s="10" t="str">
        <x:v>P1</x:v>
      </x:c>
      <x:c r="G292" s="9" t="str">
        <x:v>验证主播余额修正金额0不合法</x:v>
      </x:c>
      <x:c r="H292" s="9" t="str">
        <x:v>主播修正金额校验</x:v>
      </x:c>
      <x:c r="I292" s="9" t="str">
        <x:v>1. 执行角色为平台管理员
2. 账号具有当前模块访问及本次操作权限
3. 业务数据已准备且本页已打开；表单和筛选保持下列指定状态
4. 当前对象有可修正余额</x:v>
      </x:c>
      <x:c r="J292" s="9" t="str">
        <x:v>1. 查看主播余额变更记录页
2. 点击余额变更
3. 填写备注为QA修正
4. 填写变更金额为0
5. 点击确认</x:v>
      </x:c>
      <x:c r="K292" s="9" t="str">
        <x:v>不能保存该修正金额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来源（当前证据）：liveshow-proto/MainBasis/统一需求文档.md；位置：REQ-16db62f507d7；行4633
2. 规则：BR-aeec3fefb68b6b50
3. 未动态验证</x:v>
      </x:c>
    </x:row>
    <x:row r="293" ht="115" customHeight="1">
      <x:c r="A293" s="10" t="n">
        <x:v>292</x:v>
      </x:c>
      <x:c r="B293" s="10" t="str">
        <x:v>ADMIN-09-0016</x:v>
      </x:c>
      <x:c r="C293" s="10" t="str">
        <x:v>财务分成</x:v>
      </x:c>
      <x:c r="D293" s="10" t="str">
        <x:v>主播余额变更记录（平台管理员视角）</x:v>
      </x:c>
      <x:c r="E293" s="10" t="str">
        <x:v>逻辑校验</x:v>
      </x:c>
      <x:c r="F293" s="10" t="str">
        <x:v>P1</x:v>
      </x:c>
      <x:c r="G293" s="9" t="str">
        <x:v>验证主播余额修正金额1.001不合法</x:v>
      </x:c>
      <x:c r="H293" s="9" t="str">
        <x:v>主播修正金额校验</x:v>
      </x:c>
      <x:c r="I293" s="9" t="str">
        <x:v>1. 执行角色为平台管理员
2. 账号具有当前模块访问及本次操作权限
3. 业务数据已准备且本页已打开；表单和筛选保持下列指定状态
4. 当前对象有可修正余额</x:v>
      </x:c>
      <x:c r="J293" s="9" t="str">
        <x:v>1. 查看主播余额变更记录页
2. 点击余额变更
3. 填写备注为QA修正
4. 填写变更金额为1,001
5. 点击确认</x:v>
      </x:c>
      <x:c r="K293" s="9" t="str">
        <x:v>不能保存该修正金额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来源（当前证据）：liveshow-proto/MainBasis/统一需求文档.md；位置：REQ-16db62f507d7；行4633
2. 规则：BR-57eb226a55df75c6
3. 未动态验证</x:v>
      </x:c>
    </x:row>
    <x:row r="294" ht="115" customHeight="1">
      <x:c r="A294" s="10" t="n">
        <x:v>293</x:v>
      </x:c>
      <x:c r="B294" s="10" t="str">
        <x:v>ADMIN-09-0017</x:v>
      </x:c>
      <x:c r="C294" s="10" t="str">
        <x:v>财务分成</x:v>
      </x:c>
      <x:c r="D294" s="10" t="str">
        <x:v>主播余额变更记录（平台管理员视角）</x:v>
      </x:c>
      <x:c r="E294" s="10" t="str">
        <x:v>逻辑校验</x:v>
      </x:c>
      <x:c r="F294" s="10" t="str">
        <x:v>P1</x:v>
      </x:c>
      <x:c r="G294" s="9" t="str">
        <x:v>验证主播余额修正备注必填</x:v>
      </x:c>
      <x:c r="H294" s="9" t="str">
        <x:v>主播余额修正原因</x:v>
      </x:c>
      <x:c r="I294" s="9" t="str">
        <x:v>1. 执行角色为平台管理员
2. 账号具有当前模块访问及本次操作权限
3. 业务数据已准备且本页已打开；表单和筛选保持下列指定状态
4. 当前对象有可修正余额</x:v>
      </x:c>
      <x:c r="J294" s="9" t="str">
        <x:v>1. 查看主播余额变更记录页
2. 点击余额变更
3. 填写变更金额为10
4. 清空备注
5. 点击确认</x:v>
      </x:c>
      <x:c r="K294" s="9" t="str">
        <x:v>不能保存无备注的修正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来源（当前证据）：liveshow-proto/MainBasis/统一需求文档.md；位置：REQ-b79e6cbbcf5a；行4637
2. 规则：BR-1febc87ea9fef4ed
3. 未动态验证</x:v>
      </x:c>
    </x:row>
    <x:row r="295" ht="115" customHeight="1">
      <x:c r="A295" s="10" t="n">
        <x:v>294</x:v>
      </x:c>
      <x:c r="B295" s="10" t="str">
        <x:v>ADMIN-09-0018</x:v>
      </x:c>
      <x:c r="C295" s="10" t="str">
        <x:v>财务分成</x:v>
      </x:c>
      <x:c r="D295" s="10" t="str">
        <x:v>主播余额变更记录（平台管理员视角）</x:v>
      </x:c>
      <x:c r="E295" s="10" t="str">
        <x:v>逻辑校验</x:v>
      </x:c>
      <x:c r="F295" s="10" t="str">
        <x:v>P1</x:v>
      </x:c>
      <x:c r="G295" s="9" t="str">
        <x:v>验证主播余额修正10美元</x:v>
      </x:c>
      <x:c r="H295" s="9" t="str">
        <x:v>主播有符号余额变更</x:v>
      </x:c>
      <x:c r="I295" s="9" t="str">
        <x:v>1. 执行角色为平台管理员
2. 账号具有当前模块访问及本次操作权限
3. 业务数据已准备且本页已打开；表单和筛选保持下列指定状态
4. 原余额20USD</x:v>
      </x:c>
      <x:c r="J295" s="9" t="str">
        <x:v>1. 查看主播余额变更记录页
2. 点击余额变更
3. 填写变更金额为10
4. 填写备注为QA核对
5. 点击确认</x:v>
      </x:c>
      <x:c r="K295" s="9" t="str">
        <x:v>变更后余额 = 30</x:v>
      </x:c>
      <x:c r="L295" s="10" t="str">
        <x:v>FLOW-3571C1C4F7</x:v>
      </x:c>
      <x:c r="M295" s="10" t="str">
        <x:v>未测</x:v>
      </x:c>
      <x:c r="N295" s="10" t="str"/>
      <x:c r="O295" s="9" t="str">
        <x:v>1. 来源（当前证据）：liveshow-proto/MainBasis/统一需求文档.md；位置：REQ-5fe2c7deddb0；行4635
2. 规则：BR-5fe286ea6ff010ae
3. 未动态验证</x:v>
      </x:c>
    </x:row>
    <x:row r="296" ht="115" customHeight="1">
      <x:c r="A296" s="10" t="n">
        <x:v>295</x:v>
      </x:c>
      <x:c r="B296" s="10" t="str">
        <x:v>ADMIN-09-0019</x:v>
      </x:c>
      <x:c r="C296" s="10" t="str">
        <x:v>财务分成</x:v>
      </x:c>
      <x:c r="D296" s="10" t="str">
        <x:v>主播余额变更记录（平台管理员视角）</x:v>
      </x:c>
      <x:c r="E296" s="10" t="str">
        <x:v>逻辑校验</x:v>
      </x:c>
      <x:c r="F296" s="10" t="str">
        <x:v>P1</x:v>
      </x:c>
      <x:c r="G296" s="9" t="str">
        <x:v>验证主播余额修正-5美元</x:v>
      </x:c>
      <x:c r="H296" s="9" t="str">
        <x:v>主播有符号余额变更</x:v>
      </x:c>
      <x:c r="I296" s="9" t="str">
        <x:v>1. 执行角色为平台管理员
2. 账号具有当前模块访问及本次操作权限
3. 业务数据已准备且本页已打开；表单和筛选保持下列指定状态
4. 原余额20USD</x:v>
      </x:c>
      <x:c r="J296" s="9" t="str">
        <x:v>1. 查看主播余额变更记录页
2. 点击余额变更
3. 填写变更金额为-5
4. 填写备注为QA核对
5. 点击确认</x:v>
      </x:c>
      <x:c r="K296" s="9" t="str">
        <x:v>变更后余额 = 15</x:v>
      </x:c>
      <x:c r="L296" s="10" t="str">
        <x:v>FLOW-3571C1C4F7</x:v>
      </x:c>
      <x:c r="M296" s="10" t="str">
        <x:v>未测</x:v>
      </x:c>
      <x:c r="N296" s="10" t="str"/>
      <x:c r="O296" s="9" t="str">
        <x:v>1. 来源（当前证据）：liveshow-proto/MainBasis/统一需求文档.md；位置：REQ-5fe2c7deddb0；行4635
2. 规则：BR-5f6e855ea3dcd652
3. 未动态验证</x:v>
      </x:c>
    </x:row>
    <x:row r="297" ht="85" customHeight="1">
      <x:c r="A297" s="10" t="n">
        <x:v>296</x:v>
      </x:c>
      <x:c r="B297" s="10" t="str">
        <x:v>ADMIN-09-0020</x:v>
      </x:c>
      <x:c r="C297" s="10" t="str">
        <x:v>财务分成</x:v>
      </x:c>
      <x:c r="D297" s="10" t="str">
        <x:v>公会分成记录（平台管理员视角）</x:v>
      </x:c>
      <x:c r="E297" s="10" t="str">
        <x:v>逻辑校验</x:v>
      </x:c>
      <x:c r="F297" s="10" t="str">
        <x:v>P1</x:v>
      </x:c>
      <x:c r="G297" s="9" t="str">
        <x:v>验证公会分成上传备注必填</x:v>
      </x:c>
      <x:c r="H297" s="9" t="str">
        <x:v>公会分成备注校验</x:v>
      </x:c>
      <x:c r="I297" s="9" t="str">
        <x:v>1. 执行角色为平台管理员
2. 账号具有当前模块访问及本次操作权限
3. 当前上传弹窗已打开且有效文件已选</x:v>
      </x:c>
      <x:c r="J297" s="9" t="str">
        <x:v>1. 清空分成备注
2. 点击确认上传</x:v>
      </x:c>
      <x:c r="K297" s="9" t="str">
        <x:v>不能上传缺少分成备注的结果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来源（当前证据）：liveshow-proto/MainBasis/统一需求文档.md；位置：REQ-1944526022b7；行4648
2. 规则：BR-914676e9c8bfab55
3. 未动态验证</x:v>
      </x:c>
    </x:row>
    <x:row r="298" ht="85" customHeight="1">
      <x:c r="A298" s="10" t="n">
        <x:v>297</x:v>
      </x:c>
      <x:c r="B298" s="10" t="str">
        <x:v>ADMIN-09-0021</x:v>
      </x:c>
      <x:c r="C298" s="10" t="str">
        <x:v>财务分成</x:v>
      </x:c>
      <x:c r="D298" s="10" t="str">
        <x:v>公会分成记录（平台管理员视角）</x:v>
      </x:c>
      <x:c r="E298" s="10" t="str">
        <x:v>逻辑校验</x:v>
      </x:c>
      <x:c r="F298" s="10" t="str">
        <x:v>P1</x:v>
      </x:c>
      <x:c r="G298" s="9" t="str">
        <x:v>验证公会分成备注101字不允许</x:v>
      </x:c>
      <x:c r="H298" s="9" t="str">
        <x:v>公会分成备注上限</x:v>
      </x:c>
      <x:c r="I298" s="9" t="str">
        <x:v>1. 执行角色为平台管理员
2. 账号具有当前模块访问及本次操作权限
3. 当前上传弹窗已打开且有效文件已选</x:v>
      </x:c>
      <x:c r="J298" s="9" t="str">
        <x:v>1. 填写分成备注为101个A
2. 点击确认上传</x:v>
      </x:c>
      <x:c r="K298" s="9" t="str">
        <x:v>不能保存超过100字的分成备注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来源（当前证据）：liveshow-proto/MainBasis/统一需求文档.md；位置：REQ-1944526022b7；行4648
2. 规则：BR-270804b1480e14c7
3. 未动态验证</x:v>
      </x:c>
    </x:row>
    <x:row r="299" ht="115" customHeight="1">
      <x:c r="A299" s="10" t="n">
        <x:v>298</x:v>
      </x:c>
      <x:c r="B299" s="10" t="str">
        <x:v>ADMIN-09-0022</x:v>
      </x:c>
      <x:c r="C299" s="10" t="str">
        <x:v>财务分成</x:v>
      </x:c>
      <x:c r="D299" s="10" t="str">
        <x:v>公会分成记录详情（平台管理员视角）</x:v>
      </x:c>
      <x:c r="E299" s="10" t="str">
        <x:v>逻辑校验</x:v>
      </x:c>
      <x:c r="F299" s="10" t="str">
        <x:v>P1</x:v>
      </x:c>
      <x:c r="G299" s="9" t="str">
        <x:v>验证公会已导入分成详情不可修改</x:v>
      </x:c>
      <x:c r="H299" s="9" t="str">
        <x:v>公会分成批次只读</x:v>
      </x:c>
      <x:c r="I299" s="9" t="str">
        <x:v>1. 执行角色为平台管理员
2. 账号具有当前模块访问及本次操作权限
3. 业务数据已准备且本页已打开；表单和筛选保持下列指定状态
4. 该批次导入成功</x:v>
      </x:c>
      <x:c r="J299" s="9" t="str">
        <x:v>1. 查看公会分成记录详情页</x:v>
      </x:c>
      <x:c r="K299" s="9" t="str">
        <x:v>不提供编辑或删除批次操作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来源（当前证据）：liveshow-proto/MainBasis/统一需求文档.md；位置：REQ-d1a2072c5de3；行4666、REQ-0551d482e695；行4676
2. 规则：BR-2e547cb44ace5db7
3. 未动态验证</x:v>
      </x:c>
    </x:row>
    <x:row r="300" ht="130" customHeight="1">
      <x:c r="A300" s="10" t="n">
        <x:v>299</x:v>
      </x:c>
      <x:c r="B300" s="10" t="str">
        <x:v>ADMIN-09-0023</x:v>
      </x:c>
      <x:c r="C300" s="10" t="str">
        <x:v>财务分成</x:v>
      </x:c>
      <x:c r="D300" s="10" t="str">
        <x:v>公会分成记录详情（平台管理员视角）</x:v>
      </x:c>
      <x:c r="E300" s="10" t="str">
        <x:v>逻辑校验</x:v>
      </x:c>
      <x:c r="F300" s="10" t="str">
        <x:v>P1</x:v>
      </x:c>
      <x:c r="G300" s="9" t="str">
        <x:v>验证公会分成批次总额等于明细和</x:v>
      </x:c>
      <x:c r="H300" s="9" t="str">
        <x:v>公会分成总额核对</x:v>
      </x:c>
      <x:c r="I300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00" s="9" t="str">
        <x:v>1. 查看公会分成记录详情页</x:v>
      </x:c>
      <x:c r="K300" s="9" t="str">
        <x:v>分成总金额 = 30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来源（当前证据）：liveshow-proto/MainBasis/统一需求文档.md；位置：REQ-da4277723ecb；行4674
2. 规则：BR-6ac66f570666f434
3. 未动态验证</x:v>
      </x:c>
    </x:row>
    <x:row r="301" ht="130" customHeight="1">
      <x:c r="A301" s="10" t="n">
        <x:v>300</x:v>
      </x:c>
      <x:c r="B301" s="10" t="str">
        <x:v>ADMIN-09-0024</x:v>
      </x:c>
      <x:c r="C301" s="10" t="str">
        <x:v>财务分成</x:v>
      </x:c>
      <x:c r="D301" s="10" t="str">
        <x:v>公会账户余额（平台管理员视角）</x:v>
      </x:c>
      <x:c r="E301" s="10" t="str">
        <x:v>逻辑校验</x:v>
      </x:c>
      <x:c r="F301" s="10" t="str">
        <x:v>P1</x:v>
      </x:c>
      <x:c r="G301" s="9" t="str">
        <x:v>验证公会余额汇总只算筛选范围</x:v>
      </x:c>
      <x:c r="H301" s="9" t="str">
        <x:v>公会余额筛选汇总</x:v>
      </x:c>
      <x:c r="I301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01" s="9" t="str">
        <x:v>1. 查看公会账户余额页
2. 点击查询</x:v>
      </x:c>
      <x:c r="K301" s="9" t="str">
        <x:v>汇总余额 = 30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来源（当前证据）：liveshow-proto/MainBasis/统一需求文档.md；位置：REQ-d16587607d09；行4685
2. 规则：BR-cdf25c40830549ab
3. 未动态验证</x:v>
      </x:c>
    </x:row>
    <x:row r="302" ht="115" customHeight="1">
      <x:c r="A302" s="10" t="n">
        <x:v>301</x:v>
      </x:c>
      <x:c r="B302" s="10" t="str">
        <x:v>ADMIN-09-0025</x:v>
      </x:c>
      <x:c r="C302" s="10" t="str">
        <x:v>财务分成</x:v>
      </x:c>
      <x:c r="D302" s="10" t="str">
        <x:v>公会余额变更记录（平台管理员视角）</x:v>
      </x:c>
      <x:c r="E302" s="10" t="str">
        <x:v>逻辑校验</x:v>
      </x:c>
      <x:c r="F302" s="10" t="str">
        <x:v>P1</x:v>
      </x:c>
      <x:c r="G302" s="9" t="str">
        <x:v>验证公会余额修正金额0不合法</x:v>
      </x:c>
      <x:c r="H302" s="9" t="str">
        <x:v>公会修正金额校验</x:v>
      </x:c>
      <x:c r="I302" s="9" t="str">
        <x:v>1. 执行角色为平台管理员
2. 账号具有当前模块访问及本次操作权限
3. 业务数据已准备且本页已打开；表单和筛选保持下列指定状态
4. 当前对象有可修正余额</x:v>
      </x:c>
      <x:c r="J302" s="9" t="str">
        <x:v>1. 查看公会余额变更记录页
2. 点击余额变更
3. 填写备注为QA修正
4. 填写变更金额为0
5. 点击确认</x:v>
      </x:c>
      <x:c r="K302" s="9" t="str">
        <x:v>不能保存该修正金额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来源（当前证据）：liveshow-proto/MainBasis/统一需求文档.md；位置：REQ-c35cb0b004fc；行4696
2. 规则：BR-91abc1fb029abbf8
3. 未动态验证</x:v>
      </x:c>
    </x:row>
    <x:row r="303" ht="115" customHeight="1">
      <x:c r="A303" s="10" t="n">
        <x:v>302</x:v>
      </x:c>
      <x:c r="B303" s="10" t="str">
        <x:v>ADMIN-09-0026</x:v>
      </x:c>
      <x:c r="C303" s="10" t="str">
        <x:v>财务分成</x:v>
      </x:c>
      <x:c r="D303" s="10" t="str">
        <x:v>公会余额变更记录（平台管理员视角）</x:v>
      </x:c>
      <x:c r="E303" s="10" t="str">
        <x:v>逻辑校验</x:v>
      </x:c>
      <x:c r="F303" s="10" t="str">
        <x:v>P1</x:v>
      </x:c>
      <x:c r="G303" s="9" t="str">
        <x:v>验证公会余额修正金额1.001不合法</x:v>
      </x:c>
      <x:c r="H303" s="9" t="str">
        <x:v>公会修正金额校验</x:v>
      </x:c>
      <x:c r="I303" s="9" t="str">
        <x:v>1. 执行角色为平台管理员
2. 账号具有当前模块访问及本次操作权限
3. 业务数据已准备且本页已打开；表单和筛选保持下列指定状态
4. 当前对象有可修正余额</x:v>
      </x:c>
      <x:c r="J303" s="9" t="str">
        <x:v>1. 查看公会余额变更记录页
2. 点击余额变更
3. 填写备注为QA修正
4. 填写变更金额为1,001
5. 点击确认</x:v>
      </x:c>
      <x:c r="K303" s="9" t="str">
        <x:v>不能保存该修正金额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来源（当前证据）：liveshow-proto/MainBasis/统一需求文档.md；位置：REQ-c35cb0b004fc；行4696
2. 规则：BR-52361f6f00a79ebf
3. 未动态验证</x:v>
      </x:c>
    </x:row>
    <x:row r="304" ht="115" customHeight="1">
      <x:c r="A304" s="10" t="n">
        <x:v>303</x:v>
      </x:c>
      <x:c r="B304" s="10" t="str">
        <x:v>ADMIN-09-0027</x:v>
      </x:c>
      <x:c r="C304" s="10" t="str">
        <x:v>财务分成</x:v>
      </x:c>
      <x:c r="D304" s="10" t="str">
        <x:v>公会余额变更记录（平台管理员视角）</x:v>
      </x:c>
      <x:c r="E304" s="10" t="str">
        <x:v>逻辑校验</x:v>
      </x:c>
      <x:c r="F304" s="10" t="str">
        <x:v>P1</x:v>
      </x:c>
      <x:c r="G304" s="9" t="str">
        <x:v>验证公会余额修正备注必填</x:v>
      </x:c>
      <x:c r="H304" s="9" t="str">
        <x:v>公会余额修正原因</x:v>
      </x:c>
      <x:c r="I304" s="9" t="str">
        <x:v>1. 执行角色为平台管理员
2. 账号具有当前模块访问及本次操作权限
3. 业务数据已准备且本页已打开；表单和筛选保持下列指定状态
4. 当前对象有可修正余额</x:v>
      </x:c>
      <x:c r="J304" s="9" t="str">
        <x:v>1. 查看公会余额变更记录页
2. 点击余额变更
3. 填写变更金额为10
4. 清空备注
5. 点击确认</x:v>
      </x:c>
      <x:c r="K304" s="9" t="str">
        <x:v>不能保存无备注的修正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来源（当前证据）：liveshow-proto/MainBasis/统一需求文档.md；位置：REQ-209f252aeed4；行4700
2. 规则：BR-ad2f2b2cca3b9f4d
3. 未动态验证</x:v>
      </x:c>
    </x:row>
    <x:row r="305" ht="115" customHeight="1">
      <x:c r="A305" s="10" t="n">
        <x:v>304</x:v>
      </x:c>
      <x:c r="B305" s="10" t="str">
        <x:v>ADMIN-09-0028</x:v>
      </x:c>
      <x:c r="C305" s="10" t="str">
        <x:v>财务分成</x:v>
      </x:c>
      <x:c r="D305" s="10" t="str">
        <x:v>公会余额变更记录（平台管理员视角）</x:v>
      </x:c>
      <x:c r="E305" s="10" t="str">
        <x:v>逻辑校验</x:v>
      </x:c>
      <x:c r="F305" s="10" t="str">
        <x:v>P1</x:v>
      </x:c>
      <x:c r="G305" s="9" t="str">
        <x:v>验证公会余额修正10美元</x:v>
      </x:c>
      <x:c r="H305" s="9" t="str">
        <x:v>公会有符号余额变更</x:v>
      </x:c>
      <x:c r="I305" s="9" t="str">
        <x:v>1. 执行角色为平台管理员
2. 账号具有当前模块访问及本次操作权限
3. 业务数据已准备且本页已打开；表单和筛选保持下列指定状态
4. 原余额20USD</x:v>
      </x:c>
      <x:c r="J305" s="9" t="str">
        <x:v>1. 查看公会余额变更记录页
2. 点击余额变更
3. 填写变更金额为10
4. 填写备注为QA核对
5. 点击确认</x:v>
      </x:c>
      <x:c r="K305" s="9" t="str">
        <x:v>变更后余额 = 30</x:v>
      </x:c>
      <x:c r="L305" s="10" t="str">
        <x:v>FLOW-3571C1C4F7</x:v>
      </x:c>
      <x:c r="M305" s="10" t="str">
        <x:v>未测</x:v>
      </x:c>
      <x:c r="N305" s="10" t="str"/>
      <x:c r="O305" s="9" t="str">
        <x:v>1. 来源（当前证据）：liveshow-proto/MainBasis/统一需求文档.md；位置：REQ-5d162c36d5f7；行4698
2. 规则：BR-94ebd65529084f21
3. 未动态验证</x:v>
      </x:c>
    </x:row>
    <x:row r="306" ht="115" customHeight="1">
      <x:c r="A306" s="10" t="n">
        <x:v>305</x:v>
      </x:c>
      <x:c r="B306" s="10" t="str">
        <x:v>ADMIN-09-0029</x:v>
      </x:c>
      <x:c r="C306" s="10" t="str">
        <x:v>财务分成</x:v>
      </x:c>
      <x:c r="D306" s="10" t="str">
        <x:v>公会余额变更记录（平台管理员视角）</x:v>
      </x:c>
      <x:c r="E306" s="10" t="str">
        <x:v>逻辑校验</x:v>
      </x:c>
      <x:c r="F306" s="10" t="str">
        <x:v>P1</x:v>
      </x:c>
      <x:c r="G306" s="9" t="str">
        <x:v>验证公会余额修正-5美元</x:v>
      </x:c>
      <x:c r="H306" s="9" t="str">
        <x:v>公会有符号余额变更</x:v>
      </x:c>
      <x:c r="I306" s="9" t="str">
        <x:v>1. 执行角色为平台管理员
2. 账号具有当前模块访问及本次操作权限
3. 业务数据已准备且本页已打开；表单和筛选保持下列指定状态
4. 原余额20USD</x:v>
      </x:c>
      <x:c r="J306" s="9" t="str">
        <x:v>1. 查看公会余额变更记录页
2. 点击余额变更
3. 填写变更金额为-5
4. 填写备注为QA核对
5. 点击确认</x:v>
      </x:c>
      <x:c r="K306" s="9" t="str">
        <x:v>变更后余额 = 15</x:v>
      </x:c>
      <x:c r="L306" s="10" t="str">
        <x:v>FLOW-3571C1C4F7</x:v>
      </x:c>
      <x:c r="M306" s="10" t="str">
        <x:v>未测</x:v>
      </x:c>
      <x:c r="N306" s="10" t="str"/>
      <x:c r="O306" s="9" t="str">
        <x:v>1. 来源（当前证据）：liveshow-proto/MainBasis/统一需求文档.md；位置：REQ-5d162c36d5f7；行4698
2. 规则：BR-b20c07c1288c4d84
3. 未动态验证</x:v>
      </x:c>
    </x:row>
    <x:row r="307" ht="85" customHeight="1">
      <x:c r="A307" s="10" t="n">
        <x:v>306</x:v>
      </x:c>
      <x:c r="B307" s="10" t="str">
        <x:v>ADMIN-11-0001</x:v>
      </x:c>
      <x:c r="C307" s="10" t="str">
        <x:v>运营账号</x:v>
      </x:c>
      <x:c r="D307" s="10" t="str">
        <x:v>账号列表（平台管理员视角）</x:v>
      </x:c>
      <x:c r="E307" s="10" t="str">
        <x:v>逻辑校验</x:v>
      </x:c>
      <x:c r="F307" s="10" t="str">
        <x:v>P1</x:v>
      </x:c>
      <x:c r="G307" s="9" t="str">
        <x:v>验证平台运营账号列表不越权创建发币</x:v>
      </x:c>
      <x:c r="H307" s="9" t="str">
        <x:v>平台运营账号操作边界</x:v>
      </x:c>
      <x:c r="I307" s="9" t="str">
        <x:v>1. 执行角色为平台管理员
2. 账号具有当前模块访问及本次操作权限</x:v>
      </x:c>
      <x:c r="J307" s="9" t="str">
        <x:v>1. 进入账号列表页</x:v>
      </x:c>
      <x:c r="K307" s="9" t="str">
        <x:v>不提供创建、分配或发放虚拟金币操作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来源（当前证据）：liveshow-proto/MainBasis/统一需求文档.md；位置：REQ-88bc22b1cabc；行5022
2. 规则：BR-3193317e871dfafa
3. 未动态验证</x:v>
      </x:c>
    </x:row>
    <x:row r="308" ht="130" customHeight="1">
      <x:c r="A308" s="10" t="n">
        <x:v>307</x:v>
      </x:c>
      <x:c r="B308" s="10" t="str">
        <x:v>ADMIN-11-0002</x:v>
      </x:c>
      <x:c r="C308" s="10" t="str">
        <x:v>运营账号</x:v>
      </x:c>
      <x:c r="D308" s="10" t="str">
        <x:v>运营账号主页（平台管理员视角）</x:v>
      </x:c>
      <x:c r="E308" s="10" t="str">
        <x:v>逻辑校验</x:v>
      </x:c>
      <x:c r="F308" s="10" t="str">
        <x:v>P1</x:v>
      </x:c>
      <x:c r="G308" s="9" t="str">
        <x:v>验证平台运营账号余额只核虚拟币</x:v>
      </x:c>
      <x:c r="H308" s="9" t="str">
        <x:v>平台运营虚拟余额</x:v>
      </x:c>
      <x:c r="I308" s="9" t="str">
        <x:v>1. 执行角色为平台管理员
2. 账号具有当前模块访问及本次操作权限
3. 业务数据已准备且本页已打开；表单和筛选保持下列指定状态
4. 累计发放1000、成功消费300虚拟金币，失败消费100</x:v>
      </x:c>
      <x:c r="J308" s="9" t="str">
        <x:v>1. 查看运营账号主页页</x:v>
      </x:c>
      <x:c r="K308" s="9" t="str">
        <x:v>虚拟金币余额 = 700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来源（当前证据）：liveshow-proto/MainBasis/统一需求文档.md；位置：REQ-94b27a9b36bc；行5035
2. 规则：BR-6f3a11b1ebd7f505
3. 未动态验证</x:v>
      </x:c>
    </x:row>
    <x:row r="309" ht="115" customHeight="1">
      <x:c r="A309" s="10" t="n">
        <x:v>308</x:v>
      </x:c>
      <x:c r="B309" s="10" t="str">
        <x:v>ADMIN-11-0003</x:v>
      </x:c>
      <x:c r="C309" s="10" t="str">
        <x:v>运营账号</x:v>
      </x:c>
      <x:c r="D309" s="10" t="str">
        <x:v>运营账号主页（平台管理员视角）</x:v>
      </x:c>
      <x:c r="E309" s="10" t="str">
        <x:v>逻辑校验</x:v>
      </x:c>
      <x:c r="F309" s="10" t="str">
        <x:v>P1</x:v>
      </x:c>
      <x:c r="G309" s="9" t="str">
        <x:v>验证平台停用运营账号</x:v>
      </x:c>
      <x:c r="H309" s="9" t="str">
        <x:v>平台运营账号停用</x:v>
      </x:c>
      <x:c r="I309" s="9" t="str">
        <x:v>1. 执行角色为平台管理员
2. 账号具有当前模块访问及本次操作权限
3. 业务数据已准备且本页已打开；表单和筛选保持下列指定状态
4. 运营账号启用</x:v>
      </x:c>
      <x:c r="J309" s="9" t="str">
        <x:v>1. 查看运营账号主页页
2. 点击停用
3. 点击确认</x:v>
      </x:c>
      <x:c r="K309" s="9" t="str">
        <x:v>运营账号状态变为停用</x:v>
      </x:c>
      <x:c r="L309" s="10" t="str">
        <x:v>FLOW-9DD46CA244</x:v>
      </x:c>
      <x:c r="M309" s="10" t="str">
        <x:v>未测</x:v>
      </x:c>
      <x:c r="N309" s="10" t="str"/>
      <x:c r="O309" s="9" t="str">
        <x:v>1. 来源（当前证据）：liveshow-proto/MainBasis/统一需求文档.md；位置：REQ-6c389b458d71；行5046
2. 规则：BR-e7ed32a832b512c6
3. 未动态验证</x:v>
      </x:c>
    </x:row>
    <x:row r="310" ht="115" customHeight="1">
      <x:c r="A310" s="10" t="n">
        <x:v>309</x:v>
      </x:c>
      <x:c r="B310" s="10" t="str">
        <x:v>ADMIN-11-0004</x:v>
      </x:c>
      <x:c r="C310" s="10" t="str">
        <x:v>运营账号</x:v>
      </x:c>
      <x:c r="D310" s="10" t="str">
        <x:v>运营账号主页（平台管理员视角）</x:v>
      </x:c>
      <x:c r="E310" s="10" t="str">
        <x:v>逻辑校验</x:v>
      </x:c>
      <x:c r="F310" s="10" t="str">
        <x:v>P1</x:v>
      </x:c>
      <x:c r="G310" s="9" t="str">
        <x:v>验证平台锁定运营账号公会管理权限</x:v>
      </x:c>
      <x:c r="H310" s="9" t="str">
        <x:v>运营账号平台锁定</x:v>
      </x:c>
      <x:c r="I310" s="9" t="str">
        <x:v>1. 执行角色为平台管理员
2. 账号具有当前模块访问及本次操作权限
3. 业务数据已准备且本页已打开；表单和筛选保持下列指定状态
4. 账号未锁定</x:v>
      </x:c>
      <x:c r="J310" s="9" t="str">
        <x:v>1. 查看运营账号主页页
2. 点击锁定公会管理权限
3. 点击确认</x:v>
      </x:c>
      <x:c r="K310" s="9" t="str">
        <x:v>公会管理权限为锁定</x:v>
      </x:c>
      <x:c r="L310" s="10" t="str">
        <x:v>FLOW-9DD46CA244</x:v>
      </x:c>
      <x:c r="M310" s="10" t="str">
        <x:v>未测</x:v>
      </x:c>
      <x:c r="N310" s="10" t="str"/>
      <x:c r="O310" s="9" t="str">
        <x:v>1. 来源（当前证据）：liveshow-proto/MainBasis/统一需求文档.md；位置：REQ-6c389b458d71；行5046
2. 规则：BR-50330f088a2b750e
3. 未动态验证</x:v>
      </x:c>
    </x:row>
    <x:row r="311" ht="130" customHeight="1">
      <x:c r="A311" s="10" t="n">
        <x:v>310</x:v>
      </x:c>
      <x:c r="B311" s="10" t="str">
        <x:v>ADMIN-11-0005</x:v>
      </x:c>
      <x:c r="C311" s="10" t="str">
        <x:v>运营账号</x:v>
      </x:c>
      <x:c r="D311" s="10" t="str">
        <x:v>发放记录（平台管理员视角）</x:v>
      </x:c>
      <x:c r="E311" s="10" t="str">
        <x:v>逻辑校验</x:v>
      </x:c>
      <x:c r="F311" s="10" t="str">
        <x:v>P1</x:v>
      </x:c>
      <x:c r="G311" s="9" t="str">
        <x:v>验证虚拟金币发放记录指向公会操作人</x:v>
      </x:c>
      <x:c r="H311" s="9" t="str">
        <x:v>虚拟金币发放执行者</x:v>
      </x:c>
      <x:c r="I311" s="9" t="str">
        <x:v>1. 执行角色为平台管理员
2. 账号具有当前模块访问及本次操作权限
3. 业务数据已准备且本页已打开；表单和筛选保持下列指定状态
4. 公会账号chiefA成功发放100金币</x:v>
      </x:c>
      <x:c r="J311" s="9" t="str">
        <x:v>1. 查看发放记录页</x:v>
      </x:c>
      <x:c r="K311" s="9" t="str">
        <x:v>该记录操作人为chiefA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来源（当前证据）：liveshow-proto/MainBasis/统一需求文档.md；位置：REQ-4b5762b60abd；行5057
2. 规则：BR-b11589a7d8aed77d
3. 未动态验证</x:v>
      </x:c>
    </x:row>
    <x:row r="312" ht="130" customHeight="1">
      <x:c r="A312" s="10" t="n">
        <x:v>311</x:v>
      </x:c>
      <x:c r="B312" s="10" t="str">
        <x:v>ADMIN-11-0006</x:v>
      </x:c>
      <x:c r="C312" s="10" t="str">
        <x:v>运营账号</x:v>
      </x:c>
      <x:c r="D312" s="10" t="str">
        <x:v>送礼记录（平台管理员视角）</x:v>
      </x:c>
      <x:c r="E312" s="10" t="str">
        <x:v>逻辑校验</x:v>
      </x:c>
      <x:c r="F312" s="10" t="str">
        <x:v>P1</x:v>
      </x:c>
      <x:c r="G312" s="9" t="str">
        <x:v>验证运营赠礼保留礼物快照</x:v>
      </x:c>
      <x:c r="H312" s="9" t="str">
        <x:v>运营赠礼礼物历史快照</x:v>
      </x:c>
      <x:c r="I312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12" s="9" t="str">
        <x:v>1. 查看送礼记录页
2. 点击该记录详情</x:v>
      </x:c>
      <x:c r="K312" s="9" t="str">
        <x:v>详情礼物名称仍为A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来源（当前证据）：liveshow-proto/MainBasis/统一需求文档.md；位置：REQ-18244527bc41；行5072
2. 规则：BR-596a901efe1c1ead
3. 未动态验证</x:v>
      </x:c>
    </x:row>
    <x:row r="313" ht="130" customHeight="1">
      <x:c r="A313" s="10" t="n">
        <x:v>312</x:v>
      </x:c>
      <x:c r="B313" s="10" t="str">
        <x:v>ADMIN-11-0007</x:v>
      </x:c>
      <x:c r="C313" s="10" t="str">
        <x:v>运营账号</x:v>
      </x:c>
      <x:c r="D313" s="10" t="str">
        <x:v>送礼记录（平台管理员视角）</x:v>
      </x:c>
      <x:c r="E313" s="10" t="str">
        <x:v>逻辑校验</x:v>
      </x:c>
      <x:c r="F313" s="10" t="str">
        <x:v>P1</x:v>
      </x:c>
      <x:c r="G313" s="9" t="str">
        <x:v>验证运营赠礼保留主播快照</x:v>
      </x:c>
      <x:c r="H313" s="9" t="str">
        <x:v>运营赠礼主播历史快照</x:v>
      </x:c>
      <x:c r="I313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13" s="9" t="str">
        <x:v>1. 查看送礼记录页
2. 点击该记录详情</x:v>
      </x:c>
      <x:c r="K313" s="9" t="str">
        <x:v>详情主播名称仍为甲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来源（当前证据）：liveshow-proto/MainBasis/统一需求文档.md；位置：REQ-18244527bc41；行5072
2. 规则：BR-7040cbf4d4a66c00
3. 未动态验证</x:v>
      </x:c>
    </x:row>
    <x:row r="314" ht="130" customHeight="1">
      <x:c r="A314" s="10" t="n">
        <x:v>313</x:v>
      </x:c>
      <x:c r="B314" s="10" t="str">
        <x:v>ADMIN-11-0008</x:v>
      </x:c>
      <x:c r="C314" s="10" t="str">
        <x:v>运营账号</x:v>
      </x:c>
      <x:c r="D314" s="10" t="str">
        <x:v>额度限制（平台管理员视角）</x:v>
      </x:c>
      <x:c r="E314" s="10" t="str">
        <x:v>逻辑校验</x:v>
      </x:c>
      <x:c r="F314" s="10" t="str">
        <x:v>P1</x:v>
      </x:c>
      <x:c r="G314" s="9" t="str">
        <x:v>验证额度配置公会低于已发放不能保存</x:v>
      </x:c>
      <x:c r="H314" s="9" t="str">
        <x:v>虚拟金币额度上下限</x:v>
      </x:c>
      <x:c r="I314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14" s="9" t="str">
        <x:v>1. 查看额度限制页
2. 点击配置额度
3. 填写单账号月度额度为500
4. 填写公会月度额度为999
5. 点击保存</x:v>
      </x:c>
      <x:c r="K314" s="9" t="str">
        <x:v>不能保存越界额度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来源（当前证据）：liveshow-proto/MainBasis/统一需求文档.md；位置：REQ-2d85a61f1c3a；行5103
2. 规则：BR-dc92a9222e59b9db
3. 未动态验证</x:v>
      </x:c>
    </x:row>
    <x:row r="315" ht="130" customHeight="1">
      <x:c r="A315" s="10" t="n">
        <x:v>314</x:v>
      </x:c>
      <x:c r="B315" s="10" t="str">
        <x:v>ADMIN-11-0009</x:v>
      </x:c>
      <x:c r="C315" s="10" t="str">
        <x:v>运营账号</x:v>
      </x:c>
      <x:c r="D315" s="10" t="str">
        <x:v>额度限制（平台管理员视角）</x:v>
      </x:c>
      <x:c r="E315" s="10" t="str">
        <x:v>逻辑校验</x:v>
      </x:c>
      <x:c r="F315" s="10" t="str">
        <x:v>P1</x:v>
      </x:c>
      <x:c r="G315" s="9" t="str">
        <x:v>验证额度配置账号低于最高已发放不能保存</x:v>
      </x:c>
      <x:c r="H315" s="9" t="str">
        <x:v>虚拟金币额度上下限</x:v>
      </x:c>
      <x:c r="I315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15" s="9" t="str">
        <x:v>1. 查看额度限制页
2. 点击配置额度
3. 填写单账号月度额度为499
4. 填写公会月度额度为2000
5. 点击保存</x:v>
      </x:c>
      <x:c r="K315" s="9" t="str">
        <x:v>不能保存越界额度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来源（当前证据）：liveshow-proto/MainBasis/统一需求文档.md；位置：REQ-2d85a61f1c3a；行5103
2. 规则：BR-6e70a9b903abddef
3. 未动态验证</x:v>
      </x:c>
    </x:row>
    <x:row r="316" ht="130" customHeight="1">
      <x:c r="A316" s="10" t="n">
        <x:v>315</x:v>
      </x:c>
      <x:c r="B316" s="10" t="str">
        <x:v>ADMIN-11-0010</x:v>
      </x:c>
      <x:c r="C316" s="10" t="str">
        <x:v>运营账号</x:v>
      </x:c>
      <x:c r="D316" s="10" t="str">
        <x:v>额度限制（平台管理员视角）</x:v>
      </x:c>
      <x:c r="E316" s="10" t="str">
        <x:v>逻辑校验</x:v>
      </x:c>
      <x:c r="F316" s="10" t="str">
        <x:v>P1</x:v>
      </x:c>
      <x:c r="G316" s="9" t="str">
        <x:v>验证额度配置账号高于公会额度不能保存</x:v>
      </x:c>
      <x:c r="H316" s="9" t="str">
        <x:v>虚拟金币额度上下限</x:v>
      </x:c>
      <x:c r="I316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16" s="9" t="str">
        <x:v>1. 查看额度限制页
2. 点击配置额度
3. 填写单账号月度额度为2001
4. 填写公会月度额度为2000
5. 点击保存</x:v>
      </x:c>
      <x:c r="K316" s="9" t="str">
        <x:v>不能保存越界额度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来源（当前证据）：liveshow-proto/MainBasis/统一需求文档.md；位置：REQ-2d85a61f1c3a；行5103
2. 规则：BR-3869b4818780f262
3. 未动态验证</x:v>
      </x:c>
    </x:row>
    <x:row r="317" ht="130" customHeight="1">
      <x:c r="A317" s="10" t="n">
        <x:v>316</x:v>
      </x:c>
      <x:c r="B317" s="10" t="str">
        <x:v>ADMIN-11-0011</x:v>
      </x:c>
      <x:c r="C317" s="10" t="str">
        <x:v>运营账号</x:v>
      </x:c>
      <x:c r="D317" s="10" t="str">
        <x:v>额度限制（平台管理员视角）</x:v>
      </x:c>
      <x:c r="E317" s="10" t="str">
        <x:v>逻辑校验</x:v>
      </x:c>
      <x:c r="F317" s="10" t="str">
        <x:v>P1</x:v>
      </x:c>
      <x:c r="G317" s="9" t="str">
        <x:v>验证额度等于已发放边界允许保存</x:v>
      </x:c>
      <x:c r="H317" s="9" t="str">
        <x:v>虚拟币额度等值边界</x:v>
      </x:c>
      <x:c r="I317" s="9" t="str">
        <x:v>1. 执行角色为平台管理员
2. 账号具有当前模块访问及本次操作权限
3. 业务数据已准备且本页已打开；表单和筛选保持下列指定状态
4. 公会已发1000，单账号最高500</x:v>
      </x:c>
      <x:c r="J317" s="9" t="str">
        <x:v>1. 查看额度限制页
2. 点击配置额度
3. 填写公会月度额度为1000
4. 填写单账号月度额度为500
5. 点击保存</x:v>
      </x:c>
      <x:c r="K317" s="9" t="str">
        <x:v>公会月度额度显示1000金币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来源（当前证据）：liveshow-proto/MainBasis/统一需求文档.md；位置：REQ-2d85a61f1c3a；行5103
2. 规则：BR-704600291d40d9da
3. 未动态验证</x:v>
      </x:c>
    </x:row>
    <x:row r="318" ht="85" customHeight="1">
      <x:c r="A318" s="10" t="n">
        <x:v>317</x:v>
      </x:c>
      <x:c r="B318" s="10" t="str">
        <x:v>ADMIN-12-0001</x:v>
      </x:c>
      <x:c r="C318" s="10" t="str">
        <x:v>系统配置</x:v>
      </x:c>
      <x:c r="D318" s="10" t="str">
        <x:v>后台账号（超级管理员视角）</x:v>
      </x:c>
      <x:c r="E318" s="10" t="str">
        <x:v>逻辑校验</x:v>
      </x:c>
      <x:c r="F318" s="10" t="str">
        <x:v>P1</x:v>
      </x:c>
      <x:c r="G318" s="9" t="str">
        <x:v>验证内置超级管理员账号不能停用</x:v>
      </x:c>
      <x:c r="H318" s="9" t="str">
        <x:v>内置后台账号保护</x:v>
      </x:c>
      <x:c r="I318" s="9" t="str">
        <x:v>1. 执行角色为超级管理员
2. 当前记录为内置超级管理员</x:v>
      </x:c>
      <x:c r="J318" s="9" t="str">
        <x:v>1. 进入后台账号页</x:v>
      </x:c>
      <x:c r="K318" s="9" t="str">
        <x:v>不允许停用内置账号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来源（当前证据）：liveshow-proto/MainBasis/统一需求文档.md；位置：REQ-a33959cc945e；行5122
2. 规则：BR-5b9cb8c903174bc0
3. 未动态验证</x:v>
      </x:c>
    </x:row>
    <x:row r="319" ht="85" customHeight="1">
      <x:c r="A319" s="10" t="n">
        <x:v>318</x:v>
      </x:c>
      <x:c r="B319" s="10" t="str">
        <x:v>ADMIN-12-0002</x:v>
      </x:c>
      <x:c r="C319" s="10" t="str">
        <x:v>系统配置</x:v>
      </x:c>
      <x:c r="D319" s="10" t="str">
        <x:v>账号编辑（超级管理员视角）</x:v>
      </x:c>
      <x:c r="E319" s="10" t="str">
        <x:v>逻辑校验</x:v>
      </x:c>
      <x:c r="F319" s="10" t="str">
        <x:v>P1</x:v>
      </x:c>
      <x:c r="G319" s="9" t="str">
        <x:v>验证内置管理员核心配置不可修改</x:v>
      </x:c>
      <x:c r="H319" s="9" t="str">
        <x:v>内置管理员字段保护</x:v>
      </x:c>
      <x:c r="I319" s="9" t="str">
        <x:v>1. 执行角色为超级管理员
2. 当前为内置超级管理员账号</x:v>
      </x:c>
      <x:c r="J319" s="9" t="str">
        <x:v>1. 进入账号编辑页</x:v>
      </x:c>
      <x:c r="K319" s="9" t="str">
        <x:v>账号、角色和状态均不可编辑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来源（当前证据）：liveshow-proto/MainBasis/统一需求文档.md；位置：REQ-17ae8a754f60；行5143
2. 规则：BR-2a7e13eba0f1668a
3. 未动态验证</x:v>
      </x:c>
    </x:row>
    <x:row r="320" ht="85" customHeight="1">
      <x:c r="A320" s="10" t="n">
        <x:v>319</x:v>
      </x:c>
      <x:c r="B320" s="10" t="str">
        <x:v>ADMIN-12-0003</x:v>
      </x:c>
      <x:c r="C320" s="10" t="str">
        <x:v>系统配置</x:v>
      </x:c>
      <x:c r="D320" s="10" t="str">
        <x:v>账号编辑（超级管理员视角）</x:v>
      </x:c>
      <x:c r="E320" s="10" t="str">
        <x:v>逻辑校验</x:v>
      </x:c>
      <x:c r="F320" s="10" t="str">
        <x:v>P1</x:v>
      </x:c>
      <x:c r="G320" s="9" t="str">
        <x:v>验证新后台账号后台账号必填</x:v>
      </x:c>
      <x:c r="H320" s="9" t="str">
        <x:v>后台账号后台账号校验</x:v>
      </x:c>
      <x:c r="I320" s="9" t="str">
        <x:v>1. 执行角色为超级管理员
2. 新建模式，其他字段有效</x:v>
      </x:c>
      <x:c r="J320" s="9" t="str">
        <x:v>1. 进入账号编辑页
2. 清空后台账号
3. 点击保存</x:v>
      </x:c>
      <x:c r="K320" s="9" t="str">
        <x:v>不能创建缺少必填项的后台账号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来源（当前证据）：liveshow-proto/MainBasis/统一需求文档.md；位置：REQ-4dc11780d782；行5133
2. 规则：BR-5a69cb285e705a28
3. 未动态验证</x:v>
      </x:c>
    </x:row>
    <x:row r="321" ht="85" customHeight="1">
      <x:c r="A321" s="10" t="n">
        <x:v>320</x:v>
      </x:c>
      <x:c r="B321" s="10" t="str">
        <x:v>ADMIN-12-0004</x:v>
      </x:c>
      <x:c r="C321" s="10" t="str">
        <x:v>系统配置</x:v>
      </x:c>
      <x:c r="D321" s="10" t="str">
        <x:v>账号编辑（超级管理员视角）</x:v>
      </x:c>
      <x:c r="E321" s="10" t="str">
        <x:v>逻辑校验</x:v>
      </x:c>
      <x:c r="F321" s="10" t="str">
        <x:v>P1</x:v>
      </x:c>
      <x:c r="G321" s="9" t="str">
        <x:v>验证新后台账号姓名必填</x:v>
      </x:c>
      <x:c r="H321" s="9" t="str">
        <x:v>后台账号姓名校验</x:v>
      </x:c>
      <x:c r="I321" s="9" t="str">
        <x:v>1. 执行角色为超级管理员
2. 新建模式，其他字段有效</x:v>
      </x:c>
      <x:c r="J321" s="9" t="str">
        <x:v>1. 进入账号编辑页
2. 清空姓名
3. 点击保存</x:v>
      </x:c>
      <x:c r="K321" s="9" t="str">
        <x:v>不能创建缺少必填项的后台账号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来源（当前证据）：liveshow-proto/MainBasis/统一需求文档.md；位置：REQ-4dc11780d782；行5133
2. 规则：BR-bb315514262ea48b
3. 未动态验证</x:v>
      </x:c>
    </x:row>
    <x:row r="322" ht="85" customHeight="1">
      <x:c r="A322" s="10" t="n">
        <x:v>321</x:v>
      </x:c>
      <x:c r="B322" s="10" t="str">
        <x:v>ADMIN-12-0005</x:v>
      </x:c>
      <x:c r="C322" s="10" t="str">
        <x:v>系统配置</x:v>
      </x:c>
      <x:c r="D322" s="10" t="str">
        <x:v>账号编辑（超级管理员视角）</x:v>
      </x:c>
      <x:c r="E322" s="10" t="str">
        <x:v>逻辑校验</x:v>
      </x:c>
      <x:c r="F322" s="10" t="str">
        <x:v>P1</x:v>
      </x:c>
      <x:c r="G322" s="9" t="str">
        <x:v>验证新后台账号所属角色必填</x:v>
      </x:c>
      <x:c r="H322" s="9" t="str">
        <x:v>后台账号所属角色校验</x:v>
      </x:c>
      <x:c r="I322" s="9" t="str">
        <x:v>1. 执行角色为超级管理员
2. 新建模式，其他字段有效</x:v>
      </x:c>
      <x:c r="J322" s="9" t="str">
        <x:v>1. 进入账号编辑页
2. 清空所属角色
3. 点击保存</x:v>
      </x:c>
      <x:c r="K322" s="9" t="str">
        <x:v>不能创建缺少必填项的后台账号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来源（当前证据）：liveshow-proto/MainBasis/统一需求文档.md；位置：REQ-a3d66b0a6cd5；行5135
2. 规则：BR-b71dbc011d985d24
3. 未动态验证</x:v>
      </x:c>
    </x:row>
    <x:row r="323" ht="85" customHeight="1">
      <x:c r="A323" s="10" t="n">
        <x:v>322</x:v>
      </x:c>
      <x:c r="B323" s="10" t="str">
        <x:v>ADMIN-12-0006</x:v>
      </x:c>
      <x:c r="C323" s="10" t="str">
        <x:v>系统配置</x:v>
      </x:c>
      <x:c r="D323" s="10" t="str">
        <x:v>账号编辑（超级管理员视角）</x:v>
      </x:c>
      <x:c r="E323" s="10" t="str">
        <x:v>逻辑校验</x:v>
      </x:c>
      <x:c r="F323" s="10" t="str">
        <x:v>P1</x:v>
      </x:c>
      <x:c r="G323" s="9" t="str">
        <x:v>验证新后台账号初始密码必填</x:v>
      </x:c>
      <x:c r="H323" s="9" t="str">
        <x:v>后台账号初始密码校验</x:v>
      </x:c>
      <x:c r="I323" s="9" t="str">
        <x:v>1. 执行角色为超级管理员
2. 新建模式，其他字段有效</x:v>
      </x:c>
      <x:c r="J323" s="9" t="str">
        <x:v>1. 进入账号编辑页
2. 清空初始密码
3. 点击保存</x:v>
      </x:c>
      <x:c r="K323" s="9" t="str">
        <x:v>不能创建缺少必填项的后台账号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来源（当前证据）：liveshow-proto/MainBasis/统一需求文档.md；位置：REQ-349013785007；行5137
2. 规则：BR-34f380a0bcd13635
3. 未动态验证</x:v>
      </x:c>
    </x:row>
    <x:row r="324" ht="85" customHeight="1">
      <x:c r="A324" s="10" t="n">
        <x:v>323</x:v>
      </x:c>
      <x:c r="B324" s="10" t="str">
        <x:v>ADMIN-12-0007</x:v>
      </x:c>
      <x:c r="C324" s="10" t="str">
        <x:v>系统配置</x:v>
      </x:c>
      <x:c r="D324" s="10" t="str">
        <x:v>账号编辑（超级管理员视角）</x:v>
      </x:c>
      <x:c r="E324" s="10" t="str">
        <x:v>逻辑校验</x:v>
      </x:c>
      <x:c r="F324" s="10" t="str">
        <x:v>P1</x:v>
      </x:c>
      <x:c r="G324" s="9" t="str">
        <x:v>验证后台登录账号不能重复</x:v>
      </x:c>
      <x:c r="H324" s="9" t="str">
        <x:v>后台账号唯一性</x:v>
      </x:c>
      <x:c r="I324" s="9" t="str">
        <x:v>1. 执行角色为超级管理员
2. 已存在账号qa-admin，其他字段有效</x:v>
      </x:c>
      <x:c r="J324" s="9" t="str">
        <x:v>1. 进入账号编辑页
2. 填写后台账号为qa-admin
3. 点击保存</x:v>
      </x:c>
      <x:c r="K324" s="9" t="str">
        <x:v>不能保存重复登录账号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来源（当前证据）：liveshow-proto/MainBasis/统一需求文档.md；位置：REQ-4dc11780d782；行5133
2. 规则：BR-6e7cf5049263a93f
3. 未动态验证</x:v>
      </x:c>
    </x:row>
    <x:row r="325" ht="85" customHeight="1">
      <x:c r="A325" s="10" t="n">
        <x:v>324</x:v>
      </x:c>
      <x:c r="B325" s="10" t="str">
        <x:v>ADMIN-12-0008</x:v>
      </x:c>
      <x:c r="C325" s="10" t="str">
        <x:v>系统配置</x:v>
      </x:c>
      <x:c r="D325" s="10" t="str">
        <x:v>账号编辑（超级管理员视角）</x:v>
      </x:c>
      <x:c r="E325" s="10" t="str">
        <x:v>逻辑校验</x:v>
      </x:c>
      <x:c r="F325" s="10" t="str">
        <x:v>P1</x:v>
      </x:c>
      <x:c r="G325" s="9" t="str">
        <x:v>验证后台账号不能选择停用角色</x:v>
      </x:c>
      <x:c r="H325" s="9" t="str">
        <x:v>后台账号角色有效性</x:v>
      </x:c>
      <x:c r="I325" s="9" t="str">
        <x:v>1. 执行角色为超级管理员
2. 角色R已停用</x:v>
      </x:c>
      <x:c r="J325" s="9" t="str">
        <x:v>1. 进入账号编辑页
2. 点击所属角色</x:v>
      </x:c>
      <x:c r="K325" s="9" t="str">
        <x:v>角色R不可选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来源（当前证据）：liveshow-proto/MainBasis/统一需求文档.md；位置：REQ-a3d66b0a6cd5；行5135
2. 规则：BR-ab169047380b99b2
3. 未动态验证</x:v>
      </x:c>
    </x:row>
    <x:row r="326" ht="85" customHeight="1">
      <x:c r="A326" s="10" t="n">
        <x:v>325</x:v>
      </x:c>
      <x:c r="B326" s="10" t="str">
        <x:v>ADMIN-12-0009</x:v>
      </x:c>
      <x:c r="C326" s="10" t="str">
        <x:v>系统配置</x:v>
      </x:c>
      <x:c r="D326" s="10" t="str">
        <x:v>账号编辑（超级管理员视角）</x:v>
      </x:c>
      <x:c r="E326" s="10" t="str">
        <x:v>逻辑校验</x:v>
      </x:c>
      <x:c r="F326" s="10" t="str">
        <x:v>P1</x:v>
      </x:c>
      <x:c r="G326" s="9" t="str">
        <x:v>验证后台账号重置密码两次不一致</x:v>
      </x:c>
      <x:c r="H326" s="9" t="str">
        <x:v>后台重置密码确认</x:v>
      </x:c>
      <x:c r="I326" s="9" t="str">
        <x:v>1. 执行角色为超级管理员
2. 准备满足实际密码策略的两个不同密码A和B</x:v>
      </x:c>
      <x:c r="J326" s="9" t="str">
        <x:v>1. 进入账号编辑页
2. 点击重置密码
3. 填写新密码为A
4. 填写确认密码为B
5. 点击保存</x:v>
      </x:c>
      <x:c r="K326" s="9" t="str">
        <x:v>不能保存不一致的新密码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来源（当前证据）：liveshow-proto/MainBasis/统一需求文档.md；位置：REQ-d00841bef5c0；行5139
2. 规则：BR-1e2b2b8634a188d2
3. 未动态验证</x:v>
      </x:c>
    </x:row>
    <x:row r="327" ht="85" customHeight="1">
      <x:c r="A327" s="10" t="n">
        <x:v>326</x:v>
      </x:c>
      <x:c r="B327" s="10" t="str">
        <x:v>ADMIN-12-0010</x:v>
      </x:c>
      <x:c r="C327" s="10" t="str">
        <x:v>系统配置</x:v>
      </x:c>
      <x:c r="D327" s="10" t="str">
        <x:v>角色管理（超级管理员视角）</x:v>
      </x:c>
      <x:c r="E327" s="10" t="str">
        <x:v>功能需求</x:v>
      </x:c>
      <x:c r="F327" s="10" t="str">
        <x:v>P2</x:v>
      </x:c>
      <x:c r="G327" s="9" t="str">
        <x:v>验证后台角色人数只统计当前绑定</x:v>
      </x:c>
      <x:c r="H327" s="9" t="str">
        <x:v>后台角色关联账号数</x:v>
      </x:c>
      <x:c r="I327" s="9" t="str">
        <x:v>1. 执行角色为超级管理员
2. 角色R当前绑定甲乙，丙已改绑其他角色</x:v>
      </x:c>
      <x:c r="J327" s="9" t="str">
        <x:v>1. 进入角色管理页</x:v>
      </x:c>
      <x:c r="K327" s="9" t="str">
        <x:v>角色R关联账号显示2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来源（当前证据）：liveshow-proto/MainBasis/统一需求文档.md；位置：REQ-5a66f4cced3a；行5156
2. 规则：BR-72ee985d6d689256
3. 未动态验证</x:v>
      </x:c>
    </x:row>
    <x:row r="328" ht="85" customHeight="1">
      <x:c r="A328" s="10" t="n">
        <x:v>327</x:v>
      </x:c>
      <x:c r="B328" s="10" t="str">
        <x:v>ADMIN-12-0011</x:v>
      </x:c>
      <x:c r="C328" s="10" t="str">
        <x:v>系统配置</x:v>
      </x:c>
      <x:c r="D328" s="10" t="str">
        <x:v>角色管理（超级管理员视角）</x:v>
      </x:c>
      <x:c r="E328" s="10" t="str">
        <x:v>逻辑校验</x:v>
      </x:c>
      <x:c r="F328" s="10" t="str">
        <x:v>P1</x:v>
      </x:c>
      <x:c r="G328" s="9" t="str">
        <x:v>验证内置超级管理员角色不可停用</x:v>
      </x:c>
      <x:c r="H328" s="9" t="str">
        <x:v>内置角色保护</x:v>
      </x:c>
      <x:c r="I328" s="9" t="str">
        <x:v>1. 执行角色为超级管理员</x:v>
      </x:c>
      <x:c r="J328" s="9" t="str">
        <x:v>1. 进入角色管理页</x:v>
      </x:c>
      <x:c r="K328" s="9" t="str">
        <x:v>不允许停用内置超级管理员角色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来源（当前证据）：liveshow-proto/MainBasis/统一需求文档.md；位置：REQ-d8027eefbbde；行5160
2. 规则：BR-8d492ad8545ae6f8
3. 未动态验证</x:v>
      </x:c>
    </x:row>
    <x:row r="329" ht="85" customHeight="1">
      <x:c r="A329" s="10" t="n">
        <x:v>328</x:v>
      </x:c>
      <x:c r="B329" s="10" t="str">
        <x:v>ADMIN-12-0012</x:v>
      </x:c>
      <x:c r="C329" s="10" t="str">
        <x:v>系统配置</x:v>
      </x:c>
      <x:c r="D329" s="10" t="str">
        <x:v>角色编辑（超级管理员视角）</x:v>
      </x:c>
      <x:c r="E329" s="10" t="str">
        <x:v>逻辑校验</x:v>
      </x:c>
      <x:c r="F329" s="10" t="str">
        <x:v>P1</x:v>
      </x:c>
      <x:c r="G329" s="9" t="str">
        <x:v>验证后台角色名称不能为空</x:v>
      </x:c>
      <x:c r="H329" s="9" t="str">
        <x:v>后台角色名称必填</x:v>
      </x:c>
      <x:c r="I329" s="9" t="str">
        <x:v>1. 执行角色为超级管理员
2. 新建角色且权限已选择</x:v>
      </x:c>
      <x:c r="J329" s="9" t="str">
        <x:v>1. 进入角色编辑页
2. 清空角色名称
3. 点击保存</x:v>
      </x:c>
      <x:c r="K329" s="9" t="str">
        <x:v>不能保存空角色名称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来源（当前证据）：liveshow-proto/MainBasis/统一需求文档.md；位置：REQ-6f3bd3e60356；行5171
2. 规则：BR-a27d6b88f77086ca
3. 未动态验证</x:v>
      </x:c>
    </x:row>
    <x:row r="330" ht="85" customHeight="1">
      <x:c r="A330" s="10" t="n">
        <x:v>329</x:v>
      </x:c>
      <x:c r="B330" s="10" t="str">
        <x:v>ADMIN-12-0013</x:v>
      </x:c>
      <x:c r="C330" s="10" t="str">
        <x:v>系统配置</x:v>
      </x:c>
      <x:c r="D330" s="10" t="str">
        <x:v>角色编辑（超级管理员视角）</x:v>
      </x:c>
      <x:c r="E330" s="10" t="str">
        <x:v>逻辑校验</x:v>
      </x:c>
      <x:c r="F330" s="10" t="str">
        <x:v>P1</x:v>
      </x:c>
      <x:c r="G330" s="9" t="str">
        <x:v>验证后台角色名称不能重复</x:v>
      </x:c>
      <x:c r="H330" s="9" t="str">
        <x:v>后台角色名称唯一性</x:v>
      </x:c>
      <x:c r="I330" s="9" t="str">
        <x:v>1. 执行角色为超级管理员
2. 已有角色R</x:v>
      </x:c>
      <x:c r="J330" s="9" t="str">
        <x:v>1. 进入角色编辑页
2. 填写角色名称为R
3. 点击保存</x:v>
      </x:c>
      <x:c r="K330" s="9" t="str">
        <x:v>不能保存重复角色名称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来源（当前证据）：liveshow-proto/MainBasis/统一需求文档.md；位置：REQ-6f3bd3e60356；行5171
2. 规则：BR-3d9e55ee5f066cec
3. 未动态验证</x:v>
      </x:c>
    </x:row>
    <x:row r="331" ht="85" customHeight="1">
      <x:c r="A331" s="10" t="n">
        <x:v>330</x:v>
      </x:c>
      <x:c r="B331" s="10" t="str">
        <x:v>ADMIN-12-0014</x:v>
      </x:c>
      <x:c r="C331" s="10" t="str">
        <x:v>系统配置</x:v>
      </x:c>
      <x:c r="D331" s="10" t="str">
        <x:v>角色编辑（超级管理员视角）</x:v>
      </x:c>
      <x:c r="E331" s="10" t="str">
        <x:v>逻辑校验</x:v>
      </x:c>
      <x:c r="F331" s="10" t="str">
        <x:v>P1</x:v>
      </x:c>
      <x:c r="G331" s="9" t="str">
        <x:v>验证勾选菜单父级选中所有子级</x:v>
      </x:c>
      <x:c r="H331" s="9" t="str">
        <x:v>角色权限父子选择</x:v>
      </x:c>
      <x:c r="I331" s="9" t="str">
        <x:v>1. 执行角色为超级管理员
2. 某父菜单有3个子权限，初始均未选</x:v>
      </x:c>
      <x:c r="J331" s="9" t="str">
        <x:v>1. 进入角色编辑页
2. 勾选该父菜单</x:v>
      </x:c>
      <x:c r="K331" s="9" t="str">
        <x:v>其3个子权限全部选中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来源（当前证据）：liveshow-proto/MainBasis/统一需求文档.md；位置：REQ-ace54ed95177；行5177
2. 规则：BR-0c4d2de8d6b9bbc7
3. 未动态验证</x:v>
      </x:c>
    </x:row>
    <x:row r="332" ht="85" customHeight="1">
      <x:c r="A332" s="10" t="n">
        <x:v>331</x:v>
      </x:c>
      <x:c r="B332" s="10" t="str">
        <x:v>ADMIN-12-0015</x:v>
      </x:c>
      <x:c r="C332" s="10" t="str">
        <x:v>系统配置</x:v>
      </x:c>
      <x:c r="D332" s="10" t="str">
        <x:v>角色编辑（超级管理员视角）</x:v>
      </x:c>
      <x:c r="E332" s="10" t="str">
        <x:v>逻辑校验</x:v>
      </x:c>
      <x:c r="F332" s="10" t="str">
        <x:v>P1</x:v>
      </x:c>
      <x:c r="G332" s="9" t="str">
        <x:v>验证取消全部子权限同步取消父级</x:v>
      </x:c>
      <x:c r="H332" s="9" t="str">
        <x:v>角色权限父子取消</x:v>
      </x:c>
      <x:c r="I332" s="9" t="str">
        <x:v>1. 执行角色为超级管理员
2. 父级与3个子权限全部选中</x:v>
      </x:c>
      <x:c r="J332" s="9" t="str">
        <x:v>1. 进入角色编辑页
2. 取消子权限1
3. 取消子权限2
4. 取消子权限3</x:v>
      </x:c>
      <x:c r="K332" s="9" t="str">
        <x:v>该父菜单不再选中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来源（当前证据）：liveshow-proto/MainBasis/统一需求文档.md；位置：REQ-ace54ed95177；行5177
2. 规则：BR-75d6ffc3410b3698
3. 未动态验证</x:v>
      </x:c>
    </x:row>
    <x:row r="333" ht="85" customHeight="1">
      <x:c r="A333" s="10" t="n">
        <x:v>332</x:v>
      </x:c>
      <x:c r="B333" s="10" t="str">
        <x:v>ADMIN-12-0016</x:v>
      </x:c>
      <x:c r="C333" s="10" t="str">
        <x:v>系统配置</x:v>
      </x:c>
      <x:c r="D333" s="10" t="str">
        <x:v>角色编辑（超级管理员视角）</x:v>
      </x:c>
      <x:c r="E333" s="10" t="str">
        <x:v>逻辑校验</x:v>
      </x:c>
      <x:c r="F333" s="10" t="str">
        <x:v>P1</x:v>
      </x:c>
      <x:c r="G333" s="9" t="str">
        <x:v>验证角色已选权限仅计算叶子节点</x:v>
      </x:c>
      <x:c r="H333" s="9" t="str">
        <x:v>角色权限数量口径</x:v>
      </x:c>
      <x:c r="I333" s="9" t="str">
        <x:v>1. 执行角色为超级管理员
2. 选中父级含3个叶子，无其他选择</x:v>
      </x:c>
      <x:c r="J333" s="9" t="str">
        <x:v>1. 进入角色编辑页</x:v>
      </x:c>
      <x:c r="K333" s="9" t="str">
        <x:v>已选择数显示3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来源（当前证据）：liveshow-proto/MainBasis/统一需求文档.md；位置：REQ-7274fb0700f5；行5175
2. 规则：BR-96aa3dc4f03fa61d
3. 未动态验证</x:v>
      </x:c>
    </x:row>
    <x:row r="334" ht="85" customHeight="1">
      <x:c r="A334" s="10" t="n">
        <x:v>333</x:v>
      </x:c>
      <x:c r="B334" s="10" t="str">
        <x:v>ADMIN-10-0001</x:v>
      </x:c>
      <x:c r="C334" s="10" t="str">
        <x:v>数据分析</x:v>
      </x:c>
      <x:c r="D334" s="10" t="str">
        <x:v>报表中心（仅用户活跃报表权限的管理员视角）</x:v>
      </x:c>
      <x:c r="E334" s="10" t="str">
        <x:v>逻辑校验</x:v>
      </x:c>
      <x:c r="F334" s="10" t="str">
        <x:v>P1</x:v>
      </x:c>
      <x:c r="G334" s="9" t="str">
        <x:v>验证报表中心隐藏未授权报表</x:v>
      </x:c>
      <x:c r="H334" s="9" t="str">
        <x:v>报表入口权限</x:v>
      </x:c>
      <x:c r="I334" s="9" t="str">
        <x:v>1. 执行角色为仅用户活跃报表权限的管理员
2. 当前角色只有用户活跃报表权限</x:v>
      </x:c>
      <x:c r="J334" s="9" t="str">
        <x:v>1. 进入报表中心页</x:v>
      </x:c>
      <x:c r="K334" s="9" t="str">
        <x:v>仅显示用户活跃报表入口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来源（当前证据）：liveshow-proto/MainBasis/统一需求文档.md；位置：REQ-ef281107b3ea；行4715
2. 规则：BR-0982b80bba306dbe
3. 未动态验证</x:v>
      </x:c>
    </x:row>
    <x:row r="335" ht="130" customHeight="1">
      <x:c r="A335" s="10" t="n">
        <x:v>334</x:v>
      </x:c>
      <x:c r="B335" s="10" t="str">
        <x:v>ADMIN-10-0002</x:v>
      </x:c>
      <x:c r="C335" s="10" t="str">
        <x:v>数据分析</x:v>
      </x:c>
      <x:c r="D335" s="10" t="str">
        <x:v>数据概览（平台管理员视角）</x:v>
      </x:c>
      <x:c r="E335" s="10" t="str">
        <x:v>逻辑校验</x:v>
      </x:c>
      <x:c r="F335" s="10" t="str">
        <x:v>P1</x:v>
      </x:c>
      <x:c r="G335" s="9" t="str">
        <x:v>验证数据概览日活汇总不跨日去重</x:v>
      </x:c>
      <x:c r="H335" s="9" t="str">
        <x:v>概览活跃人次口径</x:v>
      </x:c>
      <x:c r="I335" s="9" t="str">
        <x:v>1. 执行角色为平台管理员
2. 账号具有当前模块访问及本次操作权限
3. 业务数据已准备且本页已打开；表单和筛选保持下列指定状态
4. 甲连续两天各打开App一次，范围包含两日且无其他用户</x:v>
      </x:c>
      <x:c r="J335" s="9" t="str">
        <x:v>1. 查看数据概览页
2. 选择日期范围为这两天
3. 点击查询</x:v>
      </x:c>
      <x:c r="K335" s="9" t="str">
        <x:v>活跃用户汇总显示2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来源（当前证据）：liveshow-proto/MainBasis/统一需求文档.md；位置：REQ-eebfb8045590；行4726
2. 规则：BR-5e962c3f8007113b
3. 未动态验证</x:v>
      </x:c>
    </x:row>
    <x:row r="336" ht="85" customHeight="1">
      <x:c r="A336" s="10" t="n">
        <x:v>335</x:v>
      </x:c>
      <x:c r="B336" s="10" t="str">
        <x:v>ADMIN-10-0003</x:v>
      </x:c>
      <x:c r="C336" s="10" t="str">
        <x:v>数据分析</x:v>
      </x:c>
      <x:c r="D336" s="10" t="str">
        <x:v>数据概览（平台管理员视角）</x:v>
      </x:c>
      <x:c r="E336" s="10" t="str">
        <x:v>逻辑校验</x:v>
      </x:c>
      <x:c r="F336" s="10" t="str">
        <x:v>P1</x:v>
      </x:c>
      <x:c r="G336" s="9" t="str">
        <x:v>验证数据概览结束早于开始不能查询</x:v>
      </x:c>
      <x:c r="H336" s="9" t="str">
        <x:v>概览日期范围校验</x:v>
      </x:c>
      <x:c r="I336" s="9" t="str">
        <x:v>1. 执行角色为平台管理员
2. 账号具有当前模块访问及本次操作权限</x:v>
      </x:c>
      <x:c r="J336" s="9" t="str">
        <x:v>1. 进入数据概览页
2. 填写开始日期为9月16日
3. 填写结束日期为9月15日
4. 点击查询</x:v>
      </x:c>
      <x:c r="K336" s="9" t="str">
        <x:v>不能查询结束早于开始的范围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来源（当前证据）：liveshow-proto/MainBasis/统一需求文档.md；位置：REQ-ce7a33c0a005；行4738
2. 规则：BR-7608c5d5f14030f1
3. 未动态验证</x:v>
      </x:c>
    </x:row>
    <x:row r="337" ht="115" customHeight="1">
      <x:c r="A337" s="10" t="n">
        <x:v>336</x:v>
      </x:c>
      <x:c r="B337" s="10" t="str">
        <x:v>ADMIN-10-0004</x:v>
      </x:c>
      <x:c r="C337" s="10" t="str">
        <x:v>数据分析</x:v>
      </x:c>
      <x:c r="D337" s="10" t="str">
        <x:v>数据概览（平台管理员视角）</x:v>
      </x:c>
      <x:c r="E337" s="10" t="str">
        <x:v>功能需求</x:v>
      </x:c>
      <x:c r="F337" s="10" t="str">
        <x:v>P2</x:v>
      </x:c>
      <x:c r="G337" s="9" t="str">
        <x:v>验证数据概览允许同日起止日期</x:v>
      </x:c>
      <x:c r="H337" s="9" t="str">
        <x:v>概览单日筛选</x:v>
      </x:c>
      <x:c r="I337" s="9" t="str">
        <x:v>1. 执行角色为平台管理员
2. 账号具有当前模块访问及本次操作权限
3. 业务数据已准备且本页已打开；表单和筛选保持下列指定状态
4. 9月15日有统计数据</x:v>
      </x:c>
      <x:c r="J337" s="9" t="str">
        <x:v>1. 查看数据概览页
2. 填写开始日期为9月15日
3. 填写结束日期为9月15日
4. 点击查询</x:v>
      </x:c>
      <x:c r="K337" s="9" t="str">
        <x:v>仅展示9月15日数据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来源（当前证据）：liveshow-proto/MainBasis/统一需求文档.md；位置：REQ-717e7a224587；行4736
2. 规则：BR-0ce8183f059ad1a9
3. 未动态验证</x:v>
      </x:c>
    </x:row>
    <x:row r="338" ht="130" customHeight="1">
      <x:c r="A338" s="10" t="n">
        <x:v>337</x:v>
      </x:c>
      <x:c r="B338" s="10" t="str">
        <x:v>ADMIN-10-0005</x:v>
      </x:c>
      <x:c r="C338" s="10" t="str">
        <x:v>数据分析</x:v>
      </x:c>
      <x:c r="D338" s="10" t="str">
        <x:v>每日统计（平台管理员视角）</x:v>
      </x:c>
      <x:c r="E338" s="10" t="str">
        <x:v>逻辑校验</x:v>
      </x:c>
      <x:c r="F338" s="10" t="str">
        <x:v>P1</x:v>
      </x:c>
      <x:c r="G338" s="9" t="str">
        <x:v>验证每日开播时长偶数中位数</x:v>
      </x:c>
      <x:c r="H338" s="9" t="str">
        <x:v>每日直播时长中位数</x:v>
      </x:c>
      <x:c r="I338" s="9" t="str">
        <x:v>1. 执行角色为平台管理员
2. 账号具有当前模块访问及本次操作权限
3. 业务数据已准备且本页已打开；表单和筛选保持下列指定状态
4. 该日有效场次时长10、20、40、100分钟</x:v>
      </x:c>
      <x:c r="J338" s="9" t="str">
        <x:v>1. 查看每日统计页</x:v>
      </x:c>
      <x:c r="K338" s="9" t="str">
        <x:v>开播时长中位数为30分钟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来源（当前证据）：liveshow-proto/MainBasis/统一需求文档.md；位置：REQ-660cb8845507；行4757
2. 规则：BR-f0926d36cd73287b
3. 未动态验证</x:v>
      </x:c>
    </x:row>
    <x:row r="339" ht="115" customHeight="1">
      <x:c r="A339" s="10" t="n">
        <x:v>338</x:v>
      </x:c>
      <x:c r="B339" s="10" t="str">
        <x:v>ADMIN-10-0006</x:v>
      </x:c>
      <x:c r="C339" s="10" t="str">
        <x:v>数据分析</x:v>
      </x:c>
      <x:c r="D339" s="10" t="str">
        <x:v>每日统计（平台管理员视角）</x:v>
      </x:c>
      <x:c r="E339" s="10" t="str">
        <x:v>逻辑校验</x:v>
      </x:c>
      <x:c r="F339" s="10" t="str">
        <x:v>P1</x:v>
      </x:c>
      <x:c r="G339" s="9" t="str">
        <x:v>验证无有效场次中位时长为零</x:v>
      </x:c>
      <x:c r="H339" s="9" t="str">
        <x:v>每日空数据时长</x:v>
      </x:c>
      <x:c r="I339" s="9" t="str">
        <x:v>1. 执行角色为平台管理员
2. 账号具有当前模块访问及本次操作权限
3. 业务数据已准备且本页已打开；表单和筛选保持下列指定状态
4. 目标日无有效直播场次</x:v>
      </x:c>
      <x:c r="J339" s="9" t="str">
        <x:v>1. 查看每日统计页</x:v>
      </x:c>
      <x:c r="K339" s="9" t="str">
        <x:v>开播时长中位数为0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来源（当前证据）：liveshow-proto/MainBasis/统一需求文档.md；位置：REQ-660cb8845507；行4757
2. 规则：BR-7c1525c134ad7749
3. 未动态验证</x:v>
      </x:c>
    </x:row>
    <x:row r="340" ht="130" customHeight="1">
      <x:c r="A340" s="10" t="n">
        <x:v>339</x:v>
      </x:c>
      <x:c r="B340" s="10" t="str">
        <x:v>ADMIN-10-0007</x:v>
      </x:c>
      <x:c r="C340" s="10" t="str">
        <x:v>数据分析</x:v>
      </x:c>
      <x:c r="D340" s="10" t="str">
        <x:v>每日统计（平台管理员视角）</x:v>
      </x:c>
      <x:c r="E340" s="10" t="str">
        <x:v>逻辑校验</x:v>
      </x:c>
      <x:c r="F340" s="10" t="str">
        <x:v>P1</x:v>
      </x:c>
      <x:c r="G340" s="9" t="str">
        <x:v>验证退款统计按完成日而非申请日</x:v>
      </x:c>
      <x:c r="H340" s="9" t="str">
        <x:v>每日退款日期口径</x:v>
      </x:c>
      <x:c r="I340" s="9" t="str">
        <x:v>1. 执行角色为平台管理员
2. 账号具有当前模块访问及本次操作权限
3. 业务数据已准备且本页已打开；表单和筛选保持下列指定状态
4. 9月14日申请退款，9月15日完成10USD退款</x:v>
      </x:c>
      <x:c r="J340" s="9" t="str">
        <x:v>1. 查看每日统计页
2. 选择日期为9月15日
3. 点击查询</x:v>
      </x:c>
      <x:c r="K340" s="9" t="str">
        <x:v>退款金额显示10USD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来源（当前证据）：liveshow-proto/MainBasis/统一需求文档.md；位置：REQ-ca89b8980b14；行4761
2. 规则：BR-3231b59fd347d5b3
3. 未动态验证</x:v>
      </x:c>
    </x:row>
    <x:row r="341" ht="115" customHeight="1">
      <x:c r="A341" s="10" t="n">
        <x:v>340</x:v>
      </x:c>
      <x:c r="B341" s="10" t="str">
        <x:v>ADMIN-10-0008</x:v>
      </x:c>
      <x:c r="C341" s="10" t="str">
        <x:v>数据分析</x:v>
      </x:c>
      <x:c r="D341" s="10" t="str">
        <x:v>用户活跃汇总（每日）（平台管理员视角）</x:v>
      </x:c>
      <x:c r="E341" s="10" t="str">
        <x:v>逻辑校验</x:v>
      </x:c>
      <x:c r="F341" s="10" t="str">
        <x:v>P1</x:v>
      </x:c>
      <x:c r="G341" s="9" t="str">
        <x:v>验证用户活跃报表按成功登录去重</x:v>
      </x:c>
      <x:c r="H341" s="9" t="str">
        <x:v>每日登录人数</x:v>
      </x:c>
      <x:c r="I341" s="9" t="str">
        <x:v>1. 执行角色为平台管理员
2. 账号具有当前模块访问及本次操作权限
3. 业务数据已准备且本页已打开；表单和筛选保持下列指定状态
4. 甲成功登录3次，乙失败2次</x:v>
      </x:c>
      <x:c r="J341" s="9" t="str">
        <x:v>1. 查看用户活跃汇总（每日）页</x:v>
      </x:c>
      <x:c r="K341" s="9" t="str">
        <x:v>登录用户显示1人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来源（当前证据）：liveshow-proto/MainBasis/统一需求文档.md；位置：REQ-16d911ea34df；行4770
2. 规则：BR-0f63fa192f464c51
3. 未动态验证</x:v>
      </x:c>
    </x:row>
    <x:row r="342" ht="130" customHeight="1">
      <x:c r="A342" s="10" t="n">
        <x:v>341</x:v>
      </x:c>
      <x:c r="B342" s="10" t="str">
        <x:v>ADMIN-10-0009</x:v>
      </x:c>
      <x:c r="C342" s="10" t="str">
        <x:v>数据分析</x:v>
      </x:c>
      <x:c r="D342" s="10" t="str">
        <x:v>用户活跃汇总（每日）（平台管理员视角）</x:v>
      </x:c>
      <x:c r="E342" s="10" t="str">
        <x:v>逻辑校验</x:v>
      </x:c>
      <x:c r="F342" s="10" t="str">
        <x:v>P1</x:v>
      </x:c>
      <x:c r="G342" s="9" t="str">
        <x:v>验证用户活跃汇总按各日相加</x:v>
      </x:c>
      <x:c r="H342" s="9" t="str">
        <x:v>活跃汇总人次</x:v>
      </x:c>
      <x:c r="I342" s="9" t="str">
        <x:v>1. 执行角色为平台管理员
2. 账号具有当前模块访问及本次操作权限
3. 业务数据已准备且本页已打开；表单和筛选保持下列指定状态
4. 甲连续两日成功登录，无其他用户</x:v>
      </x:c>
      <x:c r="J342" s="9" t="str">
        <x:v>1. 查看用户活跃汇总（每日）页
2. 选择日期范围为该两日
3. 点击查询</x:v>
      </x:c>
      <x:c r="K342" s="9" t="str">
        <x:v>登录用户汇总显示2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来源（当前证据）：liveshow-proto/MainBasis/统一需求文档.md；位置：REQ-1e9c5f2cafee；行4778
2. 规则：BR-19621fe330da18e4
3. 未动态验证</x:v>
      </x:c>
    </x:row>
    <x:row r="343" ht="130" customHeight="1">
      <x:c r="A343" s="10" t="n">
        <x:v>342</x:v>
      </x:c>
      <x:c r="B343" s="10" t="str">
        <x:v>ADMIN-10-0010</x:v>
      </x:c>
      <x:c r="C343" s="10" t="str">
        <x:v>数据分析</x:v>
      </x:c>
      <x:c r="D343" s="10" t="str">
        <x:v>用户活跃汇总（每日）（平台管理员视角）</x:v>
      </x:c>
      <x:c r="E343" s="10" t="str">
        <x:v>逻辑校验</x:v>
      </x:c>
      <x:c r="F343" s="10" t="str">
        <x:v>P1</x:v>
      </x:c>
      <x:c r="G343" s="9" t="str">
        <x:v>验证登录用户分层勾稽一致</x:v>
      </x:c>
      <x:c r="H343" s="9" t="str">
        <x:v>新老登录用户勾稽</x:v>
      </x:c>
      <x:c r="I343" s="9" t="str">
        <x:v>1. 执行角色为平台管理员
2. 账号具有当前模块访问及本次操作权限
3. 业务数据已准备且本页已打开；表单和筛选保持下列指定状态
4. 当日登录新用户2人、老用户3人</x:v>
      </x:c>
      <x:c r="J343" s="9" t="str">
        <x:v>1. 查看用户活跃汇总（每日）页</x:v>
      </x:c>
      <x:c r="K343" s="9" t="str">
        <x:v>登录用户 = 5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来源（当前证据）：liveshow-proto/MainBasis/统一需求文档.md；位置：REQ-6a3907870e92；行4774
2. 规则：BR-654d8aaa6f530010
3. 未动态验证</x:v>
      </x:c>
    </x:row>
    <x:row r="344" ht="130" customHeight="1">
      <x:c r="A344" s="10" t="n">
        <x:v>343</x:v>
      </x:c>
      <x:c r="B344" s="10" t="str">
        <x:v>ADMIN-10-0011</x:v>
      </x:c>
      <x:c r="C344" s="10" t="str">
        <x:v>数据分析</x:v>
      </x:c>
      <x:c r="D344" s="10" t="str">
        <x:v>主播活跃汇总（每日）（平台管理员视角）</x:v>
      </x:c>
      <x:c r="E344" s="10" t="str">
        <x:v>逻辑校验</x:v>
      </x:c>
      <x:c r="F344" s="10" t="str">
        <x:v>P1</x:v>
      </x:c>
      <x:c r="G344" s="9" t="str">
        <x:v>验证新增主播按平台认证日统计</x:v>
      </x:c>
      <x:c r="H344" s="9" t="str">
        <x:v>新增主播认证时间</x:v>
      </x:c>
      <x:c r="I344" s="9" t="str">
        <x:v>1. 执行角色为平台管理员
2. 账号具有当前模块访问及本次操作权限
3. 业务数据已准备且本页已打开；表单和筛选保持下列指定状态
4. 甲今日公会通过但平台待审，乙昨日公会通过今日平台通过</x:v>
      </x:c>
      <x:c r="J344" s="9" t="str">
        <x:v>1. 查看主播活跃汇总（每日）页</x:v>
      </x:c>
      <x:c r="K344" s="9" t="str">
        <x:v>新增主播显示1人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来源（当前证据）：liveshow-proto/MainBasis/统一需求文档.md；位置：REQ-627fabc2f986；行4787
2. 规则：BR-9c291036aa18efdd
3. 未动态验证</x:v>
      </x:c>
    </x:row>
    <x:row r="345" ht="130" customHeight="1">
      <x:c r="A345" s="10" t="n">
        <x:v>344</x:v>
      </x:c>
      <x:c r="B345" s="10" t="str">
        <x:v>ADMIN-10-0012</x:v>
      </x:c>
      <x:c r="C345" s="10" t="str">
        <x:v>数据分析</x:v>
      </x:c>
      <x:c r="D345" s="10" t="str">
        <x:v>主播活跃汇总（每日）（平台管理员视角）</x:v>
      </x:c>
      <x:c r="E345" s="10" t="str">
        <x:v>逻辑校验</x:v>
      </x:c>
      <x:c r="F345" s="10" t="str">
        <x:v>P1</x:v>
      </x:c>
      <x:c r="G345" s="9" t="str">
        <x:v>验证同场多次连麦只算一个连麦场次</x:v>
      </x:c>
      <x:c r="H345" s="9" t="str">
        <x:v>连麦场次去重</x:v>
      </x:c>
      <x:c r="I345" s="9" t="str">
        <x:v>1. 执行角色为平台管理员
2. 账号具有当前模块访问及本次操作权限
3. 业务数据已准备且本页已打开；表单和筛选保持下列指定状态
4. 场次A有效连麦2次，B有效1次，C仅发送未接受邀请</x:v>
      </x:c>
      <x:c r="J345" s="9" t="str">
        <x:v>1. 查看主播活跃汇总（每日）页</x:v>
      </x:c>
      <x:c r="K345" s="9" t="str">
        <x:v>连麦场次显示2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来源（当前证据）：liveshow-proto/MainBasis/统一需求文档.md；位置：REQ-495e3562aed6；行4797
2. 规则：BR-0f85c4fd8a23de2e
3. 未动态验证</x:v>
      </x:c>
    </x:row>
    <x:row r="346" ht="115" customHeight="1">
      <x:c r="A346" s="10" t="n">
        <x:v>345</x:v>
      </x:c>
      <x:c r="B346" s="10" t="str">
        <x:v>ADMIN-10-0013</x:v>
      </x:c>
      <x:c r="C346" s="10" t="str">
        <x:v>数据分析</x:v>
      </x:c>
      <x:c r="D346" s="10" t="str">
        <x:v>主播活跃汇总（每日）（平台管理员视角）</x:v>
      </x:c>
      <x:c r="E346" s="10" t="str">
        <x:v>逻辑校验</x:v>
      </x:c>
      <x:c r="F346" s="10" t="str">
        <x:v>P1</x:v>
      </x:c>
      <x:c r="G346" s="9" t="str">
        <x:v>验证无有效主播时开播率为零</x:v>
      </x:c>
      <x:c r="H346" s="9" t="str">
        <x:v>主播开播率零分母</x:v>
      </x:c>
      <x:c r="I346" s="9" t="str">
        <x:v>1. 执行角色为平台管理员
2. 账号具有当前模块访问及本次操作权限
3. 业务数据已准备且本页已打开；表单和筛选保持下列指定状态
4. 目标日有效主播总数0</x:v>
      </x:c>
      <x:c r="J346" s="9" t="str">
        <x:v>1. 查看主播活跃汇总（每日）页</x:v>
      </x:c>
      <x:c r="K346" s="9" t="str">
        <x:v>开播率显示0%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来源（当前证据）：liveshow-proto/MainBasis/统一需求文档.md；位置：REQ-87c0bac6f1ac；行4791
2. 规则：BR-997dd98fafe01e5b
3. 未动态验证</x:v>
      </x:c>
    </x:row>
    <x:row r="347" ht="130" customHeight="1">
      <x:c r="A347" s="10" t="n">
        <x:v>346</x:v>
      </x:c>
      <x:c r="B347" s="10" t="str">
        <x:v>ADMIN-10-0014</x:v>
      </x:c>
      <x:c r="C347" s="10" t="str">
        <x:v>数据分析</x:v>
      </x:c>
      <x:c r="D347" s="10" t="str">
        <x:v>主播活跃汇总（每日）（平台管理员视角）</x:v>
      </x:c>
      <x:c r="E347" s="10" t="str">
        <x:v>逻辑校验</x:v>
      </x:c>
      <x:c r="F347" s="10" t="str">
        <x:v>P1</x:v>
      </x:c>
      <x:c r="G347" s="9" t="str">
        <x:v>验证开播率按有效主播总数计算</x:v>
      </x:c>
      <x:c r="H347" s="9" t="str">
        <x:v>主播开播率公式</x:v>
      </x:c>
      <x:c r="I347" s="9" t="str">
        <x:v>1. 执行角色为平台管理员
2. 账号具有当前模块访问及本次操作权限
3. 业务数据已准备且本页已打开；表单和筛选保持下列指定状态
4. 有效主播10人，成功开播2人</x:v>
      </x:c>
      <x:c r="J347" s="9" t="str">
        <x:v>1. 查看主播活跃汇总（每日）页</x:v>
      </x:c>
      <x:c r="K347" s="9" t="str">
        <x:v>开播率显示20%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来源（当前证据）：liveshow-proto/MainBasis/统一需求文档.md；位置：REQ-87c0bac6f1ac；行4791
2. 规则：BR-18055bbb7ee03daa
3. 未动态验证</x:v>
      </x:c>
    </x:row>
    <x:row r="348" ht="130" customHeight="1">
      <x:c r="A348" s="10" t="n">
        <x:v>347</x:v>
      </x:c>
      <x:c r="B348" s="10" t="str">
        <x:v>ADMIN-10-0015</x:v>
      </x:c>
      <x:c r="C348" s="10" t="str">
        <x:v>数据分析</x:v>
      </x:c>
      <x:c r="D348" s="10" t="str">
        <x:v>直播间互动汇总（每日）（平台管理员视角）</x:v>
      </x:c>
      <x:c r="E348" s="10" t="str">
        <x:v>逻辑校验</x:v>
      </x:c>
      <x:c r="F348" s="10" t="str">
        <x:v>P1</x:v>
      </x:c>
      <x:c r="G348" s="9" t="str">
        <x:v>验证直播互动观众排除运营账号</x:v>
      </x:c>
      <x:c r="H348" s="9" t="str">
        <x:v>报表真实观众口径</x:v>
      </x:c>
      <x:c r="I348" s="9" t="str">
        <x:v>1. 执行角色为平台管理员
2. 账号具有当前模块访问及本次操作权限
3. 业务数据已准备且本页已打开；表单和筛选保持下列指定状态
4. 真实用户甲重复进入2次，运营账号乙进入1次</x:v>
      </x:c>
      <x:c r="J348" s="9" t="str">
        <x:v>1. 查看直播间互动汇总（每日）页</x:v>
      </x:c>
      <x:c r="K348" s="9" t="str">
        <x:v>观众人数显示1人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来源（当前证据）：liveshow-proto/MainBasis/统一需求文档.md；位置：REQ-5fc63d92c3a8；行4808
2. 规则：BR-4a9f2bd5e8333678
3. 未动态验证</x:v>
      </x:c>
    </x:row>
    <x:row r="349" ht="115" customHeight="1">
      <x:c r="A349" s="10" t="n">
        <x:v>348</x:v>
      </x:c>
      <x:c r="B349" s="10" t="str">
        <x:v>ADMIN-10-0016</x:v>
      </x:c>
      <x:c r="C349" s="10" t="str">
        <x:v>数据分析</x:v>
      </x:c>
      <x:c r="D349" s="10" t="str">
        <x:v>直播间互动汇总（每日）（平台管理员视角）</x:v>
      </x:c>
      <x:c r="E349" s="10" t="str">
        <x:v>逻辑校验</x:v>
      </x:c>
      <x:c r="F349" s="10" t="str">
        <x:v>P1</x:v>
      </x:c>
      <x:c r="G349" s="9" t="str">
        <x:v>验证观看时长89秒四舍五入</x:v>
      </x:c>
      <x:c r="H349" s="9" t="str">
        <x:v>报表观看分钟取整</x:v>
      </x:c>
      <x:c r="I349" s="9" t="str">
        <x:v>1. 执行角色为平台管理员
2. 账号具有当前模块访问及本次操作权限
3. 业务数据已准备且本页已打开；表单和筛选保持下列指定状态
4. 总有效观看89秒</x:v>
      </x:c>
      <x:c r="J349" s="9" t="str">
        <x:v>1. 查看直播间互动汇总（每日）页</x:v>
      </x:c>
      <x:c r="K349" s="9" t="str">
        <x:v>观看时长显示1分钟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来源（当前证据）：liveshow-proto/MainBasis/统一需求文档.md；位置：REQ-d794e7a7e588；行4810
2. 规则：BR-b4a2a0aaf28d091d
3. 未动态验证</x:v>
      </x:c>
    </x:row>
    <x:row r="350" ht="115" customHeight="1">
      <x:c r="A350" s="10" t="n">
        <x:v>349</x:v>
      </x:c>
      <x:c r="B350" s="10" t="str">
        <x:v>ADMIN-10-0017</x:v>
      </x:c>
      <x:c r="C350" s="10" t="str">
        <x:v>数据分析</x:v>
      </x:c>
      <x:c r="D350" s="10" t="str">
        <x:v>直播间互动汇总（每日）（平台管理员视角）</x:v>
      </x:c>
      <x:c r="E350" s="10" t="str">
        <x:v>逻辑校验</x:v>
      </x:c>
      <x:c r="F350" s="10" t="str">
        <x:v>P1</x:v>
      </x:c>
      <x:c r="G350" s="9" t="str">
        <x:v>验证观看时长90秒四舍五入</x:v>
      </x:c>
      <x:c r="H350" s="9" t="str">
        <x:v>报表观看分钟取整</x:v>
      </x:c>
      <x:c r="I350" s="9" t="str">
        <x:v>1. 执行角色为平台管理员
2. 账号具有当前模块访问及本次操作权限
3. 业务数据已准备且本页已打开；表单和筛选保持下列指定状态
4. 总有效观看90秒</x:v>
      </x:c>
      <x:c r="J350" s="9" t="str">
        <x:v>1. 查看直播间互动汇总（每日）页</x:v>
      </x:c>
      <x:c r="K350" s="9" t="str">
        <x:v>观看时长显示2分钟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来源（当前证据）：liveshow-proto/MainBasis/统一需求文档.md；位置：REQ-d794e7a7e588；行4810
2. 规则：BR-899610631c9ecccb
3. 未动态验证</x:v>
      </x:c>
    </x:row>
    <x:row r="351" ht="115" customHeight="1">
      <x:c r="A351" s="10" t="n">
        <x:v>350</x:v>
      </x:c>
      <x:c r="B351" s="10" t="str">
        <x:v>ADMIN-10-0018</x:v>
      </x:c>
      <x:c r="C351" s="10" t="str">
        <x:v>数据分析</x:v>
      </x:c>
      <x:c r="D351" s="10" t="str">
        <x:v>直播间互动汇总（每日）（平台管理员视角）</x:v>
      </x:c>
      <x:c r="E351" s="10" t="str">
        <x:v>逻辑校验</x:v>
      </x:c>
      <x:c r="F351" s="10" t="str">
        <x:v>P1</x:v>
      </x:c>
      <x:c r="G351" s="9" t="str">
        <x:v>验证人均观看时长按去重观众计算</x:v>
      </x:c>
      <x:c r="H351" s="9" t="str">
        <x:v>报表人均观看时长</x:v>
      </x:c>
      <x:c r="I351" s="9" t="str">
        <x:v>1. 执行角色为平台管理员
2. 账号具有当前模块访问及本次操作权限
3. 业务数据已准备且本页已打开；表单和筛选保持下列指定状态
4. 总有效观看300秒，观众2人</x:v>
      </x:c>
      <x:c r="J351" s="9" t="str">
        <x:v>1. 查看直播间互动汇总（每日）页</x:v>
      </x:c>
      <x:c r="K351" s="9" t="str">
        <x:v>人均观看时长显示3分钟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来源（当前证据）：liveshow-proto/MainBasis/统一需求文档.md；位置：REQ-db18ab8f6636；行4812
2. 规则：BR-9b3158b0bb8623bc
3. 未动态验证</x:v>
      </x:c>
    </x:row>
    <x:row r="352" ht="115" customHeight="1">
      <x:c r="A352" s="10" t="n">
        <x:v>351</x:v>
      </x:c>
      <x:c r="B352" s="10" t="str">
        <x:v>ADMIN-10-0019</x:v>
      </x:c>
      <x:c r="C352" s="10" t="str">
        <x:v>数据分析</x:v>
      </x:c>
      <x:c r="D352" s="10" t="str">
        <x:v>直播间互动汇总（每日）（平台管理员视角）</x:v>
      </x:c>
      <x:c r="E352" s="10" t="str">
        <x:v>逻辑校验</x:v>
      </x:c>
      <x:c r="F352" s="10" t="str">
        <x:v>P1</x:v>
      </x:c>
      <x:c r="G352" s="9" t="str">
        <x:v>验证直播访问率保留一位小数</x:v>
      </x:c>
      <x:c r="H352" s="9" t="str">
        <x:v>报表直播访问率</x:v>
      </x:c>
      <x:c r="I352" s="9" t="str">
        <x:v>1. 执行角色为平台管理员
2. 账号具有当前模块访问及本次操作权限
3. 业务数据已准备且本页已打开；表单和筛选保持下列指定状态
4. 观众人数1，访问次数3</x:v>
      </x:c>
      <x:c r="J352" s="9" t="str">
        <x:v>1. 查看直播间互动汇总（每日）页</x:v>
      </x:c>
      <x:c r="K352" s="9" t="str">
        <x:v>直播间访问率显示33.3%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来源（当前证据）：liveshow-proto/MainBasis/统一需求文档.md；位置：REQ-968f8a039076；行4814
2. 规则：BR-855a994586723b79
3. 未动态验证</x:v>
      </x:c>
    </x:row>
    <x:row r="353" ht="115" customHeight="1">
      <x:c r="A353" s="10" t="n">
        <x:v>352</x:v>
      </x:c>
      <x:c r="B353" s="10" t="str">
        <x:v>ADMIN-10-0020</x:v>
      </x:c>
      <x:c r="C353" s="10" t="str">
        <x:v>数据分析</x:v>
      </x:c>
      <x:c r="D353" s="10" t="str">
        <x:v>直播间互动汇总（每日）（平台管理员视角）</x:v>
      </x:c>
      <x:c r="E353" s="10" t="str">
        <x:v>逻辑校验</x:v>
      </x:c>
      <x:c r="F353" s="10" t="str">
        <x:v>P1</x:v>
      </x:c>
      <x:c r="G353" s="9" t="str">
        <x:v>验证人均观看时长无分母记零</x:v>
      </x:c>
      <x:c r="H353" s="9" t="str">
        <x:v>人均观看时长零分母</x:v>
      </x:c>
      <x:c r="I353" s="9" t="str">
        <x:v>1. 执行角色为平台管理员
2. 账号具有当前模块访问及本次操作权限
3. 业务数据已准备且本页已打开；表单和筛选保持下列指定状态
4. 当日无观看用户和访问</x:v>
      </x:c>
      <x:c r="J353" s="9" t="str">
        <x:v>1. 查看直播间互动汇总（每日）页</x:v>
      </x:c>
      <x:c r="K353" s="9" t="str">
        <x:v>人均观看时长显示0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来源（当前证据）：liveshow-proto/MainBasis/统一需求文档.md；位置：REQ-db18ab8f6636；行4812
2. 规则：BR-74d296281e738d7e
3. 未动态验证</x:v>
      </x:c>
    </x:row>
    <x:row r="354" ht="115" customHeight="1">
      <x:c r="A354" s="10" t="n">
        <x:v>353</x:v>
      </x:c>
      <x:c r="B354" s="10" t="str">
        <x:v>ADMIN-10-0021</x:v>
      </x:c>
      <x:c r="C354" s="10" t="str">
        <x:v>数据分析</x:v>
      </x:c>
      <x:c r="D354" s="10" t="str">
        <x:v>直播间互动汇总（每日）（平台管理员视角）</x:v>
      </x:c>
      <x:c r="E354" s="10" t="str">
        <x:v>逻辑校验</x:v>
      </x:c>
      <x:c r="F354" s="10" t="str">
        <x:v>P1</x:v>
      </x:c>
      <x:c r="G354" s="9" t="str">
        <x:v>验证直播间访问率无分母记零</x:v>
      </x:c>
      <x:c r="H354" s="9" t="str">
        <x:v>直播间访问率零分母</x:v>
      </x:c>
      <x:c r="I354" s="9" t="str">
        <x:v>1. 执行角色为平台管理员
2. 账号具有当前模块访问及本次操作权限
3. 业务数据已准备且本页已打开；表单和筛选保持下列指定状态
4. 当日无观看用户和访问</x:v>
      </x:c>
      <x:c r="J354" s="9" t="str">
        <x:v>1. 查看直播间互动汇总（每日）页</x:v>
      </x:c>
      <x:c r="K354" s="9" t="str">
        <x:v>直播间访问率显示0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来源（当前证据）：liveshow-proto/MainBasis/统一需求文档.md；位置：REQ-968f8a039076；行4814
2. 规则：BR-f977717fc5462b92
3. 未动态验证</x:v>
      </x:c>
    </x:row>
    <x:row r="355" ht="130" customHeight="1">
      <x:c r="A355" s="10" t="n">
        <x:v>354</x:v>
      </x:c>
      <x:c r="B355" s="10" t="str">
        <x:v>ADMIN-10-0022</x:v>
      </x:c>
      <x:c r="C355" s="10" t="str">
        <x:v>数据分析</x:v>
      </x:c>
      <x:c r="D355" s="10" t="str">
        <x:v>直播记录明细报表（平台管理员视角）</x:v>
      </x:c>
      <x:c r="E355" s="10" t="str">
        <x:v>逻辑校验</x:v>
      </x:c>
      <x:c r="F355" s="10" t="str">
        <x:v>P1</x:v>
      </x:c>
      <x:c r="G355" s="9" t="str">
        <x:v>验证单场不足3小时但当日合计达标</x:v>
      </x:c>
      <x:c r="H355" s="9" t="str">
        <x:v>直播明细有效天日累计</x:v>
      </x:c>
      <x:c r="I355" s="9" t="str">
        <x:v>1. 执行角色为平台管理员
2. 账号具有当前模块访问及本次操作权限
3. 业务数据已准备且本页已打开；表单和筛选保持下列指定状态
4. 同主播同日完成2场各100分钟</x:v>
      </x:c>
      <x:c r="J355" s="9" t="str">
        <x:v>1. 查看直播记录明细报表页</x:v>
      </x:c>
      <x:c r="K355" s="9" t="str">
        <x:v>两场记录是否达标均为达标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来源（当前证据）：liveshow-proto/MainBasis/统一需求文档.md；位置：REQ-055a22b5709a；行4829
2. 规则：BR-338216c6efb39af4
3. 未动态验证</x:v>
      </x:c>
    </x:row>
    <x:row r="356" ht="130" customHeight="1">
      <x:c r="A356" s="10" t="n">
        <x:v>355</x:v>
      </x:c>
      <x:c r="B356" s="10" t="str">
        <x:v>ADMIN-10-0023</x:v>
      </x:c>
      <x:c r="C356" s="10" t="str">
        <x:v>数据分析</x:v>
      </x:c>
      <x:c r="D356" s="10" t="str">
        <x:v>充值消费汇总（每日）（平台管理员视角）</x:v>
      </x:c>
      <x:c r="E356" s="10" t="str">
        <x:v>逻辑校验</x:v>
      </x:c>
      <x:c r="F356" s="10" t="str">
        <x:v>P1</x:v>
      </x:c>
      <x:c r="G356" s="9" t="str">
        <x:v>验证金币净增量各来源核算</x:v>
      </x:c>
      <x:c r="H356" s="9" t="str">
        <x:v>每日金币净增量</x:v>
      </x:c>
      <x:c r="I356" s="9" t="str">
        <x:v>1. 执行角色为平台管理员
2. 账号具有当前模块访问及本次操作权限
3. 业务数据已准备且本页已打开；表单和筛选保持下列指定状态
4. 基础1000、套餐赠送100、系统赠送20、净消费200金币</x:v>
      </x:c>
      <x:c r="J356" s="9" t="str">
        <x:v>1. 查看充值消费汇总（每日）页</x:v>
      </x:c>
      <x:c r="K356" s="9" t="str">
        <x:v>金币净增量 = 920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来源（当前证据）：liveshow-proto/MainBasis/统一需求文档.md；位置：REQ-2709ff914449；行4854
2. 规则：BR-d76b266ee4cf3315
3. 未动态验证</x:v>
      </x:c>
    </x:row>
    <x:row r="357" ht="130" customHeight="1">
      <x:c r="A357" s="10" t="n">
        <x:v>356</x:v>
      </x:c>
      <x:c r="B357" s="10" t="str">
        <x:v>ADMIN-10-0024</x:v>
      </x:c>
      <x:c r="C357" s="10" t="str">
        <x:v>数据分析</x:v>
      </x:c>
      <x:c r="D357" s="10" t="str">
        <x:v>充值消费汇总（每日）（平台管理员视角）</x:v>
      </x:c>
      <x:c r="E357" s="10" t="str">
        <x:v>逻辑校验</x:v>
      </x:c>
      <x:c r="F357" s="10" t="str">
        <x:v>P1</x:v>
      </x:c>
      <x:c r="G357" s="9" t="str">
        <x:v>验证退款扣回金币不当作消费</x:v>
      </x:c>
      <x:c r="H357" s="9" t="str">
        <x:v>每日退款与消费分离</x:v>
      </x:c>
      <x:c r="I357" s="9" t="str">
        <x:v>1. 执行角色为平台管理员
2. 账号具有当前模块访问及本次操作权限
3. 业务数据已准备且本页已打开；表单和筛选保持下列指定状态
4. 当日仅成功消费100金币、退款扣回1100金币</x:v>
      </x:c>
      <x:c r="J357" s="9" t="str">
        <x:v>1. 查看充值消费汇总（每日）页</x:v>
      </x:c>
      <x:c r="K357" s="9" t="str">
        <x:v>消费金币显示100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来源（当前证据）：liveshow-proto/MainBasis/统一需求文档.md；位置：REQ-b1a078225618；行4856
2. 规则：BR-e6b0cf5e6d8e3de4
3. 未动态验证</x:v>
      </x:c>
    </x:row>
    <x:row r="358" ht="130" customHeight="1">
      <x:c r="A358" s="10" t="n">
        <x:v>357</x:v>
      </x:c>
      <x:c r="B358" s="10" t="str">
        <x:v>ADMIN-10-0025</x:v>
      </x:c>
      <x:c r="C358" s="10" t="str">
        <x:v>数据分析</x:v>
      </x:c>
      <x:c r="D358" s="10" t="str">
        <x:v>充值消费汇总（每日）（平台管理员视角）</x:v>
      </x:c>
      <x:c r="E358" s="10" t="str">
        <x:v>逻辑校验</x:v>
      </x:c>
      <x:c r="F358" s="10" t="str">
        <x:v>P1</x:v>
      </x:c>
      <x:c r="G358" s="9" t="str">
        <x:v>验证充值客单价按人数而非订单数</x:v>
      </x:c>
      <x:c r="H358" s="9" t="str">
        <x:v>每日充值客单价</x:v>
      </x:c>
      <x:c r="I358" s="9" t="str">
        <x:v>1. 执行角色为平台管理员
2. 账号具有当前模块访问及本次操作权限
3. 业务数据已准备且本页已打开；表单和筛选保持下列指定状态
4. 用户甲2笔合计20USD，乙1笔10USD</x:v>
      </x:c>
      <x:c r="J358" s="9" t="str">
        <x:v>1. 查看充值消费汇总（每日）页</x:v>
      </x:c>
      <x:c r="K358" s="9" t="str">
        <x:v>客单价 = 15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来源（当前证据）：liveshow-proto/MainBasis/统一需求文档.md；位置：REQ-f5c37f96a7fc；行4846
2. 规则：BR-29eefaf854495239
3. 未动态验证</x:v>
      </x:c>
    </x:row>
    <x:row r="359" ht="115" customHeight="1">
      <x:c r="A359" s="10" t="n">
        <x:v>358</x:v>
      </x:c>
      <x:c r="B359" s="10" t="str">
        <x:v>ADMIN-10-0026</x:v>
      </x:c>
      <x:c r="C359" s="10" t="str">
        <x:v>数据分析</x:v>
      </x:c>
      <x:c r="D359" s="10" t="str">
        <x:v>数据概览（平台管理员视角）</x:v>
      </x:c>
      <x:c r="E359" s="10" t="str">
        <x:v>逻辑校验</x:v>
      </x:c>
      <x:c r="F359" s="10" t="str">
        <x:v>P1</x:v>
      </x:c>
      <x:c r="G359" s="9" t="str">
        <x:v>验证数据概览新用户 ARPU无充值记零</x:v>
      </x:c>
      <x:c r="H359" s="9" t="str">
        <x:v>新用户 ARPU零充值分支</x:v>
      </x:c>
      <x:c r="I359" s="9" t="str">
        <x:v>1. 执行角色为平台管理员
2. 账号具有当前模块访问及本次操作权限
3. 业务数据已准备且本页已打开；表单和筛选保持下列指定状态
4. 对应用户分层充值人数0</x:v>
      </x:c>
      <x:c r="J359" s="9" t="str">
        <x:v>1. 查看数据概览页</x:v>
      </x:c>
      <x:c r="K359" s="9" t="str">
        <x:v>新用户ARPU显示0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来源（当前证据）：liveshow-proto/MainBasis/统一需求文档.md；位置：REQ-dc0d51587da2；行4732
2. 规则：BR-dda503e137e2216c
3. 未动态验证</x:v>
      </x:c>
    </x:row>
    <x:row r="360" ht="115" customHeight="1">
      <x:c r="A360" s="10" t="n">
        <x:v>359</x:v>
      </x:c>
      <x:c r="B360" s="10" t="str">
        <x:v>ADMIN-10-0027</x:v>
      </x:c>
      <x:c r="C360" s="10" t="str">
        <x:v>数据分析</x:v>
      </x:c>
      <x:c r="D360" s="10" t="str">
        <x:v>每日统计（平台管理员视角）</x:v>
      </x:c>
      <x:c r="E360" s="10" t="str">
        <x:v>逻辑校验</x:v>
      </x:c>
      <x:c r="F360" s="10" t="str">
        <x:v>P1</x:v>
      </x:c>
      <x:c r="G360" s="9" t="str">
        <x:v>验证每日统计新用户 ARPU无充值记零</x:v>
      </x:c>
      <x:c r="H360" s="9" t="str">
        <x:v>新用户 ARPU零充值分支</x:v>
      </x:c>
      <x:c r="I360" s="9" t="str">
        <x:v>1. 执行角色为平台管理员
2. 账号具有当前模块访问及本次操作权限
3. 业务数据已准备且本页已打开；表单和筛选保持下列指定状态
4. 对应用户分层充值人数0</x:v>
      </x:c>
      <x:c r="J360" s="9" t="str">
        <x:v>1. 查看每日统计页</x:v>
      </x:c>
      <x:c r="K360" s="9" t="str">
        <x:v>新用户ARPU显示0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来源（当前证据）：liveshow-proto/MainBasis/统一需求文档.md；位置：REQ-75d5df9f763d；行4751
2. 规则：BR-b3260ec054bb047a
3. 未动态验证</x:v>
      </x:c>
    </x:row>
    <x:row r="361" ht="115" customHeight="1">
      <x:c r="A361" s="10" t="n">
        <x:v>360</x:v>
      </x:c>
      <x:c r="B361" s="10" t="str">
        <x:v>ADMIN-10-0028</x:v>
      </x:c>
      <x:c r="C361" s="10" t="str">
        <x:v>数据分析</x:v>
      </x:c>
      <x:c r="D361" s="10" t="str">
        <x:v>充值消费汇总（每日）（平台管理员视角）</x:v>
      </x:c>
      <x:c r="E361" s="10" t="str">
        <x:v>逻辑校验</x:v>
      </x:c>
      <x:c r="F361" s="10" t="str">
        <x:v>P1</x:v>
      </x:c>
      <x:c r="G361" s="9" t="str">
        <x:v>验证充值消费汇总（每日）客单价无充值记零</x:v>
      </x:c>
      <x:c r="H361" s="9" t="str">
        <x:v>客单价零充值分支</x:v>
      </x:c>
      <x:c r="I361" s="9" t="str">
        <x:v>1. 执行角色为平台管理员
2. 账号具有当前模块访问及本次操作权限
3. 业务数据已准备且本页已打开；表单和筛选保持下列指定状态
4. 对应用户分层充值人数0</x:v>
      </x:c>
      <x:c r="J361" s="9" t="str">
        <x:v>1. 查看充值消费汇总（每日）页</x:v>
      </x:c>
      <x:c r="K361" s="9" t="str">
        <x:v>客单价显示0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来源（当前证据）：liveshow-proto/MainBasis/统一需求文档.md；位置：REQ-f5c37f96a7fc；行4846
2. 规则：BR-110bc2f694a6b65b
3. 未动态验证</x:v>
      </x:c>
    </x:row>
    <x:row r="362" ht="115" customHeight="1">
      <x:c r="A362" s="10" t="n">
        <x:v>361</x:v>
      </x:c>
      <x:c r="B362" s="10" t="str">
        <x:v>ADMIN-10-0029</x:v>
      </x:c>
      <x:c r="C362" s="10" t="str">
        <x:v>数据分析</x:v>
      </x:c>
      <x:c r="D362" s="10" t="str">
        <x:v>充值用户分层汇总（每日）（平台管理员视角）</x:v>
      </x:c>
      <x:c r="E362" s="10" t="str">
        <x:v>逻辑校验</x:v>
      </x:c>
      <x:c r="F362" s="10" t="str">
        <x:v>P1</x:v>
      </x:c>
      <x:c r="G362" s="9" t="str">
        <x:v>验证充值用户分层汇总（每日）新用户 ARPU无充值记零</x:v>
      </x:c>
      <x:c r="H362" s="9" t="str">
        <x:v>新用户 ARPU零充值分支</x:v>
      </x:c>
      <x:c r="I362" s="9" t="str">
        <x:v>1. 执行角色为平台管理员
2. 账号具有当前模块访问及本次操作权限
3. 业务数据已准备且本页已打开；表单和筛选保持下列指定状态
4. 对应用户分层充值人数0</x:v>
      </x:c>
      <x:c r="J362" s="9" t="str">
        <x:v>1. 查看充值用户分层汇总（每日）页</x:v>
      </x:c>
      <x:c r="K362" s="9" t="str">
        <x:v>新用户ARPU显示0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来源（当前证据）：liveshow-proto/MainBasis/统一需求文档.md；位置：REQ-70d6d66acc0c；行4871
2. 规则：BR-2d9d586fcca5a590
3. 未动态验证</x:v>
      </x:c>
    </x:row>
    <x:row r="363" ht="115" customHeight="1">
      <x:c r="A363" s="10" t="n">
        <x:v>362</x:v>
      </x:c>
      <x:c r="B363" s="10" t="str">
        <x:v>ADMIN-10-0030</x:v>
      </x:c>
      <x:c r="C363" s="10" t="str">
        <x:v>数据分析</x:v>
      </x:c>
      <x:c r="D363" s="10" t="str">
        <x:v>充值用户分层汇总（每日）（平台管理员视角）</x:v>
      </x:c>
      <x:c r="E363" s="10" t="str">
        <x:v>逻辑校验</x:v>
      </x:c>
      <x:c r="F363" s="10" t="str">
        <x:v>P1</x:v>
      </x:c>
      <x:c r="G363" s="9" t="str">
        <x:v>验证充值用户分层汇总（每日）老用户 ARPU无充值记零</x:v>
      </x:c>
      <x:c r="H363" s="9" t="str">
        <x:v>老用户 ARPU零充值分支</x:v>
      </x:c>
      <x:c r="I363" s="9" t="str">
        <x:v>1. 执行角色为平台管理员
2. 账号具有当前模块访问及本次操作权限
3. 业务数据已准备且本页已打开；表单和筛选保持下列指定状态
4. 对应用户分层充值人数0</x:v>
      </x:c>
      <x:c r="J363" s="9" t="str">
        <x:v>1. 查看充值用户分层汇总（每日）页</x:v>
      </x:c>
      <x:c r="K363" s="9" t="str">
        <x:v>老用户ARPU显示0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来源（当前证据）：liveshow-proto/MainBasis/统一需求文档.md；位置：REQ-4cb9e0a18717；行4873
2. 规则：BR-13cc9ea3554b6d6b
3. 未动态验证</x:v>
      </x:c>
    </x:row>
    <x:row r="364" ht="130" customHeight="1">
      <x:c r="A364" s="10" t="n">
        <x:v>363</x:v>
      </x:c>
      <x:c r="B364" s="10" t="str">
        <x:v>ADMIN-10-0031</x:v>
      </x:c>
      <x:c r="C364" s="10" t="str">
        <x:v>数据分析</x:v>
      </x:c>
      <x:c r="D364" s="10" t="str">
        <x:v>充值用户分层汇总（每日）（平台管理员视角）</x:v>
      </x:c>
      <x:c r="E364" s="10" t="str">
        <x:v>逻辑校验</x:v>
      </x:c>
      <x:c r="F364" s="10" t="str">
        <x:v>P1</x:v>
      </x:c>
      <x:c r="G364" s="9" t="str">
        <x:v>验证新老充值分层金额合计</x:v>
      </x:c>
      <x:c r="H364" s="9" t="str">
        <x:v>新老用户充值勾稽</x:v>
      </x:c>
      <x:c r="I364" s="9" t="str">
        <x:v>1. 执行角色为平台管理员
2. 账号具有当前模块访问及本次操作权限
3. 业务数据已准备且本页已打开；表单和筛选保持下列指定状态
4. 新用户金额10USD、老用户金额20USD</x:v>
      </x:c>
      <x:c r="J364" s="9" t="str">
        <x:v>1. 查看充值用户分层汇总（每日）页</x:v>
      </x:c>
      <x:c r="K364" s="9" t="str">
        <x:v>总充值金额 = 30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来源（当前证据）：liveshow-proto/MainBasis/统一需求文档.md；位置：REQ-948e31ff9aef；行4865
2. 规则：BR-a2acdf99db83405c
3. 未动态验证</x:v>
      </x:c>
    </x:row>
    <x:row r="365" ht="130" customHeight="1">
      <x:c r="A365" s="10" t="n">
        <x:v>364</x:v>
      </x:c>
      <x:c r="B365" s="10" t="str">
        <x:v>ADMIN-10-0032</x:v>
      </x:c>
      <x:c r="C365" s="10" t="str">
        <x:v>数据分析</x:v>
      </x:c>
      <x:c r="D365" s="10" t="str">
        <x:v>月度收益支出汇总（平台管理员视角）</x:v>
      </x:c>
      <x:c r="E365" s="10" t="str">
        <x:v>逻辑校验</x:v>
      </x:c>
      <x:c r="F365" s="10" t="str">
        <x:v>P1</x:v>
      </x:c>
      <x:c r="G365" s="9" t="str">
        <x:v>验证跨月充值退款按退款完成月统计</x:v>
      </x:c>
      <x:c r="H365" s="9" t="str">
        <x:v>月度退款归属</x:v>
      </x:c>
      <x:c r="I365" s="9" t="str">
        <x:v>1. 执行角色为平台管理员
2. 账号具有当前模块访问及本次操作权限
3. 业务数据已准备且本页已打开；表单和筛选保持下列指定状态
4. 8月充值10USD，9月完成退款</x:v>
      </x:c>
      <x:c r="J365" s="9" t="str">
        <x:v>1. 查看月度收益支出汇总页</x:v>
      </x:c>
      <x:c r="K365" s="9" t="str">
        <x:v>9月累计退款包含该10USD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来源（当前证据）：liveshow-proto/MainBasis/统一需求文档.md；位置：REQ-e7118ae8d4af；行4886
2. 规则：BR-0d3278645269fed4
3. 未动态验证</x:v>
      </x:c>
    </x:row>
    <x:row r="366" ht="115" customHeight="1">
      <x:c r="A366" s="10" t="n">
        <x:v>365</x:v>
      </x:c>
      <x:c r="B366" s="10" t="str">
        <x:v>ADMIN-10-0033</x:v>
      </x:c>
      <x:c r="C366" s="10" t="str">
        <x:v>数据分析</x:v>
      </x:c>
      <x:c r="D366" s="10" t="str">
        <x:v>主播业绩分成报表（平台管理员视角）</x:v>
      </x:c>
      <x:c r="E366" s="10" t="str">
        <x:v>逻辑校验</x:v>
      </x:c>
      <x:c r="F366" s="10" t="str">
        <x:v>P1</x:v>
      </x:c>
      <x:c r="G366" s="9" t="str">
        <x:v>验证主播业绩统计天数包括首尾</x:v>
      </x:c>
      <x:c r="H366" s="9" t="str">
        <x:v>业绩统计天数</x:v>
      </x:c>
      <x:c r="I366" s="9" t="str">
        <x:v>1. 执行角色为平台管理员
2. 账号具有当前模块访问及本次操作权限
3. 业务数据已准备且本页已打开；表单和筛选保持下列指定状态
4. 选定9月1日至9月3日</x:v>
      </x:c>
      <x:c r="J366" s="9" t="str">
        <x:v>1. 查看主播业绩分成报表页
2. 点击查询</x:v>
      </x:c>
      <x:c r="K366" s="9" t="str">
        <x:v>统计天数显示3天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来源（当前证据）：liveshow-proto/MainBasis/统一需求文档.md；位置：REQ-b903a10731de；行4897
2. 规则：BR-e553eb3bbe48fe47
3. 未动态验证</x:v>
      </x:c>
    </x:row>
    <x:row r="367" ht="130" customHeight="1">
      <x:c r="A367" s="10" t="n">
        <x:v>366</x:v>
      </x:c>
      <x:c r="B367" s="10" t="str">
        <x:v>ADMIN-10-0034</x:v>
      </x:c>
      <x:c r="C367" s="10" t="str">
        <x:v>数据分析</x:v>
      </x:c>
      <x:c r="D367" s="10" t="str">
        <x:v>主播业绩分成报表（平台管理员视角）</x:v>
      </x:c>
      <x:c r="E367" s="10" t="str">
        <x:v>逻辑校验</x:v>
      </x:c>
      <x:c r="F367" s="10" t="str">
        <x:v>P1</x:v>
      </x:c>
      <x:c r="G367" s="9" t="str">
        <x:v>验证单日直播6小时仍计1有效天</x:v>
      </x:c>
      <x:c r="H367" s="9" t="str">
        <x:v>主播有效天不按时长倍数</x:v>
      </x:c>
      <x:c r="I367" s="9" t="str">
        <x:v>1. 执行角色为平台管理员
2. 账号具有当前模块访问及本次操作权限
3. 业务数据已准备且本页已打开；表单和筛选保持下列指定状态
4. 仅9月15日累计有效直播6小时</x:v>
      </x:c>
      <x:c r="J367" s="9" t="str">
        <x:v>1. 查看主播业绩分成报表页
2. 选择日期范围为9月15日
3. 点击查询</x:v>
      </x:c>
      <x:c r="K367" s="9" t="str">
        <x:v>达标天数显示1天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来源（当前证据）：liveshow-proto/MainBasis/统一需求文档.md；位置：REQ-6666e34d0ec5；行4899
2. 规则：BR-a3e0bd659119399d
3. 未动态验证</x:v>
      </x:c>
    </x:row>
    <x:row r="368" ht="130" customHeight="1">
      <x:c r="A368" s="10" t="n">
        <x:v>367</x:v>
      </x:c>
      <x:c r="B368" s="10" t="str">
        <x:v>ADMIN-10-0035</x:v>
      </x:c>
      <x:c r="C368" s="10" t="str">
        <x:v>数据分析</x:v>
      </x:c>
      <x:c r="D368" s="10" t="str">
        <x:v>主播业绩分成报表（平台管理员视角）</x:v>
      </x:c>
      <x:c r="E368" s="10" t="str">
        <x:v>逻辑校验</x:v>
      </x:c>
      <x:c r="F368" s="10" t="str">
        <x:v>P1</x:v>
      </x:c>
      <x:c r="G368" s="9" t="str">
        <x:v>验证幸运收益按每笔历史比例快照</x:v>
      </x:c>
      <x:c r="H368" s="9" t="str">
        <x:v>主播报表收益比例快照</x:v>
      </x:c>
      <x:c r="I368" s="9" t="str">
        <x:v>1. 执行角色为平台管理员
2. 账号具有当前模块访问及本次操作权限
3. 业务数据已准备且本页已打开；表单和筛选保持下列指定状态
4. 两笔礼物各1000金币，前笔比例1%、后笔比例2%</x:v>
      </x:c>
      <x:c r="J368" s="9" t="str">
        <x:v>1. 查看主播业绩分成报表页</x:v>
      </x:c>
      <x:c r="K368" s="9" t="str">
        <x:v>幸运礼物收益 = 30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来源（当前证据）：liveshow-proto/MainBasis/统一需求文档.md；位置：REQ-e5d4c75dd54e；行4905
2. 规则：BR-41ffe0d246cafdc9
3. 未动态验证</x:v>
      </x:c>
    </x:row>
    <x:row r="369" ht="130" customHeight="1">
      <x:c r="A369" s="10" t="n">
        <x:v>368</x:v>
      </x:c>
      <x:c r="B369" s="10" t="str">
        <x:v>ADMIN-10-0036</x:v>
      </x:c>
      <x:c r="C369" s="10" t="str">
        <x:v>数据分析</x:v>
      </x:c>
      <x:c r="D369" s="10" t="str">
        <x:v>主播业绩分成报表（平台管理员视角）</x:v>
      </x:c>
      <x:c r="E369" s="10" t="str">
        <x:v>逻辑校验</x:v>
      </x:c>
      <x:c r="F369" s="10" t="str">
        <x:v>P1</x:v>
      </x:c>
      <x:c r="G369" s="9" t="str">
        <x:v>验证主播收益汇总四类收入</x:v>
      </x:c>
      <x:c r="H369" s="9" t="str">
        <x:v>主播业绩总收益</x:v>
      </x:c>
      <x:c r="I369" s="9" t="str">
        <x:v>1. 执行角色为平台管理员
2. 账号具有当前模块访问及本次操作权限
3. 业务数据已准备且本页已打开；表单和筛选保持下列指定状态
4. 普通100、定制200、幸运10、门票50金币</x:v>
      </x:c>
      <x:c r="J369" s="9" t="str">
        <x:v>1. 查看主播业绩分成报表页</x:v>
      </x:c>
      <x:c r="K369" s="9" t="str">
        <x:v>主播收益 = 360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来源（当前证据）：liveshow-proto/MainBasis/统一需求文档.md；位置：REQ-93ae4da7430b；行4907
2. 规则：BR-b0e496c48d58f3a6
3. 未动态验证</x:v>
      </x:c>
    </x:row>
    <x:row r="370" ht="130" customHeight="1">
      <x:c r="A370" s="10" t="n">
        <x:v>369</x:v>
      </x:c>
      <x:c r="B370" s="10" t="str">
        <x:v>ADMIN-10-0037</x:v>
      </x:c>
      <x:c r="C370" s="10" t="str">
        <x:v>数据分析</x:v>
      </x:c>
      <x:c r="D370" s="10" t="str">
        <x:v>主播礼物打赏明细报表（平台管理员视角）</x:v>
      </x:c>
      <x:c r="E370" s="10" t="str">
        <x:v>逻辑校验</x:v>
      </x:c>
      <x:c r="F370" s="10" t="str">
        <x:v>P1</x:v>
      </x:c>
      <x:c r="G370" s="9" t="str">
        <x:v>验证主播打赏明细排除运营虚拟赠礼</x:v>
      </x:c>
      <x:c r="H370" s="9" t="str">
        <x:v>主播打赏报表虚拟排除</x:v>
      </x:c>
      <x:c r="I370" s="9" t="str">
        <x:v>1. 执行角色为平台管理员
2. 账号具有当前模块访问及本次操作权限
3. 业务数据已准备且本页已打开；表单和筛选保持下列指定状态
4. 同主播真实用户礼物A、运营账号礼物B各一笔</x:v>
      </x:c>
      <x:c r="J370" s="9" t="str">
        <x:v>1. 查看主播礼物打赏明细报表页</x:v>
      </x:c>
      <x:c r="K370" s="9" t="str">
        <x:v>报表不包含虚拟礼物B记录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来源（当前证据）：liveshow-proto/MainBasis/统一需求文档.md；位置：REQ-0264fafd09f7；行4924
2. 规则：BR-7e396472872f1e85
3. 未动态验证</x:v>
      </x:c>
    </x:row>
    <x:row r="371" ht="130" customHeight="1">
      <x:c r="A371" s="10" t="n">
        <x:v>370</x:v>
      </x:c>
      <x:c r="B371" s="10" t="str">
        <x:v>ADMIN-10-0038</x:v>
      </x:c>
      <x:c r="C371" s="10" t="str">
        <x:v>数据分析</x:v>
      </x:c>
      <x:c r="D371" s="10" t="str">
        <x:v>用户消费汇总报表（平台管理员视角）</x:v>
      </x:c>
      <x:c r="E371" s="10" t="str">
        <x:v>逻辑校验</x:v>
      </x:c>
      <x:c r="F371" s="10" t="str">
        <x:v>P1</x:v>
      </x:c>
      <x:c r="G371" s="9" t="str">
        <x:v>验证用户消费报表含幸运净消耗</x:v>
      </x:c>
      <x:c r="H371" s="9" t="str">
        <x:v>用户消费报表净额</x:v>
      </x:c>
      <x:c r="I371" s="9" t="str">
        <x:v>1. 执行角色为平台管理员
2. 账号具有当前模块访问及本次操作权限
3. 业务数据已准备且本页已打开；表单和筛选保持下列指定状态
4. 普通100、定制200、门票50、幸运扣减100返奖500金币</x:v>
      </x:c>
      <x:c r="J371" s="9" t="str">
        <x:v>1. 查看用户消费汇总报表页</x:v>
      </x:c>
      <x:c r="K371" s="9" t="str">
        <x:v>累计消费 = -50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来源（当前证据）：liveshow-proto/MainBasis/统一需求文档.md；位置：REQ-261ecda01c58；行4937
2. 规则：BR-386c13b5c0b9800b
3. 未动态验证</x:v>
      </x:c>
    </x:row>
    <x:row r="372" ht="130" customHeight="1">
      <x:c r="A372" s="10" t="n">
        <x:v>371</x:v>
      </x:c>
      <x:c r="B372" s="10" t="str">
        <x:v>ADMIN-10-0039</x:v>
      </x:c>
      <x:c r="C372" s="10" t="str">
        <x:v>数据分析</x:v>
      </x:c>
      <x:c r="D372" s="10" t="str">
        <x:v>礼物消费汇总报表（平台管理员视角）</x:v>
      </x:c>
      <x:c r="E372" s="10" t="str">
        <x:v>逻辑校验</x:v>
      </x:c>
      <x:c r="F372" s="10" t="str">
        <x:v>P1</x:v>
      </x:c>
      <x:c r="G372" s="9" t="str">
        <x:v>验证礼物销售额统计原价值不扣返奖</x:v>
      </x:c>
      <x:c r="H372" s="9" t="str">
        <x:v>幸运礼物销售额</x:v>
      </x:c>
      <x:c r="I372" s="9" t="str">
        <x:v>1. 执行角色为平台管理员
2. 账号具有当前模块访问及本次操作权限
3. 业务数据已准备且本页已打开；表单和筛选保持下列指定状态
4. 幸运礼物单价100、成功10份、总返奖2000金币</x:v>
      </x:c>
      <x:c r="J372" s="9" t="str">
        <x:v>1. 查看礼物消费汇总报表页</x:v>
      </x:c>
      <x:c r="K372" s="9" t="str">
        <x:v>销售额 = 1000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来源（当前证据）：liveshow-proto/MainBasis/统一需求文档.md；位置：REQ-ca4e41b2d2c6；行4952
2. 规则：BR-b2c01f6072bbcc6b
3. 未动态验证</x:v>
      </x:c>
    </x:row>
    <x:row r="373" ht="130" customHeight="1">
      <x:c r="A373" s="10" t="n">
        <x:v>372</x:v>
      </x:c>
      <x:c r="B373" s="10" t="str">
        <x:v>ADMIN-10-0040</x:v>
      </x:c>
      <x:c r="C373" s="10" t="str">
        <x:v>数据分析</x:v>
      </x:c>
      <x:c r="D373" s="10" t="str">
        <x:v>消费订单明细（平台管理员视角）</x:v>
      </x:c>
      <x:c r="E373" s="10" t="str">
        <x:v>逻辑校验</x:v>
      </x:c>
      <x:c r="F373" s="10" t="str">
        <x:v>P1</x:v>
      </x:c>
      <x:c r="G373" s="9" t="str">
        <x:v>验证消费明细报表排除失败虚拟记录</x:v>
      </x:c>
      <x:c r="H373" s="9" t="str">
        <x:v>消费报表成功真实范围</x:v>
      </x:c>
      <x:c r="I373" s="9" t="str">
        <x:v>1. 执行角色为平台管理员
2. 账号具有当前模块访问及本次操作权限
3. 业务数据已准备且本页已打开；表单和筛选保持下列指定状态
4. 订单A真实金币成功，B失败，C虚拟金币成功</x:v>
      </x:c>
      <x:c r="J373" s="9" t="str">
        <x:v>1. 查看消费订单明细页</x:v>
      </x:c>
      <x:c r="K373" s="9" t="str">
        <x:v>结果仅包含A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来源（当前证据）：liveshow-proto/MainBasis/统一需求文档.md；位置：REQ-7869a38aa201；行4971
2. 规则：BR-054248c279c0d363
3. 未动态验证</x:v>
      </x:c>
    </x:row>
    <x:row r="374" ht="130" customHeight="1">
      <x:c r="A374" s="10" t="n">
        <x:v>373</x:v>
      </x:c>
      <x:c r="B374" s="10" t="str">
        <x:v>ADMIN-10-0041</x:v>
      </x:c>
      <x:c r="C374" s="10" t="str">
        <x:v>数据分析</x:v>
      </x:c>
      <x:c r="D374" s="10" t="str">
        <x:v>退款订单明细（平台管理员视角）</x:v>
      </x:c>
      <x:c r="E374" s="10" t="str">
        <x:v>逻辑校验</x:v>
      </x:c>
      <x:c r="F374" s="10" t="str">
        <x:v>P1</x:v>
      </x:c>
      <x:c r="G374" s="9" t="str">
        <x:v>验证退款明细金额等于原实付</x:v>
      </x:c>
      <x:c r="H374" s="9" t="str">
        <x:v>退款明细金额口径</x:v>
      </x:c>
      <x:c r="I374" s="9" t="str">
        <x:v>1. 执行角色为平台管理员
2. 账号具有当前模块访问及本次操作权限
3. 业务数据已准备且本页已打开；表单和筛选保持下列指定状态
4. 原实付8USD，标价10USD，已完成退款</x:v>
      </x:c>
      <x:c r="J374" s="9" t="str">
        <x:v>1. 查看退款订单明细页</x:v>
      </x:c>
      <x:c r="K374" s="9" t="str">
        <x:v>退款金额显示8USD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来源（当前证据）：liveshow-proto/MainBasis/统一需求文档.md；位置：REQ-d076f63cafa8；行4984
2. 规则：BR-5ca0144fa58d816d
3. 未动态验证</x:v>
      </x:c>
    </x:row>
    <x:row r="375" ht="130" customHeight="1">
      <x:c r="A375" s="10" t="n">
        <x:v>374</x:v>
      </x:c>
      <x:c r="B375" s="10" t="str">
        <x:v>ADMIN-10-0042</x:v>
      </x:c>
      <x:c r="C375" s="10" t="str">
        <x:v>数据分析</x:v>
      </x:c>
      <x:c r="D375" s="10" t="str">
        <x:v>充值订单明细（平台管理员视角）</x:v>
      </x:c>
      <x:c r="E375" s="10" t="str">
        <x:v>逻辑校验</x:v>
      </x:c>
      <x:c r="F375" s="10" t="str">
        <x:v>P1</x:v>
      </x:c>
      <x:c r="G375" s="9" t="str">
        <x:v>验证充值明细仍保留已退款的成功支付</x:v>
      </x:c>
      <x:c r="H375" s="9" t="str">
        <x:v>充值报表与退款分列</x:v>
      </x:c>
      <x:c r="I375" s="9" t="str">
        <x:v>1. 执行角色为平台管理员
2. 账号具有当前模块访问及本次操作权限
3. 业务数据已准备且本页已打开；表单和筛选保持下列指定状态
4. 订单先成功支付10USD，随后完成全额退款</x:v>
      </x:c>
      <x:c r="J375" s="9" t="str">
        <x:v>1. 查看充值订单明细页</x:v>
      </x:c>
      <x:c r="K375" s="9" t="str">
        <x:v>原成功充值10USD仍列入充值明细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来源（当前证据）：liveshow-proto/MainBasis/统一需求文档.md；位置：REQ-d206337cecd2；行5003
2. 规则：BR-daefc7b11a630124
3. 未动态验证</x:v>
      </x:c>
    </x:row>
    <x:row r="376" ht="130" customHeight="1">
      <x:c r="A376" s="10" t="n">
        <x:v>375</x:v>
      </x:c>
      <x:c r="B376" s="10" t="str">
        <x:v>ADMIN-10-0043</x:v>
      </x:c>
      <x:c r="C376" s="10" t="str">
        <x:v>数据分析</x:v>
      </x:c>
      <x:c r="D376" s="10" t="str">
        <x:v>每日统计（平台管理员视角）</x:v>
      </x:c>
      <x:c r="E376" s="10" t="str">
        <x:v>功能需求</x:v>
      </x:c>
      <x:c r="F376" s="10" t="str">
        <x:v>P2</x:v>
      </x:c>
      <x:c r="G376" s="9" t="str">
        <x:v>验证每日统计导出当前结果</x:v>
      </x:c>
      <x:c r="H376" s="9" t="str">
        <x:v>每日统计导出范围</x:v>
      </x:c>
      <x:c r="I37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76" s="9" t="str">
        <x:v>1. 查看每日统计页
2. 点击导出</x:v>
      </x:c>
      <x:c r="K376" s="9" t="str">
        <x:v>导出数据仅含A、B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来源（当前证据）：liveshow-proto/MainBasis/统一需求文档.md；位置：REQ-7fd5515420da；行4763
2. 规则：BR-3ddece38cf0170d1
3. 未动态验证</x:v>
      </x:c>
    </x:row>
    <x:row r="377" ht="130" customHeight="1">
      <x:c r="A377" s="10" t="n">
        <x:v>376</x:v>
      </x:c>
      <x:c r="B377" s="10" t="str">
        <x:v>ADMIN-10-0044</x:v>
      </x:c>
      <x:c r="C377" s="10" t="str">
        <x:v>数据分析</x:v>
      </x:c>
      <x:c r="D377" s="10" t="str">
        <x:v>用户活跃汇总（每日）（平台管理员视角）</x:v>
      </x:c>
      <x:c r="E377" s="10" t="str">
        <x:v>功能需求</x:v>
      </x:c>
      <x:c r="F377" s="10" t="str">
        <x:v>P2</x:v>
      </x:c>
      <x:c r="G377" s="9" t="str">
        <x:v>验证用户活跃汇总（每日）导出当前结果</x:v>
      </x:c>
      <x:c r="H377" s="9" t="str">
        <x:v>用户活跃汇总（每日）导出范围</x:v>
      </x:c>
      <x:c r="I37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77" s="9" t="str">
        <x:v>1. 查看用户活跃汇总（每日）页
2. 点击导出</x:v>
      </x:c>
      <x:c r="K377" s="9" t="str">
        <x:v>导出数据仅含A、B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来源（当前证据）：liveshow-proto/MainBasis/统一需求文档.md；位置：REQ-71ad1770fc60；行4780
2. 规则：BR-59181183b5da120f
3. 未动态验证</x:v>
      </x:c>
    </x:row>
    <x:row r="378" ht="130" customHeight="1">
      <x:c r="A378" s="10" t="n">
        <x:v>377</x:v>
      </x:c>
      <x:c r="B378" s="10" t="str">
        <x:v>ADMIN-10-0045</x:v>
      </x:c>
      <x:c r="C378" s="10" t="str">
        <x:v>数据分析</x:v>
      </x:c>
      <x:c r="D378" s="10" t="str">
        <x:v>主播活跃汇总（每日）（平台管理员视角）</x:v>
      </x:c>
      <x:c r="E378" s="10" t="str">
        <x:v>功能需求</x:v>
      </x:c>
      <x:c r="F378" s="10" t="str">
        <x:v>P2</x:v>
      </x:c>
      <x:c r="G378" s="9" t="str">
        <x:v>验证主播活跃汇总（每日）导出当前结果</x:v>
      </x:c>
      <x:c r="H378" s="9" t="str">
        <x:v>主播活跃汇总（每日）导出范围</x:v>
      </x:c>
      <x:c r="I37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78" s="9" t="str">
        <x:v>1. 查看主播活跃汇总（每日）页
2. 点击导出</x:v>
      </x:c>
      <x:c r="K378" s="9" t="str">
        <x:v>导出数据仅含A、B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来源（当前证据）：liveshow-proto/MainBasis/统一需求文档.md；位置：REQ-ec1742c498d1；行4801
2. 规则：BR-eb9a0fc1ff65a764
3. 未动态验证</x:v>
      </x:c>
    </x:row>
    <x:row r="379" ht="130" customHeight="1">
      <x:c r="A379" s="10" t="n">
        <x:v>378</x:v>
      </x:c>
      <x:c r="B379" s="10" t="str">
        <x:v>ADMIN-10-0046</x:v>
      </x:c>
      <x:c r="C379" s="10" t="str">
        <x:v>数据分析</x:v>
      </x:c>
      <x:c r="D379" s="10" t="str">
        <x:v>直播间互动汇总（每日）（平台管理员视角）</x:v>
      </x:c>
      <x:c r="E379" s="10" t="str">
        <x:v>功能需求</x:v>
      </x:c>
      <x:c r="F379" s="10" t="str">
        <x:v>P2</x:v>
      </x:c>
      <x:c r="G379" s="9" t="str">
        <x:v>验证直播间互动汇总（每日）导出当前结果</x:v>
      </x:c>
      <x:c r="H379" s="9" t="str">
        <x:v>直播间互动汇总（每日）导出范围</x:v>
      </x:c>
      <x:c r="I37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79" s="9" t="str">
        <x:v>1. 查看直播间互动汇总（每日）页
2. 点击导出</x:v>
      </x:c>
      <x:c r="K379" s="9" t="str">
        <x:v>导出数据仅含A、B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来源（当前证据）：liveshow-proto/MainBasis/统一需求文档.md；位置：REQ-186776a143de；行4816
2. 规则：BR-40affb73af76d72d
3. 未动态验证</x:v>
      </x:c>
    </x:row>
    <x:row r="380" ht="130" customHeight="1">
      <x:c r="A380" s="10" t="n">
        <x:v>379</x:v>
      </x:c>
      <x:c r="B380" s="10" t="str">
        <x:v>ADMIN-10-0047</x:v>
      </x:c>
      <x:c r="C380" s="10" t="str">
        <x:v>数据分析</x:v>
      </x:c>
      <x:c r="D380" s="10" t="str">
        <x:v>直播记录明细报表（平台管理员视角）</x:v>
      </x:c>
      <x:c r="E380" s="10" t="str">
        <x:v>功能需求</x:v>
      </x:c>
      <x:c r="F380" s="10" t="str">
        <x:v>P2</x:v>
      </x:c>
      <x:c r="G380" s="9" t="str">
        <x:v>验证直播记录明细报表导出当前结果</x:v>
      </x:c>
      <x:c r="H380" s="9" t="str">
        <x:v>直播记录明细报表导出范围</x:v>
      </x:c>
      <x:c r="I380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0" s="9" t="str">
        <x:v>1. 查看直播记录明细报表页
2. 点击导出</x:v>
      </x:c>
      <x:c r="K380" s="9" t="str">
        <x:v>导出数据仅含A、B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来源（当前证据）：liveshow-proto/MainBasis/统一需求文档.md；位置：REQ-3ccd8235bd76；行4837
2. 规则：BR-5d737b34d7b33dc5
3. 未动态验证</x:v>
      </x:c>
    </x:row>
    <x:row r="381" ht="130" customHeight="1">
      <x:c r="A381" s="10" t="n">
        <x:v>380</x:v>
      </x:c>
      <x:c r="B381" s="10" t="str">
        <x:v>ADMIN-10-0048</x:v>
      </x:c>
      <x:c r="C381" s="10" t="str">
        <x:v>数据分析</x:v>
      </x:c>
      <x:c r="D381" s="10" t="str">
        <x:v>充值消费汇总（每日）（平台管理员视角）</x:v>
      </x:c>
      <x:c r="E381" s="10" t="str">
        <x:v>功能需求</x:v>
      </x:c>
      <x:c r="F381" s="10" t="str">
        <x:v>P2</x:v>
      </x:c>
      <x:c r="G381" s="9" t="str">
        <x:v>验证充值消费汇总（每日）导出当前结果</x:v>
      </x:c>
      <x:c r="H381" s="9" t="str">
        <x:v>充值消费汇总（每日）导出范围</x:v>
      </x:c>
      <x:c r="I381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1" s="9" t="str">
        <x:v>1. 查看充值消费汇总（每日）页
2. 点击导出</x:v>
      </x:c>
      <x:c r="K381" s="9" t="str">
        <x:v>导出数据仅含A、B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来源（当前证据）：liveshow-proto/MainBasis/统一需求文档.md；位置：REQ-f9b105f502b9；行4858
2. 规则：BR-131ff81f49dd33ac
3. 未动态验证</x:v>
      </x:c>
    </x:row>
    <x:row r="382" ht="130" customHeight="1">
      <x:c r="A382" s="10" t="n">
        <x:v>381</x:v>
      </x:c>
      <x:c r="B382" s="10" t="str">
        <x:v>ADMIN-10-0049</x:v>
      </x:c>
      <x:c r="C382" s="10" t="str">
        <x:v>数据分析</x:v>
      </x:c>
      <x:c r="D382" s="10" t="str">
        <x:v>充值用户分层汇总（每日）（平台管理员视角）</x:v>
      </x:c>
      <x:c r="E382" s="10" t="str">
        <x:v>功能需求</x:v>
      </x:c>
      <x:c r="F382" s="10" t="str">
        <x:v>P2</x:v>
      </x:c>
      <x:c r="G382" s="9" t="str">
        <x:v>验证充值用户分层汇总（每日）导出当前结果</x:v>
      </x:c>
      <x:c r="H382" s="9" t="str">
        <x:v>充值用户分层汇总（每日）导出范围</x:v>
      </x:c>
      <x:c r="I382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2" s="9" t="str">
        <x:v>1. 查看充值用户分层汇总（每日）页
2. 点击导出</x:v>
      </x:c>
      <x:c r="K382" s="9" t="str">
        <x:v>导出数据仅含A、B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来源（当前证据）：liveshow-proto/MainBasis/统一需求文档.md；位置：REQ-8443e973fcdc；行4875
2. 规则：BR-d5d43cd054939a6e
3. 未动态验证</x:v>
      </x:c>
    </x:row>
    <x:row r="383" ht="130" customHeight="1">
      <x:c r="A383" s="10" t="n">
        <x:v>382</x:v>
      </x:c>
      <x:c r="B383" s="10" t="str">
        <x:v>ADMIN-10-0050</x:v>
      </x:c>
      <x:c r="C383" s="10" t="str">
        <x:v>数据分析</x:v>
      </x:c>
      <x:c r="D383" s="10" t="str">
        <x:v>月度收益支出汇总（平台管理员视角）</x:v>
      </x:c>
      <x:c r="E383" s="10" t="str">
        <x:v>功能需求</x:v>
      </x:c>
      <x:c r="F383" s="10" t="str">
        <x:v>P2</x:v>
      </x:c>
      <x:c r="G383" s="9" t="str">
        <x:v>验证月度收益支出汇总导出当前结果</x:v>
      </x:c>
      <x:c r="H383" s="9" t="str">
        <x:v>月度收益支出汇总导出范围</x:v>
      </x:c>
      <x:c r="I383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3" s="9" t="str">
        <x:v>1. 查看月度收益支出汇总页
2. 点击导出</x:v>
      </x:c>
      <x:c r="K383" s="9" t="str">
        <x:v>导出数据仅含A、B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来源（当前证据）：liveshow-proto/MainBasis/统一需求文档.md；位置：REQ-6b320c210520；行4890
2. 规则：BR-8d191064320410bd
3. 未动态验证</x:v>
      </x:c>
    </x:row>
    <x:row r="384" ht="130" customHeight="1">
      <x:c r="A384" s="10" t="n">
        <x:v>383</x:v>
      </x:c>
      <x:c r="B384" s="10" t="str">
        <x:v>ADMIN-10-0051</x:v>
      </x:c>
      <x:c r="C384" s="10" t="str">
        <x:v>数据分析</x:v>
      </x:c>
      <x:c r="D384" s="10" t="str">
        <x:v>主播业绩分成报表（平台管理员视角）</x:v>
      </x:c>
      <x:c r="E384" s="10" t="str">
        <x:v>功能需求</x:v>
      </x:c>
      <x:c r="F384" s="10" t="str">
        <x:v>P2</x:v>
      </x:c>
      <x:c r="G384" s="9" t="str">
        <x:v>验证主播业绩分成报表导出当前结果</x:v>
      </x:c>
      <x:c r="H384" s="9" t="str">
        <x:v>主播业绩分成报表导出范围</x:v>
      </x:c>
      <x:c r="I384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4" s="9" t="str">
        <x:v>1. 查看主播业绩分成报表页
2. 点击导出</x:v>
      </x:c>
      <x:c r="K384" s="9" t="str">
        <x:v>导出数据仅含A、B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来源（当前证据）：liveshow-proto/MainBasis/统一需求文档.md；位置：REQ-19b8f41e75ed；行4911
2. 规则：BR-2403612b7771016a
3. 未动态验证</x:v>
      </x:c>
    </x:row>
    <x:row r="385" ht="130" customHeight="1">
      <x:c r="A385" s="10" t="n">
        <x:v>384</x:v>
      </x:c>
      <x:c r="B385" s="10" t="str">
        <x:v>ADMIN-10-0052</x:v>
      </x:c>
      <x:c r="C385" s="10" t="str">
        <x:v>数据分析</x:v>
      </x:c>
      <x:c r="D385" s="10" t="str">
        <x:v>主播礼物打赏明细报表（平台管理员视角）</x:v>
      </x:c>
      <x:c r="E385" s="10" t="str">
        <x:v>功能需求</x:v>
      </x:c>
      <x:c r="F385" s="10" t="str">
        <x:v>P2</x:v>
      </x:c>
      <x:c r="G385" s="9" t="str">
        <x:v>验证主播礼物打赏明细报表导出当前结果</x:v>
      </x:c>
      <x:c r="H385" s="9" t="str">
        <x:v>主播礼物打赏明细报表导出范围</x:v>
      </x:c>
      <x:c r="I38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5" s="9" t="str">
        <x:v>1. 查看主播礼物打赏明细报表页
2. 点击导出</x:v>
      </x:c>
      <x:c r="K385" s="9" t="str">
        <x:v>导出数据仅含A、B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来源（当前证据）：liveshow-proto/MainBasis/统一需求文档.md；位置：REQ-78390555e950；行4926
2. 规则：BR-b786e5769839ada2
3. 未动态验证</x:v>
      </x:c>
    </x:row>
    <x:row r="386" ht="130" customHeight="1">
      <x:c r="A386" s="10" t="n">
        <x:v>385</x:v>
      </x:c>
      <x:c r="B386" s="10" t="str">
        <x:v>ADMIN-10-0053</x:v>
      </x:c>
      <x:c r="C386" s="10" t="str">
        <x:v>数据分析</x:v>
      </x:c>
      <x:c r="D386" s="10" t="str">
        <x:v>用户消费汇总报表（平台管理员视角）</x:v>
      </x:c>
      <x:c r="E386" s="10" t="str">
        <x:v>功能需求</x:v>
      </x:c>
      <x:c r="F386" s="10" t="str">
        <x:v>P2</x:v>
      </x:c>
      <x:c r="G386" s="9" t="str">
        <x:v>验证用户消费汇总报表导出当前结果</x:v>
      </x:c>
      <x:c r="H386" s="9" t="str">
        <x:v>用户消费汇总报表导出范围</x:v>
      </x:c>
      <x:c r="I38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6" s="9" t="str">
        <x:v>1. 查看用户消费汇总报表页
2. 点击导出</x:v>
      </x:c>
      <x:c r="K386" s="9" t="str">
        <x:v>导出数据仅含A、B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来源（当前证据）：liveshow-proto/MainBasis/统一需求文档.md；位置：REQ-6af63f9419c2；行4941
2. 规则：BR-8c085e267c94182f
3. 未动态验证</x:v>
      </x:c>
    </x:row>
    <x:row r="387" ht="130" customHeight="1">
      <x:c r="A387" s="10" t="n">
        <x:v>386</x:v>
      </x:c>
      <x:c r="B387" s="10" t="str">
        <x:v>ADMIN-10-0054</x:v>
      </x:c>
      <x:c r="C387" s="10" t="str">
        <x:v>数据分析</x:v>
      </x:c>
      <x:c r="D387" s="10" t="str">
        <x:v>礼物消费汇总报表（平台管理员视角）</x:v>
      </x:c>
      <x:c r="E387" s="10" t="str">
        <x:v>功能需求</x:v>
      </x:c>
      <x:c r="F387" s="10" t="str">
        <x:v>P2</x:v>
      </x:c>
      <x:c r="G387" s="9" t="str">
        <x:v>验证礼物消费汇总报表导出当前结果</x:v>
      </x:c>
      <x:c r="H387" s="9" t="str">
        <x:v>礼物消费汇总报表导出范围</x:v>
      </x:c>
      <x:c r="I38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7" s="9" t="str">
        <x:v>1. 查看礼物消费汇总报表页
2. 点击导出</x:v>
      </x:c>
      <x:c r="K387" s="9" t="str">
        <x:v>导出数据仅含A、B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来源（当前证据）：liveshow-proto/MainBasis/统一需求文档.md；位置：REQ-7c98a8a1bbd4；行4956
2. 规则：BR-6326b2ae03ec60ce
3. 未动态验证</x:v>
      </x:c>
    </x:row>
    <x:row r="388" ht="130" customHeight="1">
      <x:c r="A388" s="10" t="n">
        <x:v>387</x:v>
      </x:c>
      <x:c r="B388" s="10" t="str">
        <x:v>ADMIN-10-0055</x:v>
      </x:c>
      <x:c r="C388" s="10" t="str">
        <x:v>数据分析</x:v>
      </x:c>
      <x:c r="D388" s="10" t="str">
        <x:v>消费订单明细（平台管理员视角）</x:v>
      </x:c>
      <x:c r="E388" s="10" t="str">
        <x:v>功能需求</x:v>
      </x:c>
      <x:c r="F388" s="10" t="str">
        <x:v>P2</x:v>
      </x:c>
      <x:c r="G388" s="9" t="str">
        <x:v>验证消费订单明细导出当前结果</x:v>
      </x:c>
      <x:c r="H388" s="9" t="str">
        <x:v>消费订单明细导出范围</x:v>
      </x:c>
      <x:c r="I38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8" s="9" t="str">
        <x:v>1. 查看消费订单明细页
2. 点击导出</x:v>
      </x:c>
      <x:c r="K388" s="9" t="str">
        <x:v>导出数据仅含A、B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来源（当前证据）：liveshow-proto/MainBasis/统一需求文档.md；位置：REQ-9ede90375a52；行4973
2. 规则：BR-98c31892ab00e78f
3. 未动态验证</x:v>
      </x:c>
    </x:row>
    <x:row r="389" ht="130" customHeight="1">
      <x:c r="A389" s="10" t="n">
        <x:v>388</x:v>
      </x:c>
      <x:c r="B389" s="10" t="str">
        <x:v>ADMIN-10-0056</x:v>
      </x:c>
      <x:c r="C389" s="10" t="str">
        <x:v>数据分析</x:v>
      </x:c>
      <x:c r="D389" s="10" t="str">
        <x:v>退款订单明细（平台管理员视角）</x:v>
      </x:c>
      <x:c r="E389" s="10" t="str">
        <x:v>功能需求</x:v>
      </x:c>
      <x:c r="F389" s="10" t="str">
        <x:v>P2</x:v>
      </x:c>
      <x:c r="G389" s="9" t="str">
        <x:v>验证退款订单明细导出当前结果</x:v>
      </x:c>
      <x:c r="H389" s="9" t="str">
        <x:v>退款订单明细导出范围</x:v>
      </x:c>
      <x:c r="I38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89" s="9" t="str">
        <x:v>1. 查看退款订单明细页
2. 点击导出</x:v>
      </x:c>
      <x:c r="K389" s="9" t="str">
        <x:v>导出数据仅含A、B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来源（当前证据）：liveshow-proto/MainBasis/统一需求文档.md；位置：REQ-49dcb9d4fce5；行4988
2. 规则：BR-448adde95fad2c38
3. 未动态验证</x:v>
      </x:c>
    </x:row>
    <x:row r="390" ht="130" customHeight="1">
      <x:c r="A390" s="10" t="n">
        <x:v>389</x:v>
      </x:c>
      <x:c r="B390" s="10" t="str">
        <x:v>ADMIN-10-0057</x:v>
      </x:c>
      <x:c r="C390" s="10" t="str">
        <x:v>数据分析</x:v>
      </x:c>
      <x:c r="D390" s="10" t="str">
        <x:v>充值订单明细（平台管理员视角）</x:v>
      </x:c>
      <x:c r="E390" s="10" t="str">
        <x:v>功能需求</x:v>
      </x:c>
      <x:c r="F390" s="10" t="str">
        <x:v>P2</x:v>
      </x:c>
      <x:c r="G390" s="9" t="str">
        <x:v>验证充值订单明细导出当前结果</x:v>
      </x:c>
      <x:c r="H390" s="9" t="str">
        <x:v>充值订单明细导出范围</x:v>
      </x:c>
      <x:c r="I390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390" s="9" t="str">
        <x:v>1. 查看充值订单明细页
2. 点击导出</x:v>
      </x:c>
      <x:c r="K390" s="9" t="str">
        <x:v>导出数据仅含A、B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来源（当前证据）：liveshow-proto/MainBasis/统一需求文档.md；位置：REQ-dc11361b62d2；行5005
2. 规则：BR-6eab8afcade465f5
3. 未动态验证</x:v>
      </x:c>
    </x:row>
    <x:row r="391" ht="130" customHeight="1">
      <x:c r="A391" s="10" t="n">
        <x:v>390</x:v>
      </x:c>
      <x:c r="B391" s="10" t="str">
        <x:v>ADMIN-01-0007</x:v>
      </x:c>
      <x:c r="C391" s="10" t="str">
        <x:v>工作台</x:v>
      </x:c>
      <x:c r="D391" s="10" t="str">
        <x:v>工作台（平台管理员视角）</x:v>
      </x:c>
      <x:c r="E391" s="10" t="str">
        <x:v>逻辑校验</x:v>
      </x:c>
      <x:c r="F391" s="10" t="str">
        <x:v>P1</x:v>
      </x:c>
      <x:c r="G391" s="9" t="str">
        <x:v>验证当日充值金额排除失败订单</x:v>
      </x:c>
      <x:c r="H391" s="9" t="str">
        <x:v>成功充值金额合计</x:v>
      </x:c>
      <x:c r="I391" s="9" t="str">
        <x:v>1. 执行角色为平台管理员
2. 账号具有当前模块访问及本次操作权限
3. 业务数据已准备且本页已打开；表单和筛选保持下列指定状态
4. 甲成功支付8USD，乙成功支付2USD，丙失败10USD</x:v>
      </x:c>
      <x:c r="J391" s="9" t="str">
        <x:v>1. 查看工作台页</x:v>
      </x:c>
      <x:c r="K391" s="9" t="str">
        <x:v>总充值金额显示10USD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来源（当前证据）：liveshow-proto/MainBasis/统一需求文档.md；位置：REQ-31a430398065；行3498
2. 规则：BR-52f4edd061129f69
3. 未动态验证</x:v>
      </x:c>
    </x:row>
    <x:row r="392" ht="130" customHeight="1">
      <x:c r="A392" s="10" t="n">
        <x:v>391</x:v>
      </x:c>
      <x:c r="B392" s="10" t="str">
        <x:v>ADMIN-01-0008</x:v>
      </x:c>
      <x:c r="C392" s="10" t="str">
        <x:v>工作台</x:v>
      </x:c>
      <x:c r="D392" s="10" t="str">
        <x:v>工作台（平台管理员视角）</x:v>
      </x:c>
      <x:c r="E392" s="10" t="str">
        <x:v>逻辑校验</x:v>
      </x:c>
      <x:c r="F392" s="10" t="str">
        <x:v>P1</x:v>
      </x:c>
      <x:c r="G392" s="9" t="str">
        <x:v>验证当日充值人数按账号去重</x:v>
      </x:c>
      <x:c r="H392" s="9" t="str">
        <x:v>充值账号去重人数</x:v>
      </x:c>
      <x:c r="I392" s="9" t="str">
        <x:v>1. 执行角色为平台管理员
2. 账号具有当前模块访问及本次操作权限
3. 业务数据已准备且本页已打开；表单和筛选保持下列指定状态
4. 甲有2笔成功充值，乙1笔成功，丙仅失败</x:v>
      </x:c>
      <x:c r="J392" s="9" t="str">
        <x:v>1. 查看工作台页</x:v>
      </x:c>
      <x:c r="K392" s="9" t="str">
        <x:v>充值人数显示2人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来源（当前证据）：liveshow-proto/MainBasis/统一需求文档.md；位置：REQ-31a430398065；行3498
2. 规则：BR-c008385ce58ed9d0
3. 未动态验证</x:v>
      </x:c>
    </x:row>
    <x:row r="393" ht="130" customHeight="1">
      <x:c r="A393" s="10" t="n">
        <x:v>392</x:v>
      </x:c>
      <x:c r="B393" s="10" t="str">
        <x:v>ADMIN-01-0009</x:v>
      </x:c>
      <x:c r="C393" s="10" t="str">
        <x:v>工作台</x:v>
      </x:c>
      <x:c r="D393" s="10" t="str">
        <x:v>工作台（平台管理员视角）</x:v>
      </x:c>
      <x:c r="E393" s="10" t="str">
        <x:v>逻辑校验</x:v>
      </x:c>
      <x:c r="F393" s="10" t="str">
        <x:v>P1</x:v>
      </x:c>
      <x:c r="G393" s="9" t="str">
        <x:v>验证新用户金额排除注册次日充值</x:v>
      </x:c>
      <x:c r="H393" s="9" t="str">
        <x:v>当日新用户充值金额</x:v>
      </x:c>
      <x:c r="I393" s="9" t="str">
        <x:v>1. 执行角色为平台管理员
2. 账号具有当前模块访问及本次操作权限
3. 业务数据已准备且本页已打开；表单和筛选保持下列指定状态
4. 甲当日注册并充值8USD，乙昨日注册今日充值2USD</x:v>
      </x:c>
      <x:c r="J393" s="9" t="str">
        <x:v>1. 查看工作台页</x:v>
      </x:c>
      <x:c r="K393" s="9" t="str">
        <x:v>新用户充值金额显示8USD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来源（当前证据）：liveshow-proto/MainBasis/统一需求文档.md；位置：REQ-0bec5136860b；行3500
2. 规则：BR-f0ed2c17cdd79c2a
3. 未动态验证</x:v>
      </x:c>
    </x:row>
    <x:row r="394" ht="130" customHeight="1">
      <x:c r="A394" s="10" t="n">
        <x:v>393</x:v>
      </x:c>
      <x:c r="B394" s="10" t="str">
        <x:v>ADMIN-01-0010</x:v>
      </x:c>
      <x:c r="C394" s="10" t="str">
        <x:v>工作台</x:v>
      </x:c>
      <x:c r="D394" s="10" t="str">
        <x:v>工作台（平台管理员视角）</x:v>
      </x:c>
      <x:c r="E394" s="10" t="str">
        <x:v>逻辑校验</x:v>
      </x:c>
      <x:c r="F394" s="10" t="str">
        <x:v>P1</x:v>
      </x:c>
      <x:c r="G394" s="9" t="str">
        <x:v>验证工作台有效天人数去重</x:v>
      </x:c>
      <x:c r="H394" s="9" t="str">
        <x:v>有效天达标人数</x:v>
      </x:c>
      <x:c r="I394" s="9" t="str">
        <x:v>1. 执行角色为平台管理员
2. 账号具有当前模块访问及本次操作权限
3. 业务数据已准备且本页已打开；表单和筛选保持下列指定状态
4. 甲有效直播180分钟、乙179分钟、丙360分钟</x:v>
      </x:c>
      <x:c r="J394" s="9" t="str">
        <x:v>1. 查看工作台页</x:v>
      </x:c>
      <x:c r="K394" s="9" t="str">
        <x:v>达成有效天主播显示2人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来源（当前证据）：liveshow-proto/MainBasis/统一需求文档.md；位置：REQ-3b5270c1d280；行3504
2. 规则：BR-22d03f3cdc1c4fd7
3. 未动态验证</x:v>
      </x:c>
    </x:row>
    <x:row r="395" ht="130" customHeight="1">
      <x:c r="A395" s="10" t="n">
        <x:v>394</x:v>
      </x:c>
      <x:c r="B395" s="10" t="str">
        <x:v>ADMIN-02-0013</x:v>
      </x:c>
      <x:c r="C395" s="10" t="str">
        <x:v>用户管理</x:v>
      </x:c>
      <x:c r="D395" s="10" t="str">
        <x:v>用户列表（平台管理员视角）</x:v>
      </x:c>
      <x:c r="E395" s="10" t="str">
        <x:v>逻辑校验</x:v>
      </x:c>
      <x:c r="F395" s="10" t="str">
        <x:v>P1</x:v>
      </x:c>
      <x:c r="G395" s="9" t="str">
        <x:v>验证用户累计充值只计实付成功</x:v>
      </x:c>
      <x:c r="H395" s="9" t="str">
        <x:v>累计实付充值金额</x:v>
      </x:c>
      <x:c r="I395" s="9" t="str">
        <x:v>1. 执行角色为平台管理员
2. 账号具有当前模块访问及本次操作权限
3. 业务数据已准备且本页已打开；表单和筛选保持下列指定状态
4. 甲成功实付8USD、失败10USD，成功订单标价10USD</x:v>
      </x:c>
      <x:c r="J395" s="9" t="str">
        <x:v>1. 查看用户列表页</x:v>
      </x:c>
      <x:c r="K395" s="9" t="str">
        <x:v>甲累计充值显示8USD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来源（当前证据）：liveshow-proto/MainBasis/统一需求文档.md；位置：REQ-f926f5cccd26；行3523
2. 规则：BR-0c5e98bfc25fb855
3. 未动态验证</x:v>
      </x:c>
    </x:row>
    <x:row r="396" ht="145" customHeight="1">
      <x:c r="A396" s="10" t="n">
        <x:v>395</x:v>
      </x:c>
      <x:c r="B396" s="10" t="str">
        <x:v>ADMIN-02-0014</x:v>
      </x:c>
      <x:c r="C396" s="10" t="str">
        <x:v>用户管理</x:v>
      </x:c>
      <x:c r="D396" s="10" t="str">
        <x:v>用户列表（平台管理员视角）</x:v>
      </x:c>
      <x:c r="E396" s="10" t="str">
        <x:v>逻辑校验</x:v>
      </x:c>
      <x:c r="F396" s="10" t="str">
        <x:v>P1</x:v>
      </x:c>
      <x:c r="G396" s="9" t="str">
        <x:v>验证用户注册筛选包含结束时点</x:v>
      </x:c>
      <x:c r="H396" s="9" t="str">
        <x:v>注册时间结束边界</x:v>
      </x:c>
      <x:c r="I396" s="9" t="str">
        <x:v>1. 执行角色为平台管理员
2. 账号具有当前模块访问及本次操作权限
3. 业务数据已准备且本页已打开；表单和筛选保持下列指定状态
4. 甲注册9月15日23:59:59，乙注册9月16日00:00:00，筛选9月15日</x:v>
      </x:c>
      <x:c r="J396" s="9" t="str">
        <x:v>1. 查看用户列表页</x:v>
      </x:c>
      <x:c r="K396" s="9" t="str">
        <x:v>结果包含甲且不含乙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来源（当前证据）：liveshow-proto/MainBasis/统一需求文档.md；位置：REQ-4025eed82fb6；行3531
2. 规则：BR-28f6824f0e993e9d
3. 未动态验证</x:v>
      </x:c>
    </x:row>
    <x:row r="397" ht="130" customHeight="1">
      <x:c r="A397" s="10" t="n">
        <x:v>396</x:v>
      </x:c>
      <x:c r="B397" s="10" t="str">
        <x:v>ADMIN-03-0039</x:v>
      </x:c>
      <x:c r="C397" s="10" t="str">
        <x:v>主播管理</x:v>
      </x:c>
      <x:c r="D397" s="10" t="str">
        <x:v>主播列表（平台管理员视角）</x:v>
      </x:c>
      <x:c r="E397" s="10" t="str">
        <x:v>逻辑校验</x:v>
      </x:c>
      <x:c r="F397" s="10" t="str">
        <x:v>P1</x:v>
      </x:c>
      <x:c r="G397" s="9" t="str">
        <x:v>验证主播封禁状态与直播权限分离</x:v>
      </x:c>
      <x:c r="H397" s="9" t="str">
        <x:v>账号状态独立显示</x:v>
      </x:c>
      <x:c r="I397" s="9" t="str">
        <x:v>1. 执行角色为平台管理员
2. 账号具有当前模块访问及本次操作权限
3. 业务数据已准备且本页已打开；表单和筛选保持下列指定状态
4. 主播账号正常，平台直播权限关闭</x:v>
      </x:c>
      <x:c r="J397" s="9" t="str">
        <x:v>1. 查看主播列表页</x:v>
      </x:c>
      <x:c r="K397" s="9" t="str">
        <x:v>账号状态仍显示正常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来源（当前证据）：liveshow-proto/MainBasis/统一需求文档.md；位置：REQ-223369b89fdf；行3571
2. 规则：BR-12afa8df4202e467
3. 未动态验证</x:v>
      </x:c>
    </x:row>
    <x:row r="398" ht="130" customHeight="1">
      <x:c r="A398" s="10" t="n">
        <x:v>397</x:v>
      </x:c>
      <x:c r="B398" s="10" t="str">
        <x:v>ADMIN-03-0040</x:v>
      </x:c>
      <x:c r="C398" s="10" t="str">
        <x:v>主播管理</x:v>
      </x:c>
      <x:c r="D398" s="10" t="str">
        <x:v>主播审核（平台管理员视角）</x:v>
      </x:c>
      <x:c r="E398" s="10" t="str">
        <x:v>逻辑校验</x:v>
      </x:c>
      <x:c r="F398" s="10" t="str">
        <x:v>P1</x:v>
      </x:c>
      <x:c r="G398" s="9" t="str">
        <x:v>验证重新认证申请使用新单号</x:v>
      </x:c>
      <x:c r="H398" s="9" t="str">
        <x:v>重提申请单号</x:v>
      </x:c>
      <x:c r="I398" s="9" t="str">
        <x:v>1. 执行角色为平台管理员
2. 账号具有当前模块访问及本次操作权限
3. 业务数据已准备且本页已打开；表单和筛选保持下列指定状态
4. 同一用户旧单A已驳回，重新提交B且公会通过</x:v>
      </x:c>
      <x:c r="J398" s="9" t="str">
        <x:v>1. 查看主播审核页</x:v>
      </x:c>
      <x:c r="K398" s="9" t="str">
        <x:v>B的申请单号不同于A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来源（当前证据）：liveshow-proto/MainBasis/统一需求文档.md；位置：REQ-adadf43fb7bd；行3609
2. 规则：BR-e988ba792bd8acd8
3. 未动态验证</x:v>
      </x:c>
    </x:row>
    <x:row r="399" ht="130" customHeight="1">
      <x:c r="A399" s="10" t="n">
        <x:v>398</x:v>
      </x:c>
      <x:c r="B399" s="10" t="str">
        <x:v>ADMIN-03-0041</x:v>
      </x:c>
      <x:c r="C399" s="10" t="str">
        <x:v>主播管理</x:v>
      </x:c>
      <x:c r="D399" s="10" t="str">
        <x:v>主播审核（平台管理员视角）</x:v>
      </x:c>
      <x:c r="E399" s="10" t="str">
        <x:v>逻辑校验</x:v>
      </x:c>
      <x:c r="F399" s="10" t="str">
        <x:v>P1</x:v>
      </x:c>
      <x:c r="G399" s="9" t="str">
        <x:v>验证认证列表采用公会提交平台时间</x:v>
      </x:c>
      <x:c r="H399" s="9" t="str">
        <x:v>公会提交时间</x:v>
      </x:c>
      <x:c r="I399" s="9" t="str">
        <x:v>1. 执行角色为平台管理员
2. 账号具有当前模块访问及本次操作权限
3. 业务数据已准备且本页已打开；表单和筛选保持下列指定状态
4. 用户9月14日申请，公会9月15日10:00通过并提交</x:v>
      </x:c>
      <x:c r="J399" s="9" t="str">
        <x:v>1. 查看主播审核页</x:v>
      </x:c>
      <x:c r="K399" s="9" t="str">
        <x:v>提交时间显示9月15日10:00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来源（当前证据）：liveshow-proto/MainBasis/统一需求文档.md；位置：REQ-6764ef697ed0；行3617
2. 规则：BR-707588aed86f7fe0
3. 未动态验证</x:v>
      </x:c>
    </x:row>
    <x:row r="400" ht="145" customHeight="1">
      <x:c r="A400" s="10" t="n">
        <x:v>399</x:v>
      </x:c>
      <x:c r="B400" s="10" t="str">
        <x:v>ADMIN-03-0042</x:v>
      </x:c>
      <x:c r="C400" s="10" t="str">
        <x:v>主播管理</x:v>
      </x:c>
      <x:c r="D400" s="10" t="str">
        <x:v>直播场次（平台管理员视角）</x:v>
      </x:c>
      <x:c r="E400" s="10" t="str">
        <x:v>逻辑校验</x:v>
      </x:c>
      <x:c r="F400" s="10" t="str">
        <x:v>P1</x:v>
      </x:c>
      <x:c r="G400" s="9" t="str">
        <x:v>验证场次观众去重并排除运营账号</x:v>
      </x:c>
      <x:c r="H400" s="9" t="str">
        <x:v>场次有效观众人数</x:v>
      </x:c>
      <x:c r="I400" s="9" t="str">
        <x:v>1. 执行角色为平台管理员
2. 账号具有当前模块访问及本次操作权限
3. 业务数据已准备且本页已打开；表单和筛选保持下列指定状态
4. 甲真实用户进入3次，乙真实用户进入1次，运营账号丙进入1次</x:v>
      </x:c>
      <x:c r="J400" s="9" t="str">
        <x:v>1. 查看直播场次页</x:v>
      </x:c>
      <x:c r="K400" s="9" t="str">
        <x:v>观众人数显示2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来源（当前证据）：liveshow-proto/MainBasis/统一需求文档.md；位置：REQ-f6533f5a2324；行3653
2. 规则：BR-c38321c7b520d490
3. 未动态验证</x:v>
      </x:c>
    </x:row>
    <x:row r="401" ht="115" customHeight="1">
      <x:c r="A401" s="10" t="n">
        <x:v>400</x:v>
      </x:c>
      <x:c r="B401" s="10" t="str">
        <x:v>ADMIN-03-0043</x:v>
      </x:c>
      <x:c r="C401" s="10" t="str">
        <x:v>主播管理</x:v>
      </x:c>
      <x:c r="D401" s="10" t="str">
        <x:v>直播场次（平台管理员视角）</x:v>
      </x:c>
      <x:c r="E401" s="10" t="str">
        <x:v>逻辑校验</x:v>
      </x:c>
      <x:c r="F401" s="10" t="str">
        <x:v>P1</x:v>
      </x:c>
      <x:c r="G401" s="9" t="str">
        <x:v>验证已结束场次时长取首尾时间</x:v>
      </x:c>
      <x:c r="H401" s="9" t="str">
        <x:v>结束场次累计时长</x:v>
      </x:c>
      <x:c r="I401" s="9" t="str">
        <x:v>1. 执行角色为平台管理员
2. 账号具有当前模块访问及本次操作权限
3. 业务数据已准备且本页已打开；表单和筛选保持下列指定状态
4. 场次10:00开始11:30结束</x:v>
      </x:c>
      <x:c r="J401" s="9" t="str">
        <x:v>1. 查看直播场次页</x:v>
      </x:c>
      <x:c r="K401" s="9" t="str">
        <x:v>直播时长显示1小时30分钟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来源（当前证据）：liveshow-proto/MainBasis/统一需求文档.md；位置：REQ-3ce993d9e96e；行3657
2. 规则：BR-65a86abb4e8918ca
3. 未动态验证</x:v>
      </x:c>
    </x:row>
    <x:row r="402" ht="130" customHeight="1">
      <x:c r="A402" s="10" t="n">
        <x:v>401</x:v>
      </x:c>
      <x:c r="B402" s="10" t="str">
        <x:v>ADMIN-03-0044</x:v>
      </x:c>
      <x:c r="C402" s="10" t="str">
        <x:v>主播管理</x:v>
      </x:c>
      <x:c r="D402" s="10" t="str">
        <x:v>直播场次（平台管理员视角）</x:v>
      </x:c>
      <x:c r="E402" s="10" t="str">
        <x:v>逻辑校验</x:v>
      </x:c>
      <x:c r="F402" s="10" t="str">
        <x:v>P1</x:v>
      </x:c>
      <x:c r="G402" s="9" t="str">
        <x:v>验证进行中场次时长取当前时间</x:v>
      </x:c>
      <x:c r="H402" s="9" t="str">
        <x:v>在播场次累计时长</x:v>
      </x:c>
      <x:c r="I402" s="9" t="str">
        <x:v>1. 执行角色为平台管理员
2. 账号具有当前模块访问及本次操作权限
3. 业务数据已准备且本页已打开；表单和筛选保持下列指定状态
4. 场次10:00开始，当前11:00且未结束</x:v>
      </x:c>
      <x:c r="J402" s="9" t="str">
        <x:v>1. 查看直播场次页</x:v>
      </x:c>
      <x:c r="K402" s="9" t="str">
        <x:v>直播时长显示1小时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来源（当前证据）：liveshow-proto/MainBasis/统一需求文档.md；位置：REQ-3ce993d9e96e；行3657
2. 规则：BR-ff6268a7ac5ca973
3. 未动态验证</x:v>
      </x:c>
    </x:row>
    <x:row r="403" ht="130" customHeight="1">
      <x:c r="A403" s="10" t="n">
        <x:v>402</x:v>
      </x:c>
      <x:c r="B403" s="10" t="str">
        <x:v>ADMIN-03-0045</x:v>
      </x:c>
      <x:c r="C403" s="10" t="str">
        <x:v>主播管理</x:v>
      </x:c>
      <x:c r="D403" s="10" t="str">
        <x:v>直播场次（平台管理员视角）</x:v>
      </x:c>
      <x:c r="E403" s="10" t="str">
        <x:v>逻辑校验</x:v>
      </x:c>
      <x:c r="F403" s="10" t="str">
        <x:v>P1</x:v>
      </x:c>
      <x:c r="G403" s="9" t="str">
        <x:v>验证场次收礼按成功件数累加</x:v>
      </x:c>
      <x:c r="H403" s="9" t="str">
        <x:v>成功收礼件数</x:v>
      </x:c>
      <x:c r="I403" s="9" t="str">
        <x:v>1. 执行角色为平台管理员
2. 账号具有当前模块访问及本次操作权限
3. 业务数据已准备且本页已打开；表单和筛选保持下列指定状态
4. 普通礼物成功3件、幸运礼物成功2件、另有失败4件</x:v>
      </x:c>
      <x:c r="J403" s="9" t="str">
        <x:v>1. 查看直播场次页</x:v>
      </x:c>
      <x:c r="K403" s="9" t="str">
        <x:v>收礼数量显示5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来源（当前证据）：liveshow-proto/MainBasis/统一需求文档.md；位置：REQ-e493708640a1；行3659
2. 规则：BR-37aabd654ecbcf5d
3. 未动态验证</x:v>
      </x:c>
    </x:row>
    <x:row r="404" ht="130" customHeight="1">
      <x:c r="A404" s="10" t="n">
        <x:v>403</x:v>
      </x:c>
      <x:c r="B404" s="10" t="str">
        <x:v>ADMIN-03-0046</x:v>
      </x:c>
      <x:c r="C404" s="10" t="str">
        <x:v>主播管理</x:v>
      </x:c>
      <x:c r="D404" s="10" t="str">
        <x:v>直播详情（平台管理员视角）</x:v>
      </x:c>
      <x:c r="E404" s="10" t="str">
        <x:v>逻辑校验</x:v>
      </x:c>
      <x:c r="F404" s="10" t="str">
        <x:v>P1</x:v>
      </x:c>
      <x:c r="G404" s="9" t="str">
        <x:v>验证场次详情保留旧主题快照</x:v>
      </x:c>
      <x:c r="H404" s="9" t="str">
        <x:v>历史主题快照</x:v>
      </x:c>
      <x:c r="I404" s="9" t="str">
        <x:v>1. 执行角色为平台管理员
2. 账号具有当前模块访问及本次操作权限
3. 业务数据已准备且本页已打开；表单和筛选保持下列指定状态
4. 旧场次主题为A，主播新场次主题改为B</x:v>
      </x:c>
      <x:c r="J404" s="9" t="str">
        <x:v>1. 查看直播详情页</x:v>
      </x:c>
      <x:c r="K404" s="9" t="str">
        <x:v>旧场次标题显示A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来源（当前证据）：liveshow-proto/MainBasis/统一需求文档.md；位置：REQ-2d2ddb82262a；行3672
2. 规则：BR-bf59e893c493bf7c
3. 未动态验证</x:v>
      </x:c>
    </x:row>
    <x:row r="405" ht="130" customHeight="1">
      <x:c r="A405" s="10" t="n">
        <x:v>404</x:v>
      </x:c>
      <x:c r="B405" s="10" t="str">
        <x:v>ADMIN-03-0047</x:v>
      </x:c>
      <x:c r="C405" s="10" t="str">
        <x:v>主播管理</x:v>
      </x:c>
      <x:c r="D405" s="10" t="str">
        <x:v>巡房排班（平台管理员视角）</x:v>
      </x:c>
      <x:c r="E405" s="10" t="str">
        <x:v>逻辑校验</x:v>
      </x:c>
      <x:c r="F405" s="10" t="str">
        <x:v>P1</x:v>
      </x:c>
      <x:c r="G405" s="9" t="str">
        <x:v>验证排班人数与有效人员一致</x:v>
      </x:c>
      <x:c r="H405" s="9" t="str">
        <x:v>有效排班人数</x:v>
      </x:c>
      <x:c r="I405" s="9" t="str">
        <x:v>1. 执行角色为平台管理员
2. 账号具有当前模块访问及本次操作权限
3. 业务数据已准备且本页已打开；表单和筛选保持下列指定状态
4. 当前排班有甲乙2名有效巡房人员</x:v>
      </x:c>
      <x:c r="J405" s="9" t="str">
        <x:v>1. 查看巡房排班页</x:v>
      </x:c>
      <x:c r="K405" s="9" t="str">
        <x:v>排班人数显示2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来源（当前证据）：liveshow-proto/MainBasis/统一需求文档.md；位置：REQ-80ed68710fe9；行3697
2. 规则：BR-a1b49cfdd4c12bb5
3. 未动态验证</x:v>
      </x:c>
    </x:row>
    <x:row r="406" ht="130" customHeight="1">
      <x:c r="A406" s="10" t="n">
        <x:v>405</x:v>
      </x:c>
      <x:c r="B406" s="10" t="str">
        <x:v>ADMIN-03-0048</x:v>
      </x:c>
      <x:c r="C406" s="10" t="str">
        <x:v>主播管理</x:v>
      </x:c>
      <x:c r="D406" s="10" t="str">
        <x:v>内容审核（平台管理员视角）</x:v>
      </x:c>
      <x:c r="E406" s="10" t="str">
        <x:v>逻辑校验</x:v>
      </x:c>
      <x:c r="F406" s="10" t="str">
        <x:v>P1</x:v>
      </x:c>
      <x:c r="G406" s="9" t="str">
        <x:v>验证告警采用命中时截图</x:v>
      </x:c>
      <x:c r="H406" s="9" t="str">
        <x:v>命中时告警截图</x:v>
      </x:c>
      <x:c r="I406" s="9" t="str">
        <x:v>1. 执行角色为平台管理员
2. 账号具有当前模块访问及本次操作权限
3. 业务数据已准备且本页已打开；表单和筛选保持下列指定状态
4. 命中截图A，当前直播画面已变为B</x:v>
      </x:c>
      <x:c r="J406" s="9" t="str">
        <x:v>1. 查看内容审核页</x:v>
      </x:c>
      <x:c r="K406" s="9" t="str">
        <x:v>告警截图仍为A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来源（当前证据）：liveshow-proto/MainBasis/统一需求文档.md；位置：REQ-ade6aaf52550；行3746
2. 规则：BR-135c243416a34767
3. 未动态验证</x:v>
      </x:c>
    </x:row>
    <x:row r="407" ht="130" customHeight="1">
      <x:c r="A407" s="10" t="n">
        <x:v>406</x:v>
      </x:c>
      <x:c r="B407" s="10" t="str">
        <x:v>ADMIN-04-0026</x:v>
      </x:c>
      <x:c r="C407" s="10" t="str">
        <x:v>举报处理</x:v>
      </x:c>
      <x:c r="D407" s="10" t="str">
        <x:v>账号违规（平台管理员视角）</x:v>
      </x:c>
      <x:c r="E407" s="10" t="str">
        <x:v>逻辑校验</x:v>
      </x:c>
      <x:c r="F407" s="10" t="str">
        <x:v>P1</x:v>
      </x:c>
      <x:c r="G407" s="9" t="str">
        <x:v>验证账号举报采用工单生成时间</x:v>
      </x:c>
      <x:c r="H407" s="9" t="str">
        <x:v>举报工单提交时间</x:v>
      </x:c>
      <x:c r="I407" s="9" t="str">
        <x:v>1. 执行角色为平台管理员
2. 账号具有当前模块访问及本次操作权限
3. 业务数据已准备且本页已打开；表单和筛选保持下列指定状态
4. 工单9月15日10:00生成，9月16日处理</x:v>
      </x:c>
      <x:c r="J407" s="9" t="str">
        <x:v>1. 查看账号违规页</x:v>
      </x:c>
      <x:c r="K407" s="9" t="str">
        <x:v>提交时间显示9月15日10:00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来源（当前证据）：liveshow-proto/MainBasis/统一需求文档.md；位置：REQ-3c1c025bcfe4；行3786
2. 规则：BR-f3be4394dd4f9236
3. 未动态验证</x:v>
      </x:c>
    </x:row>
    <x:row r="408" ht="130" customHeight="1">
      <x:c r="A408" s="10" t="n">
        <x:v>407</x:v>
      </x:c>
      <x:c r="B408" s="10" t="str">
        <x:v>ADMIN-05-0014</x:v>
      </x:c>
      <x:c r="C408" s="10" t="str">
        <x:v>公会管理</x:v>
      </x:c>
      <x:c r="D408" s="10" t="str">
        <x:v>公会详情（平台管理员视角）</x:v>
      </x:c>
      <x:c r="E408" s="10" t="str">
        <x:v>逻辑校验</x:v>
      </x:c>
      <x:c r="F408" s="10" t="str">
        <x:v>P1</x:v>
      </x:c>
      <x:c r="G408" s="9" t="str">
        <x:v>验证公会详情隔离外会主播</x:v>
      </x:c>
      <x:c r="H408" s="9" t="str">
        <x:v>本公会主播隔离</x:v>
      </x:c>
      <x:c r="I408" s="9" t="str">
        <x:v>1. 执行角色为平台管理员
2. 账号具有当前模块访问及本次操作权限
3. 业务数据已准备且本页已打开；表单和筛选保持下列指定状态
4. 甲当前属于A公会，乙属于B，当前查看A</x:v>
      </x:c>
      <x:c r="J408" s="9" t="str">
        <x:v>1. 查看公会详情页</x:v>
      </x:c>
      <x:c r="K408" s="9" t="str">
        <x:v>主播列表不显示乙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来源（当前证据）：liveshow-proto/MainBasis/统一需求文档.md；位置：REQ-7e8aa5a1b03d；行3904
2. 规则：BR-34f820215208b393
3. 未动态验证</x:v>
      </x:c>
    </x:row>
    <x:row r="409" ht="130" customHeight="1">
      <x:c r="A409" s="10" t="n">
        <x:v>408</x:v>
      </x:c>
      <x:c r="B409" s="10" t="str">
        <x:v>ADMIN-06-0059</x:v>
      </x:c>
      <x:c r="C409" s="10" t="str">
        <x:v>礼物道具</x:v>
      </x:c>
      <x:c r="D409" s="10" t="str">
        <x:v>道具配置（平台管理员视角）</x:v>
      </x:c>
      <x:c r="E409" s="10" t="str">
        <x:v>逻辑校验</x:v>
      </x:c>
      <x:c r="F409" s="10" t="str">
        <x:v>P1</x:v>
      </x:c>
      <x:c r="G409" s="9" t="str">
        <x:v>验证道具按权重倒序</x:v>
      </x:c>
      <x:c r="H409" s="9" t="str">
        <x:v>道具权重排序</x:v>
      </x:c>
      <x:c r="I409" s="9" t="str">
        <x:v>1. 执行角色为平台管理员
2. 账号具有当前模块访问及本次操作权限
3. 业务数据已准备且本页已打开；表单和筛选保持下列指定状态
4. 道具A权重1、B权重2，其他筛选一致</x:v>
      </x:c>
      <x:c r="J409" s="9" t="str">
        <x:v>1. 查看道具配置页</x:v>
      </x:c>
      <x:c r="K409" s="9" t="str">
        <x:v>B排列在A之前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来源（当前证据）：liveshow-proto/MainBasis/统一需求文档.md；位置：REQ-25100e7e30da；行4042
2. 规则：BR-f24d909b27061c9d
3. 未动态验证</x:v>
      </x:c>
    </x:row>
    <x:row r="410" ht="115" customHeight="1">
      <x:c r="A410" s="10" t="n">
        <x:v>409</x:v>
      </x:c>
      <x:c r="B410" s="10" t="str">
        <x:v>ADMIN-06-0060</x:v>
      </x:c>
      <x:c r="C410" s="10" t="str">
        <x:v>礼物道具</x:v>
      </x:c>
      <x:c r="D410" s="10" t="str">
        <x:v>道具详情（平台管理员视角）</x:v>
      </x:c>
      <x:c r="E410" s="10" t="str">
        <x:v>逻辑校验</x:v>
      </x:c>
      <x:c r="F410" s="10" t="str">
        <x:v>P1</x:v>
      </x:c>
      <x:c r="G410" s="9" t="str">
        <x:v>验证已有道具ID不可编辑</x:v>
      </x:c>
      <x:c r="H410" s="9" t="str">
        <x:v>道具ID只读</x:v>
      </x:c>
      <x:c r="I410" s="9" t="str">
        <x:v>1. 执行角色为平台管理员
2. 账号具有当前模块访问及本次操作权限
3. 业务数据已准备且本页已打开；表单和筛选保持下列指定状态
4. 当前编辑道具ID为P001</x:v>
      </x:c>
      <x:c r="J410" s="9" t="str">
        <x:v>1. 查看道具详情页</x:v>
      </x:c>
      <x:c r="K410" s="9" t="str">
        <x:v>道具ID不可编辑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来源（当前证据）：liveshow-proto/MainBasis/统一需求文档.md；位置：REQ-03268bba06f4；行4059
2. 规则：BR-18da316beca63c09
3. 未动态验证</x:v>
      </x:c>
    </x:row>
    <x:row r="411" ht="130" customHeight="1">
      <x:c r="A411" s="10" t="n">
        <x:v>410</x:v>
      </x:c>
      <x:c r="B411" s="10" t="str">
        <x:v>ADMIN-06-0061</x:v>
      </x:c>
      <x:c r="C411" s="10" t="str">
        <x:v>礼物道具</x:v>
      </x:c>
      <x:c r="D411" s="10" t="str">
        <x:v>道具详情（平台管理员视角）</x:v>
      </x:c>
      <x:c r="E411" s="10" t="str">
        <x:v>逻辑校验</x:v>
      </x:c>
      <x:c r="F411" s="10" t="str">
        <x:v>P1</x:v>
      </x:c>
      <x:c r="G411" s="9" t="str">
        <x:v>验证道具修改保留操作记录</x:v>
      </x:c>
      <x:c r="H411" s="9" t="str">
        <x:v>道具修改审计记录</x:v>
      </x:c>
      <x:c r="I411" s="9" t="str">
        <x:v>1. 执行角色为平台管理员
2. 账号具有当前模块访问及本次操作权限
3. 业务数据已准备且本页已打开；表单和筛选保持下列指定状态
4. 管理员qa-admin在9月16日10:00保存单价由10改为20</x:v>
      </x:c>
      <x:c r="J411" s="9" t="str">
        <x:v>1. 查看道具详情页</x:v>
      </x:c>
      <x:c r="K411" s="9" t="str">
        <x:v>操作记录包含qa-admin的该次价格修改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来源（当前证据）：liveshow-proto/MainBasis/统一需求文档.md；位置：REQ-ff8a065e154b；行4075
2. 规则：BR-22da73df2152a3fe
3. 未动态验证</x:v>
      </x:c>
    </x:row>
    <x:row r="412" ht="130" customHeight="1">
      <x:c r="A412" s="10" t="n">
        <x:v>411</x:v>
      </x:c>
      <x:c r="B412" s="10" t="str">
        <x:v>ADMIN-07-0108</x:v>
      </x:c>
      <x:c r="C412" s="10" t="str">
        <x:v>运营配置</x:v>
      </x:c>
      <x:c r="D412" s="10" t="str">
        <x:v>展位配置（平台管理员视角）</x:v>
      </x:c>
      <x:c r="E412" s="10" t="str">
        <x:v>逻辑校验</x:v>
      </x:c>
      <x:c r="F412" s="10" t="str">
        <x:v>P1</x:v>
      </x:c>
      <x:c r="G412" s="9" t="str">
        <x:v>验证展位素材数量取当前配置</x:v>
      </x:c>
      <x:c r="H412" s="9" t="str">
        <x:v>展位素材数量</x:v>
      </x:c>
      <x:c r="I412" s="9" t="str">
        <x:v>1. 执行角色为平台管理员
2. 账号具有当前模块访问及本次操作权限
3. 业务数据已准备且本页已打开；表单和筛选保持下列指定状态
4. 同一展位配置有3项轮播素材</x:v>
      </x:c>
      <x:c r="J412" s="9" t="str">
        <x:v>1. 查看展位配置页</x:v>
      </x:c>
      <x:c r="K412" s="9" t="str">
        <x:v>展示素材数量显示3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来源（当前证据）：liveshow-proto/MainBasis/统一需求文档.md；位置：REQ-0d4de4506e78；行4118
2. 规则：BR-d3c75a169e2d7fe6
3. 未动态验证</x:v>
      </x:c>
    </x:row>
    <x:row r="413" ht="130" customHeight="1">
      <x:c r="A413" s="10" t="n">
        <x:v>412</x:v>
      </x:c>
      <x:c r="B413" s="10" t="str">
        <x:v>ADMIN-07-0109</x:v>
      </x:c>
      <x:c r="C413" s="10" t="str">
        <x:v>运营配置</x:v>
      </x:c>
      <x:c r="D413" s="10" t="str">
        <x:v>展位配置（平台管理员视角）</x:v>
      </x:c>
      <x:c r="E413" s="10" t="str">
        <x:v>逻辑校验</x:v>
      </x:c>
      <x:c r="F413" s="10" t="str">
        <x:v>P1</x:v>
      </x:c>
      <x:c r="G413" s="9" t="str">
        <x:v>验证关闭展位即使在排期内仍隐藏</x:v>
      </x:c>
      <x:c r="H413" s="9" t="str">
        <x:v>关闭配置展示状态</x:v>
      </x:c>
      <x:c r="I413" s="9" t="str">
        <x:v>1. 执行角色为平台管理员
2. 账号具有当前模块访问及本次操作权限
3. 业务数据已准备且本页已打开；表单和筛选保持下列指定状态
4. 今天在排期内但配置状态关闭</x:v>
      </x:c>
      <x:c r="J413" s="9" t="str">
        <x:v>1. 查看展位配置页</x:v>
      </x:c>
      <x:c r="K413" s="9" t="str">
        <x:v>配置状态显示隐藏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来源（当前证据）：liveshow-proto/MainBasis/统一需求文档.md；位置：REQ-9b4d4ca94e66；行4122
2. 规则：BR-485364282a1036b5
3. 未动态验证</x:v>
      </x:c>
    </x:row>
    <x:row r="414" ht="130" customHeight="1">
      <x:c r="A414" s="10" t="n">
        <x:v>413</x:v>
      </x:c>
      <x:c r="B414" s="10" t="str">
        <x:v>ADMIN-07-0110</x:v>
      </x:c>
      <x:c r="C414" s="10" t="str">
        <x:v>运营配置</x:v>
      </x:c>
      <x:c r="D414" s="10" t="str">
        <x:v>展位配置（平台管理员视角）</x:v>
      </x:c>
      <x:c r="E414" s="10" t="str">
        <x:v>逻辑校验</x:v>
      </x:c>
      <x:c r="F414" s="10" t="str">
        <x:v>P1</x:v>
      </x:c>
      <x:c r="G414" s="9" t="str">
        <x:v>验证展位开始日前隐藏</x:v>
      </x:c>
      <x:c r="H414" s="9" t="str">
        <x:v>排期开始前展示状态</x:v>
      </x:c>
      <x:c r="I414" s="9" t="str">
        <x:v>1. 执行角色为平台管理员
2. 账号具有当前模块访问及本次操作权限
3. 业务数据已准备且本页已打开；表单和筛选保持下列指定状态
4. 配置启用，今天早于开始日1天</x:v>
      </x:c>
      <x:c r="J414" s="9" t="str">
        <x:v>1. 查看展位配置页</x:v>
      </x:c>
      <x:c r="K414" s="9" t="str">
        <x:v>配置状态显示隐藏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来源（当前证据）：liveshow-proto/MainBasis/统一需求文档.md；位置：REQ-9b4d4ca94e66；行4122
2. 规则：BR-cc57193926350ab4
3. 未动态验证</x:v>
      </x:c>
    </x:row>
    <x:row r="415" ht="130" customHeight="1">
      <x:c r="A415" s="10" t="n">
        <x:v>414</x:v>
      </x:c>
      <x:c r="B415" s="10" t="str">
        <x:v>ADMIN-07-0111</x:v>
      </x:c>
      <x:c r="C415" s="10" t="str">
        <x:v>运营配置</x:v>
      </x:c>
      <x:c r="D415" s="10" t="str">
        <x:v>展位配置（平台管理员视角）</x:v>
      </x:c>
      <x:c r="E415" s="10" t="str">
        <x:v>逻辑校验</x:v>
      </x:c>
      <x:c r="F415" s="10" t="str">
        <x:v>P1</x:v>
      </x:c>
      <x:c r="G415" s="9" t="str">
        <x:v>验证展位结束日后隐藏</x:v>
      </x:c>
      <x:c r="H415" s="9" t="str">
        <x:v>排期结束后展示状态</x:v>
      </x:c>
      <x:c r="I415" s="9" t="str">
        <x:v>1. 执行角色为平台管理员
2. 账号具有当前模块访问及本次操作权限
3. 业务数据已准备且本页已打开；表单和筛选保持下列指定状态
4. 配置启用，今天晚于结束日1天</x:v>
      </x:c>
      <x:c r="J415" s="9" t="str">
        <x:v>1. 查看展位配置页</x:v>
      </x:c>
      <x:c r="K415" s="9" t="str">
        <x:v>配置状态显示隐藏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来源（当前证据）：liveshow-proto/MainBasis/统一需求文档.md；位置：REQ-9b4d4ca94e66；行4122
2. 规则：BR-0f328e3233923be7
3. 未动态验证</x:v>
      </x:c>
    </x:row>
    <x:row r="416" ht="130" customHeight="1">
      <x:c r="A416" s="10" t="n">
        <x:v>415</x:v>
      </x:c>
      <x:c r="B416" s="10" t="str">
        <x:v>ADMIN-07-0112</x:v>
      </x:c>
      <x:c r="C416" s="10" t="str">
        <x:v>运营配置</x:v>
      </x:c>
      <x:c r="D416" s="10" t="str">
        <x:v>推送管理（平台管理员视角）</x:v>
      </x:c>
      <x:c r="E416" s="10" t="str">
        <x:v>逻辑校验</x:v>
      </x:c>
      <x:c r="F416" s="10" t="str">
        <x:v>P1</x:v>
      </x:c>
      <x:c r="G416" s="9" t="str">
        <x:v>验证推送列表显示中文标题</x:v>
      </x:c>
      <x:c r="H416" s="9" t="str">
        <x:v>推送中文列表标题</x:v>
      </x:c>
      <x:c r="I416" s="9" t="str">
        <x:v>1. 执行角色为平台管理员
2. 账号具有当前模块访问及本次操作权限
3. 业务数据已准备且本页已打开；表单和筛选保持下列指定状态
4. 同任务中文标题QA中文，英语标题QAEnglish</x:v>
      </x:c>
      <x:c r="J416" s="9" t="str">
        <x:v>1. 查看推送管理页</x:v>
      </x:c>
      <x:c r="K416" s="9" t="str">
        <x:v>列表标题显示QA中文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来源（当前证据）：liveshow-proto/MainBasis/统一需求文档.md；位置：REQ-319ba1ede3b6；行4160
2. 规则：BR-57fd39740036ed81
3. 未动态验证</x:v>
      </x:c>
    </x:row>
    <x:row r="417" ht="115" customHeight="1">
      <x:c r="A417" s="10" t="n">
        <x:v>416</x:v>
      </x:c>
      <x:c r="B417" s="10" t="str">
        <x:v>ADMIN-07-0113</x:v>
      </x:c>
      <x:c r="C417" s="10" t="str">
        <x:v>运营配置</x:v>
      </x:c>
      <x:c r="D417" s="10" t="str">
        <x:v>推送编辑（平台管理员视角）</x:v>
      </x:c>
      <x:c r="E417" s="10" t="str">
        <x:v>逻辑校验</x:v>
      </x:c>
      <x:c r="F417" s="10" t="str">
        <x:v>P1</x:v>
      </x:c>
      <x:c r="G417" s="9" t="str">
        <x:v>验证推送ID不允许修改</x:v>
      </x:c>
      <x:c r="H417" s="9" t="str">
        <x:v>推送ID只读</x:v>
      </x:c>
      <x:c r="I417" s="9" t="str">
        <x:v>1. 执行角色为平台管理员
2. 账号具有当前模块访问及本次操作权限
3. 业务数据已准备且本页已打开；表单和筛选保持下列指定状态
4. 当前任务已创建但未发送</x:v>
      </x:c>
      <x:c r="J417" s="9" t="str">
        <x:v>1. 查看推送编辑页</x:v>
      </x:c>
      <x:c r="K417" s="9" t="str">
        <x:v>推送ID不可编辑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来源（当前证据）：liveshow-proto/MainBasis/统一需求文档.md；位置：REQ-6e1fce05cb71；行4177
2. 规则：BR-b4e0356a58d9cbf6
3. 未动态验证</x:v>
      </x:c>
    </x:row>
    <x:row r="418" ht="130" customHeight="1">
      <x:c r="A418" s="10" t="n">
        <x:v>417</x:v>
      </x:c>
      <x:c r="B418" s="10" t="str">
        <x:v>ADMIN-07-0114</x:v>
      </x:c>
      <x:c r="C418" s="10" t="str">
        <x:v>运营配置</x:v>
      </x:c>
      <x:c r="D418" s="10" t="str">
        <x:v>充值套餐（平台管理员视角）</x:v>
      </x:c>
      <x:c r="E418" s="10" t="str">
        <x:v>逻辑校验</x:v>
      </x:c>
      <x:c r="F418" s="10" t="str">
        <x:v>P1</x:v>
      </x:c>
      <x:c r="G418" s="9" t="str">
        <x:v>验证套餐列表分别显示两平台到账金币</x:v>
      </x:c>
      <x:c r="H418" s="9" t="str">
        <x:v>iOS到账金币</x:v>
      </x:c>
      <x:c r="I418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418" s="9" t="str">
        <x:v>1. 查看充值套餐页</x:v>
      </x:c>
      <x:c r="K418" s="9" t="str">
        <x:v>iOS到账金币显示120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来源（当前证据）：liveshow-proto/MainBasis/统一需求文档.md；位置：REQ-a5a3c5ad5408；行4194
2. 规则：BR-11f4febba4e241d7
3. 未动态验证</x:v>
      </x:c>
    </x:row>
    <x:row r="419" ht="130" customHeight="1">
      <x:c r="A419" s="10" t="n">
        <x:v>418</x:v>
      </x:c>
      <x:c r="B419" s="10" t="str">
        <x:v>ADMIN-07-0115</x:v>
      </x:c>
      <x:c r="C419" s="10" t="str">
        <x:v>运营配置</x:v>
      </x:c>
      <x:c r="D419" s="10" t="str">
        <x:v>充值套餐（平台管理员视角）</x:v>
      </x:c>
      <x:c r="E419" s="10" t="str">
        <x:v>逻辑校验</x:v>
      </x:c>
      <x:c r="F419" s="10" t="str">
        <x:v>P1</x:v>
      </x:c>
      <x:c r="G419" s="9" t="str">
        <x:v>验证套餐列表Android到账合计</x:v>
      </x:c>
      <x:c r="H419" s="9" t="str">
        <x:v>Android到账金币</x:v>
      </x:c>
      <x:c r="I419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419" s="9" t="str">
        <x:v>1. 查看充值套餐页</x:v>
      </x:c>
      <x:c r="K419" s="9" t="str">
        <x:v>Android到账金币显示230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来源（当前证据）：liveshow-proto/MainBasis/统一需求文档.md；位置：REQ-a5a3c5ad5408；行4194
2. 规则：BR-90b75245bbc6620e
3. 未动态验证</x:v>
      </x:c>
    </x:row>
    <x:row r="420" ht="115" customHeight="1">
      <x:c r="A420" s="10" t="n">
        <x:v>419</x:v>
      </x:c>
      <x:c r="B420" s="10" t="str">
        <x:v>ADMIN-07-0116</x:v>
      </x:c>
      <x:c r="C420" s="10" t="str">
        <x:v>运营配置</x:v>
      </x:c>
      <x:c r="D420" s="10" t="str">
        <x:v>充值套餐编辑（平台管理员视角）</x:v>
      </x:c>
      <x:c r="E420" s="10" t="str">
        <x:v>逻辑校验</x:v>
      </x:c>
      <x:c r="F420" s="10" t="str">
        <x:v>P1</x:v>
      </x:c>
      <x:c r="G420" s="9" t="str">
        <x:v>验证套餐更新时间不可手工修改</x:v>
      </x:c>
      <x:c r="H420" s="9" t="str">
        <x:v>套餐更新时间只读</x:v>
      </x:c>
      <x:c r="I420" s="9" t="str">
        <x:v>1. 执行角色为平台管理员
2. 账号具有当前模块访问及本次操作权限
3. 业务数据已准备且本页已打开；表单和筛选保持下列指定状态
4. 当前编辑已有套餐</x:v>
      </x:c>
      <x:c r="J420" s="9" t="str">
        <x:v>1. 查看充值套餐编辑页</x:v>
      </x:c>
      <x:c r="K420" s="9" t="str">
        <x:v>更新时间不可编辑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来源（当前证据）：liveshow-proto/MainBasis/统一需求文档.md；位置：REQ-76864f7b32fa；行4219
2. 规则：BR-9f4f74f71d7398f3
3. 未动态验证</x:v>
      </x:c>
    </x:row>
    <x:row r="421" ht="130" customHeight="1">
      <x:c r="A421" s="10" t="n">
        <x:v>420</x:v>
      </x:c>
      <x:c r="B421" s="10" t="str">
        <x:v>ADMIN-07-0117</x:v>
      </x:c>
      <x:c r="C421" s="10" t="str">
        <x:v>运营配置</x:v>
      </x:c>
      <x:c r="D421" s="10" t="str">
        <x:v>任务编辑（平台管理员视角）</x:v>
      </x:c>
      <x:c r="E421" s="10" t="str">
        <x:v>逻辑校验</x:v>
      </x:c>
      <x:c r="F421" s="10" t="str">
        <x:v>P1</x:v>
      </x:c>
      <x:c r="G421" s="9" t="str">
        <x:v>验证任务指标限定可选周期</x:v>
      </x:c>
      <x:c r="H421" s="9" t="str">
        <x:v>指标支持的任务周期</x:v>
      </x:c>
      <x:c r="I421" s="9" t="str">
        <x:v>1. 执行角色为平台管理员
2. 账号具有当前模块访问及本次操作权限
3. 业务数据已准备且本页已打开；表单和筛选保持下列指定状态
4. 后台系统预置所选指标只支持每日和每周</x:v>
      </x:c>
      <x:c r="J421" s="9" t="str">
        <x:v>1. 查看任务编辑页</x:v>
      </x:c>
      <x:c r="K421" s="9" t="str">
        <x:v>周期选择中不提供每月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来源（当前证据）：liveshow-proto/MainBasis/统一需求文档.md；位置：REQ-5c03e90ebfc9；行4275
2. 规则：BR-37ea92345aea6de3
3. 未动态验证</x:v>
      </x:c>
    </x:row>
    <x:row r="422" ht="115" customHeight="1">
      <x:c r="A422" s="10" t="n">
        <x:v>421</x:v>
      </x:c>
      <x:c r="B422" s="10" t="str">
        <x:v>ADMIN-07-0118</x:v>
      </x:c>
      <x:c r="C422" s="10" t="str">
        <x:v>运营配置</x:v>
      </x:c>
      <x:c r="D422" s="10" t="str">
        <x:v>公会推荐（平台管理员视角）</x:v>
      </x:c>
      <x:c r="E422" s="10" t="str">
        <x:v>逻辑校验</x:v>
      </x:c>
      <x:c r="F422" s="10" t="str">
        <x:v>P1</x:v>
      </x:c>
      <x:c r="G422" s="9" t="str">
        <x:v>验证公会推荐按权重倒序</x:v>
      </x:c>
      <x:c r="H422" s="9" t="str">
        <x:v>推荐公会权重排序</x:v>
      </x:c>
      <x:c r="I422" s="9" t="str">
        <x:v>1. 执行角色为平台管理员
2. 账号具有当前模块访问及本次操作权限
3. 业务数据已准备且本页已打开；表单和筛选保持下列指定状态
4. 有效公会A权重1、B权重2</x:v>
      </x:c>
      <x:c r="J422" s="9" t="str">
        <x:v>1. 查看公会推荐页</x:v>
      </x:c>
      <x:c r="K422" s="9" t="str">
        <x:v>B排列在A之前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来源（当前证据）：liveshow-proto/MainBasis/统一需求文档.md；位置：REQ-7eb27df2e14d；行4292
2. 规则：BR-5d3bc3fb75d7fdd5
3. 未动态验证</x:v>
      </x:c>
    </x:row>
    <x:row r="423" ht="130" customHeight="1">
      <x:c r="A423" s="10" t="n">
        <x:v>422</x:v>
      </x:c>
      <x:c r="B423" s="10" t="str">
        <x:v>ADMIN-07-0119</x:v>
      </x:c>
      <x:c r="C423" s="10" t="str">
        <x:v>运营配置</x:v>
      </x:c>
      <x:c r="D423" s="10" t="str">
        <x:v>门票价格档位（平台管理员视角）</x:v>
      </x:c>
      <x:c r="E423" s="10" t="str">
        <x:v>逻辑校验</x:v>
      </x:c>
      <x:c r="F423" s="10" t="str">
        <x:v>P1</x:v>
      </x:c>
      <x:c r="G423" s="9" t="str">
        <x:v>验证门票档位按排序升序</x:v>
      </x:c>
      <x:c r="H423" s="9" t="str">
        <x:v>门票档位顺序</x:v>
      </x:c>
      <x:c r="I423" s="9" t="str">
        <x:v>1. 执行角色为平台管理员
2. 账号具有当前模块访问及本次操作权限
3. 业务数据已准备且本页已打开；表单和筛选保持下列指定状态
4. 10金币档位排序2，20金币档位排序1</x:v>
      </x:c>
      <x:c r="J423" s="9" t="str">
        <x:v>1. 查看门票价格档位页</x:v>
      </x:c>
      <x:c r="K423" s="9" t="str">
        <x:v>20金币档位排列在10金币档位之前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来源（当前证据）：liveshow-proto/MainBasis/统一需求文档.md；位置：REQ-ac4a4eff06b1；行4397
2. 规则：BR-1b7ba5d71978206f
3. 未动态验证</x:v>
      </x:c>
    </x:row>
    <x:row r="424" ht="115" customHeight="1">
      <x:c r="A424" s="10" t="n">
        <x:v>423</x:v>
      </x:c>
      <x:c r="B424" s="10" t="str">
        <x:v>ADMIN-07-0120</x:v>
      </x:c>
      <x:c r="C424" s="10" t="str">
        <x:v>运营配置</x:v>
      </x:c>
      <x:c r="D424" s="10" t="str">
        <x:v>门票价格档位编辑（平台管理员视角）</x:v>
      </x:c>
      <x:c r="E424" s="10" t="str">
        <x:v>逻辑校验</x:v>
      </x:c>
      <x:c r="F424" s="10" t="str">
        <x:v>P1</x:v>
      </x:c>
      <x:c r="G424" s="9" t="str">
        <x:v>验证门票档位ID不可修改</x:v>
      </x:c>
      <x:c r="H424" s="9" t="str">
        <x:v>档位ID只读</x:v>
      </x:c>
      <x:c r="I424" s="9" t="str">
        <x:v>1. 执行角色为平台管理员
2. 账号具有当前模块访问及本次操作权限
3. 业务数据已准备且本页已打开；表单和筛选保持下列指定状态
4. 当前编辑已有门票档位</x:v>
      </x:c>
      <x:c r="J424" s="9" t="str">
        <x:v>1. 查看门票价格档位编辑页</x:v>
      </x:c>
      <x:c r="K424" s="9" t="str">
        <x:v>档位ID不可编辑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来源（当前证据）：liveshow-proto/MainBasis/统一需求文档.md；位置：REQ-94707bfb0d9e；行4408
2. 规则：BR-a1c303ec565d974c
3. 未动态验证</x:v>
      </x:c>
    </x:row>
    <x:row r="425" ht="115" customHeight="1">
      <x:c r="A425" s="10" t="n">
        <x:v>424</x:v>
      </x:c>
      <x:c r="B425" s="10" t="str">
        <x:v>ADMIN-07-0121</x:v>
      </x:c>
      <x:c r="C425" s="10" t="str">
        <x:v>运营配置</x:v>
      </x:c>
      <x:c r="D425" s="10" t="str">
        <x:v>敏感词编辑（平台管理员视角）</x:v>
      </x:c>
      <x:c r="E425" s="10" t="str">
        <x:v>逻辑校验</x:v>
      </x:c>
      <x:c r="F425" s="10" t="str">
        <x:v>P1</x:v>
      </x:c>
      <x:c r="G425" s="9" t="str">
        <x:v>验证敏感词ID不可修改</x:v>
      </x:c>
      <x:c r="H425" s="9" t="str">
        <x:v>敏感词ID只读</x:v>
      </x:c>
      <x:c r="I425" s="9" t="str">
        <x:v>1. 执行角色为平台管理员
2. 账号具有当前模块访问及本次操作权限
3. 业务数据已准备且本页已打开；表单和筛选保持下列指定状态
4. 当前编辑已有敏感词</x:v>
      </x:c>
      <x:c r="J425" s="9" t="str">
        <x:v>1. 查看敏感词编辑页</x:v>
      </x:c>
      <x:c r="K425" s="9" t="str">
        <x:v>词条ID不可编辑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来源（当前证据）：liveshow-proto/MainBasis/统一需求文档.md；位置：REQ-17515d7f2715；行4442
2. 规则：BR-05be5fc05e43bdf2
3. 未动态验证</x:v>
      </x:c>
    </x:row>
    <x:row r="426" ht="130" customHeight="1">
      <x:c r="A426" s="10" t="n">
        <x:v>425</x:v>
      </x:c>
      <x:c r="B426" s="10" t="str">
        <x:v>ADMIN-08-0018</x:v>
      </x:c>
      <x:c r="C426" s="10" t="str">
        <x:v>订单管理</x:v>
      </x:c>
      <x:c r="D426" s="10" t="str">
        <x:v>充值订单（平台管理员视角）</x:v>
      </x:c>
      <x:c r="E426" s="10" t="str">
        <x:v>逻辑校验</x:v>
      </x:c>
      <x:c r="F426" s="10" t="str">
        <x:v>P1</x:v>
      </x:c>
      <x:c r="G426" s="9" t="str">
        <x:v>验证充值成功时间采用入账完成时点</x:v>
      </x:c>
      <x:c r="H426" s="9" t="str">
        <x:v>金币入账完成时间</x:v>
      </x:c>
      <x:c r="I426" s="9" t="str">
        <x:v>1. 执行角色为平台管理员
2. 账号具有当前模块访问及本次操作权限
3. 业务数据已准备且本页已打开；表单和筛选保持下列指定状态
4. 渠道支付10:00成功，金币10:01完成入账</x:v>
      </x:c>
      <x:c r="J426" s="9" t="str">
        <x:v>1. 查看充值订单页</x:v>
      </x:c>
      <x:c r="K426" s="9" t="str">
        <x:v>成功时间显示10:01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来源（当前证据）：liveshow-proto/MainBasis/统一需求文档.md；位置：REQ-7f813be30fd7；行4471
2. 规则：BR-f19a0be681805709
3. 未动态验证</x:v>
      </x:c>
    </x:row>
    <x:row r="427" ht="115" customHeight="1">
      <x:c r="A427" s="10" t="n">
        <x:v>426</x:v>
      </x:c>
      <x:c r="B427" s="10" t="str">
        <x:v>ADMIN-08-0019</x:v>
      </x:c>
      <x:c r="C427" s="10" t="str">
        <x:v>订单管理</x:v>
      </x:c>
      <x:c r="D427" s="10" t="str">
        <x:v>充值订单详情（平台管理员视角）</x:v>
      </x:c>
      <x:c r="E427" s="10" t="str">
        <x:v>逻辑校验</x:v>
      </x:c>
      <x:c r="F427" s="10" t="str">
        <x:v>P1</x:v>
      </x:c>
      <x:c r="G427" s="9" t="str">
        <x:v>验证充值渠道交易号只读</x:v>
      </x:c>
      <x:c r="H427" s="9" t="str">
        <x:v>渠道交易号只读</x:v>
      </x:c>
      <x:c r="I427" s="9" t="str">
        <x:v>1. 执行角色为平台管理员
2. 账号具有当前模块访问及本次操作权限
3. 业务数据已准备且本页已打开；表单和筛选保持下列指定状态
4. 原渠道交易号T001</x:v>
      </x:c>
      <x:c r="J427" s="9" t="str">
        <x:v>1. 查看充值订单详情页</x:v>
      </x:c>
      <x:c r="K427" s="9" t="str">
        <x:v>渠道交易号不可编辑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来源（当前证据）：liveshow-proto/MainBasis/统一需求文档.md；位置：REQ-c72fb3713d2f；行4482
2. 规则：BR-e93e883068e69eca
3. 未动态验证</x:v>
      </x:c>
    </x:row>
    <x:row r="428" ht="115" customHeight="1">
      <x:c r="A428" s="10" t="n">
        <x:v>427</x:v>
      </x:c>
      <x:c r="B428" s="10" t="str">
        <x:v>ADMIN-08-0020</x:v>
      </x:c>
      <x:c r="C428" s="10" t="str">
        <x:v>订单管理</x:v>
      </x:c>
      <x:c r="D428" s="10" t="str">
        <x:v>消费订单（平台管理员视角）</x:v>
      </x:c>
      <x:c r="E428" s="10" t="str">
        <x:v>逻辑校验</x:v>
      </x:c>
      <x:c r="F428" s="10" t="str">
        <x:v>P1</x:v>
      </x:c>
      <x:c r="G428" s="9" t="str">
        <x:v>验证消费类型枚举范围</x:v>
      </x:c>
      <x:c r="H428" s="9" t="str">
        <x:v>消费类型选项</x:v>
      </x:c>
      <x:c r="I428" s="9" t="str">
        <x:v>1. 执行角色为平台管理员
2. 账号具有当前模块访问及本次操作权限
3. 业务数据已准备且本页已打开；表单和筛选保持下列指定状态
4. 当前查询消费订单</x:v>
      </x:c>
      <x:c r="J428" s="9" t="str">
        <x:v>1. 查看消费订单页</x:v>
      </x:c>
      <x:c r="K428" s="9" t="str">
        <x:v>消费类型包含普通礼物、定制礼物、幸运礼物、门票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来源（当前证据）：liveshow-proto/MainBasis/统一需求文档.md；位置：REQ-eb15e7a904d2；行4507
2. 规则：BR-16a8f6776836a6ec
3. 未动态验证</x:v>
      </x:c>
    </x:row>
    <x:row r="429" ht="130" customHeight="1">
      <x:c r="A429" s="10" t="n">
        <x:v>428</x:v>
      </x:c>
      <x:c r="B429" s="10" t="str">
        <x:v>ADMIN-08-0021</x:v>
      </x:c>
      <x:c r="C429" s="10" t="str">
        <x:v>订单管理</x:v>
      </x:c>
      <x:c r="D429" s="10" t="str">
        <x:v>消费订单（平台管理员视角）</x:v>
      </x:c>
      <x:c r="E429" s="10" t="str">
        <x:v>逻辑校验</x:v>
      </x:c>
      <x:c r="F429" s="10" t="str">
        <x:v>P1</x:v>
      </x:c>
      <x:c r="G429" s="9" t="str">
        <x:v>验证失败消费不生成成功订单</x:v>
      </x:c>
      <x:c r="H429" s="9" t="str">
        <x:v>失败消费订单排除</x:v>
      </x:c>
      <x:c r="I429" s="9" t="str">
        <x:v>1. 执行角色为平台管理员
2. 账号具有当前模块访问及本次操作权限
3. 业务数据已准备且本页已打开；表单和筛选保持下列指定状态
4. 测试业务请求A因余额不足失败，另有成功B</x:v>
      </x:c>
      <x:c r="J429" s="9" t="str">
        <x:v>1. 查看消费订单页</x:v>
      </x:c>
      <x:c r="K429" s="9" t="str">
        <x:v>成功订单列表不包含请求A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来源（当前证据）：liveshow-proto/MainBasis/统一需求文档.md；位置：REQ-106eebc01ff5；行4519
2. 规则：BR-4379d1f0de07eb20
3. 未动态验证</x:v>
      </x:c>
    </x:row>
    <x:row r="430" ht="130" customHeight="1">
      <x:c r="A430" s="10" t="n">
        <x:v>429</x:v>
      </x:c>
      <x:c r="B430" s="10" t="str">
        <x:v>ADMIN-08-0022</x:v>
      </x:c>
      <x:c r="C430" s="10" t="str">
        <x:v>订单管理</x:v>
      </x:c>
      <x:c r="D430" s="10" t="str">
        <x:v>消费订单详情（平台管理员视角）</x:v>
      </x:c>
      <x:c r="E430" s="10" t="str">
        <x:v>逻辑校验</x:v>
      </x:c>
      <x:c r="F430" s="10" t="str">
        <x:v>P1</x:v>
      </x:c>
      <x:c r="G430" s="9" t="str">
        <x:v>验证消费归属保留发生时场次</x:v>
      </x:c>
      <x:c r="H430" s="9" t="str">
        <x:v>消费场次快照</x:v>
      </x:c>
      <x:c r="I430" s="9" t="str">
        <x:v>1. 执行角色为平台管理员
2. 账号具有当前模块访问及本次操作权限
3. 业务数据已准备且本页已打开；表单和筛选保持下列指定状态
4. 订单归属场次S1，主播后来开播S2</x:v>
      </x:c>
      <x:c r="J430" s="9" t="str">
        <x:v>1. 查看消费订单详情页</x:v>
      </x:c>
      <x:c r="K430" s="9" t="str">
        <x:v>消费去向场次ID仍为S1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来源（当前证据）：liveshow-proto/MainBasis/统一需求文档.md；位置：REQ-f03608ec5d48；行4540
2. 规则：BR-c7edca74b24cda41
3. 未动态验证</x:v>
      </x:c>
    </x:row>
    <x:row r="431" ht="130" customHeight="1">
      <x:c r="A431" s="10" t="n">
        <x:v>430</x:v>
      </x:c>
      <x:c r="B431" s="10" t="str">
        <x:v>ADMIN-08-0023</x:v>
      </x:c>
      <x:c r="C431" s="10" t="str">
        <x:v>订单管理</x:v>
      </x:c>
      <x:c r="D431" s="10" t="str">
        <x:v>退款订单（平台管理员视角）</x:v>
      </x:c>
      <x:c r="E431" s="10" t="str">
        <x:v>逻辑校验</x:v>
      </x:c>
      <x:c r="F431" s="10" t="str">
        <x:v>P1</x:v>
      </x:c>
      <x:c r="G431" s="9" t="str">
        <x:v>验证退款列表不列待处理申请</x:v>
      </x:c>
      <x:c r="H431" s="9" t="str">
        <x:v>已完成退款范围</x:v>
      </x:c>
      <x:c r="I431" s="9" t="str">
        <x:v>1. 执行角色为平台管理员
2. 账号具有当前模块访问及本次操作权限
3. 业务数据已准备且本页已打开；表单和筛选保持下列指定状态
4. 退款A已完成，退款B尚未完成</x:v>
      </x:c>
      <x:c r="J431" s="9" t="str">
        <x:v>1. 查看退款订单页</x:v>
      </x:c>
      <x:c r="K431" s="9" t="str">
        <x:v>列表不包含B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来源（当前证据）：liveshow-proto/MainBasis/统一需求文档.md；位置：REQ-9040f9614c63；行4559
2. 规则：BR-4e796d9b500e6fe6
3. 未动态验证</x:v>
      </x:c>
    </x:row>
    <x:row r="432" ht="130" customHeight="1">
      <x:c r="A432" s="10" t="n">
        <x:v>431</x:v>
      </x:c>
      <x:c r="B432" s="10" t="str">
        <x:v>ADMIN-09-0030</x:v>
      </x:c>
      <x:c r="C432" s="10" t="str">
        <x:v>财务分成</x:v>
      </x:c>
      <x:c r="D432" s="10" t="str">
        <x:v>主播分成记录（平台管理员视角）</x:v>
      </x:c>
      <x:c r="E432" s="10" t="str">
        <x:v>逻辑校验</x:v>
      </x:c>
      <x:c r="F432" s="10" t="str">
        <x:v>P1</x:v>
      </x:c>
      <x:c r="G432" s="9" t="str">
        <x:v>验证主播分成记录上传人</x:v>
      </x:c>
      <x:c r="H432" s="9" t="str">
        <x:v>分成批次上传人</x:v>
      </x:c>
      <x:c r="I432" s="9" t="str">
        <x:v>1. 执行角色为平台管理员
2. 账号具有当前模块访问及本次操作权限
3. 业务数据已准备且本页已打开；表单和筛选保持下列指定状态
4. qa-finance于9月16日10:00确认导入有效批次</x:v>
      </x:c>
      <x:c r="J432" s="9" t="str">
        <x:v>1. 查看主播分成记录页</x:v>
      </x:c>
      <x:c r="K432" s="9" t="str">
        <x:v>上传人显示qa-finance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来源（当前证据）：liveshow-proto/MainBasis/统一需求文档.md；位置：REQ-8abe1f20b1cf；行4582
2. 规则：BR-6c1781d82ef6512b
3. 未动态验证</x:v>
      </x:c>
    </x:row>
    <x:row r="433" ht="130" customHeight="1">
      <x:c r="A433" s="10" t="n">
        <x:v>432</x:v>
      </x:c>
      <x:c r="B433" s="10" t="str">
        <x:v>ADMIN-09-0031</x:v>
      </x:c>
      <x:c r="C433" s="10" t="str">
        <x:v>财务分成</x:v>
      </x:c>
      <x:c r="D433" s="10" t="str">
        <x:v>主播分成记录详情（平台管理员视角）</x:v>
      </x:c>
      <x:c r="E433" s="10" t="str">
        <x:v>逻辑校验</x:v>
      </x:c>
      <x:c r="F433" s="10" t="str">
        <x:v>P1</x:v>
      </x:c>
      <x:c r="G433" s="9" t="str">
        <x:v>验证分成详情人数按明细账号去重</x:v>
      </x:c>
      <x:c r="H433" s="9" t="str">
        <x:v>批次主播人数</x:v>
      </x:c>
      <x:c r="I433" s="9" t="str">
        <x:v>1. 执行角色为平台管理员
2. 账号具有当前模块访问及本次操作权限
3. 业务数据已准备且本页已打开；表单和筛选保持下列指定状态
4. 有效批次包含不同主播甲乙2人</x:v>
      </x:c>
      <x:c r="J433" s="9" t="str">
        <x:v>1. 查看主播分成记录详情页</x:v>
      </x:c>
      <x:c r="K433" s="9" t="str">
        <x:v>主播人数显示2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来源（当前证据）：liveshow-proto/MainBasis/统一需求文档.md；位置：REQ-a5534a598495；行4607
2. 规则：BR-2ef4a4d8195e2b7b
3. 未动态验证</x:v>
      </x:c>
    </x:row>
    <x:row r="434" ht="115" customHeight="1">
      <x:c r="A434" s="10" t="n">
        <x:v>433</x:v>
      </x:c>
      <x:c r="B434" s="10" t="str">
        <x:v>ADMIN-09-0032</x:v>
      </x:c>
      <x:c r="C434" s="10" t="str">
        <x:v>财务分成</x:v>
      </x:c>
      <x:c r="D434" s="10" t="str">
        <x:v>主播余额变更记录（平台管理员视角）</x:v>
      </x:c>
      <x:c r="E434" s="10" t="str">
        <x:v>逻辑校验</x:v>
      </x:c>
      <x:c r="F434" s="10" t="str">
        <x:v>P1</x:v>
      </x:c>
      <x:c r="G434" s="9" t="str">
        <x:v>验证主播余额修正流水不可修改</x:v>
      </x:c>
      <x:c r="H434" s="9" t="str">
        <x:v>主播修正流水只读</x:v>
      </x:c>
      <x:c r="I434" s="9" t="str">
        <x:v>1. 执行角色为平台管理员
2. 账号具有当前模块访问及本次操作权限
3. 业务数据已准备且本页已打开；表单和筛选保持下列指定状态
4. 已成功保存一条分成修正</x:v>
      </x:c>
      <x:c r="J434" s="9" t="str">
        <x:v>1. 查看主播余额变更记录页</x:v>
      </x:c>
      <x:c r="K434" s="9" t="str">
        <x:v>该修正流水无修改入口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来源（当前证据）：liveshow-proto/MainBasis/统一需求文档.md；位置：REQ-4d2a4bf5aa1c；行4641
2. 规则：BR-6f38cd09b7532794
3. 未动态验证</x:v>
      </x:c>
    </x:row>
    <x:row r="435" ht="115" customHeight="1">
      <x:c r="A435" s="10" t="n">
        <x:v>434</x:v>
      </x:c>
      <x:c r="B435" s="10" t="str">
        <x:v>ADMIN-09-0033</x:v>
      </x:c>
      <x:c r="C435" s="10" t="str">
        <x:v>财务分成</x:v>
      </x:c>
      <x:c r="D435" s="10" t="str">
        <x:v>公会余额变更记录（平台管理员视角）</x:v>
      </x:c>
      <x:c r="E435" s="10" t="str">
        <x:v>逻辑校验</x:v>
      </x:c>
      <x:c r="F435" s="10" t="str">
        <x:v>P1</x:v>
      </x:c>
      <x:c r="G435" s="9" t="str">
        <x:v>验证公会余额修正流水不可修改</x:v>
      </x:c>
      <x:c r="H435" s="9" t="str">
        <x:v>公会修正流水只读</x:v>
      </x:c>
      <x:c r="I435" s="9" t="str">
        <x:v>1. 执行角色为平台管理员
2. 账号具有当前模块访问及本次操作权限
3. 业务数据已准备且本页已打开；表单和筛选保持下列指定状态
4. 已成功保存一条分成修正</x:v>
      </x:c>
      <x:c r="J435" s="9" t="str">
        <x:v>1. 查看公会余额变更记录页</x:v>
      </x:c>
      <x:c r="K435" s="9" t="str">
        <x:v>该修正流水无修改入口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来源（当前证据）：liveshow-proto/MainBasis/统一需求文档.md；位置：REQ-a9314f185aec；行4704
2. 规则：BR-78af587eb111d99c
3. 未动态验证</x:v>
      </x:c>
    </x:row>
    <x:row r="436" ht="130" customHeight="1">
      <x:c r="A436" s="10" t="n">
        <x:v>435</x:v>
      </x:c>
      <x:c r="B436" s="10" t="str">
        <x:v>ADMIN-10-0058</x:v>
      </x:c>
      <x:c r="C436" s="10" t="str">
        <x:v>数据分析</x:v>
      </x:c>
      <x:c r="D436" s="10" t="str">
        <x:v>数据概览（平台管理员视角）</x:v>
      </x:c>
      <x:c r="E436" s="10" t="str">
        <x:v>逻辑校验</x:v>
      </x:c>
      <x:c r="F436" s="10" t="str">
        <x:v>P1</x:v>
      </x:c>
      <x:c r="G436" s="9" t="str">
        <x:v>验证概览充值人数按日累加</x:v>
      </x:c>
      <x:c r="H436" s="9" t="str">
        <x:v>每日人数累计口径</x:v>
      </x:c>
      <x:c r="I436" s="9" t="str">
        <x:v>1. 执行角色为平台管理员
2. 账号具有当前模块访问及本次操作权限
3. 业务数据已准备且本页已打开；表单和筛选保持下列指定状态
4. 甲连续两日充值，乙仅第二日充值，范围包含两日</x:v>
      </x:c>
      <x:c r="J436" s="9" t="str">
        <x:v>1. 查看数据概览页</x:v>
      </x:c>
      <x:c r="K436" s="9" t="str">
        <x:v>充值人数汇总显示3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来源（当前证据）：liveshow-proto/MainBasis/统一需求文档.md；位置：REQ-99032e5c96c7；行4728
2. 规则：BR-80a6722f39afc516
3. 未动态验证</x:v>
      </x:c>
    </x:row>
    <x:row r="437" ht="130" customHeight="1">
      <x:c r="A437" s="10" t="n">
        <x:v>436</x:v>
      </x:c>
      <x:c r="B437" s="10" t="str">
        <x:v>ADMIN-10-0059</x:v>
      </x:c>
      <x:c r="C437" s="10" t="str">
        <x:v>数据分析</x:v>
      </x:c>
      <x:c r="D437" s="10" t="str">
        <x:v>数据概览（平台管理员视角）</x:v>
      </x:c>
      <x:c r="E437" s="10" t="str">
        <x:v>逻辑校验</x:v>
      </x:c>
      <x:c r="F437" s="10" t="str">
        <x:v>P1</x:v>
      </x:c>
      <x:c r="G437" s="9" t="str">
        <x:v>验证概览有效天按主播天统计</x:v>
      </x:c>
      <x:c r="H437" s="9" t="str">
        <x:v>主播有效天累计口径</x:v>
      </x:c>
      <x:c r="I437" s="9" t="str">
        <x:v>1. 执行角色为平台管理员
2. 账号具有当前模块访问及本次操作权限
3. 业务数据已准备且本页已打开；表单和筛选保持下列指定状态
4. 甲两日均达标，乙仅第二日达标</x:v>
      </x:c>
      <x:c r="J437" s="9" t="str">
        <x:v>1. 查看数据概览页</x:v>
      </x:c>
      <x:c r="K437" s="9" t="str">
        <x:v>达成有效天主播汇总显示3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来源（当前证据）：liveshow-proto/MainBasis/统一需求文档.md；位置：REQ-cf60365eb27e；行4734
2. 规则：BR-a06d7b30010c3d4f
3. 未动态验证</x:v>
      </x:c>
    </x:row>
    <x:row r="438" ht="130" customHeight="1">
      <x:c r="A438" s="10" t="n">
        <x:v>437</x:v>
      </x:c>
      <x:c r="B438" s="10" t="str">
        <x:v>ADMIN-10-0060</x:v>
      </x:c>
      <x:c r="C438" s="10" t="str">
        <x:v>数据分析</x:v>
      </x:c>
      <x:c r="D438" s="10" t="str">
        <x:v>用户活跃汇总（每日）（平台管理员视角）</x:v>
      </x:c>
      <x:c r="E438" s="10" t="str">
        <x:v>逻辑校验</x:v>
      </x:c>
      <x:c r="F438" s="10" t="str">
        <x:v>P1</x:v>
      </x:c>
      <x:c r="G438" s="9" t="str">
        <x:v>验证付费用户按成功充值账号去重</x:v>
      </x:c>
      <x:c r="H438" s="9" t="str">
        <x:v>成功付费用户人数</x:v>
      </x:c>
      <x:c r="I438" s="9" t="str">
        <x:v>1. 执行角色为平台管理员
2. 账号具有当前模块访问及本次操作权限
3. 业务数据已准备且本页已打开；表单和筛选保持下列指定状态
4. 甲成功2笔，乙1笔，丙仅失败</x:v>
      </x:c>
      <x:c r="J438" s="9" t="str">
        <x:v>1. 查看用户活跃汇总（每日）页</x:v>
      </x:c>
      <x:c r="K438" s="9" t="str">
        <x:v>付费用户显示2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来源（当前证据）：liveshow-proto/MainBasis/统一需求文档.md；位置：REQ-a25bcaf736be；行4776
2. 规则：BR-df186cefb299de41
3. 未动态验证</x:v>
      </x:c>
    </x:row>
    <x:row r="439" ht="130" customHeight="1">
      <x:c r="A439" s="10" t="n">
        <x:v>438</x:v>
      </x:c>
      <x:c r="B439" s="10" t="str">
        <x:v>ADMIN-10-0061</x:v>
      </x:c>
      <x:c r="C439" s="10" t="str">
        <x:v>数据分析</x:v>
      </x:c>
      <x:c r="D439" s="10" t="str">
        <x:v>主播活跃汇总（每日）（平台管理员视角）</x:v>
      </x:c>
      <x:c r="E439" s="10" t="str">
        <x:v>逻辑校验</x:v>
      </x:c>
      <x:c r="F439" s="10" t="str">
        <x:v>P1</x:v>
      </x:c>
      <x:c r="G439" s="9" t="str">
        <x:v>验证违规主播按确认结论去重</x:v>
      </x:c>
      <x:c r="H439" s="9" t="str">
        <x:v>确认违规主播人数</x:v>
      </x:c>
      <x:c r="I439" s="9" t="str">
        <x:v>1. 执行角色为平台管理员
2. 账号具有当前模块访问及本次操作权限
3. 业务数据已准备且本页已打开；表单和筛选保持下列指定状态
4. 甲两个场次确认违规，乙一个场次确认违规，丙举报不成立</x:v>
      </x:c>
      <x:c r="J439" s="9" t="str">
        <x:v>1. 查看主播活跃汇总（每日）页</x:v>
      </x:c>
      <x:c r="K439" s="9" t="str">
        <x:v>违规主播显示2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来源（当前证据）：liveshow-proto/MainBasis/统一需求文档.md；位置：REQ-b300b08422de；行4799
2. 规则：BR-3a1a56e4fd880c40
3. 未动态验证</x:v>
      </x:c>
    </x:row>
    <x:row r="440" ht="130" customHeight="1">
      <x:c r="A440" s="10" t="n">
        <x:v>439</x:v>
      </x:c>
      <x:c r="B440" s="10" t="str">
        <x:v>ADMIN-10-0062</x:v>
      </x:c>
      <x:c r="C440" s="10" t="str">
        <x:v>数据分析</x:v>
      </x:c>
      <x:c r="D440" s="10" t="str">
        <x:v>主播活跃汇总（每日）（平台管理员视角）</x:v>
      </x:c>
      <x:c r="E440" s="10" t="str">
        <x:v>逻辑校验</x:v>
      </x:c>
      <x:c r="F440" s="10" t="str">
        <x:v>P1</x:v>
      </x:c>
      <x:c r="G440" s="9" t="str">
        <x:v>验证违规场次数独立去重</x:v>
      </x:c>
      <x:c r="H440" s="9" t="str">
        <x:v>确认违规场次数</x:v>
      </x:c>
      <x:c r="I440" s="9" t="str">
        <x:v>1. 执行角色为平台管理员
2. 账号具有当前模块访问及本次操作权限
3. 业务数据已准备且本页已打开；表单和筛选保持下列指定状态
4. 甲的S1、S2确认违规，S1含两条告警，乙S3确认违规</x:v>
      </x:c>
      <x:c r="J440" s="9" t="str">
        <x:v>1. 查看主播活跃汇总（每日）页</x:v>
      </x:c>
      <x:c r="K440" s="9" t="str">
        <x:v>违规场次显示3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来源（当前证据）：liveshow-proto/MainBasis/统一需求文档.md；位置：REQ-b300b08422de；行4799
2. 规则：BR-b6220c8b89c12362
3. 未动态验证</x:v>
      </x:c>
    </x:row>
    <x:row r="441" ht="130" customHeight="1">
      <x:c r="A441" s="10" t="n">
        <x:v>440</x:v>
      </x:c>
      <x:c r="B441" s="10" t="str">
        <x:v>ADMIN-10-0063</x:v>
      </x:c>
      <x:c r="C441" s="10" t="str">
        <x:v>数据分析</x:v>
      </x:c>
      <x:c r="D441" s="10" t="str">
        <x:v>充值消费汇总（每日）（平台管理员视角）</x:v>
      </x:c>
      <x:c r="E441" s="10" t="str">
        <x:v>逻辑校验</x:v>
      </x:c>
      <x:c r="F441" s="10" t="str">
        <x:v>P1</x:v>
      </x:c>
      <x:c r="G441" s="9" t="str">
        <x:v>验证充值订单量不同于充值人数</x:v>
      </x:c>
      <x:c r="H441" s="9" t="str">
        <x:v>成功充值订单数</x:v>
      </x:c>
      <x:c r="I441" s="9" t="str">
        <x:v>1. 执行角色为平台管理员
2. 账号具有当前模块访问及本次操作权限
3. 业务数据已准备且本页已打开；表单和筛选保持下列指定状态
4. 甲成功2笔、乙成功1笔，失败2笔</x:v>
      </x:c>
      <x:c r="J441" s="9" t="str">
        <x:v>1. 查看充值消费汇总（每日）页</x:v>
      </x:c>
      <x:c r="K441" s="9" t="str">
        <x:v>充值订单数显示3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来源（当前证据）：liveshow-proto/MainBasis/统一需求文档.md；位置：REQ-68bed920abc4；行4844
2. 规则：BR-bc62b40ae4e63ca7
3. 未动态验证</x:v>
      </x:c>
    </x:row>
    <x:row r="442" ht="130" customHeight="1">
      <x:c r="A442" s="10" t="n">
        <x:v>441</x:v>
      </x:c>
      <x:c r="B442" s="10" t="str">
        <x:v>ADMIN-10-0064</x:v>
      </x:c>
      <x:c r="C442" s="10" t="str">
        <x:v>数据分析</x:v>
      </x:c>
      <x:c r="D442" s="10" t="str">
        <x:v>充值消费汇总（每日）（平台管理员视角）</x:v>
      </x:c>
      <x:c r="E442" s="10" t="str">
        <x:v>逻辑校验</x:v>
      </x:c>
      <x:c r="F442" s="10" t="str">
        <x:v>P1</x:v>
      </x:c>
      <x:c r="G442" s="9" t="str">
        <x:v>验证系统赠送不混入套餐赠送</x:v>
      </x:c>
      <x:c r="H442" s="9" t="str">
        <x:v>系统赠送金币口径</x:v>
      </x:c>
      <x:c r="I442" s="9" t="str">
        <x:v>1. 执行角色为平台管理员
2. 账号具有当前模块访问及本次操作权限
3. 业务数据已准备且本页已打开；表单和筛选保持下列指定状态
4. 签到10金币、任务20金币、套餐赠送100金币</x:v>
      </x:c>
      <x:c r="J442" s="9" t="str">
        <x:v>1. 查看充值消费汇总（每日）页</x:v>
      </x:c>
      <x:c r="K442" s="9" t="str">
        <x:v>系统赠送金币显示30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来源（当前证据）：liveshow-proto/MainBasis/统一需求文档.md；位置：REQ-f7ae4d900984；行4850
2. 规则：BR-5b4a29d4089f716f
3. 未动态验证</x:v>
      </x:c>
    </x:row>
    <x:row r="443" ht="130" customHeight="1">
      <x:c r="A443" s="10" t="n">
        <x:v>442</x:v>
      </x:c>
      <x:c r="B443" s="10" t="str">
        <x:v>ADMIN-10-0065</x:v>
      </x:c>
      <x:c r="C443" s="10" t="str">
        <x:v>数据分析</x:v>
      </x:c>
      <x:c r="D443" s="10" t="str">
        <x:v>充值用户分层汇总（每日）（平台管理员视角）</x:v>
      </x:c>
      <x:c r="E443" s="10" t="str">
        <x:v>逻辑校验</x:v>
      </x:c>
      <x:c r="F443" s="10" t="str">
        <x:v>P1</x:v>
      </x:c>
      <x:c r="G443" s="9" t="str">
        <x:v>验证新老用户充值人数汇总</x:v>
      </x:c>
      <x:c r="H443" s="9" t="str">
        <x:v>新老充值人数合计</x:v>
      </x:c>
      <x:c r="I443" s="9" t="str">
        <x:v>1. 执行角色为平台管理员
2. 账号具有当前模块访问及本次操作权限
3. 业务数据已准备且本页已打开；表单和筛选保持下列指定状态
4. 当天新用户成功充值2人，老用户成功充值3人</x:v>
      </x:c>
      <x:c r="J443" s="9" t="str">
        <x:v>1. 查看充值用户分层汇总（每日）页</x:v>
      </x:c>
      <x:c r="K443" s="9" t="str">
        <x:v>总充值人数显示5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来源（当前证据）：liveshow-proto/MainBasis/统一需求文档.md；位置：REQ-444af72d77b3；行4867
2. 规则：BR-c4f2454e79a16402
3. 未动态验证</x:v>
      </x:c>
    </x:row>
    <x:row r="444" ht="130" customHeight="1">
      <x:c r="A444" s="10" t="n">
        <x:v>443</x:v>
      </x:c>
      <x:c r="B444" s="10" t="str">
        <x:v>ADMIN-10-0066</x:v>
      </x:c>
      <x:c r="C444" s="10" t="str">
        <x:v>数据分析</x:v>
      </x:c>
      <x:c r="D444" s="10" t="str">
        <x:v>月度收益支出汇总（平台管理员视角）</x:v>
      </x:c>
      <x:c r="E444" s="10" t="str">
        <x:v>逻辑校验</x:v>
      </x:c>
      <x:c r="F444" s="10" t="str">
        <x:v>P1</x:v>
      </x:c>
      <x:c r="G444" s="9" t="str">
        <x:v>验证月度充值按支付完成月</x:v>
      </x:c>
      <x:c r="H444" s="9" t="str">
        <x:v>支付完成月份归属</x:v>
      </x:c>
      <x:c r="I444" s="9" t="str">
        <x:v>1. 执行角色为平台管理员
2. 账号具有当前模块访问及本次操作权限
3. 业务数据已准备且本页已打开；表单和筛选保持下列指定状态
4. 8月订单9月完成支付10USD，另1笔8月已支付20USD</x:v>
      </x:c>
      <x:c r="J444" s="9" t="str">
        <x:v>1. 查看月度收益支出汇总页</x:v>
      </x:c>
      <x:c r="K444" s="9" t="str">
        <x:v>9月累计充值显示10USD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来源（当前证据）：liveshow-proto/MainBasis/统一需求文档.md；位置：REQ-b83ebf5af569；行4884
2. 规则：BR-c63a8b5b5519a916
3. 未动态验证</x:v>
      </x:c>
    </x:row>
    <x:row r="445" ht="130" customHeight="1">
      <x:c r="A445" s="10" t="n">
        <x:v>444</x:v>
      </x:c>
      <x:c r="B445" s="10" t="str">
        <x:v>ADMIN-11-0012</x:v>
      </x:c>
      <x:c r="C445" s="10" t="str">
        <x:v>运营账号</x:v>
      </x:c>
      <x:c r="D445" s="10" t="str">
        <x:v>发放记录（平台管理员视角）</x:v>
      </x:c>
      <x:c r="E445" s="10" t="str">
        <x:v>逻辑校验</x:v>
      </x:c>
      <x:c r="F445" s="10" t="str">
        <x:v>P1</x:v>
      </x:c>
      <x:c r="G445" s="9" t="str">
        <x:v>验证虚拟币发放记录采用成功时间</x:v>
      </x:c>
      <x:c r="H445" s="9" t="str">
        <x:v>虚拟币发放成功时间</x:v>
      </x:c>
      <x:c r="I445" s="9" t="str">
        <x:v>1. 执行角色为平台管理员
2. 账号具有当前模块访问及本次操作权限
3. 业务数据已准备且本页已打开；表单和筛选保持下列指定状态
4. 发放请求9月15日23:59发送，9月16日00:00成功</x:v>
      </x:c>
      <x:c r="J445" s="9" t="str">
        <x:v>1. 查看发放记录页</x:v>
      </x:c>
      <x:c r="K445" s="9" t="str">
        <x:v>发放时间显示9月16日00:00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来源（当前证据）：liveshow-proto/MainBasis/统一需求文档.md；位置：REQ-2094d88e1a4e；行5059
2. 规则：BR-94976bfc0c81585d
3. 未动态验证</x:v>
      </x:c>
    </x:row>
    <x:row r="446" ht="130" customHeight="1">
      <x:c r="A446" s="10" t="n">
        <x:v>445</x:v>
      </x:c>
      <x:c r="B446" s="10" t="str">
        <x:v>ADMIN-11-0013</x:v>
      </x:c>
      <x:c r="C446" s="10" t="str">
        <x:v>运营账号</x:v>
      </x:c>
      <x:c r="D446" s="10" t="str">
        <x:v>额度限制（平台管理员视角）</x:v>
      </x:c>
      <x:c r="E446" s="10" t="str">
        <x:v>逻辑校验</x:v>
      </x:c>
      <x:c r="F446" s="10" t="str">
        <x:v>P1</x:v>
      </x:c>
      <x:c r="G446" s="9" t="str">
        <x:v>验证公会剩余额度减已发放</x:v>
      </x:c>
      <x:c r="H446" s="9" t="str">
        <x:v>公会剩余虚拟币额度</x:v>
      </x:c>
      <x:c r="I446" s="9" t="str">
        <x:v>1. 执行角色为平台管理员
2. 账号具有当前模块访问及本次操作权限
3. 业务数据已准备且本页已打开；表单和筛选保持下列指定状态
4. 月额度1000金币，成功发放300，失败发放100</x:v>
      </x:c>
      <x:c r="J446" s="9" t="str">
        <x:v>1. 查看额度限制页</x:v>
      </x:c>
      <x:c r="K446" s="9" t="str">
        <x:v>本月剩余额度显示700金币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来源（当前证据）：liveshow-proto/MainBasis/统一需求文档.md；位置：REQ-78e10b0f32f4；行5099
2. 规则：BR-85fc7f7880de7aa7
3. 未动态验证</x:v>
      </x:c>
    </x:row>
    <x:row r="447" ht="130" customHeight="1">
      <x:c r="A447" s="10" t="n">
        <x:v>446</x:v>
      </x:c>
      <x:c r="B447" s="10" t="str">
        <x:v>ADMIN-11-0014</x:v>
      </x:c>
      <x:c r="C447" s="10" t="str">
        <x:v>运营账号</x:v>
      </x:c>
      <x:c r="D447" s="10" t="str">
        <x:v>额度限制（平台管理员视角）</x:v>
      </x:c>
      <x:c r="E447" s="10" t="str">
        <x:v>逻辑校验</x:v>
      </x:c>
      <x:c r="F447" s="10" t="str">
        <x:v>P1</x:v>
      </x:c>
      <x:c r="G447" s="9" t="str">
        <x:v>验证公会额度页汇总账号余额</x:v>
      </x:c>
      <x:c r="H447" s="9" t="str">
        <x:v>本公会运营余额合计</x:v>
      </x:c>
      <x:c r="I447" s="9" t="str">
        <x:v>1. 执行角色为平台管理员
2. 账号具有当前模块访问及本次操作权限
3. 业务数据已准备且本页已打开；表单和筛选保持下列指定状态
4. 本公会运营甲余额100、乙200，外公会丙1000</x:v>
      </x:c>
      <x:c r="J447" s="9" t="str">
        <x:v>1. 查看额度限制页</x:v>
      </x:c>
      <x:c r="K447" s="9" t="str">
        <x:v>账户余额累计显示300金币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来源（当前证据）：liveshow-proto/MainBasis/统一需求文档.md；位置：REQ-139b685952c3；行5095
2. 规则：BR-61844abe4df43aa9
3. 未动态验证</x:v>
      </x:c>
    </x:row>
    <x:row r="448" ht="130" customHeight="1">
      <x:c r="A448" s="10" t="n">
        <x:v>447</x:v>
      </x:c>
      <x:c r="B448" s="10" t="str">
        <x:v>ADMIN-11-0015</x:v>
      </x:c>
      <x:c r="C448" s="10" t="str">
        <x:v>运营账号</x:v>
      </x:c>
      <x:c r="D448" s="10" t="str">
        <x:v>额度限制（平台管理员视角）</x:v>
      </x:c>
      <x:c r="E448" s="10" t="str">
        <x:v>逻辑校验</x:v>
      </x:c>
      <x:c r="F448" s="10" t="str">
        <x:v>P1</x:v>
      </x:c>
      <x:c r="G448" s="9" t="str">
        <x:v>验证额度页消费不计失败记录</x:v>
      </x:c>
      <x:c r="H448" s="9" t="str">
        <x:v>月度成功虚拟币消费</x:v>
      </x:c>
      <x:c r="I448" s="9" t="str">
        <x:v>1. 执行角色为平台管理员
2. 账号具有当前模块访问及本次操作权限
3. 业务数据已准备且本页已打开；表单和筛选保持下列指定状态
4. 本月成功消费100金币，失败50，上月成功200</x:v>
      </x:c>
      <x:c r="J448" s="9" t="str">
        <x:v>1. 查看额度限制页</x:v>
      </x:c>
      <x:c r="K448" s="9" t="str">
        <x:v>本月累计消费显示100金币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来源（当前证据）：liveshow-proto/MainBasis/统一需求文档.md；位置：REQ-096f77b9e0b0；行5097
2. 规则：BR-d0e331b8055273c2
3. 未动态验证</x:v>
      </x:c>
    </x:row>
    <x:row r="449" ht="85" customHeight="1">
      <x:c r="A449" s="10" t="n">
        <x:v>448</x:v>
      </x:c>
      <x:c r="B449" s="10" t="str">
        <x:v>ADMIN-06-0062</x:v>
      </x:c>
      <x:c r="C449" s="10" t="str">
        <x:v>礼物道具</x:v>
      </x:c>
      <x:c r="D449" s="10" t="str">
        <x:v>道具详情（平台管理员视角）</x:v>
      </x:c>
      <x:c r="E449" s="10" t="str">
        <x:v>逻辑校验</x:v>
      </x:c>
      <x:c r="F449" s="10" t="str">
        <x:v>P1</x:v>
      </x:c>
      <x:c r="G449" s="9" t="str">
        <x:v>验证图标缺失禁止保存</x:v>
      </x:c>
      <x:c r="H449" s="9" t="str">
        <x:v>图标必填资源</x:v>
      </x:c>
      <x:c r="I449" s="9" t="str">
        <x:v>1. 执行角色为平台管理员
2. 账号具有当前模块访问及本次操作权限
3. 当前编辑表单除图标为空外其余字段均有效填写</x:v>
      </x:c>
      <x:c r="J449" s="9" t="str">
        <x:v>1. 点击保存</x:v>
      </x:c>
      <x:c r="K449" s="9" t="str">
        <x:v>不能保存缺少图标的配置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来源（当前证据）：liveshow-proto/MainBasis/统一需求文档.md；位置：REQ-e93d1cf50adf；行4067
2. 规则：BR-d7d6f678e7a1fd14
3. 未动态验证</x:v>
      </x:c>
    </x:row>
    <x:row r="450" ht="85" customHeight="1">
      <x:c r="A450" s="10" t="n">
        <x:v>449</x:v>
      </x:c>
      <x:c r="B450" s="10" t="str">
        <x:v>ADMIN-06-0063</x:v>
      </x:c>
      <x:c r="C450" s="10" t="str">
        <x:v>礼物道具</x:v>
      </x:c>
      <x:c r="D450" s="10" t="str">
        <x:v>道具详情（平台管理员视角）</x:v>
      </x:c>
      <x:c r="E450" s="10" t="str">
        <x:v>逻辑校验</x:v>
      </x:c>
      <x:c r="F450" s="10" t="str">
        <x:v>P1</x:v>
      </x:c>
      <x:c r="G450" s="9" t="str">
        <x:v>验证素材缺失禁止保存</x:v>
      </x:c>
      <x:c r="H450" s="9" t="str">
        <x:v>素材必填资源</x:v>
      </x:c>
      <x:c r="I450" s="9" t="str">
        <x:v>1. 执行角色为平台管理员
2. 账号具有当前模块访问及本次操作权限
3. 当前编辑表单除素材为空外其余字段均有效填写</x:v>
      </x:c>
      <x:c r="J450" s="9" t="str">
        <x:v>1. 点击保存</x:v>
      </x:c>
      <x:c r="K450" s="9" t="str">
        <x:v>不能保存缺少素材的配置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来源（当前证据）：liveshow-proto/MainBasis/统一需求文档.md；位置：REQ-e93d1cf50adf；行4067
2. 规则：BR-8b8d2763bd3b0902
3. 未动态验证</x:v>
      </x:c>
    </x:row>
    <x:row r="451" ht="85" customHeight="1">
      <x:c r="A451" s="10" t="n">
        <x:v>450</x:v>
      </x:c>
      <x:c r="B451" s="10" t="str">
        <x:v>ADMIN-07-0122</x:v>
      </x:c>
      <x:c r="C451" s="10" t="str">
        <x:v>运营配置</x:v>
      </x:c>
      <x:c r="D451" s="10" t="str">
        <x:v>充值套餐编辑（平台管理员视角）</x:v>
      </x:c>
      <x:c r="E451" s="10" t="str">
        <x:v>逻辑校验</x:v>
      </x:c>
      <x:c r="F451" s="10" t="str">
        <x:v>P1</x:v>
      </x:c>
      <x:c r="G451" s="9" t="str">
        <x:v>验证套餐封面缺失禁止保存</x:v>
      </x:c>
      <x:c r="H451" s="9" t="str">
        <x:v>套餐封面必填资源</x:v>
      </x:c>
      <x:c r="I451" s="9" t="str">
        <x:v>1. 执行角色为平台管理员
2. 账号具有当前模块访问及本次操作权限
3. 当前编辑表单除套餐封面为空外其余字段均有效填写</x:v>
      </x:c>
      <x:c r="J451" s="9" t="str">
        <x:v>1. 点击保存</x:v>
      </x:c>
      <x:c r="K451" s="9" t="str">
        <x:v>不能保存缺少套餐封面的配置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来源（当前证据）：liveshow-proto/MainBasis/统一需求文档.md；位置：REQ-16ad32844cfd；行4211
2. 规则：BR-a2dbe92c41cf1862
3. 未动态验证</x:v>
      </x:c>
    </x:row>
    <x:row r="452" ht="130" customHeight="1">
      <x:c r="A452" s="10" t="n">
        <x:v>451</x:v>
      </x:c>
      <x:c r="B452" s="10" t="str">
        <x:v>ADMIN-06-0064</x:v>
      </x:c>
      <x:c r="C452" s="10" t="str">
        <x:v>礼物道具</x:v>
      </x:c>
      <x:c r="D452" s="10" t="str">
        <x:v>普通礼物（平台管理员视角）</x:v>
      </x:c>
      <x:c r="E452" s="10" t="str">
        <x:v>逻辑校验</x:v>
      </x:c>
      <x:c r="F452" s="10" t="str">
        <x:v>P1</x:v>
      </x:c>
      <x:c r="G452" s="9" t="str">
        <x:v>验证下架普通礼物</x:v>
      </x:c>
      <x:c r="H452" s="9" t="str">
        <x:v>下架普通礼物状态</x:v>
      </x:c>
      <x:c r="I452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452" s="9" t="str">
        <x:v>1. 查看普通礼物页
2. 点击目标记录下架
3. 点击确认</x:v>
      </x:c>
      <x:c r="K452" s="9" t="str">
        <x:v>目标记录状态为下架</x:v>
      </x:c>
      <x:c r="L452" s="10" t="str">
        <x:v>FLOW-FC5592B45E</x:v>
      </x:c>
      <x:c r="M452" s="10" t="str">
        <x:v>未测</x:v>
      </x:c>
      <x:c r="N452" s="10" t="str"/>
      <x:c r="O452" s="9" t="str">
        <x:v>1. 来源（当前证据）：liveshow-proto/MainBasis/统一需求文档.md；位置：REQ-cf6da6aa2296；行3935
2. 规则：BR-b21d458ed69e6363
3. 未动态验证</x:v>
      </x:c>
    </x:row>
    <x:row r="453" ht="130" customHeight="1">
      <x:c r="A453" s="10" t="n">
        <x:v>452</x:v>
      </x:c>
      <x:c r="B453" s="10" t="str">
        <x:v>ADMIN-06-0065</x:v>
      </x:c>
      <x:c r="C453" s="10" t="str">
        <x:v>礼物道具</x:v>
      </x:c>
      <x:c r="D453" s="10" t="str">
        <x:v>定制礼物（平台管理员视角）</x:v>
      </x:c>
      <x:c r="E453" s="10" t="str">
        <x:v>逻辑校验</x:v>
      </x:c>
      <x:c r="F453" s="10" t="str">
        <x:v>P1</x:v>
      </x:c>
      <x:c r="G453" s="9" t="str">
        <x:v>验证提前下架定制礼物</x:v>
      </x:c>
      <x:c r="H453" s="9" t="str">
        <x:v>提前下架定制礼物状态</x:v>
      </x:c>
      <x:c r="I453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453" s="9" t="str">
        <x:v>1. 查看定制礼物页
2. 点击目标记录提前下架
3. 点击确认</x:v>
      </x:c>
      <x:c r="K453" s="9" t="str">
        <x:v>目标记录状态为已下架</x:v>
      </x:c>
      <x:c r="L453" s="10" t="str">
        <x:v>FLOW-FC5592B45E</x:v>
      </x:c>
      <x:c r="M453" s="10" t="str">
        <x:v>未测</x:v>
      </x:c>
      <x:c r="N453" s="10" t="str"/>
      <x:c r="O453" s="9" t="str">
        <x:v>1. 来源（当前证据）：liveshow-proto/MainBasis/统一需求文档.md；位置：REQ-d49d62c3629e；行3969、REQ-b241259b8ed6；行3973
2. 规则：BR-9a8863d0daa3ac01
3. 未动态验证</x:v>
      </x:c>
    </x:row>
    <x:row r="454" ht="130" customHeight="1">
      <x:c r="A454" s="10" t="n">
        <x:v>453</x:v>
      </x:c>
      <x:c r="B454" s="10" t="str">
        <x:v>ADMIN-06-0066</x:v>
      </x:c>
      <x:c r="C454" s="10" t="str">
        <x:v>礼物道具</x:v>
      </x:c>
      <x:c r="D454" s="10" t="str">
        <x:v>幸运礼物（平台管理员视角）</x:v>
      </x:c>
      <x:c r="E454" s="10" t="str">
        <x:v>逻辑校验</x:v>
      </x:c>
      <x:c r="F454" s="10" t="str">
        <x:v>P1</x:v>
      </x:c>
      <x:c r="G454" s="9" t="str">
        <x:v>验证下架幸运礼物</x:v>
      </x:c>
      <x:c r="H454" s="9" t="str">
        <x:v>下架幸运礼物状态</x:v>
      </x:c>
      <x:c r="I454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454" s="9" t="str">
        <x:v>1. 查看幸运礼物页
2. 点击目标记录下架
3. 点击确认</x:v>
      </x:c>
      <x:c r="K454" s="9" t="str">
        <x:v>目标记录状态为下架</x:v>
      </x:c>
      <x:c r="L454" s="10" t="str">
        <x:v>FLOW-FC5592B45E</x:v>
      </x:c>
      <x:c r="M454" s="10" t="str">
        <x:v>未测</x:v>
      </x:c>
      <x:c r="N454" s="10" t="str"/>
      <x:c r="O454" s="9" t="str">
        <x:v>1. 来源（当前证据）：liveshow-proto/MainBasis/统一需求文档.md；位置：REQ-9ed9db1c7eb2；行4002
2. 规则：BR-3562406658ecbf11
3. 未动态验证</x:v>
      </x:c>
    </x:row>
    <x:row r="455" ht="130" customHeight="1">
      <x:c r="A455" s="10" t="n">
        <x:v>454</x:v>
      </x:c>
      <x:c r="B455" s="10" t="str">
        <x:v>ADMIN-07-0123</x:v>
      </x:c>
      <x:c r="C455" s="10" t="str">
        <x:v>运营配置</x:v>
      </x:c>
      <x:c r="D455" s="10" t="str">
        <x:v>任务配置（平台管理员视角）</x:v>
      </x:c>
      <x:c r="E455" s="10" t="str">
        <x:v>逻辑校验</x:v>
      </x:c>
      <x:c r="F455" s="10" t="str">
        <x:v>P1</x:v>
      </x:c>
      <x:c r="G455" s="9" t="str">
        <x:v>验证停用任务</x:v>
      </x:c>
      <x:c r="H455" s="9" t="str">
        <x:v>停用任务状态</x:v>
      </x:c>
      <x:c r="I455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455" s="9" t="str">
        <x:v>1. 查看任务配置页
2. 点击目标记录停用
3. 点击确认</x:v>
      </x:c>
      <x:c r="K455" s="9" t="str">
        <x:v>目标记录状态为停用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来源（当前证据）：liveshow-proto/MainBasis/统一需求文档.md；位置：REQ-ae5ac2d2e488；行4262
2. 规则：BR-49c2ba09bd2814b3
3. 未动态验证</x:v>
      </x:c>
    </x:row>
    <x:row r="456" ht="85" customHeight="1">
      <x:c r="A456" s="10" t="n">
        <x:v>455</x:v>
      </x:c>
      <x:c r="B456" s="10" t="str">
        <x:v>ADMIN-12-0017</x:v>
      </x:c>
      <x:c r="C456" s="10" t="str">
        <x:v>系统配置</x:v>
      </x:c>
      <x:c r="D456" s="10" t="str">
        <x:v>后台账号（超级管理员视角）</x:v>
      </x:c>
      <x:c r="E456" s="10" t="str">
        <x:v>逻辑校验</x:v>
      </x:c>
      <x:c r="F456" s="10" t="str">
        <x:v>P1</x:v>
      </x:c>
      <x:c r="G456" s="9" t="str">
        <x:v>验证停用普通后台账号</x:v>
      </x:c>
      <x:c r="H456" s="9" t="str">
        <x:v>后台账号停用状态</x:v>
      </x:c>
      <x:c r="I456" s="9" t="str">
        <x:v>1. 执行角色为超级管理员
2. 目标为启用且非内置的后台账号</x:v>
      </x:c>
      <x:c r="J456" s="9" t="str">
        <x:v>1. 进入后台账号页
2. 点击目标记录停用
3. 填写原因为测试停用
4. 点击确认</x:v>
      </x:c>
      <x:c r="K456" s="9" t="str">
        <x:v>目标后台账号状态为停用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来源（当前证据）：liveshow-proto/MainBasis/统一需求文档.md；位置：REQ-a1d781e7c85d；行5124
2. 规则：BR-75df02324c8e11f1
3. 未动态验证</x:v>
      </x:c>
    </x:row>
    <x:row r="457" ht="85" customHeight="1">
      <x:c r="A457" s="10" t="n">
        <x:v>456</x:v>
      </x:c>
      <x:c r="B457" s="10" t="str">
        <x:v>ADMIN-12-0018</x:v>
      </x:c>
      <x:c r="C457" s="10" t="str">
        <x:v>系统配置</x:v>
      </x:c>
      <x:c r="D457" s="10" t="str">
        <x:v>角色管理（超级管理员视角）</x:v>
      </x:c>
      <x:c r="E457" s="10" t="str">
        <x:v>逻辑校验</x:v>
      </x:c>
      <x:c r="F457" s="10" t="str">
        <x:v>P1</x:v>
      </x:c>
      <x:c r="G457" s="9" t="str">
        <x:v>验证停用普通后台角色</x:v>
      </x:c>
      <x:c r="H457" s="9" t="str">
        <x:v>后台角色停用状态</x:v>
      </x:c>
      <x:c r="I457" s="9" t="str">
        <x:v>1. 执行角色为超级管理员
2. 目标为启用且非内置的后台角色</x:v>
      </x:c>
      <x:c r="J457" s="9" t="str">
        <x:v>1. 进入角色管理页
2. 点击目标记录停用
3. 点击确认</x:v>
      </x:c>
      <x:c r="K457" s="9" t="str">
        <x:v>目标后台角色状态为停用</x:v>
      </x:c>
      <x:c r="L457" s="10" t="str">
        <x:v>FLOW-4812DBCB31</x:v>
      </x:c>
      <x:c r="M457" s="10" t="str">
        <x:v>未测</x:v>
      </x:c>
      <x:c r="N457" s="10" t="str"/>
      <x:c r="O457" s="9" t="str">
        <x:v>1. 来源（当前证据）：liveshow-proto/MainBasis/统一需求文档.md；位置：REQ-bf002668f015；行5162
2. 规则：BR-bc807cb8dcf839aa
3. 未动态验证</x:v>
      </x:c>
    </x:row>
    <x:row r="458" ht="85" customHeight="1">
      <x:c r="A458" s="10" t="n">
        <x:v>457</x:v>
      </x:c>
      <x:c r="B458" s="10" t="str">
        <x:v>ADMIN-12-0019</x:v>
      </x:c>
      <x:c r="C458" s="10" t="str">
        <x:v>系统配置</x:v>
      </x:c>
      <x:c r="D458" s="10" t="str">
        <x:v>角色编辑（超级管理员视角）</x:v>
      </x:c>
      <x:c r="E458" s="10" t="str">
        <x:v>逻辑校验</x:v>
      </x:c>
      <x:c r="F458" s="10" t="str">
        <x:v>P1</x:v>
      </x:c>
      <x:c r="G458" s="9" t="str">
        <x:v>验证内置角色权限不可编辑</x:v>
      </x:c>
      <x:c r="H458" s="9" t="str">
        <x:v>内置角色权限保护</x:v>
      </x:c>
      <x:c r="I458" s="9" t="str">
        <x:v>1. 执行角色为超级管理员
2. 当前编辑内置超级管理员角色</x:v>
      </x:c>
      <x:c r="J458" s="9" t="str">
        <x:v>1. 进入角色编辑页</x:v>
      </x:c>
      <x:c r="K458" s="9" t="str">
        <x:v>权限树为全部权限且不可编辑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来源（当前证据）：liveshow-proto/MainBasis/统一需求文档.md；位置：REQ-351c4847c3db；行5179
2. 规则：BR-1064b56fbfd38523
3. 未动态验证</x:v>
      </x:c>
    </x:row>
    <x:row r="459" ht="100" customHeight="1">
      <x:c r="A459" s="10" t="n">
        <x:v>458</x:v>
      </x:c>
      <x:c r="B459" s="10" t="str">
        <x:v>ADMIN-02-0015</x:v>
      </x:c>
      <x:c r="C459" s="10" t="str">
        <x:v>用户管理</x:v>
      </x:c>
      <x:c r="D459" s="10" t="str">
        <x:v>用户详情（平台管理员视角）</x:v>
      </x:c>
      <x:c r="E459" s="10" t="str">
        <x:v>逻辑校验</x:v>
      </x:c>
      <x:c r="F459" s="10" t="str">
        <x:v>P1</x:v>
      </x:c>
      <x:c r="G459" s="9" t="str">
        <x:v>验证领取任务奖励后后台核对真实金币余额</x:v>
      </x:c>
      <x:c r="H459" s="9" t="str">
        <x:v>领取任务奖励后台余额</x:v>
      </x:c>
      <x:c r="I459" s="9" t="str">
        <x:v>1. 执行角色为平台管理员
2. 具有用户详情查看权限
3. U001操作前余额100金币；用户U001刚成功领取20金币任务奖励；前后无其他资产变动</x:v>
      </x:c>
      <x:c r="J459" s="9" t="str">
        <x:v>1. 进入用户详情页
2. 查看U001的金币余额</x:v>
      </x:c>
      <x:c r="K459" s="9" t="str">
        <x:v>金币余额显示120</x:v>
      </x:c>
      <x:c r="L459" s="10" t="str">
        <x:v>FLOW-D14CBCCB13</x:v>
      </x:c>
      <x:c r="M459" s="10" t="str">
        <x:v>未测</x:v>
      </x:c>
      <x:c r="N459" s="10" t="str"/>
      <x:c r="O459" s="9" t="str">
        <x:v>1. 来源（当前证据）：liveshow-proto/MainBasis/统一需求文档.md；位置：REQ-b9f528b0b887；行3546、REQ-4d23a709cc93；行207
2. 规则：BR-cf7bcbf3ef484825
3. 未动态验证</x:v>
      </x:c>
    </x:row>
    <x:row r="460" ht="100" customHeight="1">
      <x:c r="A460" s="10" t="n">
        <x:v>459</x:v>
      </x:c>
      <x:c r="B460" s="10" t="str">
        <x:v>ADMIN-02-0016</x:v>
      </x:c>
      <x:c r="C460" s="10" t="str">
        <x:v>用户管理</x:v>
      </x:c>
      <x:c r="D460" s="10" t="str">
        <x:v>用户详情（平台管理员视角）</x:v>
      </x:c>
      <x:c r="E460" s="10" t="str">
        <x:v>逻辑校验</x:v>
      </x:c>
      <x:c r="F460" s="10" t="str">
        <x:v>P1</x:v>
      </x:c>
      <x:c r="G460" s="9" t="str">
        <x:v>验证购买装扮后后台核对真实金币余额</x:v>
      </x:c>
      <x:c r="H460" s="9" t="str">
        <x:v>购买装扮后台余额</x:v>
      </x:c>
      <x:c r="I460" s="9" t="str">
        <x:v>1. 执行角色为平台管理员
2. 具有用户详情查看权限
3. U001操作前余额100金币；用户U001刚成功购买30金币且原未拥有的有效在售装扮；前后无其他资产变动</x:v>
      </x:c>
      <x:c r="J460" s="9" t="str">
        <x:v>1. 进入用户详情页
2. 查看U001的金币余额</x:v>
      </x:c>
      <x:c r="K460" s="9" t="str">
        <x:v>金币余额显示70</x:v>
      </x:c>
      <x:c r="L460" s="10" t="str">
        <x:v>FLOW-64E11A4076</x:v>
      </x:c>
      <x:c r="M460" s="10" t="str">
        <x:v>未测</x:v>
      </x:c>
      <x:c r="N460" s="10" t="str"/>
      <x:c r="O460" s="9" t="str">
        <x:v>1. 来源（当前证据）：liveshow-proto/MainBasis/统一需求文档.md；位置：REQ-b9f528b0b887；行3546、REQ-57d7b7987914；行441
2. 规则：BR-7f55af852efc6a51
3. 未动态验证</x:v>
      </x:c>
    </x:row>
    <x:row r="461" ht="100" customHeight="1">
      <x:c r="A461" s="10" t="n">
        <x:v>460</x:v>
      </x:c>
      <x:c r="B461" s="10" t="str">
        <x:v>ADMIN-02-0017</x:v>
      </x:c>
      <x:c r="C461" s="10" t="str">
        <x:v>用户管理</x:v>
      </x:c>
      <x:c r="D461" s="10" t="str">
        <x:v>用户详情（平台管理员视角）</x:v>
      </x:c>
      <x:c r="E461" s="10" t="str">
        <x:v>逻辑校验</x:v>
      </x:c>
      <x:c r="F461" s="10" t="str">
        <x:v>P1</x:v>
      </x:c>
      <x:c r="G461" s="9" t="str">
        <x:v>验证充值成功后后台核对真实金币余额</x:v>
      </x:c>
      <x:c r="H461" s="9" t="str">
        <x:v>充值成功后台余额</x:v>
      </x:c>
      <x:c r="I461" s="9" t="str">
        <x:v>1. 执行角色为平台管理员
2. 具有用户详情查看权限
3. U001操作前余额100金币；用户U001刚成功支付基础100金币、赠送20金币的套餐；前后无其他资产变动</x:v>
      </x:c>
      <x:c r="J461" s="9" t="str">
        <x:v>1. 进入用户详情页
2. 查看U001的金币余额</x:v>
      </x:c>
      <x:c r="K461" s="9" t="str">
        <x:v>金币余额显示220</x:v>
      </x:c>
      <x:c r="L461" s="10" t="str">
        <x:v>FLOW-2BA2481A2F</x:v>
      </x:c>
      <x:c r="M461" s="10" t="str">
        <x:v>未测</x:v>
      </x:c>
      <x:c r="N461" s="10" t="str"/>
      <x:c r="O461" s="9" t="str">
        <x:v>1. 来源（当前证据）：liveshow-proto/MainBasis/统一需求文档.md；位置：REQ-b9f528b0b887；行3546、REQ-781fe0384137；行1430
2. 规则：BR-be0dab1696a8fb00
3. 未动态验证</x:v>
      </x:c>
    </x:row>
    <x:row r="462" ht="145" customHeight="1">
      <x:c r="A462" s="10" t="n">
        <x:v>461</x:v>
      </x:c>
      <x:c r="B462" s="10" t="str">
        <x:v>ADMIN-02-0018</x:v>
      </x:c>
      <x:c r="C462" s="10" t="str">
        <x:v>用户管理</x:v>
      </x:c>
      <x:c r="D462" s="10" t="str">
        <x:v>用户详情（平台管理员视角）</x:v>
      </x:c>
      <x:c r="E462" s="10" t="str">
        <x:v>逻辑校验</x:v>
      </x:c>
      <x:c r="F462" s="10" t="str">
        <x:v>P1</x:v>
      </x:c>
      <x:c r="G462" s="9" t="str">
        <x:v>验证充值失败后后台核对真实金币余额</x:v>
      </x:c>
      <x:c r="H462" s="9" t="str">
        <x:v>充值失败后台余额</x:v>
      </x:c>
      <x:c r="I462" s="9" t="str">
        <x:v>1. 执行角色为平台管理员
2. 具有用户详情查看权限
3. U001操作前余额100金币；用户U001支付基础100金币、赠送20金币的套餐失败；环境准备：须有测试支付渠道或可模拟明确失败响应的能力，不能只断网并假定支付失败；前后无其他资产变动</x:v>
      </x:c>
      <x:c r="J462" s="9" t="str">
        <x:v>1. 进入用户详情页
2. 查看U001的金币余额</x:v>
      </x:c>
      <x:c r="K462" s="9" t="str">
        <x:v>金币余额显示100</x:v>
      </x:c>
      <x:c r="L462" s="10" t="str">
        <x:v>FLOW-2BA2481A2F</x:v>
      </x:c>
      <x:c r="M462" s="10" t="str">
        <x:v>未测</x:v>
      </x:c>
      <x:c r="N462" s="10" t="str"/>
      <x:c r="O462" s="9" t="str">
        <x:v>1. 来源（当前证据）：liveshow-proto/MainBasis/统一需求文档.md；位置：REQ-b9f528b0b887；行3546、REQ-0f976a55a068；行4469
2. 规则：BR-0e7a76b7ef57d119
3. 未动态验证</x:v>
      </x:c>
    </x:row>
    <x:row r="463" ht="100" customHeight="1">
      <x:c r="A463" s="10" t="n">
        <x:v>462</x:v>
      </x:c>
      <x:c r="B463" s="10" t="str">
        <x:v>ADMIN-08-0024</x:v>
      </x:c>
      <x:c r="C463" s="10" t="str">
        <x:v>订单管理</x:v>
      </x:c>
      <x:c r="D463" s="10" t="str">
        <x:v>消费订单（平台管理员视角）</x:v>
      </x:c>
      <x:c r="E463" s="10" t="str">
        <x:v>逻辑校验</x:v>
      </x:c>
      <x:c r="F463" s="10" t="str">
        <x:v>P1</x:v>
      </x:c>
      <x:c r="G463" s="9" t="str">
        <x:v>验证支付门票后后台保留场次消费订单</x:v>
      </x:c>
      <x:c r="H463" s="9" t="str">
        <x:v>门票消费订单承接</x:v>
      </x:c>
      <x:c r="I463" s="9" t="str">
        <x:v>1. 执行角色为平台管理员
2. 具有消费订单查看权限；观众U001刚成功支付主播H001场次S1的20金币门票；无重复支付</x:v>
      </x:c>
      <x:c r="J463" s="9" t="str">
        <x:v>1. 进入消费订单页
2. 查询用户U001的门票订单</x:v>
      </x:c>
      <x:c r="K463" s="9" t="str">
        <x:v>本次订单扣减金币显示20</x:v>
      </x:c>
      <x:c r="L463" s="10" t="str">
        <x:v>FLOW-4E34EF6321</x:v>
      </x:c>
      <x:c r="M463" s="10" t="str">
        <x:v>未测</x:v>
      </x:c>
      <x:c r="N463" s="10" t="str"/>
      <x:c r="O463" s="9" t="str">
        <x:v>1. 来源（当前证据）：liveshow-proto/MainBasis/统一需求文档.md；位置：REQ-eb15e7a904d2；行4507、REQ-24c467095327；行4511、REQ-c610764f5eb7；行1505
2. 规则：BR-be1a6bac3aa83385
3. 未动态验证</x:v>
      </x:c>
    </x:row>
    <x:row r="464" ht="100" customHeight="1">
      <x:c r="A464" s="10" t="n">
        <x:v>463</x:v>
      </x:c>
      <x:c r="B464" s="10" t="str">
        <x:v>ADMIN-04-0027</x:v>
      </x:c>
      <x:c r="C464" s="10" t="str">
        <x:v>举报处理</x:v>
      </x:c>
      <x:c r="D464" s="10" t="str">
        <x:v>举报详情（平台管理员视角）</x:v>
      </x:c>
      <x:c r="E464" s="10" t="str">
        <x:v>逻辑校验</x:v>
      </x:c>
      <x:c r="F464" s="10" t="str">
        <x:v>P1</x:v>
      </x:c>
      <x:c r="G464" s="9" t="str">
        <x:v>验证观众举报后后台承接原场次</x:v>
      </x:c>
      <x:c r="H464" s="9" t="str">
        <x:v>举报场次对象承接</x:v>
      </x:c>
      <x:c r="I464" s="9" t="str">
        <x:v>1. 执行角色为平台管理员
2. 具有举报查看权限；U001刚举报主播H001正在直播的场次S1，填写说明QA场次举报；平台已生成该工单</x:v>
      </x:c>
      <x:c r="J464" s="9" t="str">
        <x:v>1. 进入举报详情页
2. 查看本次举报的关联场次</x:v>
      </x:c>
      <x:c r="K464" s="9" t="str">
        <x:v>工单关联场次为S1</x:v>
      </x:c>
      <x:c r="L464" s="10" t="str">
        <x:v>FLOW-BA138CF190</x:v>
      </x:c>
      <x:c r="M464" s="10" t="str">
        <x:v>未测</x:v>
      </x:c>
      <x:c r="N464" s="10" t="str"/>
      <x:c r="O464" s="9" t="str">
        <x:v>1. 来源（当前证据）：liveshow-proto/MainBasis/统一需求文档.md；位置：REQ-cb55e9138675；行3816、REQ-567b55982c28；行3818、REQ-15a86faa9547；行500
2. 规则：BR-71e6ef208dbc6338
3. 未动态验证</x:v>
      </x:c>
    </x:row>
    <x:row r="465" ht="100" customHeight="1">
      <x:c r="A465" s="10" t="n">
        <x:v>464</x:v>
      </x:c>
      <x:c r="B465" s="10" t="str">
        <x:v>ADMIN-07-0124</x:v>
      </x:c>
      <x:c r="C465" s="10" t="str">
        <x:v>运营配置</x:v>
      </x:c>
      <x:c r="D465" s="10" t="str">
        <x:v>等级配置（平台管理员视角）</x:v>
      </x:c>
      <x:c r="E465" s="10" t="str">
        <x:v>逻辑校验</x:v>
      </x:c>
      <x:c r="F465" s="10" t="str">
        <x:v>P1</x:v>
      </x:c>
      <x:c r="G465" s="9" t="str">
        <x:v>验证保存合法主播等级配置</x:v>
      </x:c>
      <x:c r="H465" s="9" t="str">
        <x:v>合法主播等级配置生效</x:v>
      </x:c>
      <x:c r="I465" s="9" t="str">
        <x:v>1. 执行角色为平台管理员
2. 具有等级配置编辑权限
3. 主播等级2级门槛100、3级门槛300；所有等级图片齐全，等级行完整、门槛递增</x:v>
      </x:c>
      <x:c r="J465" s="9" t="str">
        <x:v>1. 进入等级配置页
2. 切换主播等级
3. 填写2级门槛为200
4. 点击保存
5. 刷新当前等级配置页
6. 切换主播等级</x:v>
      </x:c>
      <x:c r="K465" s="9" t="str">
        <x:v>2级门槛显示200</x:v>
      </x:c>
      <x:c r="L465" s="10" t="str">
        <x:v>FLOW-E1C8A420FD</x:v>
      </x:c>
      <x:c r="M465" s="10" t="str">
        <x:v>未测</x:v>
      </x:c>
      <x:c r="N465" s="10" t="str"/>
      <x:c r="O465" s="9" t="str">
        <x:v>1. 来源（当前证据）：liveshow-proto/MainBasis/统一需求文档.md；位置：REQ-12aaea005cec；行4332、REQ-399f8c398faf；行4334
2. 规则：BR-7824b84c0c3362f5
3. 未动态验证</x:v>
      </x:c>
    </x:row>
    <x:row r="466" ht="100" customHeight="1">
      <x:c r="A466" s="10" t="n">
        <x:v>465</x:v>
      </x:c>
      <x:c r="B466" s="10" t="str">
        <x:v>ADMIN-07-0125</x:v>
      </x:c>
      <x:c r="C466" s="10" t="str">
        <x:v>运营配置</x:v>
      </x:c>
      <x:c r="D466" s="10" t="str">
        <x:v>等级配置（平台管理员视角）</x:v>
      </x:c>
      <x:c r="E466" s="10" t="str">
        <x:v>逻辑校验</x:v>
      </x:c>
      <x:c r="F466" s="10" t="str">
        <x:v>P1</x:v>
      </x:c>
      <x:c r="G466" s="9" t="str">
        <x:v>验证保存合法财富等级配置</x:v>
      </x:c>
      <x:c r="H466" s="9" t="str">
        <x:v>合法财富等级配置生效</x:v>
      </x:c>
      <x:c r="I466" s="9" t="str">
        <x:v>1. 执行角色为平台管理员
2. 具有等级配置编辑权限
3. 财富等级2级门槛100、3级门槛300；所有等级图片齐全，等级行完整、门槛递增</x:v>
      </x:c>
      <x:c r="J466" s="9" t="str">
        <x:v>1. 进入等级配置页
2. 切换财富等级
3. 填写2级门槛为200
4. 点击保存
5. 刷新当前等级配置页
6. 切换财富等级</x:v>
      </x:c>
      <x:c r="K466" s="9" t="str">
        <x:v>2级门槛显示200</x:v>
      </x:c>
      <x:c r="L466" s="10" t="str">
        <x:v>FLOW-E1C8A420FD</x:v>
      </x:c>
      <x:c r="M466" s="10" t="str">
        <x:v>未测</x:v>
      </x:c>
      <x:c r="N466" s="10" t="str"/>
      <x:c r="O466" s="9" t="str">
        <x:v>1. 来源（当前证据）：liveshow-proto/MainBasis/统一需求文档.md；位置：REQ-12aaea005cec；行4332、REQ-399f8c398faf；行4334
2. 规则：BR-5e32ec9b9be6cfdf
3. 未动态验证</x:v>
      </x:c>
    </x:row>
    <x:row r="467" ht="100" customHeight="1">
      <x:c r="A467" s="10" t="n">
        <x:v>466</x:v>
      </x:c>
      <x:c r="B467" s="10" t="str">
        <x:v>ADMIN-07-0126</x:v>
      </x:c>
      <x:c r="C467" s="10" t="str">
        <x:v>运营配置</x:v>
      </x:c>
      <x:c r="D467" s="10" t="str">
        <x:v>等级配置（平台管理员视角）</x:v>
      </x:c>
      <x:c r="E467" s="10" t="str">
        <x:v>逻辑校验</x:v>
      </x:c>
      <x:c r="F467" s="10" t="str">
        <x:v>P1</x:v>
      </x:c>
      <x:c r="G467" s="9" t="str">
        <x:v>验证保存合法粉丝等级配置</x:v>
      </x:c>
      <x:c r="H467" s="9" t="str">
        <x:v>合法粉丝等级配置生效</x:v>
      </x:c>
      <x:c r="I467" s="9" t="str">
        <x:v>1. 执行角色为平台管理员
2. 具有等级配置编辑权限
3. 粉丝等级2级门槛100、3级门槛300；所有等级图片齐全，等级行完整、门槛递增</x:v>
      </x:c>
      <x:c r="J467" s="9" t="str">
        <x:v>1. 进入等级配置页
2. 切换粉丝等级
3. 填写2级门槛为200
4. 点击保存
5. 刷新当前等级配置页
6. 切换粉丝等级</x:v>
      </x:c>
      <x:c r="K467" s="9" t="str">
        <x:v>2级门槛显示200</x:v>
      </x:c>
      <x:c r="L467" s="10" t="str">
        <x:v>FLOW-E1C8A420FD</x:v>
      </x:c>
      <x:c r="M467" s="10" t="str">
        <x:v>未测</x:v>
      </x:c>
      <x:c r="N467" s="10" t="str"/>
      <x:c r="O467" s="9" t="str">
        <x:v>1. 来源（当前证据）：liveshow-proto/MainBasis/统一需求文档.md；位置：REQ-12aaea005cec；行4332、REQ-399f8c398faf；行4334
2. 规则：BR-a216df9ac2282252
3. 未动态验证</x:v>
      </x:c>
    </x:row>
    <x:row r="468" ht="100" customHeight="1">
      <x:c r="A468" s="10" t="n">
        <x:v>467</x:v>
      </x:c>
      <x:c r="B468" s="10" t="str">
        <x:v>ADMIN-07-0127</x:v>
      </x:c>
      <x:c r="C468" s="10" t="str">
        <x:v>运营配置</x:v>
      </x:c>
      <x:c r="D468" s="10" t="str">
        <x:v>等级配置（平台管理员视角）</x:v>
      </x:c>
      <x:c r="E468" s="10" t="str">
        <x:v>逻辑校验</x:v>
      </x:c>
      <x:c r="F468" s="10" t="str">
        <x:v>P1</x:v>
      </x:c>
      <x:c r="G468" s="9" t="str">
        <x:v>验证保存合法粉丝团等级配置</x:v>
      </x:c>
      <x:c r="H468" s="9" t="str">
        <x:v>合法粉丝团等级配置生效</x:v>
      </x:c>
      <x:c r="I468" s="9" t="str">
        <x:v>1. 执行角色为平台管理员
2. 具有等级配置编辑权限
3. 粉丝团等级2级门槛100、3级门槛300；所有等级图片齐全，等级行完整、门槛递增</x:v>
      </x:c>
      <x:c r="J468" s="9" t="str">
        <x:v>1. 进入等级配置页
2. 切换粉丝团等级
3. 填写2级门槛为200
4. 点击保存
5. 刷新当前等级配置页
6. 切换粉丝团等级</x:v>
      </x:c>
      <x:c r="K468" s="9" t="str">
        <x:v>2级门槛显示200</x:v>
      </x:c>
      <x:c r="L468" s="10" t="str">
        <x:v>FLOW-E1C8A420FD</x:v>
      </x:c>
      <x:c r="M468" s="10" t="str">
        <x:v>未测</x:v>
      </x:c>
      <x:c r="N468" s="10" t="str"/>
      <x:c r="O468" s="9" t="str">
        <x:v>1. 来源（当前证据）：liveshow-proto/MainBasis/统一需求文档.md；位置：REQ-12aaea005cec；行4332、REQ-399f8c398faf；行4334
2. 规则：BR-c50665a96b64cb67
3. 未动态验证</x:v>
      </x:c>
    </x:row>
    <x:row r="469" ht="85" customHeight="1">
      <x:c r="A469" s="10" t="n">
        <x:v>468</x:v>
      </x:c>
      <x:c r="B469" s="10" t="str">
        <x:v>ADMIN-12-0020</x:v>
      </x:c>
      <x:c r="C469" s="10" t="str">
        <x:v>系统配置</x:v>
      </x:c>
      <x:c r="D469" s="10" t="str">
        <x:v>角色编辑（超级管理员视角）</x:v>
      </x:c>
      <x:c r="E469" s="10" t="str">
        <x:v>逻辑校验</x:v>
      </x:c>
      <x:c r="F469" s="10" t="str">
        <x:v>P1</x:v>
      </x:c>
      <x:c r="G469" s="9" t="str">
        <x:v>验证保存角色修改后的权限</x:v>
      </x:c>
      <x:c r="H469" s="9" t="str">
        <x:v>角色权限保存生效</x:v>
      </x:c>
      <x:c r="I469" s="9" t="str">
        <x:v>1. 执行角色为超级管理员
2. 自建角色QA只读角色当前仅有用户列表查看权限；角色名称唯一且有效</x:v>
      </x:c>
      <x:c r="J469" s="9" t="str">
        <x:v>1. 进入角色编辑页
2. 选择权限树的主播列表查看权限
3. 点击保存
4. 刷新当前角色编辑页</x:v>
      </x:c>
      <x:c r="K469" s="9" t="str">
        <x:v>主播列表查看权限保持选中</x:v>
      </x:c>
      <x:c r="L469" s="10" t="str">
        <x:v>FLOW-BE14F5791B</x:v>
      </x:c>
      <x:c r="M469" s="10" t="str">
        <x:v>未测</x:v>
      </x:c>
      <x:c r="N469" s="10" t="str"/>
      <x:c r="O469" s="9" t="str">
        <x:v>1. 来源（当前证据）：liveshow-proto/MainBasis/统一需求文档.md；位置：REQ-d4c238cdbcf8；行5181
2. 规则：BR-c100c26e838b704f
3. 未动态验证</x:v>
      </x:c>
    </x:row>
    <x:row r="470" ht="100" customHeight="1">
      <x:c r="A470" s="10" t="n">
        <x:v>469</x:v>
      </x:c>
      <x:c r="B470" s="10" t="str">
        <x:v>ADMIN-05-0015</x:v>
      </x:c>
      <x:c r="C470" s="10" t="str">
        <x:v>公会管理</x:v>
      </x:c>
      <x:c r="D470" s="10" t="str">
        <x:v>公会列表（平台管理员视角）</x:v>
      </x:c>
      <x:c r="E470" s="10" t="str">
        <x:v>逻辑校验</x:v>
      </x:c>
      <x:c r="F470" s="10" t="str">
        <x:v>P1</x:v>
      </x:c>
      <x:c r="G470" s="9" t="str">
        <x:v>验证重新启用已停用公会</x:v>
      </x:c>
      <x:c r="H470" s="9" t="str">
        <x:v>公会恢复启用</x:v>
      </x:c>
      <x:c r="I470" s="9" t="str">
        <x:v>1. 执行角色为平台管理员
2. 具有公会管理权限；公会G001当前停用且未解散</x:v>
      </x:c>
      <x:c r="J470" s="9" t="str">
        <x:v>1. 进入公会列表页
2. 点击G001启用
3. 点击确认</x:v>
      </x:c>
      <x:c r="K470" s="9" t="str">
        <x:v>G001状态显示启用</x:v>
      </x:c>
      <x:c r="L470" s="10" t="str">
        <x:v>FLOW-A69D552849</x:v>
      </x:c>
      <x:c r="M470" s="10" t="str">
        <x:v>未测</x:v>
      </x:c>
      <x:c r="N470" s="10" t="str"/>
      <x:c r="O470" s="9" t="str">
        <x:v>1. 来源（当前证据）：liveshow-proto/MainBasis/统一需求文档.md；位置：REQ-00fcb3af14ad；行3879、REQ-dec051bc541b；行3871、REQ-68834a7974f0；行3887
2. 规则：BR-0dc073d1e5cba25d
3. 未动态验证</x:v>
      </x:c>
    </x:row>
    <x:row r="471" ht="100" customHeight="1">
      <x:c r="A471" s="10" t="n">
        <x:v>470</x:v>
      </x:c>
      <x:c r="B471" s="10" t="str">
        <x:v>ADMIN-11-0016</x:v>
      </x:c>
      <x:c r="C471" s="10" t="str">
        <x:v>运营账号</x:v>
      </x:c>
      <x:c r="D471" s="10" t="str">
        <x:v>账号列表（平台管理员视角）</x:v>
      </x:c>
      <x:c r="E471" s="10" t="str">
        <x:v>逻辑校验</x:v>
      </x:c>
      <x:c r="F471" s="10" t="str">
        <x:v>P1</x:v>
      </x:c>
      <x:c r="G471" s="9" t="str">
        <x:v>验证公会创建运营账号后平台列表可查</x:v>
      </x:c>
      <x:c r="H471" s="9" t="str">
        <x:v>新建运营账号平台归属</x:v>
      </x:c>
      <x:c r="I471" s="9" t="str">
        <x:v>1. 执行角色为平台管理员
2. 具有运营账号查询权限；环境准备：公会G001刚成功创建账号O001，名称QA运营甲；记录实际系统生成的账号ID</x:v>
      </x:c>
      <x:c r="J471" s="9" t="str">
        <x:v>1. 进入账号列表页
2. 查询账号O001</x:v>
      </x:c>
      <x:c r="K471" s="9" t="str">
        <x:v>列表中O001所属公会显示G001</x:v>
      </x:c>
      <x:c r="L471" s="10" t="str">
        <x:v>FLOW-9DD46CA244</x:v>
      </x:c>
      <x:c r="M471" s="10" t="str">
        <x:v>未测</x:v>
      </x:c>
      <x:c r="N471" s="10" t="str"/>
      <x:c r="O471" s="9" t="str">
        <x:v>1. 来源（当前证据）：liveshow-proto/MainBasis/统一需求文档.md；位置：REQ-28bc0a8c14a2；行5012、REQ-18e6f92ab030；行3133
2. 规则：BR-e27d2b39b3eed22c
3. 未动态验证</x:v>
      </x:c>
    </x:row>
    <x:row r="472" ht="100" customHeight="1">
      <x:c r="A472" s="10" t="n">
        <x:v>471</x:v>
      </x:c>
      <x:c r="B472" s="10" t="str">
        <x:v>ADMIN-02-0019</x:v>
      </x:c>
      <x:c r="C472" s="10" t="str">
        <x:v>用户管理</x:v>
      </x:c>
      <x:c r="D472" s="10" t="str">
        <x:v>用户列表（平台管理员视角）</x:v>
      </x:c>
      <x:c r="E472" s="10" t="str">
        <x:v>逻辑校验</x:v>
      </x:c>
      <x:c r="F472" s="10" t="str">
        <x:v>P1</x:v>
      </x:c>
      <x:c r="G472" s="9" t="str">
        <x:v>验证公会移除主播后后台关系解除</x:v>
      </x:c>
      <x:c r="H472" s="9" t="str">
        <x:v>移除主播的后台公会关系</x:v>
      </x:c>
      <x:c r="I472" s="9" t="str">
        <x:v>1. 执行角色为平台管理员
2. 具有用户查询权限；甲原在G001，收益已结清；环境准备：公会长刚将甲移出，甲尚未加入其他公会</x:v>
      </x:c>
      <x:c r="J472" s="9" t="str">
        <x:v>1. 进入用户列表页
2. 查询甲的用户ID</x:v>
      </x:c>
      <x:c r="K472" s="9" t="str">
        <x:v>甲所属公会显示“-”</x:v>
      </x:c>
      <x:c r="L472" s="10" t="str">
        <x:v>FLOW-EA7D49B97D</x:v>
      </x:c>
      <x:c r="M472" s="10" t="str">
        <x:v>未测</x:v>
      </x:c>
      <x:c r="N472" s="10" t="str"/>
      <x:c r="O472" s="9" t="str">
        <x:v>1. 来源（当前证据）：liveshow-proto/MainBasis/统一需求文档.md；位置：REQ-a5f248334789；行3529、REQ-e479d67b9151；行3013
2. 规则：BR-b780de34f7c22e0f
3. 未动态验证</x:v>
      </x:c>
    </x:row>
    <x:row r="473" ht="100" customHeight="1">
      <x:c r="A473" s="10" t="n">
        <x:v>472</x:v>
      </x:c>
      <x:c r="B473" s="10" t="str">
        <x:v>ADMIN-03-0049</x:v>
      </x:c>
      <x:c r="C473" s="10" t="str">
        <x:v>主播管理</x:v>
      </x:c>
      <x:c r="D473" s="10" t="str">
        <x:v>主播详情（平台管理员视角）</x:v>
      </x:c>
      <x:c r="E473" s="10" t="str">
        <x:v>逻辑校验</x:v>
      </x:c>
      <x:c r="F473" s="10" t="str">
        <x:v>P1</x:v>
      </x:c>
      <x:c r="G473" s="9" t="str">
        <x:v>验证恢复公会管理权限</x:v>
      </x:c>
      <x:c r="H473" s="9" t="str">
        <x:v>平台解除公会管理锁定</x:v>
      </x:c>
      <x:c r="I473" s="9" t="str">
        <x:v>1. 执行角色为平台管理员
2. 具有主播权限管理权；甲的平台权限开启，公会管理权限关闭，公会锁定前配置为关闭</x:v>
      </x:c>
      <x:c r="J473" s="9" t="str">
        <x:v>1. 进入主播详情页
2. 启用公会管理权限
3. 填写原因为恢复公会管理
4. 点击确认</x:v>
      </x:c>
      <x:c r="K473" s="9" t="str">
        <x:v>公会管理权限显示开启</x:v>
      </x:c>
      <x:c r="L473" s="10" t="str">
        <x:v>FLOW-B994D746A6</x:v>
      </x:c>
      <x:c r="M473" s="10" t="str">
        <x:v>未测</x:v>
      </x:c>
      <x:c r="N473" s="10" t="str"/>
      <x:c r="O473" s="9" t="str">
        <x:v>1. 来源（当前证据）：liveshow-proto/MainBasis/统一需求文档.md；位置：REQ-ff26b743bf25；行3592、REQ-9703edb6d9d6；行3602
2. 规则：BR-3a97543407bce1ab
3. 未动态验证</x:v>
      </x:c>
    </x:row>
    <x:row r="474" ht="100" customHeight="1">
      <x:c r="A474" s="10" t="n">
        <x:v>473</x:v>
      </x:c>
      <x:c r="B474" s="10" t="str">
        <x:v>ADMIN-03-0050</x:v>
      </x:c>
      <x:c r="C474" s="10" t="str">
        <x:v>主播管理</x:v>
      </x:c>
      <x:c r="D474" s="10" t="str">
        <x:v>直播场次（平台管理员视角）</x:v>
      </x:c>
      <x:c r="E474" s="10" t="str">
        <x:v>逻辑校验</x:v>
      </x:c>
      <x:c r="F474" s="10" t="str">
        <x:v>P1</x:v>
      </x:c>
      <x:c r="G474" s="9" t="str">
        <x:v>验证主播主动下播后后台保留结束场次</x:v>
      </x:c>
      <x:c r="H474" s="9" t="str">
        <x:v>后台观察主动下播</x:v>
      </x:c>
      <x:c r="I474" s="9" t="str">
        <x:v>1. 执行角色为平台管理员
2. 具有直播场次查询权限；环境准备：主播甲刚主动结束S1，未创建新场次；当前查询范围包含S1</x:v>
      </x:c>
      <x:c r="J474" s="9" t="str">
        <x:v>1. 进入直播场次页
2. 查看场次S1</x:v>
      </x:c>
      <x:c r="K474" s="9" t="str">
        <x:v>S1显示为已结束场次</x:v>
      </x:c>
      <x:c r="L474" s="10" t="str">
        <x:v>FLOW-3316A78DEE</x:v>
      </x:c>
      <x:c r="M474" s="10" t="str">
        <x:v>未测</x:v>
      </x:c>
      <x:c r="N474" s="10" t="str"/>
      <x:c r="O474" s="9" t="str">
        <x:v>1. 来源（当前证据）：liveshow-proto/MainBasis/统一需求文档.md；位置：REQ-9b0dc429c7eb；行3647、REQ-4da53be953ab；行3663
2. 规则：BR-8f1ba3a1a28f807a
3. 未动态验证</x:v>
      </x:c>
    </x:row>
    <x:row r="475" ht="100" customHeight="1">
      <x:c r="A475" s="10" t="n">
        <x:v>474</x:v>
      </x:c>
      <x:c r="B475" s="10" t="str">
        <x:v>ADMIN-09-0034</x:v>
      </x:c>
      <x:c r="C475" s="10" t="str">
        <x:v>财务分成</x:v>
      </x:c>
      <x:c r="D475" s="10" t="str">
        <x:v>公会账户余额（平台管理员视角）</x:v>
      </x:c>
      <x:c r="E475" s="10" t="str">
        <x:v>逻辑校验</x:v>
      </x:c>
      <x:c r="F475" s="10" t="str">
        <x:v>P1</x:v>
      </x:c>
      <x:c r="G475" s="9" t="str">
        <x:v>验证公会分成结果上传后更新账户余额</x:v>
      </x:c>
      <x:c r="H475" s="9" t="str">
        <x:v>公会上传结果入账</x:v>
      </x:c>
      <x:c r="I475" s="9" t="str">
        <x:v>1. 执行角色为平台管理员
2. 具有公会账户查询权限；G001原余额100USD；环境准备：财务刚成功上传G001的50USD分成结果，无其他入账或修正</x:v>
      </x:c>
      <x:c r="J475" s="9" t="str">
        <x:v>1. 进入公会账户余额页
2. 查询公会G001</x:v>
      </x:c>
      <x:c r="K475" s="9" t="str">
        <x:v>G001账户余额显示150USD</x:v>
      </x:c>
      <x:c r="L475" s="10" t="str">
        <x:v>FLOW-54E5CF1154</x:v>
      </x:c>
      <x:c r="M475" s="10" t="str">
        <x:v>未测</x:v>
      </x:c>
      <x:c r="N475" s="10" t="str"/>
      <x:c r="O475" s="9" t="str">
        <x:v>1. 来源（当前证据）：liveshow-proto/MainBasis/统一需求文档.md；位置：REQ-6365054b6ccc；行4683、REQ-e97c739fe94e；行4646、REQ-af506e13c518；行4658
2. 规则：BR-8c6dbd69289b4908
3. 未动态验证</x:v>
      </x:c>
    </x:row>
    <x:row r="476" ht="85" customHeight="1">
      <x:c r="A476" s="10" t="n">
        <x:v>475</x:v>
      </x:c>
      <x:c r="B476" s="10" t="str">
        <x:v>ADMIN-11-0017</x:v>
      </x:c>
      <x:c r="C476" s="10" t="str">
        <x:v>运营账号</x:v>
      </x:c>
      <x:c r="D476" s="10" t="str">
        <x:v>账号列表（平台管理员视角）</x:v>
      </x:c>
      <x:c r="E476" s="10" t="str">
        <x:v>逻辑校验</x:v>
      </x:c>
      <x:c r="F476" s="10" t="str">
        <x:v>P1</x:v>
      </x:c>
      <x:c r="G476" s="9" t="str">
        <x:v>验证平台重新启用运营账号</x:v>
      </x:c>
      <x:c r="H476" s="9" t="str">
        <x:v>后台运营账号恢复启用</x:v>
      </x:c>
      <x:c r="I476" s="9" t="str">
        <x:v>1. 执行角色为平台管理员
2. 具有运营账号启停权限；O001当前停用</x:v>
      </x:c>
      <x:c r="J476" s="9" t="str">
        <x:v>1. 进入账号列表页
2. 点击O001启用
3. 点击确认</x:v>
      </x:c>
      <x:c r="K476" s="9" t="str">
        <x:v>O001状态显示启用</x:v>
      </x:c>
      <x:c r="L476" s="10" t="str">
        <x:v>FLOW-9DD46CA244</x:v>
      </x:c>
      <x:c r="M476" s="10" t="str">
        <x:v>未测</x:v>
      </x:c>
      <x:c r="N476" s="10" t="str"/>
      <x:c r="O476" s="9" t="str">
        <x:v>1. 来源（当前证据）：liveshow-proto/MainBasis/统一需求文档.md；位置：REQ-5379eef2d1a9；行5020
2. 规则：BR-45189c13d91bc8f3
3. 未动态验证</x:v>
      </x:c>
    </x:row>
    <x:row r="477" ht="115" customHeight="1">
      <x:c r="A477" s="10" t="n">
        <x:v>476</x:v>
      </x:c>
      <x:c r="B477" s="10" t="str">
        <x:v>ADMIN-06-0067</x:v>
      </x:c>
      <x:c r="C477" s="10" t="str">
        <x:v>礼物道具</x:v>
      </x:c>
      <x:c r="D477" s="10" t="str">
        <x:v>购买份数配置（平台管理员视角）</x:v>
      </x:c>
      <x:c r="E477" s="10" t="str">
        <x:v>逻辑校验</x:v>
      </x:c>
      <x:c r="F477" s="10" t="str">
        <x:v>P1</x:v>
      </x:c>
      <x:c r="G477" s="9" t="str">
        <x:v>验证两条赠送数量规则使用不同ID</x:v>
      </x:c>
      <x:c r="H477" s="9" t="str">
        <x:v>赠送数量规则唯一编号</x:v>
      </x:c>
      <x:c r="I477" s="9" t="str">
        <x:v>1. 执行角色为平台管理员
2. 账号具有当前模块访问及本次操作权限
3. 已登录后台并打开购买份数配置；已按下列条件准备记录及选择统计范围
4. 已分别创建有效规则A与B</x:v>
      </x:c>
      <x:c r="J477" s="9" t="str">
        <x:v>1. 查看当前购买份数配置页</x:v>
      </x:c>
      <x:c r="K477" s="9" t="str">
        <x:v>A与B规则ID不同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来源（当前证据）：liveshow-proto/MainBasis/统一需求文档.md；位置：REQ-3395e116d827；行4086
2. 规则：BR-81f4aafebd8f0846
3. 未动态验证</x:v>
      </x:c>
    </x:row>
    <x:row r="478" ht="130" customHeight="1">
      <x:c r="A478" s="10" t="n">
        <x:v>477</x:v>
      </x:c>
      <x:c r="B478" s="10" t="str">
        <x:v>ADMIN-06-0068</x:v>
      </x:c>
      <x:c r="C478" s="10" t="str">
        <x:v>礼物道具</x:v>
      </x:c>
      <x:c r="D478" s="10" t="str">
        <x:v>购买份数配置（平台管理员视角）</x:v>
      </x:c>
      <x:c r="E478" s="10" t="str">
        <x:v>逻辑校验</x:v>
      </x:c>
      <x:c r="F478" s="10" t="str">
        <x:v>P1</x:v>
      </x:c>
      <x:c r="G478" s="9" t="str">
        <x:v>验证赠送数量列表保持配置顺序</x:v>
      </x:c>
      <x:c r="H478" s="9" t="str">
        <x:v>数量规则列表顺序</x:v>
      </x:c>
      <x:c r="I478" s="9" t="str">
        <x:v>1. 执行角色为平台管理员
2. 账号具有当前模块访问及本次操作权限
3. 已登录后台并打开购买份数配置；已按下列条件准备记录及选择统计范围
4. 规则A的数量顺序为1、10、5</x:v>
      </x:c>
      <x:c r="J478" s="9" t="str">
        <x:v>1. 查看当前购买份数配置页</x:v>
      </x:c>
      <x:c r="K478" s="9" t="str">
        <x:v>A数量按1、10、5顺序展示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来源（当前证据）：liveshow-proto/MainBasis/统一需求文档.md；位置：REQ-87e3faf3a54d；行4088
2. 规则：BR-265ed3ba8b0fb69f
3. 未动态验证</x:v>
      </x:c>
    </x:row>
    <x:row r="479" ht="130" customHeight="1">
      <x:c r="A479" s="10" t="n">
        <x:v>478</x:v>
      </x:c>
      <x:c r="B479" s="10" t="str">
        <x:v>ADMIN-06-0069</x:v>
      </x:c>
      <x:c r="C479" s="10" t="str">
        <x:v>礼物道具</x:v>
      </x:c>
      <x:c r="D479" s="10" t="str">
        <x:v>购买份数配置（平台管理员视角）</x:v>
      </x:c>
      <x:c r="E479" s="10" t="str">
        <x:v>逻辑校验</x:v>
      </x:c>
      <x:c r="F479" s="10" t="str">
        <x:v>P1</x:v>
      </x:c>
      <x:c r="G479" s="9" t="str">
        <x:v>验证启用存在礼物重叠的数量规则失败</x:v>
      </x:c>
      <x:c r="H479" s="9" t="str">
        <x:v>启用数量规则冲突</x:v>
      </x:c>
      <x:c r="I479" s="9" t="str">
        <x:v>1. 执行角色为平台管理员
2. 账号具有当前模块访问及本次操作权限
3. 已登录后台并打开购买份数配置；已按下列条件准备记录及选择统计范围
4. 规则A启用且关联礼物G1；规则B停用也关联G1</x:v>
      </x:c>
      <x:c r="J479" s="9" t="str">
        <x:v>1. 查看当前购买份数配置页
2. 点击规则B启用</x:v>
      </x:c>
      <x:c r="K479" s="9" t="str">
        <x:v>规则B不能启用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来源（当前证据）：liveshow-proto/MainBasis/统一需求文档.md；位置：REQ-21cce2493e21；行4090
2. 规则：BR-e52e3770153fbaba
3. 未动态验证</x:v>
      </x:c>
    </x:row>
    <x:row r="480" ht="115" customHeight="1">
      <x:c r="A480" s="10" t="n">
        <x:v>479</x:v>
      </x:c>
      <x:c r="B480" s="10" t="str">
        <x:v>ADMIN-06-0070</x:v>
      </x:c>
      <x:c r="C480" s="10" t="str">
        <x:v>礼物道具</x:v>
      </x:c>
      <x:c r="D480" s="10" t="str">
        <x:v>购买份数配置（平台管理员视角）</x:v>
      </x:c>
      <x:c r="E480" s="10" t="str">
        <x:v>逻辑校验</x:v>
      </x:c>
      <x:c r="F480" s="10" t="str">
        <x:v>P1</x:v>
      </x:c>
      <x:c r="G480" s="9" t="str">
        <x:v>验证停用赠送数量规则更新列表</x:v>
      </x:c>
      <x:c r="H480" s="9" t="str">
        <x:v>数量规则停用状态</x:v>
      </x:c>
      <x:c r="I480" s="9" t="str">
        <x:v>1. 执行角色为平台管理员
2. 账号具有当前模块访问及本次操作权限
3. 已登录后台并打开购买份数配置；已按下列条件准备记录及选择统计范围
4. 规则A当前启用</x:v>
      </x:c>
      <x:c r="J480" s="9" t="str">
        <x:v>1. 查看当前购买份数配置页
2. 点击规则A停用</x:v>
      </x:c>
      <x:c r="K480" s="9" t="str">
        <x:v>规则A状态显示停用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来源（当前证据）：liveshow-proto/MainBasis/统一需求文档.md；位置：REQ-7d9d364d9d9c；行4092
2. 规则：BR-e7d3513cbe7afec9
3. 未动态验证</x:v>
      </x:c>
    </x:row>
    <x:row r="481" ht="115" customHeight="1">
      <x:c r="A481" s="10" t="n">
        <x:v>480</x:v>
      </x:c>
      <x:c r="B481" s="10" t="str">
        <x:v>ADMIN-06-0071</x:v>
      </x:c>
      <x:c r="C481" s="10" t="str">
        <x:v>礼物道具</x:v>
      </x:c>
      <x:c r="D481" s="10" t="str">
        <x:v>购买份数配置（平台管理员视角）</x:v>
      </x:c>
      <x:c r="E481" s="10" t="str">
        <x:v>逻辑校验</x:v>
      </x:c>
      <x:c r="F481" s="10" t="str">
        <x:v>P1</x:v>
      </x:c>
      <x:c r="G481" s="9" t="str">
        <x:v>验证数量规则列表编辑正确记录</x:v>
      </x:c>
      <x:c r="H481" s="9" t="str">
        <x:v>数量规则详情入口</x:v>
      </x:c>
      <x:c r="I481" s="9" t="str">
        <x:v>1. 执行角色为平台管理员
2. 账号具有当前模块访问及本次操作权限
3. 已登录后台并打开购买份数配置；已按下列条件准备记录及选择统计范围
4. 存在规则A及B</x:v>
      </x:c>
      <x:c r="J481" s="9" t="str">
        <x:v>1. 查看当前购买份数配置页
2. 点击规则B编辑</x:v>
      </x:c>
      <x:c r="K481" s="9" t="str">
        <x:v>进入规则B详情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来源（当前证据）：liveshow-proto/MainBasis/统一需求文档.md；位置：REQ-42eb7ed3797f；行4096
2. 规则：BR-18c3b91362388053
3. 未动态验证</x:v>
      </x:c>
    </x:row>
    <x:row r="482" ht="115" customHeight="1">
      <x:c r="A482" s="10" t="n">
        <x:v>481</x:v>
      </x:c>
      <x:c r="B482" s="10" t="str">
        <x:v>ADMIN-07-0128</x:v>
      </x:c>
      <x:c r="C482" s="10" t="str">
        <x:v>运营配置</x:v>
      </x:c>
      <x:c r="D482" s="10" t="str">
        <x:v>敏感词库（平台管理员视角）</x:v>
      </x:c>
      <x:c r="E482" s="10" t="str">
        <x:v>逻辑校验</x:v>
      </x:c>
      <x:c r="F482" s="10" t="str">
        <x:v>P1</x:v>
      </x:c>
      <x:c r="G482" s="9" t="str">
        <x:v>验证核对敏感词分类</x:v>
      </x:c>
      <x:c r="H482" s="9" t="str">
        <x:v>敏感词分类</x:v>
      </x:c>
      <x:c r="I482" s="9" t="str">
        <x:v>1. 执行角色为平台管理员
2. 账号具有当前模块访问及本次操作权限
3. 已登录后台并打开敏感词库；已按下列条件准备记录及选择统计范围
4. 词条QA测试词分类广告引流</x:v>
      </x:c>
      <x:c r="J482" s="9" t="str">
        <x:v>1. 查看当前敏感词库页</x:v>
      </x:c>
      <x:c r="K482" s="9" t="str">
        <x:v>QA测试词分类显示广告引流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来源（当前证据）：liveshow-proto/MainBasis/统一需求文档.md；位置：REQ-cd1997afcd95；行4423
2. 规则：BR-27acb2df5baaa0ed
3. 未动态验证</x:v>
      </x:c>
    </x:row>
    <x:row r="483" ht="130" customHeight="1">
      <x:c r="A483" s="10" t="n">
        <x:v>482</x:v>
      </x:c>
      <x:c r="B483" s="10" t="str">
        <x:v>ADMIN-07-0129</x:v>
      </x:c>
      <x:c r="C483" s="10" t="str">
        <x:v>运营配置</x:v>
      </x:c>
      <x:c r="D483" s="10" t="str">
        <x:v>敏感词库（平台管理员视角）</x:v>
      </x:c>
      <x:c r="E483" s="10" t="str">
        <x:v>逻辑校验</x:v>
      </x:c>
      <x:c r="F483" s="10" t="str">
        <x:v>P1</x:v>
      </x:c>
      <x:c r="G483" s="9" t="str">
        <x:v>验证核对敏感词多场景</x:v>
      </x:c>
      <x:c r="H483" s="9" t="str">
        <x:v>敏感词多场景</x:v>
      </x:c>
      <x:c r="I483" s="9" t="str">
        <x:v>1. 执行角色为平台管理员
2. 账号具有当前模块访问及本次操作权限
3. 已登录后台并打开敏感词库；已按下列条件准备记录及选择统计范围
4. 词条A配置公屏和私信，未选昵称和动态</x:v>
      </x:c>
      <x:c r="J483" s="9" t="str">
        <x:v>1. 查看当前敏感词库页</x:v>
      </x:c>
      <x:c r="K483" s="9" t="str">
        <x:v>A使用场景集合为公屏、私信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来源（当前证据）：liveshow-proto/MainBasis/统一需求文档.md；位置：REQ-6c62b7a63d82；行4425
2. 规则：BR-174f1eb45d0cf977
3. 未动态验证</x:v>
      </x:c>
    </x:row>
    <x:row r="484" ht="130" customHeight="1">
      <x:c r="A484" s="10" t="n">
        <x:v>483</x:v>
      </x:c>
      <x:c r="B484" s="10" t="str">
        <x:v>ADMIN-07-0130</x:v>
      </x:c>
      <x:c r="C484" s="10" t="str">
        <x:v>运营配置</x:v>
      </x:c>
      <x:c r="D484" s="10" t="str">
        <x:v>敏感词库（平台管理员视角）</x:v>
      </x:c>
      <x:c r="E484" s="10" t="str">
        <x:v>逻辑校验</x:v>
      </x:c>
      <x:c r="F484" s="10" t="str">
        <x:v>P1</x:v>
      </x:c>
      <x:c r="G484" s="9" t="str">
        <x:v>验证核对敏感词匹配模式</x:v>
      </x:c>
      <x:c r="H484" s="9" t="str">
        <x:v>敏感词匹配模式</x:v>
      </x:c>
      <x:c r="I484" s="9" t="str">
        <x:v>1. 执行角色为平台管理员
2. 账号具有当前模块访问及本次操作权限
3. 已登录后台并打开敏感词库；已按下列条件准备记录及选择统计范围
4. 词条A为包含匹配、B为精确匹配</x:v>
      </x:c>
      <x:c r="J484" s="9" t="str">
        <x:v>1. 查看当前敏感词库页</x:v>
      </x:c>
      <x:c r="K484" s="9" t="str">
        <x:v>B匹配规则显示精确匹配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来源（当前证据）：liveshow-proto/MainBasis/统一需求文档.md；位置：REQ-64215076a7ae；行4427
2. 规则：BR-58f492614fb7443a
3. 未动态验证</x:v>
      </x:c>
    </x:row>
    <x:row r="485" ht="115" customHeight="1">
      <x:c r="A485" s="10" t="n">
        <x:v>484</x:v>
      </x:c>
      <x:c r="B485" s="10" t="str">
        <x:v>ADMIN-07-0131</x:v>
      </x:c>
      <x:c r="C485" s="10" t="str">
        <x:v>运营配置</x:v>
      </x:c>
      <x:c r="D485" s="10" t="str">
        <x:v>敏感词库（平台管理员视角）</x:v>
      </x:c>
      <x:c r="E485" s="10" t="str">
        <x:v>逻辑校验</x:v>
      </x:c>
      <x:c r="F485" s="10" t="str">
        <x:v>P1</x:v>
      </x:c>
      <x:c r="G485" s="9" t="str">
        <x:v>验证核对敏感词替换文本</x:v>
      </x:c>
      <x:c r="H485" s="9" t="str">
        <x:v>敏感词替换文本</x:v>
      </x:c>
      <x:c r="I485" s="9" t="str">
        <x:v>1. 执行角色为平台管理员
2. 账号具有当前模块访问及本次操作权限
3. 已登录后台并打开敏感词库；已按下列条件准备记录及选择统计范围
4. 词条A替换内容为三个星号</x:v>
      </x:c>
      <x:c r="J485" s="9" t="str">
        <x:v>1. 查看当前敏感词库页</x:v>
      </x:c>
      <x:c r="K485" s="9" t="str">
        <x:v>A替换内容显示***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来源（当前证据）：liveshow-proto/MainBasis/统一需求文档.md；位置：REQ-970c19666940；行4429
2. 规则：BR-a05d5abd467d8199
3. 未动态验证</x:v>
      </x:c>
    </x:row>
    <x:row r="486" ht="115" customHeight="1">
      <x:c r="A486" s="10" t="n">
        <x:v>485</x:v>
      </x:c>
      <x:c r="B486" s="10" t="str">
        <x:v>ADMIN-07-0132</x:v>
      </x:c>
      <x:c r="C486" s="10" t="str">
        <x:v>运营配置</x:v>
      </x:c>
      <x:c r="D486" s="10" t="str">
        <x:v>敏感词库（平台管理员视角）</x:v>
      </x:c>
      <x:c r="E486" s="10" t="str">
        <x:v>逻辑校验</x:v>
      </x:c>
      <x:c r="F486" s="10" t="str">
        <x:v>P1</x:v>
      </x:c>
      <x:c r="G486" s="9" t="str">
        <x:v>验证启用敏感词更新状态</x:v>
      </x:c>
      <x:c r="H486" s="9" t="str">
        <x:v>敏感词启停状态</x:v>
      </x:c>
      <x:c r="I486" s="9" t="str">
        <x:v>1. 执行角色为平台管理员
2. 账号具有当前模块访问及本次操作权限
3. 已登录后台并打开敏感词库；已按下列条件准备记录及选择统计范围
4. 词条A当前停用</x:v>
      </x:c>
      <x:c r="J486" s="9" t="str">
        <x:v>1. 查看当前敏感词库页
2. 点击词条A启用</x:v>
      </x:c>
      <x:c r="K486" s="9" t="str">
        <x:v>词条A状态显示启用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来源（当前证据）：liveshow-proto/MainBasis/统一需求文档.md；位置：REQ-8d7e6655d017；行4431
2. 规则：BR-dcc1abb814022728
3. 未动态验证</x:v>
      </x:c>
    </x:row>
    <x:row r="487" ht="115" customHeight="1">
      <x:c r="A487" s="10" t="n">
        <x:v>486</x:v>
      </x:c>
      <x:c r="B487" s="10" t="str">
        <x:v>ADMIN-07-0133</x:v>
      </x:c>
      <x:c r="C487" s="10" t="str">
        <x:v>运营配置</x:v>
      </x:c>
      <x:c r="D487" s="10" t="str">
        <x:v>敏感词库（平台管理员视角）</x:v>
      </x:c>
      <x:c r="E487" s="10" t="str">
        <x:v>逻辑校验</x:v>
      </x:c>
      <x:c r="F487" s="10" t="str">
        <x:v>P1</x:v>
      </x:c>
      <x:c r="G487" s="9" t="str">
        <x:v>验证停用敏感词更新状态</x:v>
      </x:c>
      <x:c r="H487" s="9" t="str">
        <x:v>敏感词启停状态</x:v>
      </x:c>
      <x:c r="I487" s="9" t="str">
        <x:v>1. 执行角色为平台管理员
2. 账号具有当前模块访问及本次操作权限
3. 已登录后台并打开敏感词库；已按下列条件准备记录及选择统计范围
4. 词条A当前启用</x:v>
      </x:c>
      <x:c r="J487" s="9" t="str">
        <x:v>1. 查看当前敏感词库页
2. 点击词条A停用</x:v>
      </x:c>
      <x:c r="K487" s="9" t="str">
        <x:v>词条A状态显示停用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来源（当前证据）：liveshow-proto/MainBasis/统一需求文档.md；位置：REQ-8d7e6655d017；行4431
2. 规则：BR-bc47ab56b691af80
3. 未动态验证</x:v>
      </x:c>
    </x:row>
    <x:row r="488" ht="160" customHeight="1">
      <x:c r="A488" s="10" t="n">
        <x:v>487</x:v>
      </x:c>
      <x:c r="B488" s="10" t="str">
        <x:v>ADMIN-07-0134</x:v>
      </x:c>
      <x:c r="C488" s="10" t="str">
        <x:v>运营配置</x:v>
      </x:c>
      <x:c r="D488" s="10" t="str">
        <x:v>敏感词库（平台管理员视角）</x:v>
      </x:c>
      <x:c r="E488" s="10" t="str">
        <x:v>逻辑校验</x:v>
      </x:c>
      <x:c r="F488" s="10" t="str">
        <x:v>P1</x:v>
      </x:c>
      <x:c r="G488" s="9" t="str">
        <x:v>验证敏感词导入校验必填项缺失</x:v>
      </x:c>
      <x:c r="H488" s="9" t="str">
        <x:v>导入必填项缺失</x:v>
      </x:c>
      <x:c r="I488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环境准备：取得测试环境实际支持的敏感词导入模板；按模板准备文件A，仅词条内容留空，其他必填值合法</x:v>
      </x:c>
      <x:c r="J488" s="9" t="str">
        <x:v>1. 查看当前敏感词库页
2. 点击导入
3. 选择测试文件A
4. 点击确认导入</x:v>
      </x:c>
      <x:c r="K488" s="9" t="str">
        <x:v>不能导入必填项缺失的词条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来源（当前证据）：liveshow-proto/MainBasis/统一需求文档.md；位置：REQ-88bf69704471；行4435
2. 规则：BR-04c7a89a66b7f343
3. 未动态验证</x:v>
      </x:c>
    </x:row>
    <x:row r="489" ht="160" customHeight="1">
      <x:c r="A489" s="10" t="n">
        <x:v>488</x:v>
      </x:c>
      <x:c r="B489" s="10" t="str">
        <x:v>ADMIN-07-0135</x:v>
      </x:c>
      <x:c r="C489" s="10" t="str">
        <x:v>运营配置</x:v>
      </x:c>
      <x:c r="D489" s="10" t="str">
        <x:v>敏感词库（平台管理员视角）</x:v>
      </x:c>
      <x:c r="E489" s="10" t="str">
        <x:v>逻辑校验</x:v>
      </x:c>
      <x:c r="F489" s="10" t="str">
        <x:v>P1</x:v>
      </x:c>
      <x:c r="G489" s="9" t="str">
        <x:v>验证敏感词导入校验重复词</x:v>
      </x:c>
      <x:c r="H489" s="9" t="str">
        <x:v>导入重复词</x:v>
      </x:c>
      <x:c r="I489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环境准备：取得测试环境实际支持的敏感词导入模板；按模板准备文件A，包含两行完全相同的QA测试词</x:v>
      </x:c>
      <x:c r="J489" s="9" t="str">
        <x:v>1. 查看当前敏感词库页
2. 点击导入
3. 选择测试文件A
4. 点击确认导入</x:v>
      </x:c>
      <x:c r="K489" s="9" t="str">
        <x:v>不能导入重复词的词条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来源（当前证据）：liveshow-proto/MainBasis/统一需求文档.md；位置：REQ-88bf69704471；行4435
2. 规则：BR-d8b872bc2be0abcb
3. 未动态验证</x:v>
      </x:c>
    </x:row>
    <x:row r="490" ht="130" customHeight="1">
      <x:c r="A490" s="10" t="n">
        <x:v>489</x:v>
      </x:c>
      <x:c r="B490" s="10" t="str">
        <x:v>ADMIN-02-0020</x:v>
      </x:c>
      <x:c r="C490" s="10" t="str">
        <x:v>用户管理</x:v>
      </x:c>
      <x:c r="D490" s="10" t="str">
        <x:v>用户列表（平台管理员视角）</x:v>
      </x:c>
      <x:c r="E490" s="10" t="str">
        <x:v>逻辑校验</x:v>
      </x:c>
      <x:c r="F490" s="10" t="str">
        <x:v>P1</x:v>
      </x:c>
      <x:c r="G490" s="9" t="str">
        <x:v>验证核对用户列表身份对应业务记录</x:v>
      </x:c>
      <x:c r="H490" s="9" t="str">
        <x:v>用户列表身份</x:v>
      </x:c>
      <x:c r="I490" s="9" t="str">
        <x:v>1. 执行角色为平台管理员
2. 账号具有当前模块访问及本次操作权限
3. 已登录后台并打开用户列表；已按下列条件准备记录及选择统计范围
4. 用户甲U001昵称QA甲、头像图片A；同名乙U002头像图片B</x:v>
      </x:c>
      <x:c r="J490" s="9" t="str">
        <x:v>1. 查看当前用户列表页</x:v>
      </x:c>
      <x:c r="K490" s="9" t="str">
        <x:v>甲的用户信息显示QA甲（U001，头像图片A）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来源（当前证据）：liveshow-proto/MainBasis/统一需求文档.md；位置：REQ-1b6333802789；行3517
2. 规则：BR-8e780ed5c506cfb4
3. 未动态验证</x:v>
      </x:c>
    </x:row>
    <x:row r="491" ht="130" customHeight="1">
      <x:c r="A491" s="10" t="n">
        <x:v>490</x:v>
      </x:c>
      <x:c r="B491" s="10" t="str">
        <x:v>ADMIN-02-0021</x:v>
      </x:c>
      <x:c r="C491" s="10" t="str">
        <x:v>用户管理</x:v>
      </x:c>
      <x:c r="D491" s="10" t="str">
        <x:v>用户详情（平台管理员视角）</x:v>
      </x:c>
      <x:c r="E491" s="10" t="str">
        <x:v>逻辑校验</x:v>
      </x:c>
      <x:c r="F491" s="10" t="str">
        <x:v>P1</x:v>
      </x:c>
      <x:c r="G491" s="9" t="str">
        <x:v>验证核对后台用户当前资料对应业务记录</x:v>
      </x:c>
      <x:c r="H491" s="9" t="str">
        <x:v>后台用户当前资料</x:v>
      </x:c>
      <x:c r="I491" s="9" t="str">
        <x:v>1. 执行角色为平台管理员
2. 账号具有当前模块访问及本次操作权限
3. 已登录后台并打开用户详情；已按下列条件准备记录及选择统计范围
4. 用户U001昵称刚从旧名改为QA甲；其他账号仍叫旧名</x:v>
      </x:c>
      <x:c r="J491" s="9" t="str">
        <x:v>1. 查看当前用户详情页</x:v>
      </x:c>
      <x:c r="K491" s="9" t="str">
        <x:v>昵称显示QA甲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来源（当前证据）：liveshow-proto/MainBasis/统一需求文档.md；位置：REQ-4f968520df54；行3544
2. 规则：BR-0f4f93ef38ca9369
3. 未动态验证</x:v>
      </x:c>
    </x:row>
    <x:row r="492" ht="130" customHeight="1">
      <x:c r="A492" s="10" t="n">
        <x:v>491</x:v>
      </x:c>
      <x:c r="B492" s="10" t="str">
        <x:v>ADMIN-02-0022</x:v>
      </x:c>
      <x:c r="C492" s="10" t="str">
        <x:v>用户管理</x:v>
      </x:c>
      <x:c r="D492" s="10" t="str">
        <x:v>用户详情（平台管理员视角）</x:v>
      </x:c>
      <x:c r="E492" s="10" t="str">
        <x:v>逻辑校验</x:v>
      </x:c>
      <x:c r="F492" s="10" t="str">
        <x:v>P1</x:v>
      </x:c>
      <x:c r="G492" s="9" t="str">
        <x:v>验证核对用户详情负余额对应业务记录</x:v>
      </x:c>
      <x:c r="H492" s="9" t="str">
        <x:v>用户详情负余额</x:v>
      </x:c>
      <x:c r="I492" s="9" t="str">
        <x:v>1. 执行角色为平台管理员
2. 账号具有当前模块访问及本次操作权限
3. 已登录后台并打开用户详情；已按下列条件准备记录及选择统计范围
4. 当前用户真实金币退款后余额-100，虚拟账户与其无关</x:v>
      </x:c>
      <x:c r="J492" s="9" t="str">
        <x:v>1. 查看当前用户详情页</x:v>
      </x:c>
      <x:c r="K492" s="9" t="str">
        <x:v>金币余额显示-100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来源（当前证据）：liveshow-proto/MainBasis/统一需求文档.md；位置：REQ-b9f528b0b887；行3546
2. 规则：BR-03e3fef73ad13714
3. 未动态验证</x:v>
      </x:c>
    </x:row>
    <x:row r="493" ht="145" customHeight="1">
      <x:c r="A493" s="10" t="n">
        <x:v>492</x:v>
      </x:c>
      <x:c r="B493" s="10" t="str">
        <x:v>ADMIN-02-0023</x:v>
      </x:c>
      <x:c r="C493" s="10" t="str">
        <x:v>用户管理</x:v>
      </x:c>
      <x:c r="D493" s="10" t="str">
        <x:v>用户详情（平台管理员视角）</x:v>
      </x:c>
      <x:c r="E493" s="10" t="str">
        <x:v>逻辑校验</x:v>
      </x:c>
      <x:c r="F493" s="10" t="str">
        <x:v>P1</x:v>
      </x:c>
      <x:c r="G493" s="9" t="str">
        <x:v>验证核对充值流水基础金币对应业务记录</x:v>
      </x:c>
      <x:c r="H493" s="9" t="str">
        <x:v>充值流水基础金币</x:v>
      </x:c>
      <x:c r="I493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493" s="9" t="str">
        <x:v>1. 查看当前用户详情页</x:v>
      </x:c>
      <x:c r="K493" s="9" t="str">
        <x:v>O001流水基础金币显示100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来源（当前证据）：liveshow-proto/MainBasis/统一需求文档.md；位置：REQ-4340cddd681f；行3548
2. 规则：BR-76ccc88caef84c19
3. 未动态验证</x:v>
      </x:c>
    </x:row>
    <x:row r="494" ht="145" customHeight="1">
      <x:c r="A494" s="10" t="n">
        <x:v>493</x:v>
      </x:c>
      <x:c r="B494" s="10" t="str">
        <x:v>ADMIN-02-0024</x:v>
      </x:c>
      <x:c r="C494" s="10" t="str">
        <x:v>用户管理</x:v>
      </x:c>
      <x:c r="D494" s="10" t="str">
        <x:v>用户详情（平台管理员视角）</x:v>
      </x:c>
      <x:c r="E494" s="10" t="str">
        <x:v>逻辑校验</x:v>
      </x:c>
      <x:c r="F494" s="10" t="str">
        <x:v>P1</x:v>
      </x:c>
      <x:c r="G494" s="9" t="str">
        <x:v>验证核对充值流水赠送金币对应业务记录</x:v>
      </x:c>
      <x:c r="H494" s="9" t="str">
        <x:v>充值流水赠送金币</x:v>
      </x:c>
      <x:c r="I494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494" s="9" t="str">
        <x:v>1. 查看当前用户详情页</x:v>
      </x:c>
      <x:c r="K494" s="9" t="str">
        <x:v>O001流水赠送金币显示20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来源（当前证据）：liveshow-proto/MainBasis/统一需求文档.md；位置：REQ-4340cddd681f；行3548
2. 规则：BR-7f8b6636e966cf2b
3. 未动态验证</x:v>
      </x:c>
    </x:row>
    <x:row r="495" ht="145" customHeight="1">
      <x:c r="A495" s="10" t="n">
        <x:v>494</x:v>
      </x:c>
      <x:c r="B495" s="10" t="str">
        <x:v>ADMIN-02-0025</x:v>
      </x:c>
      <x:c r="C495" s="10" t="str">
        <x:v>用户管理</x:v>
      </x:c>
      <x:c r="D495" s="10" t="str">
        <x:v>用户详情（平台管理员视角）</x:v>
      </x:c>
      <x:c r="E495" s="10" t="str">
        <x:v>逻辑校验</x:v>
      </x:c>
      <x:c r="F495" s="10" t="str">
        <x:v>P1</x:v>
      </x:c>
      <x:c r="G495" s="9" t="str">
        <x:v>验证核对最近登录设备信息对应业务记录</x:v>
      </x:c>
      <x:c r="H495" s="9" t="str">
        <x:v>最近登录设备信息</x:v>
      </x:c>
      <x:c r="I495" s="9" t="str">
        <x:v>1. 执行角色为平台管理员
2. 账号具有当前模块访问及本次操作权限
3. 已登录后台并打开用户详情；已按下列条件准备记录及选择统计范围
4. 用户最近用设备A、Android测试版本V1在9月15日10:00成功登录；当前选择登录设备Tab</x:v>
      </x:c>
      <x:c r="J495" s="9" t="str">
        <x:v>1. 查看当前用户详情页</x:v>
      </x:c>
      <x:c r="K495" s="9" t="str">
        <x:v>设备A最近登录时间对应9月15日10:00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来源（当前证据）：liveshow-proto/MainBasis/统一需求文档.md；位置：REQ-2b2646ab169a；行3552
2. 规则：BR-005c82288024b51c
3. 未动态验证</x:v>
      </x:c>
    </x:row>
    <x:row r="496" ht="130" customHeight="1">
      <x:c r="A496" s="10" t="n">
        <x:v>495</x:v>
      </x:c>
      <x:c r="B496" s="10" t="str">
        <x:v>ADMIN-03-0051</x:v>
      </x:c>
      <x:c r="C496" s="10" t="str">
        <x:v>主播管理</x:v>
      </x:c>
      <x:c r="D496" s="10" t="str">
        <x:v>主播列表（平台管理员视角）</x:v>
      </x:c>
      <x:c r="E496" s="10" t="str">
        <x:v>逻辑校验</x:v>
      </x:c>
      <x:c r="F496" s="10" t="str">
        <x:v>P1</x:v>
      </x:c>
      <x:c r="G496" s="9" t="str">
        <x:v>验证核对主播当前公会归属对应业务记录</x:v>
      </x:c>
      <x:c r="H496" s="9" t="str">
        <x:v>主播当前公会归属</x:v>
      </x:c>
      <x:c r="I496" s="9" t="str">
        <x:v>1. 执行角色为平台管理员
2. 账号具有当前模块访问及本次操作权限
3. 已登录后台并打开主播列表；已按下列条件准备记录及选择统计范围
4. 甲已从A退会并通过B的入会终审；A仍存在历史记录</x:v>
      </x:c>
      <x:c r="J496" s="9" t="str">
        <x:v>1. 查看当前主播列表页</x:v>
      </x:c>
      <x:c r="K496" s="9" t="str">
        <x:v>甲当前公会显示B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来源（当前证据）：liveshow-proto/MainBasis/统一需求文档.md；位置：REQ-7661f5eda946；行3569
2. 规则：BR-b0e5aa6bdfe567ad
3. 未动态验证</x:v>
      </x:c>
    </x:row>
    <x:row r="497" ht="130" customHeight="1">
      <x:c r="A497" s="10" t="n">
        <x:v>496</x:v>
      </x:c>
      <x:c r="B497" s="10" t="str">
        <x:v>ADMIN-03-0052</x:v>
      </x:c>
      <x:c r="C497" s="10" t="str">
        <x:v>主播管理</x:v>
      </x:c>
      <x:c r="D497" s="10" t="str">
        <x:v>主播审核（平台管理员视角）</x:v>
      </x:c>
      <x:c r="E497" s="10" t="str">
        <x:v>逻辑校验</x:v>
      </x:c>
      <x:c r="F497" s="10" t="str">
        <x:v>P1</x:v>
      </x:c>
      <x:c r="G497" s="9" t="str">
        <x:v>验证核对认证前申请人身份对应业务记录</x:v>
      </x:c>
      <x:c r="H497" s="9" t="str">
        <x:v>认证前申请人身份</x:v>
      </x:c>
      <x:c r="I497" s="9" t="str">
        <x:v>1. 执行角色为平台管理员
2. 账号具有当前模块访问及本次操作权限
3. 已登录后台并打开主播审核；已按下列条件准备记录及选择统计范围
4. 甲入会申请已公会通过、平台待审核</x:v>
      </x:c>
      <x:c r="J497" s="9" t="str">
        <x:v>1. 查看当前主播审核页</x:v>
      </x:c>
      <x:c r="K497" s="9" t="str">
        <x:v>申请人甲仍显示用户身份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来源（当前证据）：liveshow-proto/MainBasis/统一需求文档.md；位置：REQ-2b12ca1c0b87；行3611
2. 规则：BR-39694b3ac95a4932
3. 未动态验证</x:v>
      </x:c>
    </x:row>
    <x:row r="498" ht="130" customHeight="1">
      <x:c r="A498" s="10" t="n">
        <x:v>497</x:v>
      </x:c>
      <x:c r="B498" s="10" t="str">
        <x:v>ADMIN-03-0053</x:v>
      </x:c>
      <x:c r="C498" s="10" t="str">
        <x:v>主播管理</x:v>
      </x:c>
      <x:c r="D498" s="10" t="str">
        <x:v>主播审核（平台管理员视角）</x:v>
      </x:c>
      <x:c r="E498" s="10" t="str">
        <x:v>逻辑校验</x:v>
      </x:c>
      <x:c r="F498" s="10" t="str">
        <x:v>P1</x:v>
      </x:c>
      <x:c r="G498" s="9" t="str">
        <x:v>验证核对认证目标公会对应业务记录</x:v>
      </x:c>
      <x:c r="H498" s="9" t="str">
        <x:v>认证目标公会</x:v>
      </x:c>
      <x:c r="I498" s="9" t="str">
        <x:v>1. 执行角色为平台管理员
2. 账号具有当前模块访问及本次操作权限
3. 已登录后台并打开主播审核；已按下列条件准备记录及选择统计范围
4. 申请A目标QA公会G001，申请人旧公会G002关系已结束</x:v>
      </x:c>
      <x:c r="J498" s="9" t="str">
        <x:v>1. 查看当前主播审核页</x:v>
      </x:c>
      <x:c r="K498" s="9" t="str">
        <x:v>申请A公会显示QA公会G001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来源（当前证据）：liveshow-proto/MainBasis/统一需求文档.md；位置：REQ-eaac37933cbe；行3613
2. 规则：BR-fe4a83b2ff7911c5
3. 未动态验证</x:v>
      </x:c>
    </x:row>
    <x:row r="499" ht="130" customHeight="1">
      <x:c r="A499" s="10" t="n">
        <x:v>498</x:v>
      </x:c>
      <x:c r="B499" s="10" t="str">
        <x:v>ADMIN-03-0054</x:v>
      </x:c>
      <x:c r="C499" s="10" t="str">
        <x:v>主播管理</x:v>
      </x:c>
      <x:c r="D499" s="10" t="str">
        <x:v>审核详情（平台管理员视角）</x:v>
      </x:c>
      <x:c r="E499" s="10" t="str">
        <x:v>逻辑校验</x:v>
      </x:c>
      <x:c r="F499" s="10" t="str">
        <x:v>P1</x:v>
      </x:c>
      <x:c r="G499" s="9" t="str">
        <x:v>验证核对认证详情单据对应对应业务记录</x:v>
      </x:c>
      <x:c r="H499" s="9" t="str">
        <x:v>认证详情单据对应</x:v>
      </x:c>
      <x:c r="I499" s="9" t="str">
        <x:v>1. 执行角色为平台管理员
2. 账号具有当前模块访问及本次操作权限
3. 已登录后台并打开审核详情；已按下列条件准备记录及选择统计范围
4. 从列表申请A进入，A属于用户甲U001，另有申请B属于乙</x:v>
      </x:c>
      <x:c r="J499" s="9" t="str">
        <x:v>1. 查看当前审核详情页</x:v>
      </x:c>
      <x:c r="K499" s="9" t="str">
        <x:v>申请单及申请人只读对应A和甲U001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来源（当前证据）：liveshow-proto/MainBasis/统一需求文档.md；位置：REQ-c2e95bdeec42；行3628
2. 规则：BR-190fb2a3356b1252
3. 未动态验证</x:v>
      </x:c>
    </x:row>
    <x:row r="500" ht="145" customHeight="1">
      <x:c r="A500" s="10" t="n">
        <x:v>499</x:v>
      </x:c>
      <x:c r="B500" s="10" t="str">
        <x:v>ADMIN-03-0055</x:v>
      </x:c>
      <x:c r="C500" s="10" t="str">
        <x:v>主播管理</x:v>
      </x:c>
      <x:c r="D500" s="10" t="str">
        <x:v>排班详情（平台管理员视角）</x:v>
      </x:c>
      <x:c r="E500" s="10" t="str">
        <x:v>逻辑校验</x:v>
      </x:c>
      <x:c r="F500" s="10" t="str">
        <x:v>P1</x:v>
      </x:c>
      <x:c r="G500" s="9" t="str">
        <x:v>验证核对排班详情来源记录对应业务记录</x:v>
      </x:c>
      <x:c r="H500" s="9" t="str">
        <x:v>排班详情来源记录</x:v>
      </x:c>
      <x:c r="I500" s="9" t="str">
        <x:v>1. 执行角色为平台管理员
2. 账号具有当前模块访问及本次操作权限
3. 已登录后台并打开排班详情；已按下列条件准备记录及选择统计范围
4. 选择排班S1日期9月20日、时间10:00至12:00、人数2，另有不同S2</x:v>
      </x:c>
      <x:c r="J500" s="9" t="str">
        <x:v>1. 查看当前排班详情页</x:v>
      </x:c>
      <x:c r="K500" s="9" t="str">
        <x:v>详情排班编号显示S1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来源（当前证据）：liveshow-proto/MainBasis/统一需求文档.md；位置：REQ-973043de5a2a；行3729
2. 规则：BR-fb5198082d8acd1a
3. 未动态验证</x:v>
      </x:c>
    </x:row>
    <x:row r="501" ht="130" customHeight="1">
      <x:c r="A501" s="10" t="n">
        <x:v>500</x:v>
      </x:c>
      <x:c r="B501" s="10" t="str">
        <x:v>ADMIN-03-0056</x:v>
      </x:c>
      <x:c r="C501" s="10" t="str">
        <x:v>主播管理</x:v>
      </x:c>
      <x:c r="D501" s="10" t="str">
        <x:v>排班详情（平台管理员视角）</x:v>
      </x:c>
      <x:c r="E501" s="10" t="str">
        <x:v>逻辑校验</x:v>
      </x:c>
      <x:c r="F501" s="10" t="str">
        <x:v>P1</x:v>
      </x:c>
      <x:c r="G501" s="9" t="str">
        <x:v>验证核对排班详情人员数量对应业务记录</x:v>
      </x:c>
      <x:c r="H501" s="9" t="str">
        <x:v>排班详情人员数量</x:v>
      </x:c>
      <x:c r="I501" s="9" t="str">
        <x:v>1. 执行角色为平台管理员
2. 账号具有当前模块访问及本次操作权限
3. 已登录后台并打开排班详情；已按下列条件准备记录及选择统计范围
4. 排班S1有甲乙两名有效人员，查看S1</x:v>
      </x:c>
      <x:c r="J501" s="9" t="str">
        <x:v>1. 查看当前排班详情页</x:v>
      </x:c>
      <x:c r="K501" s="9" t="str">
        <x:v>人员数量显示2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来源（当前证据）：liveshow-proto/MainBasis/统一需求文档.md；位置：REQ-05689d7dab25；行3731
2. 规则：BR-0d22668b60ed8f8b
3. 未动态验证</x:v>
      </x:c>
    </x:row>
    <x:row r="502" ht="130" customHeight="1">
      <x:c r="A502" s="10" t="n">
        <x:v>501</x:v>
      </x:c>
      <x:c r="B502" s="10" t="str">
        <x:v>ADMIN-03-0057</x:v>
      </x:c>
      <x:c r="C502" s="10" t="str">
        <x:v>主播管理</x:v>
      </x:c>
      <x:c r="D502" s="10" t="str">
        <x:v>内容审核（平台管理员视角）</x:v>
      </x:c>
      <x:c r="E502" s="10" t="str">
        <x:v>逻辑校验</x:v>
      </x:c>
      <x:c r="F502" s="10" t="str">
        <x:v>P1</x:v>
      </x:c>
      <x:c r="G502" s="9" t="str">
        <x:v>验证核对机审告警标识对应业务记录</x:v>
      </x:c>
      <x:c r="H502" s="9" t="str">
        <x:v>机审告警标识</x:v>
      </x:c>
      <x:c r="I502" s="9" t="str">
        <x:v>1. 执行角色为平台管理员
2. 账号具有当前模块访问及本次操作权限
3. 已登录后台并打开内容审核；已按下列条件准备记录及选择统计范围
4. 同场次S1发生两个独立机审告警A和B</x:v>
      </x:c>
      <x:c r="J502" s="9" t="str">
        <x:v>1. 查看当前内容审核页</x:v>
      </x:c>
      <x:c r="K502" s="9" t="str">
        <x:v>A与B审核单号不同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来源（当前证据）：liveshow-proto/MainBasis/统一需求文档.md；位置：REQ-0e5339112504；行3742
2. 规则：BR-c5e6eca55e7a400e
3. 未动态验证</x:v>
      </x:c>
    </x:row>
    <x:row r="503" ht="130" customHeight="1">
      <x:c r="A503" s="10" t="n">
        <x:v>502</x:v>
      </x:c>
      <x:c r="B503" s="10" t="str">
        <x:v>ADMIN-03-0058</x:v>
      </x:c>
      <x:c r="C503" s="10" t="str">
        <x:v>主播管理</x:v>
      </x:c>
      <x:c r="D503" s="10" t="str">
        <x:v>内容审核（平台管理员视角）</x:v>
      </x:c>
      <x:c r="E503" s="10" t="str">
        <x:v>逻辑校验</x:v>
      </x:c>
      <x:c r="F503" s="10" t="str">
        <x:v>P1</x:v>
      </x:c>
      <x:c r="G503" s="9" t="str">
        <x:v>验证核对内容审核已处理结果对应业务记录</x:v>
      </x:c>
      <x:c r="H503" s="9" t="str">
        <x:v>内容审核已处理结果</x:v>
      </x:c>
      <x:c r="I503" s="9" t="str">
        <x:v>1. 执行角色为平台管理员
2. 账号具有当前模块访问及本次操作权限
3. 已登录后台并打开内容审核；已按下列条件准备记录及选择统计范围
4. 告警A已人工执行警告；另有B尚未处理</x:v>
      </x:c>
      <x:c r="J503" s="9" t="str">
        <x:v>1. 查看当前内容审核页</x:v>
      </x:c>
      <x:c r="K503" s="9" t="str">
        <x:v>A处置结果显示警告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来源（当前证据）：liveshow-proto/MainBasis/统一需求文档.md；位置：REQ-33a1bb8321a8；行3750
2. 规则：BR-3c033cc125991307
3. 未动态验证</x:v>
      </x:c>
    </x:row>
    <x:row r="504" ht="130" customHeight="1">
      <x:c r="A504" s="10" t="n">
        <x:v>503</x:v>
      </x:c>
      <x:c r="B504" s="10" t="str">
        <x:v>ADMIN-03-0059</x:v>
      </x:c>
      <x:c r="C504" s="10" t="str">
        <x:v>主播管理</x:v>
      </x:c>
      <x:c r="D504" s="10" t="str">
        <x:v>内容审核详情（平台管理员视角）</x:v>
      </x:c>
      <x:c r="E504" s="10" t="str">
        <x:v>逻辑校验</x:v>
      </x:c>
      <x:c r="F504" s="10" t="str">
        <x:v>P1</x:v>
      </x:c>
      <x:c r="G504" s="9" t="str">
        <x:v>验证核对机审详情不可改证据对象对应业务记录</x:v>
      </x:c>
      <x:c r="H504" s="9" t="str">
        <x:v>机审详情不可改证据对象</x:v>
      </x:c>
      <x:c r="I504" s="9" t="str">
        <x:v>1. 执行角色为平台管理员
2. 账号具有当前模块访问及本次操作权限
3. 已登录后台并打开内容审核详情；已按下列条件准备记录及选择统计范围
4. 当前告警A关联场次S1、主播H001、命中类型T1</x:v>
      </x:c>
      <x:c r="J504" s="9" t="str">
        <x:v>1. 查看当前内容审核详情页</x:v>
      </x:c>
      <x:c r="K504" s="9" t="str">
        <x:v>告警场次及主播字段只读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来源（当前证据）：liveshow-proto/MainBasis/统一需求文档.md；位置：REQ-e1c4173b8668；行3761
2. 规则：BR-43507931d194c109
3. 未动态验证</x:v>
      </x:c>
    </x:row>
    <x:row r="505" ht="130" customHeight="1">
      <x:c r="A505" s="10" t="n">
        <x:v>504</x:v>
      </x:c>
      <x:c r="B505" s="10" t="str">
        <x:v>ADMIN-04-0028</x:v>
      </x:c>
      <x:c r="C505" s="10" t="str">
        <x:v>举报处理</x:v>
      </x:c>
      <x:c r="D505" s="10" t="str">
        <x:v>账号违规（平台管理员视角）</x:v>
      </x:c>
      <x:c r="E505" s="10" t="str">
        <x:v>逻辑校验</x:v>
      </x:c>
      <x:c r="F505" s="10" t="str">
        <x:v>P1</x:v>
      </x:c>
      <x:c r="G505" s="9" t="str">
        <x:v>验证核对账号举报对象对应业务记录</x:v>
      </x:c>
      <x:c r="H505" s="9" t="str">
        <x:v>账号举报对象</x:v>
      </x:c>
      <x:c r="I505" s="9" t="str">
        <x:v>1. 执行角色为平台管理员
2. 账号具有当前模块访问及本次操作权限
3. 已登录后台并打开账号违规；已按下列条件准备记录及选择统计范围
4. 工单A举报普通用户甲U001，举报人为乙U002</x:v>
      </x:c>
      <x:c r="J505" s="9" t="str">
        <x:v>1. 查看当前账号违规页</x:v>
      </x:c>
      <x:c r="K505" s="9" t="str">
        <x:v>被举报账号显示甲U001及用户类型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来源（当前证据）：liveshow-proto/MainBasis/统一需求文档.md；位置：REQ-8d0b0f06939f；行3778
2. 规则：BR-a3133df77a35392d
3. 未动态验证</x:v>
      </x:c>
    </x:row>
    <x:row r="506" ht="130" customHeight="1">
      <x:c r="A506" s="10" t="n">
        <x:v>505</x:v>
      </x:c>
      <x:c r="B506" s="10" t="str">
        <x:v>ADMIN-04-0029</x:v>
      </x:c>
      <x:c r="C506" s="10" t="str">
        <x:v>举报处理</x:v>
      </x:c>
      <x:c r="D506" s="10" t="str">
        <x:v>直播间违规（平台管理员视角）</x:v>
      </x:c>
      <x:c r="E506" s="10" t="str">
        <x:v>逻辑校验</x:v>
      </x:c>
      <x:c r="F506" s="10" t="str">
        <x:v>P1</x:v>
      </x:c>
      <x:c r="G506" s="9" t="str">
        <x:v>验证核对直播举报具体场次对应业务记录</x:v>
      </x:c>
      <x:c r="H506" s="9" t="str">
        <x:v>直播举报具体场次</x:v>
      </x:c>
      <x:c r="I506" s="9" t="str">
        <x:v>1. 执行角色为平台管理员
2. 账号具有当前模块访问及本次操作权限
3. 已登录后台并打开直播间违规；已按下列条件准备记录及选择统计范围
4. 主播H001先后开播S1和S2，工单A在S1提交</x:v>
      </x:c>
      <x:c r="J506" s="9" t="str">
        <x:v>1. 查看当前直播间违规页</x:v>
      </x:c>
      <x:c r="K506" s="9" t="str">
        <x:v>工单A关联场次显示S1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来源（当前证据）：liveshow-proto/MainBasis/统一需求文档.md；位置：REQ-5384f8dda683；行3797
2. 规则：BR-84bdaa81f26c45fc
3. 未动态验证</x:v>
      </x:c>
    </x:row>
    <x:row r="507" ht="130" customHeight="1">
      <x:c r="A507" s="10" t="n">
        <x:v>506</x:v>
      </x:c>
      <x:c r="B507" s="10" t="str">
        <x:v>ADMIN-04-0030</x:v>
      </x:c>
      <x:c r="C507" s="10" t="str">
        <x:v>举报处理</x:v>
      </x:c>
      <x:c r="D507" s="10" t="str">
        <x:v>直播间违规（平台管理员视角）</x:v>
      </x:c>
      <x:c r="E507" s="10" t="str">
        <x:v>逻辑校验</x:v>
      </x:c>
      <x:c r="F507" s="10" t="str">
        <x:v>P1</x:v>
      </x:c>
      <x:c r="G507" s="9" t="str">
        <x:v>验证核对直播举报类型快照对应业务记录</x:v>
      </x:c>
      <x:c r="H507" s="9" t="str">
        <x:v>直播举报类型快照</x:v>
      </x:c>
      <x:c r="I507" s="9" t="str">
        <x:v>1. 执行角色为平台管理员
2. 账号具有当前模块访问及本次操作权限
3. 已登录后台并打开直播间违规；已按下列条件准备记录及选择统计范围
4. 工单A提交类型名称QA旧类，配置随后更名QA新类</x:v>
      </x:c>
      <x:c r="J507" s="9" t="str">
        <x:v>1. 查看当前直播间违规页</x:v>
      </x:c>
      <x:c r="K507" s="9" t="str">
        <x:v>A举报类型仍显示QA旧类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来源（当前证据）：liveshow-proto/MainBasis/统一需求文档.md；位置：REQ-65ff1bb42a1e；行3799
2. 规则：BR-82449db1293b1fe5
3. 未动态验证</x:v>
      </x:c>
    </x:row>
    <x:row r="508" ht="130" customHeight="1">
      <x:c r="A508" s="10" t="n">
        <x:v>507</x:v>
      </x:c>
      <x:c r="B508" s="10" t="str">
        <x:v>ADMIN-04-0031</x:v>
      </x:c>
      <x:c r="C508" s="10" t="str">
        <x:v>举报处理</x:v>
      </x:c>
      <x:c r="D508" s="10" t="str">
        <x:v>直播间违规（平台管理员视角）</x:v>
      </x:c>
      <x:c r="E508" s="10" t="str">
        <x:v>逻辑校验</x:v>
      </x:c>
      <x:c r="F508" s="10" t="str">
        <x:v>P1</x:v>
      </x:c>
      <x:c r="G508" s="9" t="str">
        <x:v>验证核对直播举报提交时点对应业务记录</x:v>
      </x:c>
      <x:c r="H508" s="9" t="str">
        <x:v>直播举报提交时点</x:v>
      </x:c>
      <x:c r="I508" s="9" t="str">
        <x:v>1. 执行角色为平台管理员
2. 账号具有当前模块访问及本次操作权限
3. 已登录后台并打开直播间违规；已按下列条件准备记录及选择统计范围
4. 用户在9月15日10:00直播中举报，9月16日处理</x:v>
      </x:c>
      <x:c r="J508" s="9" t="str">
        <x:v>1. 查看当前直播间违规页</x:v>
      </x:c>
      <x:c r="K508" s="9" t="str">
        <x:v>提交时间对应9月15日10:00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来源（当前证据）：liveshow-proto/MainBasis/统一需求文档.md；位置：REQ-4477842217d4；行3805
2. 规则：BR-fa6888245ff22c35
3. 未动态验证</x:v>
      </x:c>
    </x:row>
    <x:row r="509" ht="130" customHeight="1">
      <x:c r="A509" s="10" t="n">
        <x:v>508</x:v>
      </x:c>
      <x:c r="B509" s="10" t="str">
        <x:v>ADMIN-05-0016</x:v>
      </x:c>
      <x:c r="C509" s="10" t="str">
        <x:v>公会管理</x:v>
      </x:c>
      <x:c r="D509" s="10" t="str">
        <x:v>公会列表（平台管理员视角）</x:v>
      </x:c>
      <x:c r="E509" s="10" t="str">
        <x:v>逻辑校验</x:v>
      </x:c>
      <x:c r="F509" s="10" t="str">
        <x:v>P1</x:v>
      </x:c>
      <x:c r="G509" s="9" t="str">
        <x:v>验证核对公会列表身份对应业务记录</x:v>
      </x:c>
      <x:c r="H509" s="9" t="str">
        <x:v>公会列表身份</x:v>
      </x:c>
      <x:c r="I509" s="9" t="str">
        <x:v>1. 执行角色为平台管理员
2. 账号具有当前模块访问及本次操作权限
3. 已登录后台并打开公会列表；已按下列条件准备记录及选择统计范围
4. 公会G001名称QA公会、Logo图片A，存在同名G002</x:v>
      </x:c>
      <x:c r="J509" s="9" t="str">
        <x:v>1. 查看当前公会列表页</x:v>
      </x:c>
      <x:c r="K509" s="9" t="str">
        <x:v>G001显示QA公会及图片A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来源（当前证据）：liveshow-proto/MainBasis/统一需求文档.md；位置：REQ-8c958cf7125a；行3873
2. 规则：BR-a781e7d039fa6ae4
3. 未动态验证</x:v>
      </x:c>
    </x:row>
    <x:row r="510" ht="145" customHeight="1">
      <x:c r="A510" s="10" t="n">
        <x:v>509</x:v>
      </x:c>
      <x:c r="B510" s="10" t="str">
        <x:v>ADMIN-05-0017</x:v>
      </x:c>
      <x:c r="C510" s="10" t="str">
        <x:v>公会管理</x:v>
      </x:c>
      <x:c r="D510" s="10" t="str">
        <x:v>公会列表（平台管理员视角）</x:v>
      </x:c>
      <x:c r="E510" s="10" t="str">
        <x:v>逻辑校验</x:v>
      </x:c>
      <x:c r="F510" s="10" t="str">
        <x:v>P1</x:v>
      </x:c>
      <x:c r="G510" s="9" t="str">
        <x:v>验证核对公会长与管理账号对应业务记录</x:v>
      </x:c>
      <x:c r="H510" s="9" t="str">
        <x:v>公会长与管理账号</x:v>
      </x:c>
      <x:c r="I510" s="9" t="str">
        <x:v>1. 执行角色为平台管理员
2. 账号具有当前模块访问及本次操作权限
3. 已登录后台并打开公会列表；已按下列条件准备记录及选择统计范围
4. G001公会长昵称ChiefA、管理账号qa-chief，公会名称GuildA</x:v>
      </x:c>
      <x:c r="J510" s="9" t="str">
        <x:v>1. 查看当前公会列表页</x:v>
      </x:c>
      <x:c r="K510" s="9" t="str">
        <x:v>公会长显示ChiefA及qa-chief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来源（当前证据）：liveshow-proto/MainBasis/统一需求文档.md；位置：REQ-881517c5aa69；行3875
2. 规则：BR-4d2c8b0ab14b3398
3. 未动态验证</x:v>
      </x:c>
    </x:row>
    <x:row r="511" ht="130" customHeight="1">
      <x:c r="A511" s="10" t="n">
        <x:v>510</x:v>
      </x:c>
      <x:c r="B511" s="10" t="str">
        <x:v>ADMIN-05-0018</x:v>
      </x:c>
      <x:c r="C511" s="10" t="str">
        <x:v>公会管理</x:v>
      </x:c>
      <x:c r="D511" s="10" t="str">
        <x:v>公会详情（平台管理员视角）</x:v>
      </x:c>
      <x:c r="E511" s="10" t="str">
        <x:v>逻辑校验</x:v>
      </x:c>
      <x:c r="F511" s="10" t="str">
        <x:v>P1</x:v>
      </x:c>
      <x:c r="G511" s="9" t="str">
        <x:v>验证核对公会详情ID只读对应业务记录</x:v>
      </x:c>
      <x:c r="H511" s="9" t="str">
        <x:v>公会详情ID只读</x:v>
      </x:c>
      <x:c r="I511" s="9" t="str">
        <x:v>1. 执行角色为平台管理员
2. 账号具有当前模块访问及本次操作权限
3. 已登录后台并打开公会详情；已按下列条件准备记录及选择统计范围
4. 公会G001已创建，当前编辑其详情</x:v>
      </x:c>
      <x:c r="J511" s="9" t="str">
        <x:v>1. 查看当前公会详情页</x:v>
      </x:c>
      <x:c r="K511" s="9" t="str">
        <x:v>公会ID不可修改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来源（当前证据）：liveshow-proto/MainBasis/统一需求文档.md；位置：REQ-3ff6dabb8f95；行3894
2. 规则：BR-b33788da19e5e2cd
3. 未动态验证</x:v>
      </x:c>
    </x:row>
    <x:row r="512" ht="130" customHeight="1">
      <x:c r="A512" s="10" t="n">
        <x:v>511</x:v>
      </x:c>
      <x:c r="B512" s="10" t="str">
        <x:v>ADMIN-06-0072</x:v>
      </x:c>
      <x:c r="C512" s="10" t="str">
        <x:v>礼物道具</x:v>
      </x:c>
      <x:c r="D512" s="10" t="str">
        <x:v>普通礼物（平台管理员视角）</x:v>
      </x:c>
      <x:c r="E512" s="10" t="str">
        <x:v>逻辑校验</x:v>
      </x:c>
      <x:c r="F512" s="10" t="str">
        <x:v>P1</x:v>
      </x:c>
      <x:c r="G512" s="9" t="str">
        <x:v>验证核对普通礼物ID稳定对应业务记录</x:v>
      </x:c>
      <x:c r="H512" s="9" t="str">
        <x:v>普通礼物ID稳定</x:v>
      </x:c>
      <x:c r="I512" s="9" t="str">
        <x:v>1. 执行角色为平台管理员
2. 账号具有当前模块访问及本次操作权限
3. 已登录后台并打开普通礼物；已按下列条件准备记录及选择统计范围
4. 普通礼物G001已存在，编辑名称后保存</x:v>
      </x:c>
      <x:c r="J512" s="9" t="str">
        <x:v>1. 查看当前普通礼物页</x:v>
      </x:c>
      <x:c r="K512" s="9" t="str">
        <x:v>礼物ID仍为G001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来源（当前证据）：liveshow-proto/MainBasis/统一需求文档.md；位置：REQ-075341f51350；行3921
2. 规则：BR-5ca1395fda31599f
3. 未动态验证</x:v>
      </x:c>
    </x:row>
    <x:row r="513" ht="130" customHeight="1">
      <x:c r="A513" s="10" t="n">
        <x:v>512</x:v>
      </x:c>
      <x:c r="B513" s="10" t="str">
        <x:v>ADMIN-06-0073</x:v>
      </x:c>
      <x:c r="C513" s="10" t="str">
        <x:v>礼物道具</x:v>
      </x:c>
      <x:c r="D513" s="10" t="str">
        <x:v>礼物详情（平台管理员视角）</x:v>
      </x:c>
      <x:c r="E513" s="10" t="str">
        <x:v>逻辑校验</x:v>
      </x:c>
      <x:c r="F513" s="10" t="str">
        <x:v>P1</x:v>
      </x:c>
      <x:c r="G513" s="9" t="str">
        <x:v>验证核对礼物配置操作留痕对应业务记录</x:v>
      </x:c>
      <x:c r="H513" s="9" t="str">
        <x:v>礼物配置操作留痕</x:v>
      </x:c>
      <x:c r="I513" s="9" t="str">
        <x:v>1. 执行角色为平台管理员
2. 账号具有当前模块访问及本次操作权限
3. 已登录后台并打开礼物详情；已按下列条件准备记录及选择统计范围
4. qa-admin于9月16日10:00把单价10改为20并保存</x:v>
      </x:c>
      <x:c r="J513" s="9" t="str">
        <x:v>1. 查看当前礼物详情页</x:v>
      </x:c>
      <x:c r="K513" s="9" t="str">
        <x:v>操作记录包含该次单价修改及qa-admin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来源（当前证据）：liveshow-proto/MainBasis/统一需求文档.md；位置：REQ-5b00bae56245；行3954
2. 规则：BR-35add2db818fb898
3. 未动态验证</x:v>
      </x:c>
    </x:row>
    <x:row r="514" ht="115" customHeight="1">
      <x:c r="A514" s="10" t="n">
        <x:v>513</x:v>
      </x:c>
      <x:c r="B514" s="10" t="str">
        <x:v>ADMIN-06-0074</x:v>
      </x:c>
      <x:c r="C514" s="10" t="str">
        <x:v>礼物道具</x:v>
      </x:c>
      <x:c r="D514" s="10" t="str">
        <x:v>道具配置（平台管理员视角）</x:v>
      </x:c>
      <x:c r="E514" s="10" t="str">
        <x:v>逻辑校验</x:v>
      </x:c>
      <x:c r="F514" s="10" t="str">
        <x:v>P1</x:v>
      </x:c>
      <x:c r="G514" s="9" t="str">
        <x:v>验证核对道具唯一标识对应业务记录</x:v>
      </x:c>
      <x:c r="H514" s="9" t="str">
        <x:v>道具唯一标识</x:v>
      </x:c>
      <x:c r="I514" s="9" t="str">
        <x:v>1. 执行角色为平台管理员
2. 账号具有当前模块访问及本次操作权限
3. 已登录后台并打开道具配置；已按下列条件准备记录及选择统计范围
4. 已分别创建头像框A和气泡B</x:v>
      </x:c>
      <x:c r="J514" s="9" t="str">
        <x:v>1. 查看当前道具配置页</x:v>
      </x:c>
      <x:c r="K514" s="9" t="str">
        <x:v>A与B道具ID不同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来源（当前证据）：liveshow-proto/MainBasis/统一需求文档.md；位置：REQ-87ea14e0a1f3；行4036
2. 规则：BR-93ff142f42dfe95b
3. 未动态验证</x:v>
      </x:c>
    </x:row>
    <x:row r="515" ht="130" customHeight="1">
      <x:c r="A515" s="10" t="n">
        <x:v>514</x:v>
      </x:c>
      <x:c r="B515" s="10" t="str">
        <x:v>ADMIN-07-0136</x:v>
      </x:c>
      <x:c r="C515" s="10" t="str">
        <x:v>运营配置</x:v>
      </x:c>
      <x:c r="D515" s="10" t="str">
        <x:v>推送编辑（平台管理员视角）</x:v>
      </x:c>
      <x:c r="E515" s="10" t="str">
        <x:v>逻辑校验</x:v>
      </x:c>
      <x:c r="F515" s="10" t="str">
        <x:v>P1</x:v>
      </x:c>
      <x:c r="G515" s="9" t="str">
        <x:v>验证核对推送配置最后操作人对应业务记录</x:v>
      </x:c>
      <x:c r="H515" s="9" t="str">
        <x:v>推送配置最后操作人</x:v>
      </x:c>
      <x:c r="I515" s="9" t="str">
        <x:v>1. 执行角色为平台管理员
2. 账号具有当前模块访问及本次操作权限
3. 已登录后台并打开推送编辑；已按下列条件准备记录及选择统计范围
4. qa-admin最后保存任务T1，前次操作者qa-old</x:v>
      </x:c>
      <x:c r="J515" s="9" t="str">
        <x:v>1. 查看当前推送编辑页</x:v>
      </x:c>
      <x:c r="K515" s="9" t="str">
        <x:v>最后操作人显示qa-admin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来源（当前证据）：liveshow-proto/MainBasis/统一需求文档.md；位置：REQ-9716123d14b2；行4183
2. 规则：BR-c356edbfeb45c832
3. 未动态验证</x:v>
      </x:c>
    </x:row>
    <x:row r="516" ht="130" customHeight="1">
      <x:c r="A516" s="10" t="n">
        <x:v>515</x:v>
      </x:c>
      <x:c r="B516" s="10" t="str">
        <x:v>ADMIN-07-0137</x:v>
      </x:c>
      <x:c r="C516" s="10" t="str">
        <x:v>运营配置</x:v>
      </x:c>
      <x:c r="D516" s="10" t="str">
        <x:v>充值套餐编辑（平台管理员视角）</x:v>
      </x:c>
      <x:c r="E516" s="10" t="str">
        <x:v>逻辑校验</x:v>
      </x:c>
      <x:c r="F516" s="10" t="str">
        <x:v>P1</x:v>
      </x:c>
      <x:c r="G516" s="9" t="str">
        <x:v>验证核对充值套餐ID只读对应业务记录</x:v>
      </x:c>
      <x:c r="H516" s="9" t="str">
        <x:v>充值套餐ID只读</x:v>
      </x:c>
      <x:c r="I516" s="9" t="str">
        <x:v>1. 执行角色为平台管理员
2. 账号具有当前模块访问及本次操作权限
3. 已登录后台并打开充值套餐编辑；已按下列条件准备记录及选择统计范围
4. 套餐P001已保存，当前编辑P001</x:v>
      </x:c>
      <x:c r="J516" s="9" t="str">
        <x:v>1. 查看当前充值套餐编辑页</x:v>
      </x:c>
      <x:c r="K516" s="9" t="str">
        <x:v>套餐ID不可修改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来源（当前证据）：liveshow-proto/MainBasis/统一需求文档.md；位置：REQ-233cc07e65ea；行4205
2. 规则：BR-ac5cbe20f99d2ebc
3. 未动态验证</x:v>
      </x:c>
    </x:row>
    <x:row r="517" ht="130" customHeight="1">
      <x:c r="A517" s="10" t="n">
        <x:v>516</x:v>
      </x:c>
      <x:c r="B517" s="10" t="str">
        <x:v>ADMIN-07-0138</x:v>
      </x:c>
      <x:c r="C517" s="10" t="str">
        <x:v>运营配置</x:v>
      </x:c>
      <x:c r="D517" s="10" t="str">
        <x:v>公会推荐（平台管理员视角）</x:v>
      </x:c>
      <x:c r="E517" s="10" t="str">
        <x:v>逻辑校验</x:v>
      </x:c>
      <x:c r="F517" s="10" t="str">
        <x:v>P1</x:v>
      </x:c>
      <x:c r="G517" s="9" t="str">
        <x:v>验证核对公会推荐最近更新时间对应业务记录</x:v>
      </x:c>
      <x:c r="H517" s="9" t="str">
        <x:v>公会推荐最近更新时间</x:v>
      </x:c>
      <x:c r="I517" s="9" t="str">
        <x:v>1. 执行角色为平台管理员
2. 账号具有当前模块访问及本次操作权限
3. 已登录后台并打开公会推荐；已按下列条件准备记录及选择统计范围
4. 推荐G001原保存时间9月14日，9月15日10:00再次保存成功</x:v>
      </x:c>
      <x:c r="J517" s="9" t="str">
        <x:v>1. 查看当前公会推荐页</x:v>
      </x:c>
      <x:c r="K517" s="9" t="str">
        <x:v>更新时间对应9月15日10:00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来源（当前证据）：liveshow-proto/MainBasis/统一需求文档.md；位置：REQ-31359ec635ad；行4294
2. 规则：BR-a640a3a28fb769ac
3. 未动态验证</x:v>
      </x:c>
    </x:row>
    <x:row r="518" ht="130" customHeight="1">
      <x:c r="A518" s="10" t="n">
        <x:v>517</x:v>
      </x:c>
      <x:c r="B518" s="10" t="str">
        <x:v>ADMIN-07-0139</x:v>
      </x:c>
      <x:c r="C518" s="10" t="str">
        <x:v>运营配置</x:v>
      </x:c>
      <x:c r="D518" s="10" t="str">
        <x:v>直播房型（平台管理员视角）</x:v>
      </x:c>
      <x:c r="E518" s="10" t="str">
        <x:v>逻辑校验</x:v>
      </x:c>
      <x:c r="F518" s="10" t="str">
        <x:v>P1</x:v>
      </x:c>
      <x:c r="G518" s="9" t="str">
        <x:v>验证核对房型开关操作留痕对应业务记录</x:v>
      </x:c>
      <x:c r="H518" s="9" t="str">
        <x:v>房型开关操作留痕</x:v>
      </x:c>
      <x:c r="I518" s="9" t="str">
        <x:v>1. 执行角色为平台管理员
2. 账号具有当前模块访问及本次操作权限
3. 已登录后台并打开直播房型；已按下列条件准备记录及选择统计范围
4. qa-admin于9月15日10:00修改门票房开关成功</x:v>
      </x:c>
      <x:c r="J518" s="9" t="str">
        <x:v>1. 查看当前直播房型页</x:v>
      </x:c>
      <x:c r="K518" s="9" t="str">
        <x:v>最后操作信息对应qa-admin和9月15日10:00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来源（当前证据）：liveshow-proto/MainBasis/统一需求文档.md；位置：REQ-7ba0e6c92515；行4380
2. 规则：BR-8ae7b97fed2a1ba1
3. 未动态验证</x:v>
      </x:c>
    </x:row>
    <x:row r="519" ht="130" customHeight="1">
      <x:c r="A519" s="10" t="n">
        <x:v>518</x:v>
      </x:c>
      <x:c r="B519" s="10" t="str">
        <x:v>ADMIN-08-0025</x:v>
      </x:c>
      <x:c r="C519" s="10" t="str">
        <x:v>订单管理</x:v>
      </x:c>
      <x:c r="D519" s="10" t="str">
        <x:v>消费订单（平台管理员视角）</x:v>
      </x:c>
      <x:c r="E519" s="10" t="str">
        <x:v>逻辑校验</x:v>
      </x:c>
      <x:c r="F519" s="10" t="str">
        <x:v>P1</x:v>
      </x:c>
      <x:c r="G519" s="9" t="str">
        <x:v>验证核对消费订单收入对象对应业务记录</x:v>
      </x:c>
      <x:c r="H519" s="9" t="str">
        <x:v>消费订单收入对象</x:v>
      </x:c>
      <x:c r="I519" s="9" t="str">
        <x:v>1. 执行角色为平台管理员
2. 账号具有当前模块访问及本次操作权限
3. 已登录后台并打开消费订单；已按下列条件准备记录及选择统计范围
4. 订单O1为用户甲向主播H002送礼，当前查看O1</x:v>
      </x:c>
      <x:c r="J519" s="9" t="str">
        <x:v>1. 查看当前消费订单页</x:v>
      </x:c>
      <x:c r="K519" s="9" t="str">
        <x:v>主播信息显示H002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来源（当前证据）：liveshow-proto/MainBasis/统一需求文档.md；位置：REQ-9e86143d3e72；行4517
2. 规则：BR-1472095cedfca023
3. 未动态验证</x:v>
      </x:c>
    </x:row>
    <x:row r="520" ht="130" customHeight="1">
      <x:c r="A520" s="10" t="n">
        <x:v>519</x:v>
      </x:c>
      <x:c r="B520" s="10" t="str">
        <x:v>ADMIN-10-0067</x:v>
      </x:c>
      <x:c r="C520" s="10" t="str">
        <x:v>数据分析</x:v>
      </x:c>
      <x:c r="D520" s="10" t="str">
        <x:v>消费订单明细（平台管理员视角）</x:v>
      </x:c>
      <x:c r="E520" s="10" t="str">
        <x:v>逻辑校验</x:v>
      </x:c>
      <x:c r="F520" s="10" t="str">
        <x:v>P1</x:v>
      </x:c>
      <x:c r="G520" s="9" t="str">
        <x:v>验证核对消费明细报表场次对应业务记录</x:v>
      </x:c>
      <x:c r="H520" s="9" t="str">
        <x:v>消费明细报表场次</x:v>
      </x:c>
      <x:c r="I520" s="9" t="str">
        <x:v>1. 执行角色为平台管理员
2. 账号具有当前模块访问及本次操作权限
3. 已登录后台并打开消费订单明细；已按下列条件准备记录及选择统计范围
4. 订单O1发生在S1，主播后来开启S2</x:v>
      </x:c>
      <x:c r="J520" s="9" t="str">
        <x:v>1. 查看当前消费订单明细页</x:v>
      </x:c>
      <x:c r="K520" s="9" t="str">
        <x:v>O1场次ID仍为S1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来源（当前证据）：liveshow-proto/MainBasis/统一需求文档.md；位置：REQ-740a38bc06c6；行4969
2. 规则：BR-c409ebb1004c9391
3. 未动态验证</x:v>
      </x:c>
    </x:row>
    <x:row r="521" ht="130" customHeight="1">
      <x:c r="A521" s="10" t="n">
        <x:v>520</x:v>
      </x:c>
      <x:c r="B521" s="10" t="str">
        <x:v>ADMIN-08-0026</x:v>
      </x:c>
      <x:c r="C521" s="10" t="str">
        <x:v>订单管理</x:v>
      </x:c>
      <x:c r="D521" s="10" t="str">
        <x:v>退款订单（平台管理员视角）</x:v>
      </x:c>
      <x:c r="E521" s="10" t="str">
        <x:v>逻辑校验</x:v>
      </x:c>
      <x:c r="F521" s="10" t="str">
        <x:v>P1</x:v>
      </x:c>
      <x:c r="G521" s="9" t="str">
        <x:v>验证核对退款记录唯一标识对应业务记录</x:v>
      </x:c>
      <x:c r="H521" s="9" t="str">
        <x:v>退款记录唯一标识</x:v>
      </x:c>
      <x:c r="I521" s="9" t="str">
        <x:v>1. 执行角色为平台管理员
2. 账号具有当前模块访问及本次操作权限
3. 已登录后台并打开退款订单；已按下列条件准备记录及选择统计范围
4. 两个不同充值订单A和B均已完成退款</x:v>
      </x:c>
      <x:c r="J521" s="9" t="str">
        <x:v>1. 查看当前退款订单页</x:v>
      </x:c>
      <x:c r="K521" s="9" t="str">
        <x:v>两笔退款单号不同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来源（当前证据）：liveshow-proto/MainBasis/统一需求文档.md；位置：REQ-349168b7c7fc；行4551
2. 规则：BR-09af258d8dd06d35
3. 未动态验证</x:v>
      </x:c>
    </x:row>
    <x:row r="522" ht="130" customHeight="1">
      <x:c r="A522" s="10" t="n">
        <x:v>521</x:v>
      </x:c>
      <x:c r="B522" s="10" t="str">
        <x:v>ADMIN-10-0068</x:v>
      </x:c>
      <x:c r="C522" s="10" t="str">
        <x:v>数据分析</x:v>
      </x:c>
      <x:c r="D522" s="10" t="str">
        <x:v>退款订单明细（平台管理员视角）</x:v>
      </x:c>
      <x:c r="E522" s="10" t="str">
        <x:v>逻辑校验</x:v>
      </x:c>
      <x:c r="F522" s="10" t="str">
        <x:v>P1</x:v>
      </x:c>
      <x:c r="G522" s="9" t="str">
        <x:v>验证核对退款报表完成时点对应业务记录</x:v>
      </x:c>
      <x:c r="H522" s="9" t="str">
        <x:v>退款报表完成时点</x:v>
      </x:c>
      <x:c r="I522" s="9" t="str">
        <x:v>1. 执行角色为平台管理员
2. 账号具有当前模块访问及本次操作权限
3. 已登录后台并打开退款订单明细；已按下列条件准备记录及选择统计范围
4. 订单9月14日申请退款、9月15日10:00完成</x:v>
      </x:c>
      <x:c r="J522" s="9" t="str">
        <x:v>1. 查看当前退款订单明细页</x:v>
      </x:c>
      <x:c r="K522" s="9" t="str">
        <x:v>退款时间对应9月15日10:00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来源（当前证据）：liveshow-proto/MainBasis/统一需求文档.md；位置：REQ-5787c32cc009；行4980
2. 规则：BR-0ad02184487dda8b
3. 未动态验证</x:v>
      </x:c>
    </x:row>
    <x:row r="523" ht="130" customHeight="1">
      <x:c r="A523" s="10" t="n">
        <x:v>522</x:v>
      </x:c>
      <x:c r="B523" s="10" t="str">
        <x:v>ADMIN-10-0069</x:v>
      </x:c>
      <x:c r="C523" s="10" t="str">
        <x:v>数据分析</x:v>
      </x:c>
      <x:c r="D523" s="10" t="str">
        <x:v>退款订单明细（平台管理员视角）</x:v>
      </x:c>
      <x:c r="E523" s="10" t="str">
        <x:v>逻辑校验</x:v>
      </x:c>
      <x:c r="F523" s="10" t="str">
        <x:v>P1</x:v>
      </x:c>
      <x:c r="G523" s="9" t="str">
        <x:v>验证核对退款报表原订单归属对应业务记录</x:v>
      </x:c>
      <x:c r="H523" s="9" t="str">
        <x:v>退款报表原订单归属</x:v>
      </x:c>
      <x:c r="I523" s="9" t="str">
        <x:v>1. 执行角色为平台管理员
2. 账号具有当前模块访问及本次操作权限
3. 已登录后台并打开退款订单明细；已按下列条件准备记录及选择统计范围
4. 原订单O1属于甲U001及套餐P1，后续套餐改名</x:v>
      </x:c>
      <x:c r="J523" s="9" t="str">
        <x:v>1. 查看当前退款订单明细页</x:v>
      </x:c>
      <x:c r="K523" s="9" t="str">
        <x:v>退款行关联用户甲U001和原套餐P1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来源（当前证据）：liveshow-proto/MainBasis/统一需求文档.md；位置：REQ-59b04f680070；行4982
2. 规则：BR-0e82c94e50bacb81
3. 未动态验证</x:v>
      </x:c>
    </x:row>
    <x:row r="524" ht="130" customHeight="1">
      <x:c r="A524" s="10" t="n">
        <x:v>523</x:v>
      </x:c>
      <x:c r="B524" s="10" t="str">
        <x:v>ADMIN-10-0070</x:v>
      </x:c>
      <x:c r="C524" s="10" t="str">
        <x:v>数据分析</x:v>
      </x:c>
      <x:c r="D524" s="10" t="str">
        <x:v>充值订单明细（平台管理员视角）</x:v>
      </x:c>
      <x:c r="E524" s="10" t="str">
        <x:v>逻辑校验</x:v>
      </x:c>
      <x:c r="F524" s="10" t="str">
        <x:v>P1</x:v>
      </x:c>
      <x:c r="G524" s="9" t="str">
        <x:v>验证核对充值报表支付时点对应业务记录</x:v>
      </x:c>
      <x:c r="H524" s="9" t="str">
        <x:v>充值报表支付时点</x:v>
      </x:c>
      <x:c r="I524" s="9" t="str">
        <x:v>1. 执行角色为平台管理员
2. 账号具有当前模块访问及本次操作权限
3. 已登录后台并打开充值订单明细；已按下列条件准备记录及选择统计范围
4. 订单9月14日创建、9月15日10:00支付成功</x:v>
      </x:c>
      <x:c r="J524" s="9" t="str">
        <x:v>1. 查看当前充值订单明细页</x:v>
      </x:c>
      <x:c r="K524" s="9" t="str">
        <x:v>充值时间对应9月15日10:00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来源（当前证据）：liveshow-proto/MainBasis/统一需求文档.md；位置：REQ-d90c1cc5e279；行4995
2. 规则：BR-f5ad42a5c80413d7
3. 未动态验证</x:v>
      </x:c>
    </x:row>
    <x:row r="525" ht="130" customHeight="1">
      <x:c r="A525" s="10" t="n">
        <x:v>524</x:v>
      </x:c>
      <x:c r="B525" s="10" t="str">
        <x:v>ADMIN-10-0071</x:v>
      </x:c>
      <x:c r="C525" s="10" t="str">
        <x:v>数据分析</x:v>
      </x:c>
      <x:c r="D525" s="10" t="str">
        <x:v>充值订单明细（平台管理员视角）</x:v>
      </x:c>
      <x:c r="E525" s="10" t="str">
        <x:v>逻辑校验</x:v>
      </x:c>
      <x:c r="F525" s="10" t="str">
        <x:v>P1</x:v>
      </x:c>
      <x:c r="G525" s="9" t="str">
        <x:v>验证核对充值实际支付渠道对应业务记录</x:v>
      </x:c>
      <x:c r="H525" s="9" t="str">
        <x:v>充值实际支付渠道</x:v>
      </x:c>
      <x:c r="I525" s="9" t="str">
        <x:v>1. 执行角色为平台管理员
2. 账号具有当前模块访问及本次操作权限
3. 已登录后台并打开充值订单明细；已按下列条件准备记录及选择统计范围
4. 订单由Google Play完成，另有App Store订单</x:v>
      </x:c>
      <x:c r="J525" s="9" t="str">
        <x:v>1. 查看当前充值订单明细页</x:v>
      </x:c>
      <x:c r="K525" s="9" t="str">
        <x:v>目标订单支付渠道显示Google Play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来源（当前证据）：liveshow-proto/MainBasis/统一需求文档.md；位置：REQ-464bcfa50bcb；行4999
2. 规则：BR-5682a000495845b0
3. 未动态验证</x:v>
      </x:c>
    </x:row>
    <x:row r="526" ht="130" customHeight="1">
      <x:c r="A526" s="10" t="n">
        <x:v>525</x:v>
      </x:c>
      <x:c r="B526" s="10" t="str">
        <x:v>ADMIN-10-0072</x:v>
      </x:c>
      <x:c r="C526" s="10" t="str">
        <x:v>数据分析</x:v>
      </x:c>
      <x:c r="D526" s="10" t="str">
        <x:v>充值订单明细（平台管理员视角）</x:v>
      </x:c>
      <x:c r="E526" s="10" t="str">
        <x:v>逻辑校验</x:v>
      </x:c>
      <x:c r="F526" s="10" t="str">
        <x:v>P1</x:v>
      </x:c>
      <x:c r="G526" s="9" t="str">
        <x:v>验证核对充值报表实付金额对应业务记录</x:v>
      </x:c>
      <x:c r="H526" s="9" t="str">
        <x:v>充值报表实付金额</x:v>
      </x:c>
      <x:c r="I526" s="9" t="str">
        <x:v>1. 执行角色为平台管理员
2. 账号具有当前模块访问及本次操作权限
3. 已登录后台并打开充值订单明细；已按下列条件准备记录及选择统计范围
4. 套餐标价10USD，订单成功实付8USD</x:v>
      </x:c>
      <x:c r="J526" s="9" t="str">
        <x:v>1. 查看当前充值订单明细页</x:v>
      </x:c>
      <x:c r="K526" s="9" t="str">
        <x:v>充值金额显示8USD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来源（当前证据）：liveshow-proto/MainBasis/统一需求文档.md；位置：REQ-516300196652；行5001
2. 规则：BR-6819c9f6ac6029d4
3. 未动态验证</x:v>
      </x:c>
    </x:row>
    <x:row r="527" ht="130" customHeight="1">
      <x:c r="A527" s="10" t="n">
        <x:v>526</x:v>
      </x:c>
      <x:c r="B527" s="10" t="str">
        <x:v>ADMIN-11-0018</x:v>
      </x:c>
      <x:c r="C527" s="10" t="str">
        <x:v>运营账号</x:v>
      </x:c>
      <x:c r="D527" s="10" t="str">
        <x:v>运营账号主页（平台管理员视角）</x:v>
      </x:c>
      <x:c r="E527" s="10" t="str">
        <x:v>逻辑校验</x:v>
      </x:c>
      <x:c r="F527" s="10" t="str">
        <x:v>P1</x:v>
      </x:c>
      <x:c r="G527" s="9" t="str">
        <x:v>验证核对后台运营账号资料来源对应业务记录</x:v>
      </x:c>
      <x:c r="H527" s="9" t="str">
        <x:v>后台运营账号资料来源</x:v>
      </x:c>
      <x:c r="I527" s="9" t="str">
        <x:v>1. 执行角色为平台管理员
2. 账号具有当前模块访问及本次操作权限
3. 已登录后台并打开运营账号主页；已按下列条件准备记录及选择统计范围
4. 公会创建O001，昵称OpsA、登录qa.ops、头像A、所属G001</x:v>
      </x:c>
      <x:c r="J527" s="9" t="str">
        <x:v>1. 查看当前运营账号主页页</x:v>
      </x:c>
      <x:c r="K527" s="9" t="str">
        <x:v>账号资料对应OpsA（qa.ops，G001）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来源（当前证据）：liveshow-proto/MainBasis/统一需求文档.md；位置：REQ-26c25998c7b0；行5033
2. 规则：BR-1333a6f37ad818f7
3. 未动态验证</x:v>
      </x:c>
    </x:row>
    <x:row r="528" ht="130" customHeight="1">
      <x:c r="A528" s="10" t="n">
        <x:v>527</x:v>
      </x:c>
      <x:c r="B528" s="10" t="str">
        <x:v>ADMIN-11-0019</x:v>
      </x:c>
      <x:c r="C528" s="10" t="str">
        <x:v>运营账号</x:v>
      </x:c>
      <x:c r="D528" s="10" t="str">
        <x:v>送礼记录（平台管理员视角）</x:v>
      </x:c>
      <x:c r="E528" s="10" t="str">
        <x:v>逻辑校验</x:v>
      </x:c>
      <x:c r="F528" s="10" t="str">
        <x:v>P1</x:v>
      </x:c>
      <x:c r="G528" s="9" t="str">
        <x:v>验证核对后台虚拟送礼成交时间对应业务记录</x:v>
      </x:c>
      <x:c r="H528" s="9" t="str">
        <x:v>后台虚拟送礼成交时间</x:v>
      </x:c>
      <x:c r="I528" s="9" t="str">
        <x:v>1. 执行角色为平台管理员
2. 账号具有当前模块访问及本次操作权限
3. 已登录后台并打开送礼记录；已按下列条件准备记录及选择统计范围
4. 记录A于9月15日10:00完成扣减和送礼，筛选包括该日</x:v>
      </x:c>
      <x:c r="J528" s="9" t="str">
        <x:v>1. 查看当前送礼记录页</x:v>
      </x:c>
      <x:c r="K528" s="9" t="str">
        <x:v>赠送时间对应9月15日10:00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来源（当前证据）：liveshow-proto/MainBasis/统一需求文档.md；位置：REQ-de56ad5fcda0；行5076
2. 规则：BR-fb91f96cd82a5885
3. 未动态验证</x:v>
      </x:c>
    </x:row>
    <x:row r="529" ht="145" customHeight="1">
      <x:c r="A529" s="10" t="n">
        <x:v>528</x:v>
      </x:c>
      <x:c r="B529" s="10" t="str">
        <x:v>ADMIN-02-0026</x:v>
      </x:c>
      <x:c r="C529" s="10" t="str">
        <x:v>用户管理</x:v>
      </x:c>
      <x:c r="D529" s="10" t="str">
        <x:v>用户列表（平台管理员视角）</x:v>
      </x:c>
      <x:c r="E529" s="10" t="str">
        <x:v>逻辑校验</x:v>
      </x:c>
      <x:c r="F529" s="10" t="str">
        <x:v>P1</x:v>
      </x:c>
      <x:c r="G529" s="9" t="str">
        <x:v>验证核对用户累计净消费的独立计算口径</x:v>
      </x:c>
      <x:c r="H529" s="9" t="str">
        <x:v>用户累计净消费</x:v>
      </x:c>
      <x:c r="I529" s="9" t="str">
        <x:v>1. 执行角色为平台管理员
2. 账号具有当前模块访问及本次操作权限
3. 已登录后台并打开用户列表；已按下列条件准备记录及选择统计范围
4. 甲普通100、定制200、门票50、幸运扣减100返奖500；另有失败20及虚拟1000金币</x:v>
      </x:c>
      <x:c r="J529" s="9" t="str">
        <x:v>1. 查看当前用户列表页</x:v>
      </x:c>
      <x:c r="K529" s="9" t="str">
        <x:v>累计消费显示-50金币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来源（当前证据）：liveshow-proto/MainBasis/统一需求文档.md；位置：REQ-552a4b339dd8；行3525
2. 规则：BR-65413b553ba4d0c4
3. 未动态验证</x:v>
      </x:c>
    </x:row>
    <x:row r="530" ht="145" customHeight="1">
      <x:c r="A530" s="10" t="n">
        <x:v>529</x:v>
      </x:c>
      <x:c r="B530" s="10" t="str">
        <x:v>ADMIN-03-0060</x:v>
      </x:c>
      <x:c r="C530" s="10" t="str">
        <x:v>主播管理</x:v>
      </x:c>
      <x:c r="D530" s="10" t="str">
        <x:v>主播列表（平台管理员视角）</x:v>
      </x:c>
      <x:c r="E530" s="10" t="str">
        <x:v>逻辑校验</x:v>
      </x:c>
      <x:c r="F530" s="10" t="str">
        <x:v>P1</x:v>
      </x:c>
      <x:c r="G530" s="9" t="str">
        <x:v>验证核对主播列表收益口径的独立计算口径</x:v>
      </x:c>
      <x:c r="H530" s="9" t="str">
        <x:v>主播列表收益口径</x:v>
      </x:c>
      <x:c r="I530" s="9" t="str">
        <x:v>1. 执行角色为平台管理员
2. 账号具有当前模块访问及本次操作权限
3. 已登录后台并打开主播列表；已按下列条件准备记录及选择统计范围
4. 甲普通100、定制200、门票50、幸运价值1000且收益比例1%；虚拟2000金币</x:v>
      </x:c>
      <x:c r="J530" s="9" t="str">
        <x:v>1. 查看当前主播列表页</x:v>
      </x:c>
      <x:c r="K530" s="9" t="str">
        <x:v>金币收益显示360金币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来源（当前证据）：liveshow-proto/MainBasis/统一需求文档.md；位置：REQ-79783cfa3243；行3575
2. 规则：BR-509fb951bd175f42
3. 未动态验证</x:v>
      </x:c>
    </x:row>
    <x:row r="531" ht="145" customHeight="1">
      <x:c r="A531" s="10" t="n">
        <x:v>530</x:v>
      </x:c>
      <x:c r="B531" s="10" t="str">
        <x:v>ADMIN-03-0061</x:v>
      </x:c>
      <x:c r="C531" s="10" t="str">
        <x:v>主播管理</x:v>
      </x:c>
      <x:c r="D531" s="10" t="str">
        <x:v>主播详情（平台管理员视角）</x:v>
      </x:c>
      <x:c r="E531" s="10" t="str">
        <x:v>逻辑校验</x:v>
      </x:c>
      <x:c r="F531" s="10" t="str">
        <x:v>P1</x:v>
      </x:c>
      <x:c r="G531" s="9" t="str">
        <x:v>验证核对主播详情历史收益的独立计算口径</x:v>
      </x:c>
      <x:c r="H531" s="9" t="str">
        <x:v>主播详情历史收益</x:v>
      </x:c>
      <x:c r="I531" s="9" t="str">
        <x:v>1. 执行角色为平台管理员
2. 账号具有当前模块访问及本次操作权限
3. 已登录后台并打开主播详情；已按下列条件准备记录及选择统计范围
4. 甲普通100、定制200、门票50、幸运价值1000且当时比例1%、返奖500金币</x:v>
      </x:c>
      <x:c r="J531" s="9" t="str">
        <x:v>1. 查看当前主播详情页</x:v>
      </x:c>
      <x:c r="K531" s="9" t="str">
        <x:v>收益显示360金币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来源（当前证据）：liveshow-proto/MainBasis/统一需求文档.md；位置：REQ-6c751b88b849；行3596
2. 规则：BR-fecec955e921edf1
3. 未动态验证</x:v>
      </x:c>
    </x:row>
    <x:row r="532" ht="145" customHeight="1">
      <x:c r="A532" s="10" t="n">
        <x:v>531</x:v>
      </x:c>
      <x:c r="B532" s="10" t="str">
        <x:v>ADMIN-03-0062</x:v>
      </x:c>
      <x:c r="C532" s="10" t="str">
        <x:v>主播管理</x:v>
      </x:c>
      <x:c r="D532" s="10" t="str">
        <x:v>直播场次（平台管理员视角）</x:v>
      </x:c>
      <x:c r="E532" s="10" t="str">
        <x:v>逻辑校验</x:v>
      </x:c>
      <x:c r="F532" s="10" t="str">
        <x:v>P1</x:v>
      </x:c>
      <x:c r="G532" s="9" t="str">
        <x:v>验证核对场次列表净消费的独立计算口径</x:v>
      </x:c>
      <x:c r="H532" s="9" t="str">
        <x:v>场次列表净消费</x:v>
      </x:c>
      <x:c r="I532" s="9" t="str">
        <x:v>1. 执行角色为平台管理员
2. 账号具有当前模块访问及本次操作权限
3. 已登录后台并打开直播场次；已按下列条件准备记录及选择统计范围
4. 场次S1普通100、定制200、门票50、幸运扣减100返奖500，虚拟1000金币</x:v>
      </x:c>
      <x:c r="J532" s="9" t="str">
        <x:v>1. 查看当前直播场次页</x:v>
      </x:c>
      <x:c r="K532" s="9" t="str">
        <x:v>S1消费金币显示-50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来源（当前证据）：liveshow-proto/MainBasis/统一需求文档.md；位置：REQ-8e81aa39c733；行3655
2. 规则：BR-6c3b723dcd3637db
3. 未动态验证</x:v>
      </x:c>
    </x:row>
    <x:row r="533" ht="145" customHeight="1">
      <x:c r="A533" s="10" t="n">
        <x:v>532</x:v>
      </x:c>
      <x:c r="B533" s="10" t="str">
        <x:v>ADMIN-03-0063</x:v>
      </x:c>
      <x:c r="C533" s="10" t="str">
        <x:v>主播管理</x:v>
      </x:c>
      <x:c r="D533" s="10" t="str">
        <x:v>直播场次（平台管理员视角）</x:v>
      </x:c>
      <x:c r="E533" s="10" t="str">
        <x:v>逻辑校验</x:v>
      </x:c>
      <x:c r="F533" s="10" t="str">
        <x:v>P1</x:v>
      </x:c>
      <x:c r="G533" s="9" t="str">
        <x:v>验证核对场次列表主播收益的独立计算口径</x:v>
      </x:c>
      <x:c r="H533" s="9" t="str">
        <x:v>场次列表主播收益</x:v>
      </x:c>
      <x:c r="I533" s="9" t="str">
        <x:v>1. 执行角色为平台管理员
2. 账号具有当前模块访问及本次操作权限
3. 已登录后台并打开直播场次；已按下列条件准备记录及选择统计范围
4. 场次普通100、定制200、门票50、幸运价值1000且比例1%，虚拟2000金币</x:v>
      </x:c>
      <x:c r="J533" s="9" t="str">
        <x:v>1. 查看当前直播场次页</x:v>
      </x:c>
      <x:c r="K533" s="9" t="str">
        <x:v>主播收益显示360金币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来源（当前证据）：liveshow-proto/MainBasis/统一需求文档.md；位置：REQ-e90c017e7120；行3661
2. 规则：BR-eefe994a2104dd88
3. 未动态验证</x:v>
      </x:c>
    </x:row>
    <x:row r="534" ht="130" customHeight="1">
      <x:c r="A534" s="10" t="n">
        <x:v>533</x:v>
      </x:c>
      <x:c r="B534" s="10" t="str">
        <x:v>ADMIN-03-0064</x:v>
      </x:c>
      <x:c r="C534" s="10" t="str">
        <x:v>主播管理</x:v>
      </x:c>
      <x:c r="D534" s="10" t="str">
        <x:v>直播详情（平台管理员视角）</x:v>
      </x:c>
      <x:c r="E534" s="10" t="str">
        <x:v>逻辑校验</x:v>
      </x:c>
      <x:c r="F534" s="10" t="str">
        <x:v>P1</x:v>
      </x:c>
      <x:c r="G534" s="9" t="str">
        <x:v>验证核对场次详情观众去重的独立计算口径</x:v>
      </x:c>
      <x:c r="H534" s="9" t="str">
        <x:v>场次详情观众去重</x:v>
      </x:c>
      <x:c r="I534" s="9" t="str">
        <x:v>1. 执行角色为平台管理员
2. 账号具有当前模块访问及本次操作权限
3. 已登录后台并打开直播详情；已按下列条件准备记录及选择统计范围
4. 真实用户甲进入3次、乙1次，无其他观众</x:v>
      </x:c>
      <x:c r="J534" s="9" t="str">
        <x:v>1. 查看当前直播详情页</x:v>
      </x:c>
      <x:c r="K534" s="9" t="str">
        <x:v>观众人数显示2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来源（当前证据）：liveshow-proto/MainBasis/统一需求文档.md；位置：REQ-53e04771026d；行3674
2. 规则：BR-bbfc8f42b108d637
3. 未动态验证</x:v>
      </x:c>
    </x:row>
    <x:row r="535" ht="130" customHeight="1">
      <x:c r="A535" s="10" t="n">
        <x:v>534</x:v>
      </x:c>
      <x:c r="B535" s="10" t="str">
        <x:v>ADMIN-05-0019</x:v>
      </x:c>
      <x:c r="C535" s="10" t="str">
        <x:v>公会管理</x:v>
      </x:c>
      <x:c r="D535" s="10" t="str">
        <x:v>公会详情（平台管理员视角）</x:v>
      </x:c>
      <x:c r="E535" s="10" t="str">
        <x:v>逻辑校验</x:v>
      </x:c>
      <x:c r="F535" s="10" t="str">
        <x:v>P1</x:v>
      </x:c>
      <x:c r="G535" s="9" t="str">
        <x:v>验证核对公会旗下主播收益合计的独立计算口径</x:v>
      </x:c>
      <x:c r="H535" s="9" t="str">
        <x:v>公会旗下主播收益合计</x:v>
      </x:c>
      <x:c r="I535" s="9" t="str">
        <x:v>1. 执行角色为平台管理员
2. 账号具有当前模块访问及本次操作权限
3. 已登录后台并打开公会详情；已按下列条件准备记录及选择统计范围
4. 旗下甲累计收益100、乙200金币，无其他主播收益</x:v>
      </x:c>
      <x:c r="J535" s="9" t="str">
        <x:v>1. 查看当前公会详情页</x:v>
      </x:c>
      <x:c r="K535" s="9" t="str">
        <x:v>累计收益显示300金币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来源（当前证据）：liveshow-proto/MainBasis/统一需求文档.md；位置：REQ-d5c6f1e4bced；行3906
2. 规则：BR-a0f074bf69ecc4bc
3. 未动态验证</x:v>
      </x:c>
    </x:row>
    <x:row r="536" ht="130" customHeight="1">
      <x:c r="A536" s="10" t="n">
        <x:v>535</x:v>
      </x:c>
      <x:c r="B536" s="10" t="str">
        <x:v>ADMIN-08-0027</x:v>
      </x:c>
      <x:c r="C536" s="10" t="str">
        <x:v>订单管理</x:v>
      </x:c>
      <x:c r="D536" s="10" t="str">
        <x:v>消费订单（平台管理员视角）</x:v>
      </x:c>
      <x:c r="E536" s="10" t="str">
        <x:v>逻辑校验</x:v>
      </x:c>
      <x:c r="F536" s="10" t="str">
        <x:v>P1</x:v>
      </x:c>
      <x:c r="G536" s="9" t="str">
        <x:v>验证核对消费订单原始扣减的独立计算口径</x:v>
      </x:c>
      <x:c r="H536" s="9" t="str">
        <x:v>消费订单原始扣减</x:v>
      </x:c>
      <x:c r="I536" s="9" t="str">
        <x:v>1. 执行角色为平台管理员
2. 账号具有当前模块访问及本次操作权限
3. 已登录后台并打开消费订单；已按下列条件准备记录及选择统计范围
4. 幸运礼物成交单价10金币、数量3、返奖50金币</x:v>
      </x:c>
      <x:c r="J536" s="9" t="str">
        <x:v>1. 查看当前消费订单页</x:v>
      </x:c>
      <x:c r="K536" s="9" t="str">
        <x:v>消费金币显示30金币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来源（当前证据）：liveshow-proto/MainBasis/统一需求文档.md；位置：REQ-24c467095327；行4511
2. 规则：BR-092372b566c67a91
3. 未动态验证</x:v>
      </x:c>
    </x:row>
    <x:row r="537" ht="130" customHeight="1">
      <x:c r="A537" s="10" t="n">
        <x:v>536</x:v>
      </x:c>
      <x:c r="B537" s="10" t="str">
        <x:v>ADMIN-08-0028</x:v>
      </x:c>
      <x:c r="C537" s="10" t="str">
        <x:v>订单管理</x:v>
      </x:c>
      <x:c r="D537" s="10" t="str">
        <x:v>消费订单（平台管理员视角）</x:v>
      </x:c>
      <x:c r="E537" s="10" t="str">
        <x:v>逻辑校验</x:v>
      </x:c>
      <x:c r="F537" s="10" t="str">
        <x:v>P1</x:v>
      </x:c>
      <x:c r="G537" s="9" t="str">
        <x:v>验证核对幸运订单净消耗的独立计算口径</x:v>
      </x:c>
      <x:c r="H537" s="9" t="str">
        <x:v>幸运订单净消耗</x:v>
      </x:c>
      <x:c r="I537" s="9" t="str">
        <x:v>1. 执行角色为平台管理员
2. 账号具有当前模块访问及本次操作权限
3. 已登录后台并打开消费订单；已按下列条件准备记录及选择统计范围
4. 幸运订单扣减30金币、实际返奖50金币</x:v>
      </x:c>
      <x:c r="J537" s="9" t="str">
        <x:v>1. 查看当前消费订单页</x:v>
      </x:c>
      <x:c r="K537" s="9" t="str">
        <x:v>用户净消耗显示-20金币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来源（当前证据）：liveshow-proto/MainBasis/统一需求文档.md；位置：REQ-93f712a9f8d5；行4513
2. 规则：BR-bff0cfdebc4d5f55
3. 未动态验证</x:v>
      </x:c>
    </x:row>
    <x:row r="538" ht="130" customHeight="1">
      <x:c r="A538" s="10" t="n">
        <x:v>537</x:v>
      </x:c>
      <x:c r="B538" s="10" t="str">
        <x:v>ADMIN-08-0029</x:v>
      </x:c>
      <x:c r="C538" s="10" t="str">
        <x:v>订单管理</x:v>
      </x:c>
      <x:c r="D538" s="10" t="str">
        <x:v>消费订单详情（平台管理员视角）</x:v>
      </x:c>
      <x:c r="E538" s="10" t="str">
        <x:v>逻辑校验</x:v>
      </x:c>
      <x:c r="F538" s="10" t="str">
        <x:v>P1</x:v>
      </x:c>
      <x:c r="G538" s="9" t="str">
        <x:v>验证核对独立开奖返还汇总的独立计算口径</x:v>
      </x:c>
      <x:c r="H538" s="9" t="str">
        <x:v>独立开奖返还汇总</x:v>
      </x:c>
      <x:c r="I538" s="9" t="str">
        <x:v>1. 执行角色为平台管理员
2. 账号具有当前模块访问及本次操作权限
3. 已登录后台并打开消费订单详情；已按下列条件准备记录及选择统计范围
4. 当前幸运订单3次开奖分别返还0、5、50金币</x:v>
      </x:c>
      <x:c r="J538" s="9" t="str">
        <x:v>1. 查看当前消费订单详情页</x:v>
      </x:c>
      <x:c r="K538" s="9" t="str">
        <x:v>幸运礼物返奖显示55金币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来源（当前证据）：liveshow-proto/MainBasis/统一需求文档.md；位置：REQ-b0db806dc970；行4534
2. 规则：BR-e3739bdc724c7faf
3. 未动态验证</x:v>
      </x:c>
    </x:row>
    <x:row r="539" ht="130" customHeight="1">
      <x:c r="A539" s="10" t="n">
        <x:v>538</x:v>
      </x:c>
      <x:c r="B539" s="10" t="str">
        <x:v>ADMIN-08-0030</x:v>
      </x:c>
      <x:c r="C539" s="10" t="str">
        <x:v>订单管理</x:v>
      </x:c>
      <x:c r="D539" s="10" t="str">
        <x:v>退款订单（平台管理员视角）</x:v>
      </x:c>
      <x:c r="E539" s="10" t="str">
        <x:v>逻辑校验</x:v>
      </x:c>
      <x:c r="F539" s="10" t="str">
        <x:v>P1</x:v>
      </x:c>
      <x:c r="G539" s="9" t="str">
        <x:v>验证核对退款记录实付全额的独立计算口径</x:v>
      </x:c>
      <x:c r="H539" s="9" t="str">
        <x:v>退款记录实付全额</x:v>
      </x:c>
      <x:c r="I539" s="9" t="str">
        <x:v>1. 执行角色为平台管理员
2. 账号具有当前模块访问及本次操作权限
3. 已登录后台并打开退款订单；已按下列条件准备记录及选择统计范围
4. 原订单成功实付8USD、标价10USD，已完成全额退款</x:v>
      </x:c>
      <x:c r="J539" s="9" t="str">
        <x:v>1. 查看当前退款订单页</x:v>
      </x:c>
      <x:c r="K539" s="9" t="str">
        <x:v>退款金额显示8USD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来源（当前证据）：liveshow-proto/MainBasis/统一需求文档.md；位置：REQ-dec07c58fda7；行4557
2. 规则：BR-04eb8d42a2c6eeef
3. 未动态验证</x:v>
      </x:c>
    </x:row>
    <x:row r="540" ht="130" customHeight="1">
      <x:c r="A540" s="10" t="n">
        <x:v>539</x:v>
      </x:c>
      <x:c r="B540" s="10" t="str">
        <x:v>ADMIN-09-0035</x:v>
      </x:c>
      <x:c r="C540" s="10" t="str">
        <x:v>财务分成</x:v>
      </x:c>
      <x:c r="D540" s="10" t="str">
        <x:v>主播分成记录（平台管理员视角）</x:v>
      </x:c>
      <x:c r="E540" s="10" t="str">
        <x:v>逻辑校验</x:v>
      </x:c>
      <x:c r="F540" s="10" t="str">
        <x:v>P1</x:v>
      </x:c>
      <x:c r="G540" s="9" t="str">
        <x:v>验证核对导入批次主播人数的独立计算口径</x:v>
      </x:c>
      <x:c r="H540" s="9" t="str">
        <x:v>导入批次主播人数</x:v>
      </x:c>
      <x:c r="I540" s="9" t="str">
        <x:v>1. 执行角色为平台管理员
2. 账号具有当前模块访问及本次操作权限
3. 已登录后台并打开主播分成记录；已按下列条件准备记录及选择统计范围
4. 已导入有效批次包含甲H001和乙H002两名主播</x:v>
      </x:c>
      <x:c r="J540" s="9" t="str">
        <x:v>1. 查看当前主播分成记录页</x:v>
      </x:c>
      <x:c r="K540" s="9" t="str">
        <x:v>主播人数显示2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来源（当前证据）：liveshow-proto/MainBasis/统一需求文档.md；位置：REQ-8123a22d612c；行4574
2. 规则：BR-fa99670166e550c8
3. 未动态验证</x:v>
      </x:c>
    </x:row>
    <x:row r="541" ht="130" customHeight="1">
      <x:c r="A541" s="10" t="n">
        <x:v>540</x:v>
      </x:c>
      <x:c r="B541" s="10" t="str">
        <x:v>ADMIN-09-0036</x:v>
      </x:c>
      <x:c r="C541" s="10" t="str">
        <x:v>财务分成</x:v>
      </x:c>
      <x:c r="D541" s="10" t="str">
        <x:v>主播分成记录（平台管理员视角）</x:v>
      </x:c>
      <x:c r="E541" s="10" t="str">
        <x:v>逻辑校验</x:v>
      </x:c>
      <x:c r="F541" s="10" t="str">
        <x:v>P1</x:v>
      </x:c>
      <x:c r="G541" s="9" t="str">
        <x:v>验证核对主播导入批次金额合计的独立计算口径</x:v>
      </x:c>
      <x:c r="H541" s="9" t="str">
        <x:v>主播导入批次金额合计</x:v>
      </x:c>
      <x:c r="I541" s="9" t="str">
        <x:v>1. 执行角色为平台管理员
2. 账号具有当前模块访问及本次操作权限
3. 已登录后台并打开主播分成记录；已按下列条件准备记录及选择统计范围
4. 有效明细甲12.30USD、乙20.20USD，无其他明细</x:v>
      </x:c>
      <x:c r="J541" s="9" t="str">
        <x:v>1. 查看当前主播分成记录页</x:v>
      </x:c>
      <x:c r="K541" s="9" t="str">
        <x:v>分成总金额显示32.50USD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来源（当前证据）：liveshow-proto/MainBasis/统一需求文档.md；位置：REQ-153926aa304f；行4576
2. 规则：BR-f025163f0d09f55c
3. 未动态验证</x:v>
      </x:c>
    </x:row>
    <x:row r="542" ht="130" customHeight="1">
      <x:c r="A542" s="10" t="n">
        <x:v>541</x:v>
      </x:c>
      <x:c r="B542" s="10" t="str">
        <x:v>ADMIN-09-0037</x:v>
      </x:c>
      <x:c r="C542" s="10" t="str">
        <x:v>财务分成</x:v>
      </x:c>
      <x:c r="D542" s="10" t="str">
        <x:v>公会分成记录（平台管理员视角）</x:v>
      </x:c>
      <x:c r="E542" s="10" t="str">
        <x:v>逻辑校验</x:v>
      </x:c>
      <x:c r="F542" s="10" t="str">
        <x:v>P1</x:v>
      </x:c>
      <x:c r="G542" s="9" t="str">
        <x:v>验证核对导入批次公会数量的独立计算口径</x:v>
      </x:c>
      <x:c r="H542" s="9" t="str">
        <x:v>导入批次公会数量</x:v>
      </x:c>
      <x:c r="I542" s="9" t="str">
        <x:v>1. 执行角色为平台管理员
2. 账号具有当前模块访问及本次操作权限
3. 已登录后台并打开公会分成记录；已按下列条件准备记录及选择统计范围
4. 有效导入明细为公会G001及G002</x:v>
      </x:c>
      <x:c r="J542" s="9" t="str">
        <x:v>1. 查看当前公会分成记录页</x:v>
      </x:c>
      <x:c r="K542" s="9" t="str">
        <x:v>公会数量显示2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来源（当前证据）：liveshow-proto/MainBasis/统一需求文档.md；位置：REQ-6de3b73ddbe6；行4650
2. 规则：BR-d313c24a94febeeb
3. 未动态验证</x:v>
      </x:c>
    </x:row>
    <x:row r="543" ht="130" customHeight="1">
      <x:c r="A543" s="10" t="n">
        <x:v>542</x:v>
      </x:c>
      <x:c r="B543" s="10" t="str">
        <x:v>ADMIN-09-0038</x:v>
      </x:c>
      <x:c r="C543" s="10" t="str">
        <x:v>财务分成</x:v>
      </x:c>
      <x:c r="D543" s="10" t="str">
        <x:v>公会分成记录（平台管理员视角）</x:v>
      </x:c>
      <x:c r="E543" s="10" t="str">
        <x:v>逻辑校验</x:v>
      </x:c>
      <x:c r="F543" s="10" t="str">
        <x:v>P1</x:v>
      </x:c>
      <x:c r="G543" s="9" t="str">
        <x:v>验证核对公会导入批次金额合计的独立计算口径</x:v>
      </x:c>
      <x:c r="H543" s="9" t="str">
        <x:v>公会导入批次金额合计</x:v>
      </x:c>
      <x:c r="I543" s="9" t="str">
        <x:v>1. 执行角色为平台管理员
2. 账号具有当前模块访问及本次操作权限
3. 已登录后台并打开公会分成记录；已按下列条件准备记录及选择统计范围
4. 有效公会明细G001为12.30USD、G002为20.20USD</x:v>
      </x:c>
      <x:c r="J543" s="9" t="str">
        <x:v>1. 查看当前公会分成记录页</x:v>
      </x:c>
      <x:c r="K543" s="9" t="str">
        <x:v>分成总金额显示32.50USD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来源（当前证据）：liveshow-proto/MainBasis/统一需求文档.md；位置：REQ-3a524f61eb17；行4652
2. 规则：BR-9b2ae61132e33ac4
3. 未动态验证</x:v>
      </x:c>
    </x:row>
    <x:row r="544" ht="130" customHeight="1">
      <x:c r="A544" s="10" t="n">
        <x:v>543</x:v>
      </x:c>
      <x:c r="B544" s="10" t="str">
        <x:v>ADMIN-09-0039</x:v>
      </x:c>
      <x:c r="C544" s="10" t="str">
        <x:v>财务分成</x:v>
      </x:c>
      <x:c r="D544" s="10" t="str">
        <x:v>公会账户余额（平台管理员视角）</x:v>
      </x:c>
      <x:c r="E544" s="10" t="str">
        <x:v>逻辑校验</x:v>
      </x:c>
      <x:c r="F544" s="10" t="str">
        <x:v>P1</x:v>
      </x:c>
      <x:c r="G544" s="9" t="str">
        <x:v>验证核对公会财务余额计算的独立计算口径</x:v>
      </x:c>
      <x:c r="H544" s="9" t="str">
        <x:v>公会财务余额计算</x:v>
      </x:c>
      <x:c r="I544" s="9" t="str">
        <x:v>1. 执行角色为平台管理员
2. 账号具有当前模块访问及本次操作权限
3. 已登录后台并打开公会账户余额；已按下列条件准备记录及选择统计范围
4. 当前公会分成入账100USD、正修正10USD、负修正20USD</x:v>
      </x:c>
      <x:c r="J544" s="9" t="str">
        <x:v>1. 查看当前公会账户余额页</x:v>
      </x:c>
      <x:c r="K544" s="9" t="str">
        <x:v>账户余额显示90.00USD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来源（当前证据）：liveshow-proto/MainBasis/统一需求文档.md；位置：REQ-6365054b6ccc；行4683
2. 规则：BR-e6be4ad6f7586722
3. 未动态验证</x:v>
      </x:c>
    </x:row>
    <x:row r="545" ht="145" customHeight="1">
      <x:c r="A545" s="10" t="n">
        <x:v>544</x:v>
      </x:c>
      <x:c r="B545" s="10" t="str">
        <x:v>ADMIN-10-0073</x:v>
      </x:c>
      <x:c r="C545" s="10" t="str">
        <x:v>数据分析</x:v>
      </x:c>
      <x:c r="D545" s="10" t="str">
        <x:v>数据概览（平台管理员视角）</x:v>
      </x:c>
      <x:c r="E545" s="10" t="str">
        <x:v>逻辑校验</x:v>
      </x:c>
      <x:c r="F545" s="10" t="str">
        <x:v>P1</x:v>
      </x:c>
      <x:c r="G545" s="9" t="str">
        <x:v>验证核对概览新用户实付金额的独立计算口径</x:v>
      </x:c>
      <x:c r="H545" s="9" t="str">
        <x:v>概览新用户实付金额</x:v>
      </x:c>
      <x:c r="I545" s="9" t="str">
        <x:v>1. 执行角色为平台管理员
2. 账号具有当前模块访问及本次操作权限
3. 已登录后台并打开数据概览；已按下列条件准备记录及选择统计范围
4. 甲9月15日注册当日充值8USD，乙14日注册15日充值2USD；范围仅15日</x:v>
      </x:c>
      <x:c r="J545" s="9" t="str">
        <x:v>1. 查看当前数据概览页</x:v>
      </x:c>
      <x:c r="K545" s="9" t="str">
        <x:v>新用户充值金额显示8USD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来源（当前证据）：liveshow-proto/MainBasis/统一需求文档.md；位置：REQ-4c5f5f782751；行4730
2. 规则：BR-4e2098b99e8187a8
3. 未动态验证</x:v>
      </x:c>
    </x:row>
    <x:row r="546" ht="130" customHeight="1">
      <x:c r="A546" s="10" t="n">
        <x:v>545</x:v>
      </x:c>
      <x:c r="B546" s="10" t="str">
        <x:v>ADMIN-10-0074</x:v>
      </x:c>
      <x:c r="C546" s="10" t="str">
        <x:v>数据分析</x:v>
      </x:c>
      <x:c r="D546" s="10" t="str">
        <x:v>每日统计（平台管理员视角）</x:v>
      </x:c>
      <x:c r="E546" s="10" t="str">
        <x:v>逻辑校验</x:v>
      </x:c>
      <x:c r="F546" s="10" t="str">
        <x:v>P1</x:v>
      </x:c>
      <x:c r="G546" s="9" t="str">
        <x:v>验证核对每日活跃用户去重的独立计算口径</x:v>
      </x:c>
      <x:c r="H546" s="9" t="str">
        <x:v>每日活跃用户去重</x:v>
      </x:c>
      <x:c r="I546" s="9" t="str">
        <x:v>1. 执行角色为平台管理员
2. 账号具有当前模块访问及本次操作权限
3. 已登录后台并打开每日统计；已按下列条件准备记录及选择统计范围
4. 统计日甲启动3次、乙从后台回前台2次，游客1次</x:v>
      </x:c>
      <x:c r="J546" s="9" t="str">
        <x:v>1. 查看当前每日统计页</x:v>
      </x:c>
      <x:c r="K546" s="9" t="str">
        <x:v>活跃用户显示2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来源（当前证据）：liveshow-proto/MainBasis/统一需求文档.md；位置：REQ-206e455c251c；行4745
2. 规则：BR-712e9bda6156ea0c
3. 未动态验证</x:v>
      </x:c>
    </x:row>
    <x:row r="547" ht="130" customHeight="1">
      <x:c r="A547" s="10" t="n">
        <x:v>546</x:v>
      </x:c>
      <x:c r="B547" s="10" t="str">
        <x:v>ADMIN-10-0075</x:v>
      </x:c>
      <x:c r="C547" s="10" t="str">
        <x:v>数据分析</x:v>
      </x:c>
      <x:c r="D547" s="10" t="str">
        <x:v>每日统计（平台管理员视角）</x:v>
      </x:c>
      <x:c r="E547" s="10" t="str">
        <x:v>逻辑校验</x:v>
      </x:c>
      <x:c r="F547" s="10" t="str">
        <x:v>P1</x:v>
      </x:c>
      <x:c r="G547" s="9" t="str">
        <x:v>验证核对每日新增注册用户的独立计算口径</x:v>
      </x:c>
      <x:c r="H547" s="9" t="str">
        <x:v>每日新增注册用户</x:v>
      </x:c>
      <x:c r="I547" s="9" t="str">
        <x:v>1. 执行角色为平台管理员
2. 账号具有当前模块访问及本次操作权限
3. 已登录后台并打开每日统计；已按下列条件准备记录及选择统计范围
4. 统计日甲乙完成注册，丙只打开注册页</x:v>
      </x:c>
      <x:c r="J547" s="9" t="str">
        <x:v>1. 查看当前每日统计页</x:v>
      </x:c>
      <x:c r="K547" s="9" t="str">
        <x:v>新增用户显示2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来源（当前证据）：liveshow-proto/MainBasis/统一需求文档.md；位置：REQ-206e455c251c；行4745
2. 规则：BR-263dca90db503e1a
3. 未动态验证</x:v>
      </x:c>
    </x:row>
    <x:row r="548" ht="130" customHeight="1">
      <x:c r="A548" s="10" t="n">
        <x:v>547</x:v>
      </x:c>
      <x:c r="B548" s="10" t="str">
        <x:v>ADMIN-10-0076</x:v>
      </x:c>
      <x:c r="C548" s="10" t="str">
        <x:v>数据分析</x:v>
      </x:c>
      <x:c r="D548" s="10" t="str">
        <x:v>每日统计（平台管理员视角）</x:v>
      </x:c>
      <x:c r="E548" s="10" t="str">
        <x:v>逻辑校验</x:v>
      </x:c>
      <x:c r="F548" s="10" t="str">
        <x:v>P1</x:v>
      </x:c>
      <x:c r="G548" s="9" t="str">
        <x:v>验证核对每日成功实付充值的独立计算口径</x:v>
      </x:c>
      <x:c r="H548" s="9" t="str">
        <x:v>每日成功实付充值</x:v>
      </x:c>
      <x:c r="I548" s="9" t="str">
        <x:v>1. 执行角色为平台管理员
2. 账号具有当前模块访问及本次操作权限
3. 已登录后台并打开每日统计；已按下列条件准备记录及选择统计范围
4. 甲成功8USD、乙成功2USD、丙失败10USD</x:v>
      </x:c>
      <x:c r="J548" s="9" t="str">
        <x:v>1. 查看当前每日统计页</x:v>
      </x:c>
      <x:c r="K548" s="9" t="str">
        <x:v>总充值金额显示10USD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来源（当前证据）：liveshow-proto/MainBasis/统一需求文档.md；位置：REQ-a6c566b29bf8；行4747
2. 规则：BR-81b601019d1786b5
3. 未动态验证</x:v>
      </x:c>
    </x:row>
    <x:row r="549" ht="130" customHeight="1">
      <x:c r="A549" s="10" t="n">
        <x:v>548</x:v>
      </x:c>
      <x:c r="B549" s="10" t="str">
        <x:v>ADMIN-10-0077</x:v>
      </x:c>
      <x:c r="C549" s="10" t="str">
        <x:v>数据分析</x:v>
      </x:c>
      <x:c r="D549" s="10" t="str">
        <x:v>每日统计（平台管理员视角）</x:v>
      </x:c>
      <x:c r="E549" s="10" t="str">
        <x:v>逻辑校验</x:v>
      </x:c>
      <x:c r="F549" s="10" t="str">
        <x:v>P1</x:v>
      </x:c>
      <x:c r="G549" s="9" t="str">
        <x:v>验证核对每日成功充值去重的独立计算口径</x:v>
      </x:c>
      <x:c r="H549" s="9" t="str">
        <x:v>每日成功充值去重</x:v>
      </x:c>
      <x:c r="I549" s="9" t="str">
        <x:v>1. 执行角色为平台管理员
2. 账号具有当前模块访问及本次操作权限
3. 已登录后台并打开每日统计；已按下列条件准备记录及选择统计范围
4. 甲成功2笔、乙成功1笔、丙仅失败</x:v>
      </x:c>
      <x:c r="J549" s="9" t="str">
        <x:v>1. 查看当前每日统计页</x:v>
      </x:c>
      <x:c r="K549" s="9" t="str">
        <x:v>充值人数显示2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来源（当前证据）：liveshow-proto/MainBasis/统一需求文档.md；位置：REQ-a6c566b29bf8；行4747
2. 规则：BR-90857964002381e2
3. 未动态验证</x:v>
      </x:c>
    </x:row>
    <x:row r="550" ht="130" customHeight="1">
      <x:c r="A550" s="10" t="n">
        <x:v>549</x:v>
      </x:c>
      <x:c r="B550" s="10" t="str">
        <x:v>ADMIN-10-0078</x:v>
      </x:c>
      <x:c r="C550" s="10" t="str">
        <x:v>数据分析</x:v>
      </x:c>
      <x:c r="D550" s="10" t="str">
        <x:v>每日统计（平台管理员视角）</x:v>
      </x:c>
      <x:c r="E550" s="10" t="str">
        <x:v>逻辑校验</x:v>
      </x:c>
      <x:c r="F550" s="10" t="str">
        <x:v>P1</x:v>
      </x:c>
      <x:c r="G550" s="9" t="str">
        <x:v>验证核对每日新用户充值人数的独立计算口径</x:v>
      </x:c>
      <x:c r="H550" s="9" t="str">
        <x:v>每日新用户充值人数</x:v>
      </x:c>
      <x:c r="I550" s="9" t="str">
        <x:v>1. 执行角色为平台管理员
2. 账号具有当前模块访问及本次操作权限
3. 已登录后台并打开每日统计；已按下列条件准备记录及选择统计范围
4. 当日注册甲成功2笔、乙成功1笔；昨日注册丙今日成功1笔</x:v>
      </x:c>
      <x:c r="J550" s="9" t="str">
        <x:v>1. 查看当前每日统计页</x:v>
      </x:c>
      <x:c r="K550" s="9" t="str">
        <x:v>新用户充值人数显示2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来源（当前证据）：liveshow-proto/MainBasis/统一需求文档.md；位置：REQ-cf972865ae89；行4749
2. 规则：BR-62dbf18f33dceb5e
3. 未动态验证</x:v>
      </x:c>
    </x:row>
    <x:row r="551" ht="145" customHeight="1">
      <x:c r="A551" s="10" t="n">
        <x:v>550</x:v>
      </x:c>
      <x:c r="B551" s="10" t="str">
        <x:v>ADMIN-10-0079</x:v>
      </x:c>
      <x:c r="C551" s="10" t="str">
        <x:v>数据分析</x:v>
      </x:c>
      <x:c r="D551" s="10" t="str">
        <x:v>每日统计（平台管理员视角）</x:v>
      </x:c>
      <x:c r="E551" s="10" t="str">
        <x:v>逻辑校验</x:v>
      </x:c>
      <x:c r="F551" s="10" t="str">
        <x:v>P1</x:v>
      </x:c>
      <x:c r="G551" s="9" t="str">
        <x:v>验证核对每日新用户充值金额的独立计算口径</x:v>
      </x:c>
      <x:c r="H551" s="9" t="str">
        <x:v>每日新用户充值金额</x:v>
      </x:c>
      <x:c r="I551" s="9" t="str">
        <x:v>1. 执行角色为平台管理员
2. 账号具有当前模块访问及本次操作权限
3. 已登录后台并打开每日统计；已按下列条件准备记录及选择统计范围
4. 当日注册甲成功8USD、乙成功2USD；昨日注册丙今日成功20USD</x:v>
      </x:c>
      <x:c r="J551" s="9" t="str">
        <x:v>1. 查看当前每日统计页</x:v>
      </x:c>
      <x:c r="K551" s="9" t="str">
        <x:v>新用户充值金额显示10USD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来源（当前证据）：liveshow-proto/MainBasis/统一需求文档.md；位置：REQ-cf972865ae89；行4749
2. 规则：BR-b9d75b9b9aede59d
3. 未动态验证</x:v>
      </x:c>
    </x:row>
    <x:row r="552" ht="130" customHeight="1">
      <x:c r="A552" s="10" t="n">
        <x:v>551</x:v>
      </x:c>
      <x:c r="B552" s="10" t="str">
        <x:v>ADMIN-10-0080</x:v>
      </x:c>
      <x:c r="C552" s="10" t="str">
        <x:v>数据分析</x:v>
      </x:c>
      <x:c r="D552" s="10" t="str">
        <x:v>每日统计（平台管理员视角）</x:v>
      </x:c>
      <x:c r="E552" s="10" t="str">
        <x:v>逻辑校验</x:v>
      </x:c>
      <x:c r="F552" s="10" t="str">
        <x:v>P1</x:v>
      </x:c>
      <x:c r="G552" s="9" t="str">
        <x:v>验证核对每日开播人数去重的独立计算口径</x:v>
      </x:c>
      <x:c r="H552" s="9" t="str">
        <x:v>每日开播人数去重</x:v>
      </x:c>
      <x:c r="I552" s="9" t="str">
        <x:v>1. 执行角色为平台管理员
2. 账号具有当前模块访问及本次操作权限
3. 已登录后台并打开每日统计；已按下列条件准备记录及选择统计范围
4. 甲成功开播3场、乙1场，丙只进入预览未开播</x:v>
      </x:c>
      <x:c r="J552" s="9" t="str">
        <x:v>1. 查看当前每日统计页</x:v>
      </x:c>
      <x:c r="K552" s="9" t="str">
        <x:v>开播人数显示2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来源（当前证据）：liveshow-proto/MainBasis/统一需求文档.md；位置：REQ-af795ad3b1ab；行4753
2. 规则：BR-a4e33ddc22341f2d
3. 未动态验证</x:v>
      </x:c>
    </x:row>
    <x:row r="553" ht="130" customHeight="1">
      <x:c r="A553" s="10" t="n">
        <x:v>552</x:v>
      </x:c>
      <x:c r="B553" s="10" t="str">
        <x:v>ADMIN-10-0081</x:v>
      </x:c>
      <x:c r="C553" s="10" t="str">
        <x:v>数据分析</x:v>
      </x:c>
      <x:c r="D553" s="10" t="str">
        <x:v>每日统计（平台管理员视角）</x:v>
      </x:c>
      <x:c r="E553" s="10" t="str">
        <x:v>逻辑校验</x:v>
      </x:c>
      <x:c r="F553" s="10" t="str">
        <x:v>P1</x:v>
      </x:c>
      <x:c r="G553" s="9" t="str">
        <x:v>验证核对每日有效天人数的独立计算口径</x:v>
      </x:c>
      <x:c r="H553" s="9" t="str">
        <x:v>每日有效天人数</x:v>
      </x:c>
      <x:c r="I553" s="9" t="str">
        <x:v>1. 执行角色为平台管理员
2. 账号具有当前模块访问及本次操作权限
3. 已登录后台并打开每日统计；已按下列条件准备记录及选择统计范围
4. 甲有效直播179分钟、乙180分钟、丙360分钟</x:v>
      </x:c>
      <x:c r="J553" s="9" t="str">
        <x:v>1. 查看当前每日统计页</x:v>
      </x:c>
      <x:c r="K553" s="9" t="str">
        <x:v>达成有效天主播显示2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来源（当前证据）：liveshow-proto/MainBasis/统一需求文档.md；位置：REQ-2149fcc6cd62；行4755
2. 规则：BR-c047d7604492e297
3. 未动态验证</x:v>
      </x:c>
    </x:row>
    <x:row r="554" ht="130" customHeight="1">
      <x:c r="A554" s="10" t="n">
        <x:v>553</x:v>
      </x:c>
      <x:c r="B554" s="10" t="str">
        <x:v>ADMIN-10-0082</x:v>
      </x:c>
      <x:c r="C554" s="10" t="str">
        <x:v>数据分析</x:v>
      </x:c>
      <x:c r="D554" s="10" t="str">
        <x:v>每日统计（平台管理员视角）</x:v>
      </x:c>
      <x:c r="E554" s="10" t="str">
        <x:v>逻辑校验</x:v>
      </x:c>
      <x:c r="F554" s="10" t="str">
        <x:v>P1</x:v>
      </x:c>
      <x:c r="G554" s="9" t="str">
        <x:v>验证核对每日完成退款单数的独立计算口径</x:v>
      </x:c>
      <x:c r="H554" s="9" t="str">
        <x:v>每日完成退款单数</x:v>
      </x:c>
      <x:c r="I554" s="9" t="str">
        <x:v>1. 执行角色为平台管理员
2. 账号具有当前模块访问及本次操作权限
3. 已登录后台并打开每日统计；已按下列条件准备记录及选择统计范围
4. 当日完成A与B退款，C仅申请未完成，D昨日完成</x:v>
      </x:c>
      <x:c r="J554" s="9" t="str">
        <x:v>1. 查看当前每日统计页</x:v>
      </x:c>
      <x:c r="K554" s="9" t="str">
        <x:v>退款订单数显示2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来源（当前证据）：liveshow-proto/MainBasis/统一需求文档.md；位置：REQ-b1cbcf92cbb3；行4759
2. 规则：BR-5924491e12298e16
3. 未动态验证</x:v>
      </x:c>
    </x:row>
    <x:row r="555" ht="145" customHeight="1">
      <x:c r="A555" s="10" t="n">
        <x:v>554</x:v>
      </x:c>
      <x:c r="B555" s="10" t="str">
        <x:v>ADMIN-10-0083</x:v>
      </x:c>
      <x:c r="C555" s="10" t="str">
        <x:v>数据分析</x:v>
      </x:c>
      <x:c r="D555" s="10" t="str">
        <x:v>用户活跃汇总（每日）（平台管理员视角）</x:v>
      </x:c>
      <x:c r="E555" s="10" t="str">
        <x:v>逻辑校验</x:v>
      </x:c>
      <x:c r="F555" s="10" t="str">
        <x:v>P1</x:v>
      </x:c>
      <x:c r="G555" s="9" t="str">
        <x:v>验证核对新登录用户当日注册口径的独立计算口径</x:v>
      </x:c>
      <x:c r="H555" s="9" t="str">
        <x:v>新登录用户当日注册口径</x:v>
      </x:c>
      <x:c r="I555" s="9" t="str">
        <x:v>1. 执行角色为平台管理员
2. 账号具有当前模块访问及本次操作权限
3. 已登录后台并打开用户活跃汇总（每日）；已按下列条件准备记录及选择统计范围
4. 当日甲注册且成功登录两次；乙前日注册今日登录；丙今日注册未登录</x:v>
      </x:c>
      <x:c r="J555" s="9" t="str">
        <x:v>1. 查看当前用户活跃汇总（每日）页</x:v>
      </x:c>
      <x:c r="K555" s="9" t="str">
        <x:v>新用户显示1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来源（当前证据）：liveshow-proto/MainBasis/统一需求文档.md；位置：REQ-d5fa92414ba4；行4772
2. 规则：BR-50c83d26a1b9afa2
3. 未动态验证</x:v>
      </x:c>
    </x:row>
    <x:row r="556" ht="130" customHeight="1">
      <x:c r="A556" s="10" t="n">
        <x:v>555</x:v>
      </x:c>
      <x:c r="B556" s="10" t="str">
        <x:v>ADMIN-10-0084</x:v>
      </x:c>
      <x:c r="C556" s="10" t="str">
        <x:v>数据分析</x:v>
      </x:c>
      <x:c r="D556" s="10" t="str">
        <x:v>主播活跃汇总（每日）（平台管理员视角）</x:v>
      </x:c>
      <x:c r="E556" s="10" t="str">
        <x:v>逻辑校验</x:v>
      </x:c>
      <x:c r="F556" s="10" t="str">
        <x:v>P1</x:v>
      </x:c>
      <x:c r="G556" s="9" t="str">
        <x:v>验证核对主播报表开播人数的独立计算口径</x:v>
      </x:c>
      <x:c r="H556" s="9" t="str">
        <x:v>主播报表开播人数</x:v>
      </x:c>
      <x:c r="I556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556" s="9" t="str">
        <x:v>1. 查看当前主播活跃汇总（每日）页</x:v>
      </x:c>
      <x:c r="K556" s="9" t="str">
        <x:v>开播人数显示2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来源（当前证据）：liveshow-proto/MainBasis/统一需求文档.md；位置：REQ-483bfd749324；行4789
2. 规则：BR-f57f665112a327ec
3. 未动态验证</x:v>
      </x:c>
    </x:row>
    <x:row r="557" ht="130" customHeight="1">
      <x:c r="A557" s="10" t="n">
        <x:v>556</x:v>
      </x:c>
      <x:c r="B557" s="10" t="str">
        <x:v>ADMIN-10-0085</x:v>
      </x:c>
      <x:c r="C557" s="10" t="str">
        <x:v>数据分析</x:v>
      </x:c>
      <x:c r="D557" s="10" t="str">
        <x:v>主播活跃汇总（每日）（平台管理员视角）</x:v>
      </x:c>
      <x:c r="E557" s="10" t="str">
        <x:v>逻辑校验</x:v>
      </x:c>
      <x:c r="F557" s="10" t="str">
        <x:v>P1</x:v>
      </x:c>
      <x:c r="G557" s="9" t="str">
        <x:v>验证核对主播报表开播场次的独立计算口径</x:v>
      </x:c>
      <x:c r="H557" s="9" t="str">
        <x:v>主播报表开播场次</x:v>
      </x:c>
      <x:c r="I557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557" s="9" t="str">
        <x:v>1. 查看当前主播活跃汇总（每日）页</x:v>
      </x:c>
      <x:c r="K557" s="9" t="str">
        <x:v>开播场次显示3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来源（当前证据）：liveshow-proto/MainBasis/统一需求文档.md；位置：REQ-483bfd749324；行4789
2. 规则：BR-025d7b26e2ac8c76
3. 未动态验证</x:v>
      </x:c>
    </x:row>
    <x:row r="558" ht="130" customHeight="1">
      <x:c r="A558" s="10" t="n">
        <x:v>557</x:v>
      </x:c>
      <x:c r="B558" s="10" t="str">
        <x:v>ADMIN-10-0086</x:v>
      </x:c>
      <x:c r="C558" s="10" t="str">
        <x:v>数据分析</x:v>
      </x:c>
      <x:c r="D558" s="10" t="str">
        <x:v>主播活跃汇总（每日）（平台管理员视角）</x:v>
      </x:c>
      <x:c r="E558" s="10" t="str">
        <x:v>逻辑校验</x:v>
      </x:c>
      <x:c r="F558" s="10" t="str">
        <x:v>P1</x:v>
      </x:c>
      <x:c r="G558" s="9" t="str">
        <x:v>验证核对主播报表达标人数的独立计算口径</x:v>
      </x:c>
      <x:c r="H558" s="9" t="str">
        <x:v>主播报表达标人数</x:v>
      </x:c>
      <x:c r="I558" s="9" t="str">
        <x:v>1. 执行角色为平台管理员
2. 账号具有当前模块访问及本次操作权限
3. 已登录后台并打开主播活跃汇总（每日）；已按下列条件准备记录及选择统计范围
4. 甲累计180分钟、乙179分钟、丙181分钟</x:v>
      </x:c>
      <x:c r="J558" s="9" t="str">
        <x:v>1. 查看当前主播活跃汇总（每日）页</x:v>
      </x:c>
      <x:c r="K558" s="9" t="str">
        <x:v>有效天达标人数显示2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来源（当前证据）：liveshow-proto/MainBasis/统一需求文档.md；位置：REQ-295bb3ad1f87；行4793
2. 规则：BR-2ea1c021160950b7
3. 未动态验证</x:v>
      </x:c>
    </x:row>
    <x:row r="559" ht="130" customHeight="1">
      <x:c r="A559" s="10" t="n">
        <x:v>558</x:v>
      </x:c>
      <x:c r="B559" s="10" t="str">
        <x:v>ADMIN-10-0087</x:v>
      </x:c>
      <x:c r="C559" s="10" t="str">
        <x:v>数据分析</x:v>
      </x:c>
      <x:c r="D559" s="10" t="str">
        <x:v>主播活跃汇总（每日）（平台管理员视角）</x:v>
      </x:c>
      <x:c r="E559" s="10" t="str">
        <x:v>逻辑校验</x:v>
      </x:c>
      <x:c r="F559" s="10" t="str">
        <x:v>P1</x:v>
      </x:c>
      <x:c r="G559" s="9" t="str">
        <x:v>验证核对主播时长偶数中位的独立计算口径</x:v>
      </x:c>
      <x:c r="H559" s="9" t="str">
        <x:v>主播时长偶数中位</x:v>
      </x:c>
      <x:c r="I559" s="9" t="str">
        <x:v>1. 执行角色为平台管理员
2. 账号具有当前模块访问及本次操作权限
3. 已登录后台并打开主播活跃汇总（每日）；已按下列条件准备记录及选择统计范围
4. 有效场次时长10、20、40、100分钟</x:v>
      </x:c>
      <x:c r="J559" s="9" t="str">
        <x:v>1. 查看当前主播活跃汇总（每日）页</x:v>
      </x:c>
      <x:c r="K559" s="9" t="str">
        <x:v>开播时长中位数显示30分钟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来源（当前证据）：liveshow-proto/MainBasis/统一需求文档.md；位置：REQ-d701d2509d3a；行4795
2. 规则：BR-2434ca9e0e0468eb
3. 未动态验证</x:v>
      </x:c>
    </x:row>
    <x:row r="560" ht="130" customHeight="1">
      <x:c r="A560" s="10" t="n">
        <x:v>559</x:v>
      </x:c>
      <x:c r="B560" s="10" t="str">
        <x:v>ADMIN-10-0088</x:v>
      </x:c>
      <x:c r="C560" s="10" t="str">
        <x:v>数据分析</x:v>
      </x:c>
      <x:c r="D560" s="10" t="str">
        <x:v>直播记录明细报表（平台管理员视角）</x:v>
      </x:c>
      <x:c r="E560" s="10" t="str">
        <x:v>逻辑校验</x:v>
      </x:c>
      <x:c r="F560" s="10" t="str">
        <x:v>P1</x:v>
      </x:c>
      <x:c r="G560" s="9" t="str">
        <x:v>验证核对场次明细起止时长的独立计算口径</x:v>
      </x:c>
      <x:c r="H560" s="9" t="str">
        <x:v>场次明细起止时长</x:v>
      </x:c>
      <x:c r="I560" s="9" t="str">
        <x:v>1. 执行角色为平台管理员
2. 账号具有当前模块访问及本次操作权限
3. 已登录后台并打开直播记录明细报表；已按下列条件准备记录及选择统计范围
4. 目标场次9月15日10:00开始、11:30结束</x:v>
      </x:c>
      <x:c r="J560" s="9" t="str">
        <x:v>1. 查看当前直播记录明细报表页</x:v>
      </x:c>
      <x:c r="K560" s="9" t="str">
        <x:v>时长显示1小时30分钟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来源（当前证据）：liveshow-proto/MainBasis/统一需求文档.md；位置：REQ-f75379123b92；行4827
2. 规则：BR-f909c28eda18d431
3. 未动态验证</x:v>
      </x:c>
    </x:row>
    <x:row r="561" ht="130" customHeight="1">
      <x:c r="A561" s="10" t="n">
        <x:v>560</x:v>
      </x:c>
      <x:c r="B561" s="10" t="str">
        <x:v>ADMIN-10-0089</x:v>
      </x:c>
      <x:c r="C561" s="10" t="str">
        <x:v>数据分析</x:v>
      </x:c>
      <x:c r="D561" s="10" t="str">
        <x:v>直播记录明细报表（平台管理员视角）</x:v>
      </x:c>
      <x:c r="E561" s="10" t="str">
        <x:v>逻辑校验</x:v>
      </x:c>
      <x:c r="F561" s="10" t="str">
        <x:v>P1</x:v>
      </x:c>
      <x:c r="G561" s="9" t="str">
        <x:v>验证核对场次报表真实观众去重的独立计算口径</x:v>
      </x:c>
      <x:c r="H561" s="9" t="str">
        <x:v>场次报表真实观众去重</x:v>
      </x:c>
      <x:c r="I561" s="9" t="str">
        <x:v>1. 执行角色为平台管理员
2. 账号具有当前模块访问及本次操作权限
3. 已登录后台并打开直播记录明细报表；已按下列条件准备记录及选择统计范围
4. 甲真实用户进3次、乙1次，运营账号进1次</x:v>
      </x:c>
      <x:c r="J561" s="9" t="str">
        <x:v>1. 查看当前直播记录明细报表页</x:v>
      </x:c>
      <x:c r="K561" s="9" t="str">
        <x:v>观众人数显示2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来源（当前证据）：liveshow-proto/MainBasis/统一需求文档.md；位置：REQ-4e7d48d9fe8c；行4831
2. 规则：BR-29bb1a584ae9b3de
3. 未动态验证</x:v>
      </x:c>
    </x:row>
    <x:row r="562" ht="145" customHeight="1">
      <x:c r="A562" s="10" t="n">
        <x:v>561</x:v>
      </x:c>
      <x:c r="B562" s="10" t="str">
        <x:v>ADMIN-10-0090</x:v>
      </x:c>
      <x:c r="C562" s="10" t="str">
        <x:v>数据分析</x:v>
      </x:c>
      <x:c r="D562" s="10" t="str">
        <x:v>充值消费汇总（每日）（平台管理员视角）</x:v>
      </x:c>
      <x:c r="E562" s="10" t="str">
        <x:v>逻辑校验</x:v>
      </x:c>
      <x:c r="F562" s="10" t="str">
        <x:v>P1</x:v>
      </x:c>
      <x:c r="G562" s="9" t="str">
        <x:v>验证核对每日充值基础金币的独立计算口径</x:v>
      </x:c>
      <x:c r="H562" s="9" t="str">
        <x:v>每日充值基础金币</x:v>
      </x:c>
      <x:c r="I562" s="9" t="str">
        <x:v>1. 执行角色为平台管理员
2. 账号具有当前模块访问及本次操作权限
3. 已登录后台并打开充值消费汇总（每日）；已按下列条件准备记录及选择统计范围
4. 成功订单A基础100赠送20，B基础200赠送30；失败订单基础500</x:v>
      </x:c>
      <x:c r="J562" s="9" t="str">
        <x:v>1. 查看当前充值消费汇总（每日）页</x:v>
      </x:c>
      <x:c r="K562" s="9" t="str">
        <x:v>充值金币显示300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来源（当前证据）：liveshow-proto/MainBasis/统一需求文档.md；位置：REQ-8a8b6f9e9583；行4848
2. 规则：BR-397a2000a0ecdd51
3. 未动态验证</x:v>
      </x:c>
    </x:row>
    <x:row r="563" ht="130" customHeight="1">
      <x:c r="A563" s="10" t="n">
        <x:v>562</x:v>
      </x:c>
      <x:c r="B563" s="10" t="str">
        <x:v>ADMIN-10-0091</x:v>
      </x:c>
      <x:c r="C563" s="10" t="str">
        <x:v>数据分析</x:v>
      </x:c>
      <x:c r="D563" s="10" t="str">
        <x:v>充值消费汇总（每日）（平台管理员视角）</x:v>
      </x:c>
      <x:c r="E563" s="10" t="str">
        <x:v>逻辑校验</x:v>
      </x:c>
      <x:c r="F563" s="10" t="str">
        <x:v>P1</x:v>
      </x:c>
      <x:c r="G563" s="9" t="str">
        <x:v>验证核对每日净消费统计的独立计算口径</x:v>
      </x:c>
      <x:c r="H563" s="9" t="str">
        <x:v>每日净消费统计</x:v>
      </x:c>
      <x:c r="I563" s="9" t="str">
        <x:v>1. 执行角色为平台管理员
2. 账号具有当前模块访问及本次操作权限
3. 已登录后台并打开充值消费汇总（每日）；已按下列条件准备记录及选择统计范围
4. 普通100、定制200、门票50、幸运扣减100返奖500金币</x:v>
      </x:c>
      <x:c r="J563" s="9" t="str">
        <x:v>1. 查看当前充值消费汇总（每日）页</x:v>
      </x:c>
      <x:c r="K563" s="9" t="str">
        <x:v>消费金币显示-50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来源（当前证据）：liveshow-proto/MainBasis/统一需求文档.md；位置：REQ-88deba025c4b；行4852
2. 规则：BR-f2e1116ed8ddfde4
3. 未动态验证</x:v>
      </x:c>
    </x:row>
    <x:row r="564" ht="145" customHeight="1">
      <x:c r="A564" s="10" t="n">
        <x:v>563</x:v>
      </x:c>
      <x:c r="B564" s="10" t="str">
        <x:v>ADMIN-10-0092</x:v>
      </x:c>
      <x:c r="C564" s="10" t="str">
        <x:v>数据分析</x:v>
      </x:c>
      <x:c r="D564" s="10" t="str">
        <x:v>月度收益支出汇总（平台管理员视角）</x:v>
      </x:c>
      <x:c r="E564" s="10" t="str">
        <x:v>逻辑校验</x:v>
      </x:c>
      <x:c r="F564" s="10" t="str">
        <x:v>P1</x:v>
      </x:c>
      <x:c r="G564" s="9" t="str">
        <x:v>验证核对月度实际主播收益的独立计算口径</x:v>
      </x:c>
      <x:c r="H564" s="9" t="str">
        <x:v>月度实际主播收益</x:v>
      </x:c>
      <x:c r="I564" s="9" t="str">
        <x:v>1. 执行角色为平台管理员
2. 账号具有当前模块访问及本次操作权限
3. 已登录后台并打开月度收益支出汇总；已按下列条件准备记录及选择统计范围
4. 当月普通100、定制200、门票50、幸运主播收益10，虚拟赠礼1000金币</x:v>
      </x:c>
      <x:c r="J564" s="9" t="str">
        <x:v>1. 查看当前月度收益支出汇总页</x:v>
      </x:c>
      <x:c r="K564" s="9" t="str">
        <x:v>收益显示360金币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来源（当前证据）：liveshow-proto/MainBasis/统一需求文档.md；位置：REQ-2a3f99b4f9ce；行4882
2. 规则：BR-79d9e6c89a201ad8
3. 未动态验证</x:v>
      </x:c>
    </x:row>
    <x:row r="565" ht="130" customHeight="1">
      <x:c r="A565" s="10" t="n">
        <x:v>564</x:v>
      </x:c>
      <x:c r="B565" s="10" t="str">
        <x:v>ADMIN-10-0093</x:v>
      </x:c>
      <x:c r="C565" s="10" t="str">
        <x:v>数据分析</x:v>
      </x:c>
      <x:c r="D565" s="10" t="str">
        <x:v>主播业绩分成报表（平台管理员视角）</x:v>
      </x:c>
      <x:c r="E565" s="10" t="str">
        <x:v>逻辑校验</x:v>
      </x:c>
      <x:c r="F565" s="10" t="str">
        <x:v>P1</x:v>
      </x:c>
      <x:c r="G565" s="9" t="str">
        <x:v>验证核对主播业绩范围场次的独立计算口径</x:v>
      </x:c>
      <x:c r="H565" s="9" t="str">
        <x:v>主播业绩范围场次</x:v>
      </x:c>
      <x:c r="I565" s="9" t="str">
        <x:v>1. 执行角色为平台管理员
2. 账号具有当前模块访问及本次操作权限
3. 已登录后台并打开主播业绩分成报表；已按下列条件准备记录及选择统计范围
4. 范围内甲成功3场，失败1次；范围外成功2场</x:v>
      </x:c>
      <x:c r="J565" s="9" t="str">
        <x:v>1. 查看当前主播业绩分成报表页</x:v>
      </x:c>
      <x:c r="K565" s="9" t="str">
        <x:v>直播场次显示3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来源（当前证据）：liveshow-proto/MainBasis/统一需求文档.md；位置：REQ-b44171ee0ae3；行4901
2. 规则：BR-7a20b2d3a21f7a97
3. 未动态验证</x:v>
      </x:c>
    </x:row>
    <x:row r="566" ht="130" customHeight="1">
      <x:c r="A566" s="10" t="n">
        <x:v>565</x:v>
      </x:c>
      <x:c r="B566" s="10" t="str">
        <x:v>ADMIN-10-0094</x:v>
      </x:c>
      <x:c r="C566" s="10" t="str">
        <x:v>数据分析</x:v>
      </x:c>
      <x:c r="D566" s="10" t="str">
        <x:v>主播礼物打赏明细报表（平台管理员视角）</x:v>
      </x:c>
      <x:c r="E566" s="10" t="str">
        <x:v>逻辑校验</x:v>
      </x:c>
      <x:c r="F566" s="10" t="str">
        <x:v>P1</x:v>
      </x:c>
      <x:c r="G566" s="9" t="str">
        <x:v>验证核对打赏明细成功收益的独立计算口径</x:v>
      </x:c>
      <x:c r="H566" s="9" t="str">
        <x:v>打赏明细成功收益</x:v>
      </x:c>
      <x:c r="I566" s="9" t="str">
        <x:v>1. 执行角色为平台管理员
2. 账号具有当前模块访问及本次操作权限
3. 已登录后台并打开主播礼物打赏明细报表；已按下列条件准备记录及选择统计范围
4. 普通礼物成交10金币成功3份，失败2份</x:v>
      </x:c>
      <x:c r="J566" s="9" t="str">
        <x:v>1. 查看当前主播礼物打赏明细报表页</x:v>
      </x:c>
      <x:c r="K566" s="9" t="str">
        <x:v>该礼物收益显示30金币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来源（当前证据）：liveshow-proto/MainBasis/统一需求文档.md；位置：REQ-29343c53ff07；行4920
2. 规则：BR-ec7945d835050cdc
3. 未动态验证</x:v>
      </x:c>
    </x:row>
    <x:row r="567" ht="130" customHeight="1">
      <x:c r="A567" s="10" t="n">
        <x:v>566</x:v>
      </x:c>
      <x:c r="B567" s="10" t="str">
        <x:v>ADMIN-10-0095</x:v>
      </x:c>
      <x:c r="C567" s="10" t="str">
        <x:v>数据分析</x:v>
      </x:c>
      <x:c r="D567" s="10" t="str">
        <x:v>礼物消费汇总报表（平台管理员视角）</x:v>
      </x:c>
      <x:c r="E567" s="10" t="str">
        <x:v>逻辑校验</x:v>
      </x:c>
      <x:c r="F567" s="10" t="str">
        <x:v>P1</x:v>
      </x:c>
      <x:c r="G567" s="9" t="str">
        <x:v>验证核对礼物销售成功份数的独立计算口径</x:v>
      </x:c>
      <x:c r="H567" s="9" t="str">
        <x:v>礼物销售成功份数</x:v>
      </x:c>
      <x:c r="I567" s="9" t="str">
        <x:v>1. 执行角色为平台管理员
2. 账号具有当前模块访问及本次操作权限
3. 已登录后台并打开礼物消费汇总报表；已按下列条件准备记录及选择统计范围
4. 目标礼物成功订单A3份、B2份，失败4份，虚拟10份</x:v>
      </x:c>
      <x:c r="J567" s="9" t="str">
        <x:v>1. 查看当前礼物消费汇总报表页</x:v>
      </x:c>
      <x:c r="K567" s="9" t="str">
        <x:v>销量显示5份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来源（当前证据）：liveshow-proto/MainBasis/统一需求文档.md；位置：REQ-fe952eefa311；行4950
2. 规则：BR-96848a8806c003a2
3. 未动态验证</x:v>
      </x:c>
    </x:row>
    <x:row r="568" ht="130" customHeight="1">
      <x:c r="A568" s="10" t="n">
        <x:v>567</x:v>
      </x:c>
      <x:c r="B568" s="10" t="str">
        <x:v>ADMIN-11-0020</x:v>
      </x:c>
      <x:c r="C568" s="10" t="str">
        <x:v>运营账号</x:v>
      </x:c>
      <x:c r="D568" s="10" t="str">
        <x:v>账号列表（平台管理员视角）</x:v>
      </x:c>
      <x:c r="E568" s="10" t="str">
        <x:v>逻辑校验</x:v>
      </x:c>
      <x:c r="F568" s="10" t="str">
        <x:v>P1</x:v>
      </x:c>
      <x:c r="G568" s="9" t="str">
        <x:v>验证核对后台运营虚拟币余额的独立计算口径</x:v>
      </x:c>
      <x:c r="H568" s="9" t="str">
        <x:v>后台运营虚拟币余额</x:v>
      </x:c>
      <x:c r="I568" s="9" t="str">
        <x:v>1. 执行角色为平台管理员
2. 账号具有当前模块访问及本次操作权限
3. 已登录后台并打开账号列表；已按下列条件准备记录及选择统计范围
4. 账号O001累计成功发放1000、消费200，失败发放50</x:v>
      </x:c>
      <x:c r="J568" s="9" t="str">
        <x:v>1. 查看当前账号列表页</x:v>
      </x:c>
      <x:c r="K568" s="9" t="str">
        <x:v>账户余额显示800金币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来源（当前证据）：liveshow-proto/MainBasis/统一需求文档.md；位置：REQ-574903960110；行5016
2. 规则：BR-a18548201427673f
3. 未动态验证</x:v>
      </x:c>
    </x:row>
    <x:row r="569" ht="130" customHeight="1">
      <x:c r="A569" s="10" t="n">
        <x:v>568</x:v>
      </x:c>
      <x:c r="B569" s="10" t="str">
        <x:v>ADMIN-11-0021</x:v>
      </x:c>
      <x:c r="C569" s="10" t="str">
        <x:v>运营账号</x:v>
      </x:c>
      <x:c r="D569" s="10" t="str">
        <x:v>账号列表（平台管理员视角）</x:v>
      </x:c>
      <x:c r="E569" s="10" t="str">
        <x:v>逻辑校验</x:v>
      </x:c>
      <x:c r="F569" s="10" t="str">
        <x:v>P1</x:v>
      </x:c>
      <x:c r="G569" s="9" t="str">
        <x:v>验证核对后台运营本月发放的独立计算口径</x:v>
      </x:c>
      <x:c r="H569" s="9" t="str">
        <x:v>后台运营本月发放</x:v>
      </x:c>
      <x:c r="I569" s="9" t="str">
        <x:v>1. 执行角色为平台管理员
2. 账号具有当前模块访问及本次操作权限
3. 已登录后台并打开账号列表；已按下列条件准备记录及选择统计范围
4. O001本月成功发放100、失败50，上月成功200</x:v>
      </x:c>
      <x:c r="J569" s="9" t="str">
        <x:v>1. 查看当前账号列表页</x:v>
      </x:c>
      <x:c r="K569" s="9" t="str">
        <x:v>本月发放显示100金币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来源（当前证据）：liveshow-proto/MainBasis/统一需求文档.md；位置：REQ-7af2bd393710；行5018
2. 规则：BR-8e15caa06e953395
3. 未动态验证</x:v>
      </x:c>
    </x:row>
    <x:row r="570" ht="130" customHeight="1">
      <x:c r="A570" s="10" t="n">
        <x:v>569</x:v>
      </x:c>
      <x:c r="B570" s="10" t="str">
        <x:v>ADMIN-11-0022</x:v>
      </x:c>
      <x:c r="C570" s="10" t="str">
        <x:v>运营账号</x:v>
      </x:c>
      <x:c r="D570" s="10" t="str">
        <x:v>运营账号主页（平台管理员视角）</x:v>
      </x:c>
      <x:c r="E570" s="10" t="str">
        <x:v>逻辑校验</x:v>
      </x:c>
      <x:c r="F570" s="10" t="str">
        <x:v>P1</x:v>
      </x:c>
      <x:c r="G570" s="9" t="str">
        <x:v>验证核对运营账号单笔发放余额的独立计算口径</x:v>
      </x:c>
      <x:c r="H570" s="9" t="str">
        <x:v>运营账号单笔发放余额</x:v>
      </x:c>
      <x:c r="I570" s="9" t="str">
        <x:v>1. 执行角色为平台管理员
2. 账号具有当前模块访问及本次操作权限
3. 已登录后台并打开运营账号主页；已按下列条件准备记录及选择统计范围
4. 成功发放记录前余额100、本次发放50金币</x:v>
      </x:c>
      <x:c r="J570" s="9" t="str">
        <x:v>1. 查看当前运营账号主页页</x:v>
      </x:c>
      <x:c r="K570" s="9" t="str">
        <x:v>发放后余额显示150金币</x:v>
      </x:c>
      <x:c r="L570" s="10" t="str">
        <x:v>FLOW-E6B5F087D2</x:v>
      </x:c>
      <x:c r="M570" s="10" t="str">
        <x:v>未测</x:v>
      </x:c>
      <x:c r="N570" s="10" t="str"/>
      <x:c r="O570" s="9" t="str">
        <x:v>1. 来源（当前证据）：liveshow-proto/MainBasis/统一需求文档.md；位置：REQ-1f867b0f6949；行5037
2. 规则：BR-80579bd2e09c7f80
3. 未动态验证</x:v>
      </x:c>
    </x:row>
    <x:row r="571" ht="130" customHeight="1">
      <x:c r="A571" s="10" t="n">
        <x:v>570</x:v>
      </x:c>
      <x:c r="B571" s="10" t="str">
        <x:v>ADMIN-11-0023</x:v>
      </x:c>
      <x:c r="C571" s="10" t="str">
        <x:v>运营账号</x:v>
      </x:c>
      <x:c r="D571" s="10" t="str">
        <x:v>运营账号主页（平台管理员视角）</x:v>
      </x:c>
      <x:c r="E571" s="10" t="str">
        <x:v>逻辑校验</x:v>
      </x:c>
      <x:c r="F571" s="10" t="str">
        <x:v>P1</x:v>
      </x:c>
      <x:c r="G571" s="9" t="str">
        <x:v>验证核对运营详情消费金额的独立计算口径</x:v>
      </x:c>
      <x:c r="H571" s="9" t="str">
        <x:v>运营详情消费金额</x:v>
      </x:c>
      <x:c r="I571" s="9" t="str">
        <x:v>1. 执行角色为平台管理员
2. 账号具有当前模块访问及本次操作权限
3. 已登录后台并打开运营账号主页；已按下列条件准备记录及选择统计范围
4. 成功赠礼记录单价10金币、数量3</x:v>
      </x:c>
      <x:c r="J571" s="9" t="str">
        <x:v>1. 查看当前运营账号主页页</x:v>
      </x:c>
      <x:c r="K571" s="9" t="str">
        <x:v>消费金币显示30金币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来源（当前证据）：liveshow-proto/MainBasis/统一需求文档.md；位置：REQ-c16f6c59a6af；行5039
2. 规则：BR-88e2d6ce51a8ac4c
3. 未动态验证</x:v>
      </x:c>
    </x:row>
    <x:row r="572" ht="130" customHeight="1">
      <x:c r="A572" s="10" t="n">
        <x:v>571</x:v>
      </x:c>
      <x:c r="B572" s="10" t="str">
        <x:v>ADMIN-11-0024</x:v>
      </x:c>
      <x:c r="C572" s="10" t="str">
        <x:v>运营账号</x:v>
      </x:c>
      <x:c r="D572" s="10" t="str">
        <x:v>发放记录（平台管理员视角）</x:v>
      </x:c>
      <x:c r="E572" s="10" t="str">
        <x:v>逻辑校验</x:v>
      </x:c>
      <x:c r="F572" s="10" t="str">
        <x:v>P1</x:v>
      </x:c>
      <x:c r="G572" s="9" t="str">
        <x:v>验证核对发放明细余额勾稽的独立计算口径</x:v>
      </x:c>
      <x:c r="H572" s="9" t="str">
        <x:v>发放明细余额勾稽</x:v>
      </x:c>
      <x:c r="I572" s="9" t="str">
        <x:v>1. 执行角色为平台管理员
2. 账号具有当前模块访问及本次操作权限
3. 已登录后台并打开发放记录；已按下列条件准备记录及选择统计范围
4. 记录A发放前100金币、本次发放50金币</x:v>
      </x:c>
      <x:c r="J572" s="9" t="str">
        <x:v>1. 查看当前发放记录页</x:v>
      </x:c>
      <x:c r="K572" s="9" t="str">
        <x:v>发放后余额显示150金币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来源（当前证据）：liveshow-proto/MainBasis/统一需求文档.md；位置：REQ-5a062473231d；行5055
2. 规则：BR-531e512e11de1785
3. 未动态验证</x:v>
      </x:c>
    </x:row>
    <x:row r="573" ht="130" customHeight="1">
      <x:c r="A573" s="10" t="n">
        <x:v>572</x:v>
      </x:c>
      <x:c r="B573" s="10" t="str">
        <x:v>ADMIN-11-0025</x:v>
      </x:c>
      <x:c r="C573" s="10" t="str">
        <x:v>运营账号</x:v>
      </x:c>
      <x:c r="D573" s="10" t="str">
        <x:v>送礼记录（平台管理员视角）</x:v>
      </x:c>
      <x:c r="E573" s="10" t="str">
        <x:v>逻辑校验</x:v>
      </x:c>
      <x:c r="F573" s="10" t="str">
        <x:v>P1</x:v>
      </x:c>
      <x:c r="G573" s="9" t="str">
        <x:v>验证核对后台虚拟赠礼金额的独立计算口径</x:v>
      </x:c>
      <x:c r="H573" s="9" t="str">
        <x:v>后台虚拟赠礼金额</x:v>
      </x:c>
      <x:c r="I573" s="9" t="str">
        <x:v>1. 执行角色为平台管理员
2. 账号具有当前模块访问及本次操作权限
3. 已登录后台并打开送礼记录；已按下列条件准备记录及选择统计范围
4. 记录A单价10金币、数量3，当前礼物已改价20金币</x:v>
      </x:c>
      <x:c r="J573" s="9" t="str">
        <x:v>1. 查看当前送礼记录页</x:v>
      </x:c>
      <x:c r="K573" s="9" t="str">
        <x:v>消费金币显示30金币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来源（当前证据）：liveshow-proto/MainBasis/统一需求文档.md；位置：REQ-9cf27094180b；行5074
2. 规则：BR-0b4e08a1017ba504
3. 未动态验证</x:v>
      </x:c>
    </x:row>
    <x:row r="574" ht="130" customHeight="1">
      <x:c r="A574" s="10" t="n">
        <x:v>573</x:v>
      </x:c>
      <x:c r="B574" s="10" t="str">
        <x:v>ADMIN-11-0026</x:v>
      </x:c>
      <x:c r="C574" s="10" t="str">
        <x:v>运营账号</x:v>
      </x:c>
      <x:c r="D574" s="10" t="str">
        <x:v>额度限制（平台管理员视角）</x:v>
      </x:c>
      <x:c r="E574" s="10" t="str">
        <x:v>逻辑校验</x:v>
      </x:c>
      <x:c r="F574" s="10" t="str">
        <x:v>P1</x:v>
      </x:c>
      <x:c r="G574" s="9" t="str">
        <x:v>验证核对公会额度页已发放的独立计算口径</x:v>
      </x:c>
      <x:c r="H574" s="9" t="str">
        <x:v>公会额度页已发放</x:v>
      </x:c>
      <x:c r="I574" s="9" t="str">
        <x:v>1. 执行角色为平台管理员
2. 账号具有当前模块访问及本次操作权限
3. 已登录后台并打开额度限制；已按下列条件准备记录及选择统计范围
4. 本公会本月成功给甲100、乙200金币；失败50，上月500</x:v>
      </x:c>
      <x:c r="J574" s="9" t="str">
        <x:v>1. 查看当前额度限制页</x:v>
      </x:c>
      <x:c r="K574" s="9" t="str">
        <x:v>本月累计已发放显示300金币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来源（当前证据）：liveshow-proto/MainBasis/统一需求文档.md；位置：REQ-23b9d949b402；行5093
2. 规则：BR-37b98099fe693eab
3. 未动态验证</x:v>
      </x:c>
    </x:row>
    <x:row r="575" ht="115" customHeight="1">
      <x:c r="A575" s="10" t="n">
        <x:v>574</x:v>
      </x:c>
      <x:c r="B575" s="10" t="str">
        <x:v>ADMIN-02-0027</x:v>
      </x:c>
      <x:c r="C575" s="10" t="str">
        <x:v>用户管理</x:v>
      </x:c>
      <x:c r="D575" s="10" t="str">
        <x:v>用户列表（平台管理员视角）</x:v>
      </x:c>
      <x:c r="E575" s="10" t="str">
        <x:v>功能需求</x:v>
      </x:c>
      <x:c r="F575" s="10" t="str">
        <x:v>P2</x:v>
      </x:c>
      <x:c r="G575" s="9" t="str">
        <x:v>验证用户注册时间采用本端日期时间格式</x:v>
      </x:c>
      <x:c r="H575" s="9" t="str">
        <x:v>用户注册时间格式</x:v>
      </x:c>
      <x:c r="I575" s="9" t="str">
        <x:v>1. 执行角色为平台管理员
2. 测试记录对应的页面本地时间为2026年12月8日14时30分；有权访问本记录</x:v>
      </x:c>
      <x:c r="J575" s="9" t="str">
        <x:v>1. 进入用户列表页
2. 查看该记录的用户注册时间</x:v>
      </x:c>
      <x:c r="K575" s="9" t="str">
        <x:v>用户注册时间显示8/12/2026 14.30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来源（当前证据）：liveshow-proto/MainBasis/统一需求文档.md；位置：REQ-4025eed82fb6；行3531、f66bb6bda2331bbf3b8048156f1f2c4f4f68266ca3f3740228c728d03a72ce53；行5205
2. 规则：BR-77d085e2687ed338
3. 未动态验证</x:v>
      </x:c>
    </x:row>
    <x:row r="576" ht="115" customHeight="1">
      <x:c r="A576" s="10" t="n">
        <x:v>575</x:v>
      </x:c>
      <x:c r="B576" s="10" t="str">
        <x:v>ADMIN-09-0040</x:v>
      </x:c>
      <x:c r="C576" s="10" t="str">
        <x:v>财务分成</x:v>
      </x:c>
      <x:c r="D576" s="10" t="str">
        <x:v>主播余额变更记录（平台管理员视角）</x:v>
      </x:c>
      <x:c r="E576" s="10" t="str">
        <x:v>逻辑校验</x:v>
      </x:c>
      <x:c r="F576" s="10" t="str">
        <x:v>P1</x:v>
      </x:c>
      <x:c r="G576" s="9" t="str">
        <x:v>验证后台用逗号输入小数修正金额</x:v>
      </x:c>
      <x:c r="H576" s="9" t="str">
        <x:v>后台逗号小数输入</x:v>
      </x:c>
      <x:c r="I576" s="9" t="str">
        <x:v>1. 执行角色为平台管理员
2. 有主播余额修正权限；目标主播原余额20USD</x:v>
      </x:c>
      <x:c r="J576" s="9" t="str">
        <x:v>1. 进入主播余额变更记录页
2. 点击余额变更
3. 填写变更金额为10,40
4. 填写备注为QA逗号小数校验
5. 点击确认</x:v>
      </x:c>
      <x:c r="K576" s="9" t="str">
        <x:v>变更后余额 = 30.4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来源（当前证据）：liveshow-proto/MainBasis/统一需求文档.md；位置：REQ-16db62f507d7；行4633、REQ-4d2a4bf5aa1c；行4641、41208892c671632f97dfae12829a577acebd9344c0169dbeb2f356a79085fc71；行5207
2. 规则：BR-5c5a9c9fb7391427
3. 未动态验证</x:v>
      </x:c>
    </x:row>
    <x:row r="577" ht="115" customHeight="1">
      <x:c r="A577" s="10" t="n">
        <x:v>576</x:v>
      </x:c>
      <x:c r="B577" s="10" t="str">
        <x:v>ADMIN-02-0028</x:v>
      </x:c>
      <x:c r="C577" s="10" t="str">
        <x:v>用户管理</x:v>
      </x:c>
      <x:c r="D577" s="10" t="str">
        <x:v>用户详情（平台管理员视角）</x:v>
      </x:c>
      <x:c r="E577" s="10" t="str">
        <x:v>功能需求</x:v>
      </x:c>
      <x:c r="F577" s="10" t="str">
        <x:v>P2</x:v>
      </x:c>
      <x:c r="G577" s="9" t="str">
        <x:v>验证后台用户手机号无脱敏例外时完整展示</x:v>
      </x:c>
      <x:c r="H577" s="9" t="str">
        <x:v>后台手机号默认显示范围</x:v>
      </x:c>
      <x:c r="I577" s="9" t="str">
        <x:v>1. 执行角色为平台管理员
2. 有用户资料查看权限；测试账号手机号+628123456789；本字段没有额外脱敏约定</x:v>
      </x:c>
      <x:c r="J577" s="9" t="str">
        <x:v>1. 进入用户详情页
2. 查看该账号手机号</x:v>
      </x:c>
      <x:c r="K577" s="9" t="str">
        <x:v>手机号完整显示+628123456789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来源（当前证据）：liveshow-proto/MainBasis/统一需求文档.md；位置：REQ-4f968520df54；行3544、41208892c671632f97dfae12829a577acebd9344c0169dbeb2f356a79085fc71；行5207
2. 规则：BR-0949883fd2a54095
3. 未动态验证</x:v>
      </x:c>
    </x:row>
  </x:sheetData>
  <x:dataValidations count="3">
    <x:dataValidation type="list" sqref="E2:E577">
      <x:formula1>"功能需求,业务流程,逻辑校验,异常用例"</x:formula1>
    </x:dataValidation>
    <x:dataValidation type="list" sqref="F2:F577">
      <x:formula1>"P0,P1,P2,P3"</x:formula1>
    </x:dataValidation>
    <x:dataValidation type="list" sqref="M2:M57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59eeb73a9a42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250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礼物面板初始数量</x:v>
      </x:c>
      <x:c r="H2" s="9" t="str">
        <x:v>配置和历史数据影响</x:v>
      </x:c>
      <x:c r="I2" s="9" t="str">
        <x:v>礼物首次打开时的选中数量从哪里取？</x:v>
      </x:c>
      <x:c r="J2" s="9" t="str">
        <x:v>A. 固定1且后台不配置默认值
B. 取后台defaultCount配置</x:v>
      </x:c>
      <x:c r="K2" s="9" t="str">
        <x:v>建议保留一个有效来源，避免后台修改后客户端不一致。</x:v>
      </x:c>
      <x:c r="L2" s="12" t="str"/>
      <x:c r="M2" s="12" t="str"/>
      <x:c r="N2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2" s="9" t="str">
        <x:v>1. 礼物面板初始数量</x:v>
      </x:c>
      <x:c r="P2" s="9" t="str"/>
      <x:c r="Q2" s="9" t="str">
        <x:v>1. 礼物面板初始数量中由本问题决定的有效、无效及状态变更分支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130" customHeight="1">
      <x:c r="A3" s="10" t="str">
        <x:v>Q-006</x:v>
      </x:c>
      <x:c r="B3" s="10" t="str">
        <x:v>RQ-006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等级勋章与装扮勋章</x:v>
      </x:c>
      <x:c r="H3" s="9" t="str">
        <x:v>业务规则</x:v>
      </x:c>
      <x:c r="I3" s="9" t="str">
        <x:v>两类勋章资源之间是什么关系？</x:v>
      </x:c>
      <x:c r="J3" s="9" t="str">
        <x:v>A. 等级勋章独立于商城装扮
B. 等级与商城勋章共用资源和佩戴体系</x:v>
      </x:c>
      <x:c r="K3" s="9" t="str">
        <x:v>建议独立区分等级标识和付费装扮，避免资产与等级混淆。</x:v>
      </x:c>
      <x:c r="L3" s="12" t="str"/>
      <x:c r="M3" s="12" t="str"/>
      <x:c r="N3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3" s="9" t="str">
        <x:v>1. 等级勋章与装扮勋章</x:v>
      </x:c>
      <x:c r="P3" s="9" t="str"/>
      <x:c r="Q3" s="9" t="str">
        <x:v>1. 等级勋章与装扮勋章中由本问题决定的有效、无效及状态变更分支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30" customHeight="1">
      <x:c r="A4" s="10" t="str">
        <x:v>Q-007</x:v>
      </x:c>
      <x:c r="B4" s="10" t="str">
        <x:v>RQ-007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等级勋章佩戴</x:v>
      </x:c>
      <x:c r="H4" s="9" t="str">
        <x:v>业务规则</x:v>
      </x:c>
      <x:c r="I4" s="9" t="str">
        <x:v>等级变化后勋章如何使用？</x:v>
      </x:c>
      <x:c r="J4" s="9" t="str">
        <x:v>A. 自动替换且不可手动选择
B. 解锁资源后由用户手动佩戴
C. 仅作等级标识不进入佩戴体系</x:v>
      </x:c>
      <x:c r="K4" s="9" t="str">
        <x:v>建议明确自动展示还是可持有资源，再验证升级后的展示与资产。</x:v>
      </x:c>
      <x:c r="L4" s="12" t="str"/>
      <x:c r="M4" s="12" t="str"/>
      <x:c r="N4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4" s="9" t="str">
        <x:v>1. 等级勋章佩戴</x:v>
      </x:c>
      <x:c r="P4" s="9" t="str"/>
      <x:c r="Q4" s="9" t="str">
        <x:v>1. 等级勋章佩戴中由本问题决定的有效、无效及状态变更分支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130" customHeight="1">
      <x:c r="A5" s="10" t="str">
        <x:v>Q-008</x:v>
      </x:c>
      <x:c r="B5" s="10" t="str">
        <x:v>RQ-008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等级勋章显示位置</x:v>
      </x:c>
      <x:c r="H5" s="9" t="str">
        <x:v>交互与文案规则</x:v>
      </x:c>
      <x:c r="I5" s="9" t="str">
        <x:v>等级勋章在哪些位置显示？</x:v>
      </x:c>
      <x:c r="J5" s="9" t="str">
        <x:v>A. 仅个人资料页
B. 个人资料和直播间资料卡
C. 所有展示该等级的页面均显示</x:v>
      </x:c>
      <x:c r="K5" s="9" t="str">
        <x:v>建议列出准确页面清单后逐入口核对。</x:v>
      </x:c>
      <x:c r="L5" s="12" t="str"/>
      <x:c r="M5" s="12" t="str"/>
      <x:c r="N5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5" s="9" t="str">
        <x:v>1. 等级勋章显示位置</x:v>
      </x:c>
      <x:c r="P5" s="9" t="str"/>
      <x:c r="Q5" s="9" t="str">
        <x:v>1. 等级勋章显示位置中由本问题决定的有效、无效及状态变更分支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45" customHeight="1">
      <x:c r="A6" s="10" t="str">
        <x:v>Q-009</x:v>
      </x:c>
      <x:c r="B6" s="10" t="str">
        <x:v>RQ-009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等级配置整组保存</x:v>
      </x:c>
      <x:c r="H6" s="9" t="str">
        <x:v>异常处理</x:v>
      </x:c>
      <x:c r="I6" s="9" t="str">
        <x:v>整组配置保存是否允许部分成功？</x:v>
      </x:c>
      <x:c r="J6" s="9" t="str">
        <x:v>A. 全部成功或全部失败
B. 逐行保存且允许部分成功</x:v>
      </x:c>
      <x:c r="K6" s="9" t="str">
        <x:v>建议采用整组原子保存；故障模拟环境准备后补回滚验证。</x:v>
      </x:c>
      <x:c r="L6" s="12" t="str"/>
      <x:c r="M6" s="12" t="str"/>
      <x:c r="N6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6" s="9" t="str">
        <x:v>1. 等级配置整组保存</x:v>
      </x:c>
      <x:c r="P6" s="9" t="str"/>
      <x:c r="Q6" s="9" t="str">
        <x:v>1. 等级配置整组保存中由本问题决定的有效、无效及状态变更分支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45" customHeight="1">
      <x:c r="A7" s="10" t="str">
        <x:v>Q-010</x:v>
      </x:c>
      <x:c r="B7" s="10" t="str">
        <x:v>RQ-010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等级配置保存失败</x:v>
      </x:c>
      <x:c r="H7" s="9" t="str">
        <x:v>异常处理</x:v>
      </x:c>
      <x:c r="I7" s="9" t="str">
        <x:v>保存失败后编辑内容如何保留？</x:v>
      </x:c>
      <x:c r="J7" s="9" t="str">
        <x:v>A. 保留本次输入供重试
B. 恢复上次已发布配置</x:v>
      </x:c>
      <x:c r="K7" s="9" t="str">
        <x:v>建议保留输入并明确未发布状态，避免误以为配置已生效。</x:v>
      </x:c>
      <x:c r="L7" s="12" t="str"/>
      <x:c r="M7" s="12" t="str"/>
      <x:c r="N7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7" s="9" t="str">
        <x:v>1. 等级配置保存失败</x:v>
      </x:c>
      <x:c r="P7" s="9" t="str"/>
      <x:c r="Q7" s="9" t="str">
        <x:v>1. 等级配置保存失败中由本问题决定的有效、无效及状态变更分支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45" customHeight="1">
      <x:c r="A8" s="10" t="str">
        <x:v>Q-011</x:v>
      </x:c>
      <x:c r="B8" s="10" t="str">
        <x:v>RQ-011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重复提交等级配置</x:v>
      </x:c>
      <x:c r="H8" s="9" t="str">
        <x:v>异常处理</x:v>
      </x:c>
      <x:c r="I8" s="9" t="str">
        <x:v>连续提交相同配置如何处理？</x:v>
      </x:c>
      <x:c r="J8" s="9" t="str">
        <x:v>A. 只处理一次且不重复建档位
B. 每次保存都生成独立配置版本</x:v>
      </x:c>
      <x:c r="K8" s="9" t="str">
        <x:v>建议区分业务幂等与审计版本，确认后验证重复点击。</x:v>
      </x:c>
      <x:c r="L8" s="12" t="str"/>
      <x:c r="M8" s="12" t="str"/>
      <x:c r="N8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8" s="9" t="str">
        <x:v>1. 重复提交等级配置</x:v>
      </x:c>
      <x:c r="P8" s="9" t="str"/>
      <x:c r="Q8" s="9" t="str">
        <x:v>1. 重复提交等级配置中由本问题决定的有效、无效及状态变更分支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Q-012</x:v>
      </x:c>
      <x:c r="B9" s="10" t="str">
        <x:v>RQ-012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多人编辑同一等级配置</x:v>
      </x:c>
      <x:c r="H9" s="9" t="str">
        <x:v>异常处理</x:v>
      </x:c>
      <x:c r="I9" s="9" t="str">
        <x:v>保存发生并发冲突时采用哪种策略？</x:v>
      </x:c>
      <x:c r="J9" s="9" t="str">
        <x:v>A. 拒绝后提交并提示刷新
B. 最后提交覆盖前次修改
C. 合并不冲突的字段并提示冲突项</x:v>
      </x:c>
      <x:c r="K9" s="9" t="str">
        <x:v>建议版本检查拒绝过期提交，防止静默覆盖。</x:v>
      </x:c>
      <x:c r="L9" s="12" t="str"/>
      <x:c r="M9" s="12" t="str"/>
      <x:c r="N9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9" s="9" t="str">
        <x:v>1. 多人编辑同一等级配置</x:v>
      </x:c>
      <x:c r="P9" s="9" t="str"/>
      <x:c r="Q9" s="9" t="str">
        <x:v>1. 多人编辑同一等级配置中由本问题决定的有效、无效及状态变更分支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145" customHeight="1">
      <x:c r="A11" s="10" t="str">
        <x:v>Q-014</x:v>
      </x:c>
      <x:c r="B11" s="10" t="str">
        <x:v>RQ-014</x:v>
      </x:c>
      <x:c r="C11" s="10" t="str"/>
      <x:c r="D11" s="10" t="str"/>
      <x:c r="E11" s="10" t="str">
        <x:v>部分阻塞</x:v>
      </x:c>
      <x:c r="F11" s="10" t="str">
        <x:v>运营配置</x:v>
      </x:c>
      <x:c r="G11" s="9" t="str">
        <x:v>等级门槛上限</x:v>
      </x:c>
      <x:c r="H11" s="9" t="str">
        <x:v>字段与数据校验</x:v>
      </x:c>
      <x:c r="I11" s="9" t="str">
        <x:v>等级门槛是否设置业务数值上限？</x:v>
      </x:c>
      <x:c r="J11" s="9" t="str">
        <x:v>A. 设置业务上限并补充具体值
B. 只受已确认字段技术范围限制</x:v>
      </x:c>
      <x:c r="K11" s="9" t="str">
        <x:v>建议确认可执行上限后补最大值及越界验证。</x:v>
      </x:c>
      <x:c r="L11" s="12" t="str"/>
      <x:c r="M11" s="12" t="str"/>
      <x:c r="N11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1" s="9" t="str">
        <x:v>1. 等级门槛上限</x:v>
      </x:c>
      <x:c r="P11" s="9" t="str"/>
      <x:c r="Q11" s="9" t="str">
        <x:v>1. 等级门槛上限中由本问题决定的有效、无效及状态变更分支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70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统计延迟后的等级更新</x:v>
      </x:c>
      <x:c r="H12" s="9" t="str">
        <x:v>流程与状态</x:v>
      </x:c>
      <x:c r="I12" s="9" t="str">
        <x:v>延迟统计到达后何时更新等级？</x:v>
      </x:c>
      <x:c r="J12" s="9" t="str">
        <x:v>A. 数据补齐后立即重算
B. 下一次固定结算批次重算
C. 用户下次触发相关业务时重算</x:v>
      </x:c>
      <x:c r="K12" s="9" t="str">
        <x:v>建议明确更新时间承诺后准备延迟数据场景。</x:v>
      </x:c>
      <x:c r="L12" s="12" t="str"/>
      <x:c r="M12" s="12" t="str"/>
      <x:c r="N12" s="10" t="str">
        <x:v>1. liveshow-proto/MainBasis/需求待确认清单.md：- **REQ-8beb1b55bf4d** 【需求待确认】2. 统计数据延迟时何时更新等级。</x:v>
      </x:c>
      <x:c r="O12" s="9" t="str">
        <x:v>1. 统计延迟后的等级更新</x:v>
      </x:c>
      <x:c r="P12" s="9" t="str"/>
      <x:c r="Q12" s="9" t="str">
        <x:v>1. 统计延迟后的等级更新中由本问题决定的有效、无效及状态变更分支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勋章图修改后刷新</x:v>
      </x:c>
      <x:c r="H13" s="9" t="str">
        <x:v>配置和历史数据影响</x:v>
      </x:c>
      <x:c r="I13" s="9" t="str">
        <x:v>客户端何时采用修改后的等级勋章图？</x:v>
      </x:c>
      <x:c r="J13" s="9" t="str">
        <x:v>A. 已打开页面立即更新
B. 重新进入页面时更新
C. 下次登录时更新</x:v>
      </x:c>
      <x:c r="K13" s="9" t="str">
        <x:v>建议明确缓存失效时点后分别测试在线与重进。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勋章图修改后刷新</x:v>
      </x:c>
      <x:c r="P13" s="9" t="str"/>
      <x:c r="Q13" s="9" t="str">
        <x:v>1. 勋章图修改后刷新中由本问题决定的有效、无效及状态变更分支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历史记录等级显示</x:v>
      </x:c>
      <x:c r="H14" s="9" t="str">
        <x:v>配置和历史数据影响</x:v>
      </x:c>
      <x:c r="I14" s="9" t="str">
        <x:v>重算等级后历史记录显示哪个等级？</x:v>
      </x:c>
      <x:c r="J14" s="9" t="str">
        <x:v>A. 保留发生时等级快照
B. 显示用户当前等级</x:v>
      </x:c>
      <x:c r="K14" s="9" t="str">
        <x:v>建议保留历史快照，并与实时资料展示区分。</x:v>
      </x:c>
      <x:c r="L14" s="12" t="str"/>
      <x:c r="M14" s="12" t="str"/>
      <x:c r="N14" s="10" t="str">
        <x:v>1. liveshow-proto/MainBasis/需求待确认清单.md：- **REQ-4fd4e2f6e26d** 【需求待确认】3. 勋章图修改后的客户端刷新时机；重算后历史记录使用旧等级还是新等级。</x:v>
      </x:c>
      <x:c r="O14" s="9" t="str">
        <x:v>1. 历史记录等级显示</x:v>
      </x:c>
      <x:c r="P14" s="9" t="str"/>
      <x:c r="Q14" s="9" t="str">
        <x:v>1. 历史记录等级显示中由本问题决定的有效、无效及状态变更分支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85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勋章图片上传约束</x:v>
      </x:c>
      <x:c r="H15" s="9" t="str">
        <x:v>字段与数据校验</x:v>
      </x:c>
      <x:c r="I15" s="9" t="str">
        <x:v>图片资源是否有专用格式、大小与尺寸限制？</x:v>
      </x:c>
      <x:c r="J15" s="9" t="str">
        <x:v>A. 使用统一资源上传规范并提供具体限制
B. 为等级勋章单独定义限制</x:v>
      </x:c>
      <x:c r="K15" s="9" t="str">
        <x:v>建议明确格式集合、大小上限和尺寸规则后补边界。</x:v>
      </x:c>
      <x:c r="L15" s="12" t="str"/>
      <x:c r="M15" s="12" t="str"/>
      <x:c r="N15" s="10" t="str">
        <x:v>1. liveshow-proto/MainBasis/需求待确认清单.md：- **REQ-4ba27c22a4a4** 【需求待确认】4. 勋章图允许的格式、大小和尺寸；无可用图片时的客户端展示方式。</x:v>
      </x:c>
      <x:c r="O15" s="9" t="str">
        <x:v>1. 勋章图片上传约束</x:v>
      </x:c>
      <x:c r="P15" s="9" t="str"/>
      <x:c r="Q15" s="9" t="str">
        <x:v>1. 勋章图片上传约束中由本问题决定的有效、无效及状态变更分支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  <x:row r="16" ht="8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运营配置</x:v>
      </x:c>
      <x:c r="G16" s="9" t="str">
        <x:v>等级图片不可用</x:v>
      </x:c>
      <x:c r="H16" s="9" t="str">
        <x:v>异常处理</x:v>
      </x:c>
      <x:c r="I16" s="9" t="str">
        <x:v>客户端无可用勋章图时如何展示？</x:v>
      </x:c>
      <x:c r="J16" s="9" t="str">
        <x:v>A. 显示默认占位图
B. 仅显示等级文字
C. 隐藏整个勋章区域</x:v>
      </x:c>
      <x:c r="K16" s="9" t="str">
        <x:v>建议保留等级文字；资源失败模拟环境就绪后验证降级。</x:v>
      </x:c>
      <x:c r="L16" s="12" t="str"/>
      <x:c r="M16" s="12" t="str"/>
      <x:c r="N16" s="10" t="str">
        <x:v>1. liveshow-proto/MainBasis/需求待确认清单.md：- **REQ-4ba27c22a4a4** 【需求待确认】4. 勋章图允许的格式、大小和尺寸；无可用图片时的客户端展示方式。</x:v>
      </x:c>
      <x:c r="O16" s="9" t="str">
        <x:v>1. 等级图片不可用</x:v>
      </x:c>
      <x:c r="P16" s="9" t="str"/>
      <x:c r="Q16" s="9" t="str">
        <x:v>1. 等级图片不可用中由本问题决定的有效、无效及状态变更分支</x:v>
      </x:c>
      <x:c r="R16" s="9" t="str">
        <x:v>产品</x:v>
      </x:c>
      <x:c r="S16" s="9" t="str">
        <x:v>相关分支执行前</x:v>
      </x:c>
      <x:c r="T16" s="9" t="str">
        <x:v>待确认</x:v>
      </x:c>
    </x:row>
    <x:row r="17" ht="85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财务分成</x:v>
      </x:c>
      <x:c r="G17" s="9" t="str">
        <x:v>公会分成结果上传</x:v>
      </x:c>
      <x:c r="H17" s="9" t="str">
        <x:v>流程与状态</x:v>
      </x:c>
      <x:c r="I17" s="9" t="str">
        <x:v>公会分成上传确认前是否必须展示预览？</x:v>
      </x:c>
      <x:c r="J17" s="9" t="str">
        <x:v>A. 先预览公会数、总额、明细再确认
B. 校验后直接确认导入且无预览页</x:v>
      </x:c>
      <x:c r="K17" s="9" t="str">
        <x:v>建议确认唯一流程；已导入结果只读和余额规则可独立测试。</x:v>
      </x:c>
      <x:c r="L17" s="12" t="str"/>
      <x:c r="M17" s="12" t="str"/>
      <x:c r="N17" s="10" t="str">
        <x:v>1. liveshow-proto/MainBasis/需求待确认清单.md：- **REQ-4f432ff25427** 【需求待确认】1. 上传 -&gt; 预览公会数、总额和明细 -&gt; 确认 -&gt; 生成锁定记录。</x:v>
      </x:c>
      <x:c r="O17" s="9" t="str">
        <x:v>1. 公会分成结果上传</x:v>
      </x:c>
      <x:c r="P17" s="9" t="str"/>
      <x:c r="Q17" s="9" t="str">
        <x:v>1. 公会分成结果上传中由本问题决定的有效、无效及状态变更分支</x:v>
      </x:c>
      <x:c r="R17" s="9" t="str">
        <x:v>产品</x:v>
      </x:c>
      <x:c r="S17" s="9" t="str">
        <x:v>相关分支执行前</x:v>
      </x:c>
      <x:c r="T17" s="9" t="str">
        <x:v>待确认</x:v>
      </x:c>
    </x:row>
    <x:row r="18" ht="100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运营账号</x:v>
      </x:c>
      <x:c r="G18" s="9" t="str">
        <x:v>平台修改运营账号资料</x:v>
      </x:c>
      <x:c r="H18" s="9" t="str">
        <x:v>角色与权限</x:v>
      </x:c>
      <x:c r="I18" s="9" t="str">
        <x:v>平台是否拥有运营账号编辑资料权限？</x:v>
      </x:c>
      <x:c r="J18" s="9" t="str">
        <x:v>A. 平台只读，由所属公会编辑
B. 平台和所属公会均可编辑</x:v>
      </x:c>
      <x:c r="K18" s="9" t="str">
        <x:v>建议明确权限归属后补入口及越权验证。</x:v>
      </x:c>
      <x:c r="L18" s="12" t="str"/>
      <x:c r="M18" s="12" t="str"/>
      <x:c r="N18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8" s="9" t="str">
        <x:v>1. 平台修改运营账号资料</x:v>
      </x:c>
      <x:c r="P18" s="9" t="str"/>
      <x:c r="Q18" s="9" t="str">
        <x:v>1. 平台修改运营账号资料中由本问题决定的有效、无效及状态变更分支</x:v>
      </x:c>
      <x:c r="R18" s="9" t="str">
        <x:v>产品</x:v>
      </x:c>
      <x:c r="S18" s="9" t="str">
        <x:v>相关分支执行前</x:v>
      </x:c>
      <x:c r="T18" s="9" t="str">
        <x:v>待确认</x:v>
      </x:c>
    </x:row>
    <x:row r="19" ht="100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运营账号</x:v>
      </x:c>
      <x:c r="G19" s="9" t="str">
        <x:v>平台重置运营账号密码</x:v>
      </x:c>
      <x:c r="H19" s="9" t="str">
        <x:v>角色与权限</x:v>
      </x:c>
      <x:c r="I19" s="9" t="str">
        <x:v>平台是否允许重置运营账号密码？</x:v>
      </x:c>
      <x:c r="J19" s="9" t="str">
        <x:v>A. 只允许所属公会重置
B. 平台和所属公会均可重置</x:v>
      </x:c>
      <x:c r="K19" s="9" t="str">
        <x:v>建议分别确认重置权限与操作记录要求。</x:v>
      </x:c>
      <x:c r="L19" s="12" t="str"/>
      <x:c r="M19" s="12" t="str"/>
      <x:c r="N19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9" s="9" t="str">
        <x:v>1. 平台重置运营账号密码</x:v>
      </x:c>
      <x:c r="P19" s="9" t="str"/>
      <x:c r="Q19" s="9" t="str">
        <x:v>1. 平台重置运营账号密码中由本问题决定的有效、无效及状态变更分支</x:v>
      </x:c>
      <x:c r="R19" s="9" t="str">
        <x:v>产品</x:v>
      </x:c>
      <x:c r="S19" s="9" t="str">
        <x:v>相关分支执行前</x:v>
      </x:c>
      <x:c r="T19" s="9" t="str">
        <x:v>待确认</x:v>
      </x:c>
    </x:row>
    <x:row r="20" ht="100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系统配置</x:v>
      </x:c>
      <x:c r="G20" s="9" t="str">
        <x:v>系统参数未登记入口</x:v>
      </x:c>
      <x:c r="H20" s="9" t="str">
        <x:v>需求范围</x:v>
      </x:c>
      <x:c r="I20" s="9" t="str">
        <x:v>系统参数维护是否属于本次上线范围？</x:v>
      </x:c>
      <x:c r="J20" s="9" t="str">
        <x:v>A. 纳入并补充正式入口与权限
B. 不纳入本期范围</x:v>
      </x:c>
      <x:c r="K20" s="9" t="str">
        <x:v>建议先确认范围；纳入后补参数生效、版本保留和权限测试。</x:v>
      </x:c>
      <x:c r="L20" s="12" t="str"/>
      <x:c r="M20" s="12" t="str"/>
      <x:c r="N20" s="10" t="str">
        <x:v>1. liveshow-proto/MainBasis/需求待确认清单.md：- **SRC-Q10** 【需求待确认】系统参数维护是否属于本次正式范围？当前文件和批注存在，但查看器及共享导航没有入口。</x:v>
      </x:c>
      <x:c r="O20" s="9" t="str">
        <x:v>1. 系统参数未登记入口</x:v>
      </x:c>
      <x:c r="P20" s="9" t="str"/>
      <x:c r="Q20" s="9" t="str">
        <x:v>1. 系统参数未登记入口中由本问题决定的有效、无效及状态变更分支</x:v>
      </x:c>
      <x:c r="R20" s="9" t="str">
        <x:v>产品</x:v>
      </x:c>
      <x:c r="S20" s="9" t="str">
        <x:v>相关分支执行前</x:v>
      </x:c>
      <x:c r="T20" s="9" t="str">
        <x:v>待确认</x:v>
      </x:c>
    </x:row>
    <x:row r="21" ht="100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系统配置</x:v>
      </x:c>
      <x:c r="G21" s="9" t="str">
        <x:v>操作审计未登记入口</x:v>
      </x:c>
      <x:c r="H21" s="9" t="str">
        <x:v>需求范围</x:v>
      </x:c>
      <x:c r="I21" s="9" t="str">
        <x:v>操作审计查询是否属于本次上线范围？</x:v>
      </x:c>
      <x:c r="J21" s="9" t="str">
        <x:v>A. 纳入并补充正式入口与权限
B. 不纳入本期范围</x:v>
      </x:c>
      <x:c r="K21" s="9" t="str">
        <x:v>建议先确认范围；纳入后补审计查询、详情及只读验证。</x:v>
      </x:c>
      <x:c r="L21" s="12" t="str"/>
      <x:c r="M21" s="12" t="str"/>
      <x:c r="N21" s="10" t="str">
        <x:v>1. liveshow-proto/MainBasis/需求待确认清单.md：- **SRC-Q11** 【需求待确认】操作审计查询是否属于本次正式范围？当前有文件与批注，但没有从现行页面树进入的路径。</x:v>
      </x:c>
      <x:c r="O21" s="9" t="str">
        <x:v>1. 操作审计未登记入口</x:v>
      </x:c>
      <x:c r="P21" s="9" t="str"/>
      <x:c r="Q21" s="9" t="str">
        <x:v>1. 操作审计未登记入口中由本问题决定的有效、无效及状态变更分支</x:v>
      </x:c>
      <x:c r="R21" s="9" t="str">
        <x:v>产品</x:v>
      </x:c>
      <x:c r="S21" s="9" t="str">
        <x:v>相关分支执行前</x:v>
      </x:c>
      <x:c r="T21" s="9" t="str">
        <x:v>待确认</x:v>
      </x:c>
    </x:row>
    <x:row r="22" ht="13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财务分成</x:v>
      </x:c>
      <x:c r="G22" s="9" t="str">
        <x:v>商品SKU分成规则</x:v>
      </x:c>
      <x:c r="H22" s="9" t="str">
        <x:v>需求范围</x:v>
      </x:c>
      <x:c r="I22" s="9" t="str">
        <x:v>当前系统是否保留线上SKU分成规则配置？</x:v>
      </x:c>
      <x:c r="J22" s="9" t="str">
        <x:v>A. 本期仅记录线下结算，不提供线上规则配置
B. 保留线上配置并补入口与完整规则</x:v>
      </x:c>
      <x:c r="K22" s="9" t="str">
        <x:v>建议与已确认的线下结算边界统一后再补配置测试。</x:v>
      </x:c>
      <x:c r="L22" s="12" t="str"/>
      <x:c r="M22" s="12" t="str"/>
      <x:c r="N22" s="10" t="str">
        <x:v>1. liveshow-proto/MainBasis/需求待确认清单.md：- **SRC-Q13** 【需求待确认】系统概要核心用例仍提到商品SKU分成规则，旧需求任务也保留配置规则，但当前页面树无分成规则配置入口；在线系统仅记录线下结算的明确规则继续执行，SKU配置是否保留及入口需确认。</x:v>
      </x:c>
      <x:c r="O22" s="9" t="str">
        <x:v>1. 商品SKU分成规则</x:v>
      </x:c>
      <x:c r="P22" s="9" t="str"/>
      <x:c r="Q22" s="9" t="str">
        <x:v>1. 商品SKU分成规则中由本问题决定的有效、无效及状态变更分支</x:v>
      </x:c>
      <x:c r="R22" s="9" t="str">
        <x:v>产品</x:v>
      </x:c>
      <x:c r="S22" s="9" t="str">
        <x:v>相关分支执行前</x:v>
      </x:c>
      <x:c r="T22" s="9" t="str">
        <x:v>待确认</x:v>
      </x:c>
    </x:row>
    <x:row r="23" ht="190" customHeight="1">
      <x:c r="A23" s="10" t="str">
        <x:v>Q-026</x:v>
      </x:c>
      <x:c r="B23" s="10" t="str">
        <x:v>RQ-026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财富等级累计成长值</x:v>
      </x:c>
      <x:c r="H23" s="9" t="str">
        <x:v>计算与统计口径</x:v>
      </x:c>
      <x:c r="I23" s="9" t="str">
        <x:v>财富等级按累计充值、消费还是累计送礼贡献计算？</x:v>
      </x:c>
      <x:c r="J23" s="9" t="str">
        <x:v>A. 累计送礼贡献
B. 累计充值
C. 另行明确充值与消费组合公式</x:v>
      </x:c>
      <x:c r="K23" s="9" t="str">
        <x:v>当前MainBasis在线观众条款与后台等级配置条款不同；确认前只测试已确定累计值与门槛的匹配，不推定成长来源。</x:v>
      </x:c>
      <x:c r="L23" s="12" t="str"/>
      <x:c r="M23" s="12" t="str"/>
      <x:c r="N23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23" s="9" t="str">
        <x:v>1. 财富等级累计成长值</x:v>
      </x:c>
      <x:c r="P23" s="9" t="str"/>
      <x:c r="Q23" s="9" t="str">
        <x:v>1. 财富等级累计成长值中由本问题决定的有效、无效及状态变更分支</x:v>
      </x:c>
      <x:c r="R23" s="9" t="str">
        <x:v>产品</x:v>
      </x:c>
      <x:c r="S23" s="9" t="str">
        <x:v>相关分支执行前</x:v>
      </x:c>
      <x:c r="T23" s="9" t="str">
        <x:v>待确认</x:v>
      </x:c>
    </x:row>
  </x:sheetData>
  <x:dataValidations count="5">
    <x:dataValidation type="list" sqref="E2:E23">
      <x:formula1>"阻塞测试,部分阻塞,不阻塞"</x:formula1>
    </x:dataValidation>
    <x:dataValidation type="list" sqref="H2:H2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3">
      <x:formula1>"A,B,C,D,其他"</x:formula1>
    </x:dataValidation>
    <x:dataValidation type="list" sqref="R2:R23">
      <x:formula1>"产品,交互,技术,多方确认"</x:formula1>
    </x:dataValidation>
    <x:dataValidation type="list" sqref="T2:T2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66f9b02f764e64"/>
  </x:tableParts>
</x:worksheet>
</file>