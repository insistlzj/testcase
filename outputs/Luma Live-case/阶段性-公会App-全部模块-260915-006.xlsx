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e90a98534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5a06e5b0c2ea4894"/>
    <x:sheet xmlns:r="http://schemas.openxmlformats.org/officeDocument/2006/relationships" name="功能测试用例" sheetId="2" r:id="R2cc7a1d357db4a53"/>
    <x:sheet xmlns:r="http://schemas.openxmlformats.org/officeDocument/2006/relationships" name="需求待确认" sheetId="3" r:id="Ra2193c28700b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a34157beb4362" /><Relationship Type="http://schemas.openxmlformats.org/officeDocument/2006/relationships/theme" Target="/xl/theme/theme1.xml" Id="R50d0d3ab47b9489e" /><Relationship Type="http://schemas.openxmlformats.org/officeDocument/2006/relationships/sharedStrings" Target="/xl/sharedStrings.xml" Id="Rc3b3ea311567422b" /><Relationship Type="http://schemas.openxmlformats.org/officeDocument/2006/relationships/worksheet" Target="/xl/worksheets/sheet1.xml" Id="R5a06e5b0c2ea4894" /><Relationship Type="http://schemas.openxmlformats.org/officeDocument/2006/relationships/worksheet" Target="/xl/worksheets/sheet2.xml" Id="R2cc7a1d357db4a53" /><Relationship Type="http://schemas.openxmlformats.org/officeDocument/2006/relationships/worksheet" Target="/xl/worksheets/sheet3.xml" Id="Ra2193c28700b4077" /></Relationships>
</file>

<file path=xl/tables/table1.xml><?xml version="1.0" encoding="utf-8"?>
<x:table xmlns:x="http://schemas.openxmlformats.org/spreadsheetml/2006/main" id="1" name="LiveCasesTable" displayName="LiveCasesTable" ref="A1:O471" headerRowCount="1" totalsRowCount="0" totalsRowShown="0">
  <x:autoFilter ref="A1:O47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0" headerRowCount="1" totalsRowCount="0" totalsRowShown="0">
  <x:autoFilter ref="A1:T1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451e2ef0974f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d78436617b46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阶段性-公会App-全部模块-260915-006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COUNTA('需求待确认'!$A$2:$A$10)</x:f>
        <x:v>9</x:v>
      </x:c>
      <x:c r="C5" s="13"/>
      <x:c r="D5" s="20" t="str">
        <x:v>阻塞测试</x:v>
      </x:c>
      <x:c r="E5" s="22" t="n">
        <x:f>COUNTIFS('需求待确认'!$E$2:$E$10,"阻塞测试",'需求待确认'!$T$2:$T$10,"待确认")</x:f>
        <x:v>0</x:v>
      </x:c>
      <x:c r="F5" s="13"/>
      <x:c r="G5" s="20" t="str">
        <x:v>产品</x:v>
      </x:c>
      <x:c r="H5" s="22" t="n">
        <x:f>COUNTIFS('需求待确认'!$R$2:$R$10,"产品",'需求待确认'!$T$2:$T$10,"待确认")</x:f>
        <x:v>9</x:v>
      </x:c>
    </x:row>
    <x:row r="6">
      <x:c r="A6" s="20" t="str">
        <x:v>当前可回答</x:v>
      </x:c>
      <x:c r="B6" s="22" t="n">
        <x:f>COUNTIF('需求待确认'!$T$2:$T$10,"待确认")</x:f>
        <x:v>9</x:v>
      </x:c>
      <x:c r="C6" s="13"/>
      <x:c r="D6" s="20" t="str">
        <x:v>部分阻塞</x:v>
      </x:c>
      <x:c r="E6" s="22" t="n">
        <x:f>COUNTIFS('需求待确认'!$E$2:$E$10,"部分阻塞",'需求待确认'!$T$2:$T$10,"待确认")</x:f>
        <x:v>9</x:v>
      </x:c>
      <x:c r="F6" s="13"/>
      <x:c r="G6" s="20" t="str">
        <x:v>交互</x:v>
      </x:c>
      <x:c r="H6" s="22" t="n">
        <x:f>COUNTIFS('需求待确认'!$R$2:$R$10,"交互",'需求待确认'!$T$2:$T$10,"待确认")</x:f>
        <x:v>0</x:v>
      </x:c>
    </x:row>
    <x:row r="7">
      <x:c r="A7" s="20" t="str">
        <x:v>待前置结论</x:v>
      </x:c>
      <x:c r="B7" s="22" t="n">
        <x:f>COUNTIF('需求待确认'!$T$2:$T$10,"待前置结论")</x:f>
        <x:v>0</x:v>
      </x:c>
      <x:c r="C7" s="13"/>
      <x:c r="D7" s="20" t="str">
        <x:v>不阻塞</x:v>
      </x:c>
      <x:c r="E7" s="22" t="n">
        <x:f>COUNTIFS('需求待确认'!$E$2:$E$10,"不阻塞",'需求待确认'!$T$2:$T$10,"待确认")</x:f>
        <x:v>0</x:v>
      </x:c>
      <x:c r="F7" s="13"/>
      <x:c r="G7" s="20" t="str">
        <x:v>技术</x:v>
      </x:c>
      <x:c r="H7" s="22" t="n">
        <x:f>COUNTIFS('需求待确认'!$R$2:$R$10,"技术",'需求待确认'!$T$2:$T$10,"待确认")</x:f>
        <x:v>0</x:v>
      </x:c>
    </x:row>
    <x:row r="8">
      <x:c r="A8" s="20" t="str">
        <x:v>确认中</x:v>
      </x:c>
      <x:c r="B8" s="22" t="n">
        <x:f>COUNTIF('需求待确认'!$T$2:$T$10,"确认中")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COUNTIFS('需求待确认'!$R$2:$R$10,"多方确认",'需求待确认'!$T$2:$T$10,"待确认")</x:f>
        <x:v>0</x:v>
      </x:c>
    </x:row>
    <x:row r="9">
      <x:c r="A9" s="20" t="str">
        <x:v>已确认</x:v>
      </x:c>
      <x:c r="B9" s="22" t="n">
        <x:f>COUNTIF('需求待确认'!$T$2:$T$10,"已确认")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COUNTIF('需求待确认'!$T$2:$T$10,"无需处理")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公会登录（公会长视角）</x:v>
      </x:c>
      <x:c r="E2" s="10" t="str">
        <x:v>业务流程</x:v>
      </x:c>
      <x:c r="F2" s="10" t="str">
        <x:v>P1</x:v>
      </x:c>
      <x:c r="G2" s="9" t="str">
        <x:v>验证公会长使用有效凭证登录</x:v>
      </x:c>
      <x:c r="H2" s="9" t="str">
        <x:v>公会长登录去向</x:v>
      </x:c>
      <x:c r="I2" s="9" t="str">
        <x:v>1. 执行角色为公会长
2. 公会长账号guild-owner-qa由平台创建并已启用；密码OwnerPass8</x:v>
      </x:c>
      <x:c r="J2" s="9" t="str">
        <x:v>1. 进入公会登录
2. 输入账号guild-owner-qa
3. 输入密码OwnerPass8
4. 点击登录</x:v>
      </x:c>
      <x:c r="K2" s="9" t="str">
        <x:v>进入选择公会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来源（当前证据）：liveshow-proto/MainBasis/统一需求文档.md；位置：行2066、行2070
2. 规则：BR-1db126830bf24d87
3. 未动态验证</x:v>
      </x:c>
    </x:row>
    <x:row r="3" ht="85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公会登录（未登录公会长视角）</x:v>
      </x:c>
      <x:c r="E3" s="10" t="str">
        <x:v>异常用例</x:v>
      </x:c>
      <x:c r="F3" s="10" t="str">
        <x:v>P1</x:v>
      </x:c>
      <x:c r="G3" s="9" t="str">
        <x:v>验证公会登录账号为空</x:v>
      </x:c>
      <x:c r="H3" s="9" t="str">
        <x:v>公会账号必填</x:v>
      </x:c>
      <x:c r="I3" s="9" t="str">
        <x:v>1. 执行角色为未登录公会长
2. 公会长尚未登录；密码输入OwnerPass8</x:v>
      </x:c>
      <x:c r="J3" s="9" t="str">
        <x:v>1. 进入公会登录
2. 清空账号
3. 输入密码OwnerPass8
4. 点击登录</x:v>
      </x:c>
      <x:c r="K3" s="9" t="str">
        <x:v>不能进入选择公会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来源（当前证据）：liveshow-proto/MainBasis/统一需求文档.md；位置：行2066、行2070
2. 规则：BR-5955cf52df19ebb1
3. 未动态验证</x:v>
      </x:c>
    </x:row>
    <x:row r="4" ht="85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公会登录（公会长视角）</x:v>
      </x:c>
      <x:c r="E4" s="10" t="str">
        <x:v>异常用例</x:v>
      </x:c>
      <x:c r="F4" s="10" t="str">
        <x:v>P1</x:v>
      </x:c>
      <x:c r="G4" s="9" t="str">
        <x:v>验证公会长密码错误</x:v>
      </x:c>
      <x:c r="H4" s="9" t="str">
        <x:v>公会登录错误提示</x:v>
      </x:c>
      <x:c r="I4" s="9" t="str">
        <x:v>1. 执行角色为公会长
2. 账号guild-owner-qa有效；正确密码OwnerPass8</x:v>
      </x:c>
      <x:c r="J4" s="9" t="str">
        <x:v>1. 进入公会登录
2. 输入账号guild-owner-qa
3. 输入密码WrongPass8
4. 点击登录</x:v>
      </x:c>
      <x:c r="K4" s="9" t="str">
        <x:v>提示“账号或密码错误”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来源（当前证据）：liveshow-proto/MainBasis/统一需求文档.md；位置：行2067、行2070
2. 规则：BR-7e89f5b305c1437d
3. 未动态验证</x:v>
      </x:c>
    </x:row>
    <x:row r="5" ht="85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公会登录（未登录公会长视角）</x:v>
      </x:c>
      <x:c r="E5" s="10" t="str">
        <x:v>异常用例</x:v>
      </x:c>
      <x:c r="F5" s="10" t="str">
        <x:v>P1</x:v>
      </x:c>
      <x:c r="G5" s="9" t="str">
        <x:v>验证公会登录密码为空</x:v>
      </x:c>
      <x:c r="H5" s="9" t="str">
        <x:v>公会密码必填</x:v>
      </x:c>
      <x:c r="I5" s="9" t="str">
        <x:v>1. 执行角色为未登录公会长
2. 公会长账号guild-owner-qa已启用</x:v>
      </x:c>
      <x:c r="J5" s="9" t="str">
        <x:v>1. 进入公会登录
2. 输入账号guild-owner-qa
3. 清空密码
4. 点击登录</x:v>
      </x:c>
      <x:c r="K5" s="9" t="str">
        <x:v>不能进入选择公会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来源（当前证据）：liveshow-proto/MainBasis/统一需求文档.md；位置：行2067、行2070
2. 规则：BR-472146f46d7cee18
3. 未动态验证</x:v>
      </x:c>
    </x:row>
    <x:row r="6" ht="85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公会登录（未登录公会长视角）</x:v>
      </x:c>
      <x:c r="E6" s="10" t="str">
        <x:v>异常用例</x:v>
      </x:c>
      <x:c r="F6" s="10" t="str">
        <x:v>P1</x:v>
      </x:c>
      <x:c r="G6" s="9" t="str">
        <x:v>验证公会登录账号不存在</x:v>
      </x:c>
      <x:c r="H6" s="9" t="str">
        <x:v>不存在账号登录反馈</x:v>
      </x:c>
      <x:c r="I6" s="9" t="str">
        <x:v>1. 执行角色为未登录公会长
2. 登录账号不存在-qa尚未分配给任何公会长</x:v>
      </x:c>
      <x:c r="J6" s="9" t="str">
        <x:v>1. 进入公会登录
2. 输入账号不存在-qa
3. 输入密码OwnerPass8
4. 点击登录</x:v>
      </x:c>
      <x:c r="K6" s="9" t="str">
        <x:v>提示“账号或密码错误”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来源（当前证据）：liveshow-proto/MainBasis/统一需求文档.md；位置：行2067、行2070
2. 规则：BR-95b5aa325abc52c7
3. 未动态验证</x:v>
      </x:c>
    </x:row>
    <x:row r="7" ht="85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公会登录（运营账号视角）</x:v>
      </x:c>
      <x:c r="E7" s="10" t="str">
        <x:v>业务流程</x:v>
      </x:c>
      <x:c r="F7" s="10" t="str">
        <x:v>P1</x:v>
      </x:c>
      <x:c r="G7" s="9" t="str">
        <x:v>验证运营账号不能登录公会端</x:v>
      </x:c>
      <x:c r="H7" s="9" t="str">
        <x:v>公会端身份限制</x:v>
      </x:c>
      <x:c r="I7" s="9" t="str">
        <x:v>1. 执行角色为运营账号
2. 准备已成功创建且启用的运营账号，记录其实际登录名和有效密码；不预设待确认的运营登录名格式</x:v>
      </x:c>
      <x:c r="J7" s="9" t="str">
        <x:v>1. 进入公会登录
2. 输入所准备运营账号的实际登录名
3. 输入其有效密码
4. 点击登录</x:v>
      </x:c>
      <x:c r="K7" s="9" t="str">
        <x:v>不能进入选择公会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来源（当前证据）：liveshow-proto/MainBasis/统一需求文档.md；位置：行2068
2. 规则：BR-ff9da804a7bf9654
3. 未动态验证</x:v>
      </x:c>
    </x:row>
    <x:row r="8" ht="100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公会登录（公会长视角）</x:v>
      </x:c>
      <x:c r="E8" s="10" t="str">
        <x:v>业务流程</x:v>
      </x:c>
      <x:c r="F8" s="10" t="str">
        <x:v>P1</x:v>
      </x:c>
      <x:c r="G8" s="9" t="str">
        <x:v>验证停用公会长账号不能登录</x:v>
      </x:c>
      <x:c r="H8" s="9" t="str">
        <x:v>公会长停用拦截</x:v>
      </x:c>
      <x:c r="I8" s="9" t="str">
        <x:v>1. 执行角色为公会长
2. 准备已由平台停用的公会长账号，密码OwnerPass8</x:v>
      </x:c>
      <x:c r="J8" s="9" t="str">
        <x:v>1. 进入公会登录
2. 输入该公会长账号
3. 输入密码OwnerPass8
4. 点击登录</x:v>
      </x:c>
      <x:c r="K8" s="9" t="str">
        <x:v>不能进入选择公会</x:v>
      </x:c>
      <x:c r="L8" s="10" t="str">
        <x:v>FLOW-GUILD</x:v>
      </x:c>
      <x:c r="M8" s="10" t="str">
        <x:v>未测</x:v>
      </x:c>
      <x:c r="N8" s="10" t="str"/>
      <x:c r="O8" s="9" t="str">
        <x:v>1. 来源（当前证据）：liveshow-proto/MainBasis/统一需求文档.md；位置：行2069
2. 规则：BR-3b640be8b184e9c1
3. 未动态验证
4. 状态转换：ST-GUILD-OWNER-STOP；按同一业务对象的数据别名准备对应上下游记录</x:v>
      </x:c>
    </x:row>
    <x:row r="9" ht="160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公会登录（公会长视角）</x:v>
      </x:c>
      <x:c r="E9" s="10" t="str">
        <x:v>业务流程</x:v>
      </x:c>
      <x:c r="F9" s="10" t="str">
        <x:v>P1</x:v>
      </x:c>
      <x:c r="G9" s="9" t="str">
        <x:v>验证公会停用后公会长无法登录</x:v>
      </x:c>
      <x:c r="H9" s="9" t="str">
        <x:v>停用公会登录限制</x:v>
      </x:c>
      <x:c r="I9" s="9" t="str">
        <x:v>1. 执行角色为公会长
2. 公会甲刚被平台停用，公会长账号自身启用，已准备该账号实际登录名和有效密码</x:v>
      </x:c>
      <x:c r="J9" s="9" t="str">
        <x:v>1. 进入公会登录
2. 填写该账号及密码
3. 点击登录</x:v>
      </x:c>
      <x:c r="K9" s="9" t="str">
        <x:v>不能进入公会甲首页</x:v>
      </x:c>
      <x:c r="L9" s="10" t="str">
        <x:v>FLOW-GUILD</x:v>
      </x:c>
      <x:c r="M9" s="10" t="str">
        <x:v>未测</x:v>
      </x:c>
      <x:c r="N9" s="10" t="str"/>
      <x:c r="O9" s="9" t="str">
        <x:v>1. 来源（当前证据）：liveshow-proto/MainBasis/统一需求文档.md；位置：行2069、行158
2. 规则：BR-273e96dd02f93c44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0" ht="70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公会登录（未登录公会长视角）</x:v>
      </x:c>
      <x:c r="E10" s="10" t="str">
        <x:v>异常用例</x:v>
      </x:c>
      <x:c r="F10" s="10" t="str">
        <x:v>P1</x:v>
      </x:c>
      <x:c r="G10" s="9" t="str">
        <x:v>验证公会登录错误后保持登录页</x:v>
      </x:c>
      <x:c r="H10" s="9" t="str">
        <x:v>公会登录失败停留位置</x:v>
      </x:c>
      <x:c r="I10" s="9" t="str">
        <x:v>1. 执行角色为未登录公会长
2. 公会长账号guild-owner-qa有效，正确密码OwnerPass8</x:v>
      </x:c>
      <x:c r="J10" s="9" t="str">
        <x:v>1. 进入公会登录
2. 输入账号guild-owner-qa
3. 输入密码WrongPass8
4. 点击登录</x:v>
      </x:c>
      <x:c r="K10" s="9" t="str">
        <x:v>停留公会登录页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来源（当前证据）：liveshow-proto/MainBasis/统一需求文档.md；位置：行2070
2. 规则：BR-39e8b24e6b53d988
3. 未动态验证</x:v>
      </x:c>
    </x:row>
    <x:row r="11" ht="115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选择公会（公会长视角）</x:v>
      </x:c>
      <x:c r="E11" s="10" t="str">
        <x:v>功能需求</x:v>
      </x:c>
      <x:c r="F11" s="10" t="str">
        <x:v>P2</x:v>
      </x:c>
      <x:c r="G11" s="9" t="str">
        <x:v>验证选择公会读取公会长名称</x:v>
      </x:c>
      <x:c r="H11" s="9" t="str">
        <x:v>公会长名称回显</x:v>
      </x:c>
      <x:c r="I11" s="9" t="str">
        <x:v>1. 执行角色为公会长
2. 当前已登录公会长的公会长名称为“负责人甲”</x:v>
      </x:c>
      <x:c r="J11" s="9" t="str">
        <x:v>1. 进入选择公会
2. 查看公会长名称</x:v>
      </x:c>
      <x:c r="K11" s="9" t="str">
        <x:v>公会长名称显示“负责人甲”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来源（当前证据）：liveshow-proto/MainBasis/统一需求文档.md；位置：行2074
2. 规则：BR-5e9398a4043af9bd
3. 未动态验证
4. 数据别名：甲、乙、丙用于区分本条测试对象；按前置条件准备并记录实际账号或记录 ID，不是固定业务名称。</x:v>
      </x:c>
    </x:row>
    <x:row r="12" ht="70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选择公会（公会长视角）</x:v>
      </x:c>
      <x:c r="E12" s="10" t="str">
        <x:v>功能需求</x:v>
      </x:c>
      <x:c r="F12" s="10" t="str">
        <x:v>P2</x:v>
      </x:c>
      <x:c r="G12" s="9" t="str">
        <x:v>验证选择公会读取用户ID</x:v>
      </x:c>
      <x:c r="H12" s="9" t="str">
        <x:v>用户ID回显</x:v>
      </x:c>
      <x:c r="I12" s="9" t="str">
        <x:v>1. 执行角色为公会长
2. 当前已登录公会长的用户ID为“100001”</x:v>
      </x:c>
      <x:c r="J12" s="9" t="str">
        <x:v>1. 进入选择公会
2. 查看用户ID</x:v>
      </x:c>
      <x:c r="K12" s="9" t="str">
        <x:v>用户ID显示“100001”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来源（当前证据）：liveshow-proto/MainBasis/统一需求文档.md；位置：行2074
2. 规则：BR-f1ef0e4de3f2f5d0
3. 未动态验证</x:v>
      </x:c>
    </x:row>
    <x:row r="13" ht="70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选择公会（公会长视角）</x:v>
      </x:c>
      <x:c r="E13" s="10" t="str">
        <x:v>功能需求</x:v>
      </x:c>
      <x:c r="F13" s="10" t="str">
        <x:v>P2</x:v>
      </x:c>
      <x:c r="G13" s="9" t="str">
        <x:v>验证选择公会读取身份</x:v>
      </x:c>
      <x:c r="H13" s="9" t="str">
        <x:v>身份回显</x:v>
      </x:c>
      <x:c r="I13" s="9" t="str">
        <x:v>1. 执行角色为公会长
2. 当前已登录账号的身份为“公会长”</x:v>
      </x:c>
      <x:c r="J13" s="9" t="str">
        <x:v>1. 进入选择公会
2. 查看身份</x:v>
      </x:c>
      <x:c r="K13" s="9" t="str">
        <x:v>身份显示“公会长”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来源（当前证据）：liveshow-proto/MainBasis/统一需求文档.md；位置：行2075
2. 规则：BR-2b79da6ae7a74504
3. 未动态验证</x:v>
      </x:c>
    </x:row>
    <x:row r="14" ht="115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选择公会（公会长视角）</x:v>
      </x:c>
      <x:c r="E14" s="10" t="str">
        <x:v>功能需求</x:v>
      </x:c>
      <x:c r="F14" s="10" t="str">
        <x:v>P2</x:v>
      </x:c>
      <x:c r="G14" s="9" t="str">
        <x:v>验证选择公会读取公会名称</x:v>
      </x:c>
      <x:c r="H14" s="9" t="str">
        <x:v>公会名称回显</x:v>
      </x:c>
      <x:c r="I14" s="9" t="str">
        <x:v>1. 执行角色为公会长
2. 该可管理且未解散公会的公会名称为“公会甲”</x:v>
      </x:c>
      <x:c r="J14" s="9" t="str">
        <x:v>1. 进入选择公会
2. 查看公会名称</x:v>
      </x:c>
      <x:c r="K14" s="9" t="str">
        <x:v>公会名称显示“公会甲”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来源（当前证据）：liveshow-proto/MainBasis/统一需求文档.md；位置：行2076
2. 规则：BR-8597a9dcf87c522c
3. 未动态验证
4. 数据别名：甲、乙、丙用于区分本条测试对象；按前置条件准备并记录实际账号或记录 ID，不是固定业务名称。</x:v>
      </x:c>
    </x:row>
    <x:row r="15" ht="70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选择公会（公会长视角）</x:v>
      </x:c>
      <x:c r="E15" s="10" t="str">
        <x:v>功能需求</x:v>
      </x:c>
      <x:c r="F15" s="10" t="str">
        <x:v>P2</x:v>
      </x:c>
      <x:c r="G15" s="9" t="str">
        <x:v>验证选择公会读取公会ID</x:v>
      </x:c>
      <x:c r="H15" s="9" t="str">
        <x:v>公会ID回显</x:v>
      </x:c>
      <x:c r="I15" s="9" t="str">
        <x:v>1. 执行角色为公会长
2. 该可管理且未解散公会的公会ID为“200001”</x:v>
      </x:c>
      <x:c r="J15" s="9" t="str">
        <x:v>1. 进入选择公会
2. 查看公会ID</x:v>
      </x:c>
      <x:c r="K15" s="9" t="str">
        <x:v>公会ID显示“200001”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来源（当前证据）：liveshow-proto/MainBasis/统一需求文档.md；位置：行2076
2. 规则：BR-a73339a460cc7e26
3. 未动态验证</x:v>
      </x:c>
    </x:row>
    <x:row r="16" ht="115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选择公会（公会长视角）</x:v>
      </x:c>
      <x:c r="E16" s="10" t="str">
        <x:v>功能需求</x:v>
      </x:c>
      <x:c r="F16" s="10" t="str">
        <x:v>P2</x:v>
      </x:c>
      <x:c r="G16" s="9" t="str">
        <x:v>验证选择公会显示对应Logo</x:v>
      </x:c>
      <x:c r="H16" s="9" t="str">
        <x:v>选择公会Logo关联</x:v>
      </x:c>
      <x:c r="I16" s="9" t="str">
        <x:v>1. 执行角色为公会长
2. 本人可管理公会甲乙；两家Logo分别为可区分的实际图片，记录原图</x:v>
      </x:c>
      <x:c r="J16" s="9" t="str">
        <x:v>1. 进入选择公会
2. 查看公会甲Logo</x:v>
      </x:c>
      <x:c r="K16" s="9" t="str">
        <x:v>甲卡片显示甲的Logo原图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来源（当前证据）：liveshow-proto/MainBasis/统一需求文档.md；位置：行2076
2. 规则：BR-0a6a5be9650f5f69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选择公会（公会长视角）</x:v>
      </x:c>
      <x:c r="E17" s="10" t="str">
        <x:v>业务流程</x:v>
      </x:c>
      <x:c r="F17" s="10" t="str">
        <x:v>P1</x:v>
      </x:c>
      <x:c r="G17" s="9" t="str">
        <x:v>验证当前公会标记与启用状态分离</x:v>
      </x:c>
      <x:c r="H17" s="9" t="str">
        <x:v>当前公会选择标记</x:v>
      </x:c>
      <x:c r="I17" s="9" t="str">
        <x:v>1. 执行角色为公会长
2. 甲乙都启用；当前选甲</x:v>
      </x:c>
      <x:c r="J17" s="9" t="str">
        <x:v>1. 进入选择公会</x:v>
      </x:c>
      <x:c r="K17" s="9" t="str">
        <x:v>仅甲显示“当前公会”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来源（当前证据）：liveshow-proto/MainBasis/统一需求文档.md；位置：行2077
2. 规则：BR-957e237eae6f1941
3. 未动态验证
4. 数据别名：甲、乙、丙用于区分本条测试对象；按前置条件准备并记录实际账号或记录 ID，不是固定业务名称。</x:v>
      </x:c>
    </x:row>
    <x:row r="18" ht="11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选择公会（公会长视角）</x:v>
      </x:c>
      <x:c r="E18" s="10" t="str">
        <x:v>功能需求</x:v>
      </x:c>
      <x:c r="F18" s="10" t="str">
        <x:v>P2</x:v>
      </x:c>
      <x:c r="G18" s="9" t="str">
        <x:v>验证非当前公会提供选择入口</x:v>
      </x:c>
      <x:c r="H18" s="9" t="str">
        <x:v>公会切换候选入口</x:v>
      </x:c>
      <x:c r="I18" s="9" t="str">
        <x:v>1. 执行角色为公会长
2. 本人可管理甲乙；当前选甲，乙未解散</x:v>
      </x:c>
      <x:c r="J18" s="9" t="str">
        <x:v>1. 进入选择公会
2. 查看乙卡片</x:v>
      </x:c>
      <x:c r="K18" s="9" t="str">
        <x:v>乙卡片提供选择入口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来源（当前证据）：liveshow-proto/MainBasis/统一需求文档.md；位置：行2077
2. 规则：BR-8b8318c475b0bb83
3. 未动态验证
4.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选择公会（公会长视角）</x:v>
      </x:c>
      <x:c r="E19" s="10" t="str">
        <x:v>业务流程</x:v>
      </x:c>
      <x:c r="F19" s="10" t="str">
        <x:v>P1</x:v>
      </x:c>
      <x:c r="G19" s="9" t="str">
        <x:v>验证可选公会不含无管理关系公会</x:v>
      </x:c>
      <x:c r="H19" s="9" t="str">
        <x:v>公会管理范围</x:v>
      </x:c>
      <x:c r="I19" s="9" t="str">
        <x:v>1. 执行角色为公会长
2. 本人管理公会甲；不管理公会乙；两家均有效</x:v>
      </x:c>
      <x:c r="J19" s="9" t="str">
        <x:v>1. 进入选择公会</x:v>
      </x:c>
      <x:c r="K19" s="9" t="str">
        <x:v>列表只包含本人可管理的公会甲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来源（当前证据）：liveshow-proto/MainBasis/统一需求文档.md；位置：行2078
2. 规则：BR-10085b766df3c657
3. 未动态验证
4. 数据别名：甲、乙、丙用于区分本条测试对象；按前置条件准备并记录实际账号或记录 ID，不是固定业务名称。</x:v>
      </x:c>
    </x:row>
    <x:row r="20" ht="145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选择公会（公会长视角）</x:v>
      </x:c>
      <x:c r="E20" s="10" t="str">
        <x:v>业务流程</x:v>
      </x:c>
      <x:c r="F20" s="10" t="str">
        <x:v>P1</x:v>
      </x:c>
      <x:c r="G20" s="9" t="str">
        <x:v>验证已解散公会不可选</x:v>
      </x:c>
      <x:c r="H20" s="9" t="str">
        <x:v>公会解散选择拦截</x:v>
      </x:c>
      <x:c r="I20" s="9" t="str">
        <x:v>1. 执行角色为公会长
2. 本人原管理公会甲已解散，另有公会乙可管理</x:v>
      </x:c>
      <x:c r="J20" s="9" t="str">
        <x:v>1. 进入选择公会</x:v>
      </x:c>
      <x:c r="K20" s="9" t="str">
        <x:v>不提供公会甲选择入口</x:v>
      </x:c>
      <x:c r="L20" s="10" t="str">
        <x:v>FLOW-GUILD</x:v>
      </x:c>
      <x:c r="M20" s="10" t="str">
        <x:v>未测</x:v>
      </x:c>
      <x:c r="N20" s="10" t="str"/>
      <x:c r="O20" s="9" t="str">
        <x:v>1. 来源（当前证据）：liveshow-proto/MainBasis/统一需求文档.md；位置：行2078
2. 规则：BR-89e67bdd4905f1db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21" ht="115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选择公会（公会长视角）</x:v>
      </x:c>
      <x:c r="E21" s="10" t="str">
        <x:v>业务流程</x:v>
      </x:c>
      <x:c r="F21" s="10" t="str">
        <x:v>P1</x:v>
      </x:c>
      <x:c r="G21" s="9" t="str">
        <x:v>验证切换公会重新载入首页</x:v>
      </x:c>
      <x:c r="H21" s="9" t="str">
        <x:v>当前公会隔离</x:v>
      </x:c>
      <x:c r="I21" s="9" t="str">
        <x:v>1. 执行角色为公会长
2. 本人可管理甲乙；当前选甲；甲今日收益100，乙今日收益200</x:v>
      </x:c>
      <x:c r="J21" s="9" t="str">
        <x:v>1. 进入选择公会
2. 选择公会乙</x:v>
      </x:c>
      <x:c r="K21" s="9" t="str">
        <x:v>首页当日收益为200金币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来源（当前证据）：liveshow-proto/MainBasis/统一需求文档.md；位置：行2079
2. 规则：BR-7a39cbb2c68f671b
3. 未动态验证
4. 数据别名：甲、乙、丙用于区分本条测试对象；按前置条件准备并记录实际账号或记录 ID，不是固定业务名称。</x:v>
      </x:c>
    </x:row>
    <x:row r="22" ht="115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选择公会（公会长视角）</x:v>
      </x:c>
      <x:c r="E22" s="10" t="str">
        <x:v>功能需求</x:v>
      </x:c>
      <x:c r="F22" s="10" t="str">
        <x:v>P2</x:v>
      </x:c>
      <x:c r="G22" s="9" t="str">
        <x:v>验证选择公会后回到首页</x:v>
      </x:c>
      <x:c r="H22" s="9" t="str">
        <x:v>公会切换完成去向</x:v>
      </x:c>
      <x:c r="I22" s="9" t="str">
        <x:v>1. 执行角色为公会长
2. 本人可管理甲乙；当前选甲，乙未解散</x:v>
      </x:c>
      <x:c r="J22" s="9" t="str">
        <x:v>1. 进入选择公会
2. 选择乙</x:v>
      </x:c>
      <x:c r="K22" s="9" t="str">
        <x:v>返回公会首页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来源（当前证据）：liveshow-proto/MainBasis/统一需求文档.md；位置：行2079
2. 规则：BR-a828e452e1d8565e
3. 未动态验证
4. 数据别名：甲、乙、丙用于区分本条测试对象；按前置条件准备并记录实际账号或记录 ID，不是固定业务名称。</x:v>
      </x:c>
    </x:row>
    <x:row r="23" ht="130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选择公会（公会长视角）</x:v>
      </x:c>
      <x:c r="E23" s="10" t="str">
        <x:v>功能需求</x:v>
      </x:c>
      <x:c r="F23" s="10" t="str">
        <x:v>P2</x:v>
      </x:c>
      <x:c r="G23" s="9" t="str">
        <x:v>验证选择公会后首页身份更新</x:v>
      </x:c>
      <x:c r="H23" s="9" t="str">
        <x:v>公会切换身份归属</x:v>
      </x:c>
      <x:c r="I23" s="9" t="str">
        <x:v>1. 执行角色为公会长
2. 本人可管理甲乙；当前选甲，乙名称为QA公会乙</x:v>
      </x:c>
      <x:c r="J23" s="9" t="str">
        <x:v>1. 进入选择公会
2. 选择乙
3. 查看首页公会名称</x:v>
      </x:c>
      <x:c r="K23" s="9" t="str">
        <x:v>公会名称显示QA公会乙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来源（当前证据）：liveshow-proto/MainBasis/统一需求文档.md；位置：行2079、行2083
2. 规则：BR-aae2959a5b84d671
3. 未动态验证
4. 数据别名：甲、乙、丙用于区分本条测试对象；按前置条件准备并记录实际账号或记录 ID，不是固定业务名称。</x:v>
      </x:c>
    </x:row>
    <x:row r="24" ht="115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首页（公会长视角）</x:v>
      </x:c>
      <x:c r="E24" s="10" t="str">
        <x:v>功能需求</x:v>
      </x:c>
      <x:c r="F24" s="10" t="str">
        <x:v>P2</x:v>
      </x:c>
      <x:c r="G24" s="9" t="str">
        <x:v>验证首页读取公会名称</x:v>
      </x:c>
      <x:c r="H24" s="9" t="str">
        <x:v>公会名称回显</x:v>
      </x:c>
      <x:c r="I24" s="9" t="str">
        <x:v>1. 执行角色为公会长
2. 当前选中公会的公会名称为“公会甲”</x:v>
      </x:c>
      <x:c r="J24" s="9" t="str">
        <x:v>1. 进入首页
2. 查看公会名称</x:v>
      </x:c>
      <x:c r="K24" s="9" t="str">
        <x:v>公会名称显示“公会甲”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来源（当前证据）：liveshow-proto/MainBasis/统一需求文档.md；位置：行2083
2. 规则：BR-637d5d4b0d55bfd2
3. 未动态验证
4. 数据别名：甲、乙、丙用于区分本条测试对象；按前置条件准备并记录实际账号或记录 ID，不是固定业务名称。</x:v>
      </x:c>
    </x:row>
    <x:row r="25" ht="70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首页（公会长视角）</x:v>
      </x:c>
      <x:c r="E25" s="10" t="str">
        <x:v>功能需求</x:v>
      </x:c>
      <x:c r="F25" s="10" t="str">
        <x:v>P2</x:v>
      </x:c>
      <x:c r="G25" s="9" t="str">
        <x:v>验证首页读取公会ID</x:v>
      </x:c>
      <x:c r="H25" s="9" t="str">
        <x:v>公会ID回显</x:v>
      </x:c>
      <x:c r="I25" s="9" t="str">
        <x:v>1. 执行角色为公会长
2. 当前选中公会的公会ID为“200001”</x:v>
      </x:c>
      <x:c r="J25" s="9" t="str">
        <x:v>1. 进入首页
2. 查看公会ID</x:v>
      </x:c>
      <x:c r="K25" s="9" t="str">
        <x:v>公会ID显示“200001”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来源（当前证据）：liveshow-proto/MainBasis/统一需求文档.md；位置：行2083
2. 规则：BR-ef5ba09e89130438
3. 未动态验证</x:v>
      </x:c>
    </x:row>
    <x:row r="26" ht="115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首页（公会长视角）</x:v>
      </x:c>
      <x:c r="E26" s="10" t="str">
        <x:v>功能需求</x:v>
      </x:c>
      <x:c r="F26" s="10" t="str">
        <x:v>P2</x:v>
      </x:c>
      <x:c r="G26" s="9" t="str">
        <x:v>验证首页显示当前公会Logo</x:v>
      </x:c>
      <x:c r="H26" s="9" t="str">
        <x:v>公会首页Logo关联</x:v>
      </x:c>
      <x:c r="I26" s="9" t="str">
        <x:v>1. 执行角色为公会长
2. 当前管理公会甲；甲Logo是已保存的测试图片，记录原图</x:v>
      </x:c>
      <x:c r="J26" s="9" t="str">
        <x:v>1. 进入公会首页
2. 查看Logo</x:v>
      </x:c>
      <x:c r="K26" s="9" t="str">
        <x:v>Logo显示公会甲保存的原图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来源（当前证据）：liveshow-proto/MainBasis/统一需求文档.md；位置：行2083
2. 规则：BR-1e53b4776713e878
3. 未动态验证
4. 数据别名：甲、乙、丙用于区分本条测试对象；按前置条件准备并记录实际账号或记录 ID，不是固定业务名称。</x:v>
      </x:c>
    </x:row>
    <x:row r="27" ht="11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首页（公会长视角）</x:v>
      </x:c>
      <x:c r="E27" s="10" t="str">
        <x:v>功能需求</x:v>
      </x:c>
      <x:c r="F27" s="10" t="str">
        <x:v>P2</x:v>
      </x:c>
      <x:c r="G27" s="9" t="str">
        <x:v>验证首页公会信息进入切换页</x:v>
      </x:c>
      <x:c r="H27" s="9" t="str">
        <x:v>首页公会切换入口</x:v>
      </x:c>
      <x:c r="I27" s="9" t="str">
        <x:v>1. 执行角色为公会长
2. 当前公会长已登录且当前公会为甲</x:v>
      </x:c>
      <x:c r="J27" s="9" t="str">
        <x:v>1. 进入公会首页
2. 点击公会信息</x:v>
      </x:c>
      <x:c r="K27" s="9" t="str">
        <x:v>进入选择公会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来源（当前证据）：liveshow-proto/MainBasis/统一需求文档.md；位置：行2083
2. 规则：BR-19e85cd22ea7c9b4
3. 未动态验证
4. 数据别名：甲、乙、丙用于区分本条测试对象；按前置条件准备并记录实际账号或记录 ID，不是固定业务名称。</x:v>
      </x:c>
    </x:row>
    <x:row r="28" ht="70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首页（公会长视角）</x:v>
      </x:c>
      <x:c r="E28" s="10" t="str">
        <x:v>功能需求</x:v>
      </x:c>
      <x:c r="F28" s="10" t="str">
        <x:v>P2</x:v>
      </x:c>
      <x:c r="G28" s="9" t="str">
        <x:v>验证首页未读提示可进入通知</x:v>
      </x:c>
      <x:c r="H28" s="9" t="str">
        <x:v>公会未读通知入口</x:v>
      </x:c>
      <x:c r="I28" s="9" t="str">
        <x:v>1. 执行角色为公会长
2. 当前公会长有未读通知</x:v>
      </x:c>
      <x:c r="J28" s="9" t="str">
        <x:v>1. 进入公会首页
2. 点击通知标记</x:v>
      </x:c>
      <x:c r="K28" s="9" t="str">
        <x:v>进入通知消息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来源（当前证据）：liveshow-proto/MainBasis/统一需求文档.md；位置：行2084
2. 规则：BR-43672f990fc74a12
3. 未动态验证</x:v>
      </x:c>
    </x:row>
    <x:row r="29" ht="70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首页（公会长视角）</x:v>
      </x:c>
      <x:c r="E29" s="10" t="str">
        <x:v>功能需求</x:v>
      </x:c>
      <x:c r="F29" s="10" t="str">
        <x:v>P2</x:v>
      </x:c>
      <x:c r="G29" s="9" t="str">
        <x:v>验证首页未读通知标记显示</x:v>
      </x:c>
      <x:c r="H29" s="9" t="str">
        <x:v>首页未读提示</x:v>
      </x:c>
      <x:c r="I29" s="9" t="str">
        <x:v>1. 执行角色为公会长
2. 当前账号收到一条尚未读的公会通知，其他通知均已读</x:v>
      </x:c>
      <x:c r="J29" s="9" t="str">
        <x:v>1. 进入公会首页
2. 查看通知入口</x:v>
      </x:c>
      <x:c r="K29" s="9" t="str">
        <x:v>通知入口显示未读提示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来源（当前证据）：liveshow-proto/MainBasis/统一需求文档.md；位置：行2084
2. 规则：BR-889ee296036edb13
3. 未动态验证</x:v>
      </x:c>
    </x:row>
    <x:row r="30" ht="70" customHeight="1">
      <x:c r="A30" s="10" t="n">
        <x:v>29</x:v>
      </x:c>
      <x:c r="B30" s="10" t="str">
        <x:v>GUILD-01-0029</x:v>
      </x:c>
      <x:c r="C30" s="10" t="str">
        <x:v>登录与首页</x:v>
      </x:c>
      <x:c r="D30" s="10" t="str">
        <x:v>首页（公会长视角）</x:v>
      </x:c>
      <x:c r="E30" s="10" t="str">
        <x:v>功能需求</x:v>
      </x:c>
      <x:c r="F30" s="10" t="str">
        <x:v>P2</x:v>
      </x:c>
      <x:c r="G30" s="9" t="str">
        <x:v>验证首页进入当前账号设置</x:v>
      </x:c>
      <x:c r="H30" s="9" t="str">
        <x:v>公会账号设置入口</x:v>
      </x:c>
      <x:c r="I30" s="9" t="str">
        <x:v>1. 执行角色为公会长
2. 当前公会长已登录</x:v>
      </x:c>
      <x:c r="J30" s="9" t="str">
        <x:v>1. 进入公会首页
2. 点击账号设置</x:v>
      </x:c>
      <x:c r="K30" s="9" t="str">
        <x:v>进入当前公会长设置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来源（当前证据）：liveshow-proto/MainBasis/统一需求文档.md；位置：行2085
2. 规则：BR-4175df9e3c1273a3
3. 未动态验证</x:v>
      </x:c>
    </x:row>
    <x:row r="31" ht="85" customHeight="1">
      <x:c r="A31" s="10" t="n">
        <x:v>30</x:v>
      </x:c>
      <x:c r="B31" s="10" t="str">
        <x:v>GUILD-01-0030</x:v>
      </x:c>
      <x:c r="C31" s="10" t="str">
        <x:v>登录与首页</x:v>
      </x:c>
      <x:c r="D31" s="10" t="str">
        <x:v>首页（公会长视角）</x:v>
      </x:c>
      <x:c r="E31" s="10" t="str">
        <x:v>逻辑校验</x:v>
      </x:c>
      <x:c r="F31" s="10" t="str">
        <x:v>P1</x:v>
      </x:c>
      <x:c r="G31" s="9" t="str">
        <x:v>验证当日收益排除虚拟及失败消费</x:v>
      </x:c>
      <x:c r="H31" s="9" t="str">
        <x:v>当日收益合计</x:v>
      </x:c>
      <x:c r="I31" s="9" t="str">
        <x:v>1. 执行角色为公会长
2. 普通礼物成功100金币，定制礼物成功200金币，幸运礼物总价值1000金币且收益比例1%，另有虚拟送礼500及失败送礼300</x:v>
      </x:c>
      <x:c r="J31" s="9" t="str">
        <x:v>1. 进入公会首页</x:v>
      </x:c>
      <x:c r="K31" s="9" t="str">
        <x:v>当日收益计算为100+200+1000×1%=310金币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来源（当前证据）：liveshow-proto/MainBasis/统一需求文档.md；位置：行2086
2. 规则：BR-d892c0d951725610
3. 未动态验证</x:v>
      </x:c>
    </x:row>
    <x:row r="32" ht="85" customHeight="1">
      <x:c r="A32" s="10" t="n">
        <x:v>31</x:v>
      </x:c>
      <x:c r="B32" s="10" t="str">
        <x:v>GUILD-01-0031</x:v>
      </x:c>
      <x:c r="C32" s="10" t="str">
        <x:v>登录与首页</x:v>
      </x:c>
      <x:c r="D32" s="10" t="str">
        <x:v>首页（公会长视角）</x:v>
      </x:c>
      <x:c r="E32" s="10" t="str">
        <x:v>逻辑校验</x:v>
      </x:c>
      <x:c r="F32" s="10" t="str">
        <x:v>P1</x:v>
      </x:c>
      <x:c r="G32" s="9" t="str">
        <x:v>验证首页幸运返奖不冲减主播收益</x:v>
      </x:c>
      <x:c r="H32" s="9" t="str">
        <x:v>首页幸运礼物收益</x:v>
      </x:c>
      <x:c r="I32" s="9" t="str">
        <x:v>1. 执行角色为公会长
2. 当前公会当日仅有一笔1000金币幸运礼物，赠送时主播收益比例1%，用户返奖500金币；没有其他消费</x:v>
      </x:c>
      <x:c r="J32" s="9" t="str">
        <x:v>1. 进入公会首页
2. 查看当日收益</x:v>
      </x:c>
      <x:c r="K32" s="9" t="str">
        <x:v>当日收益按1000×1%计算=10金币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来源（当前证据）：liveshow-proto/MainBasis/统一需求文档.md；位置：行2086、行2089
2. 规则：BR-f1dd52efa3bc2014
3. 未动态验证</x:v>
      </x:c>
    </x:row>
    <x:row r="33" ht="115" customHeight="1">
      <x:c r="A33" s="10" t="n">
        <x:v>32</x:v>
      </x:c>
      <x:c r="B33" s="10" t="str">
        <x:v>GUILD-01-0032</x:v>
      </x:c>
      <x:c r="C33" s="10" t="str">
        <x:v>登录与首页</x:v>
      </x:c>
      <x:c r="D33" s="10" t="str">
        <x:v>首页（公会长视角）</x:v>
      </x:c>
      <x:c r="E33" s="10" t="str">
        <x:v>逻辑校验</x:v>
      </x:c>
      <x:c r="F33" s="10" t="str">
        <x:v>P1</x:v>
      </x:c>
      <x:c r="G33" s="9" t="str">
        <x:v>验证在播人数按主播去重</x:v>
      </x:c>
      <x:c r="H33" s="9" t="str">
        <x:v>当前在播去重</x:v>
      </x:c>
      <x:c r="I33" s="9" t="str">
        <x:v>1. 执行角色为公会长
2. 当前仅甲乙正在直播，丙已结束；甲有两条重复观测记录</x:v>
      </x:c>
      <x:c r="J33" s="9" t="str">
        <x:v>1. 进入公会首页</x:v>
      </x:c>
      <x:c r="K33" s="9" t="str">
        <x:v>直播中按不同主播计数=2人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来源（当前证据）：liveshow-proto/MainBasis/统一需求文档.md；位置：行2087
2. 规则：BR-fcf97479afbb9747
3. 未动态验证
4. 数据别名：甲、乙、丙用于区分本条测试对象；按前置条件准备并记录实际账号或记录 ID，不是固定业务名称。</x:v>
      </x:c>
    </x:row>
    <x:row r="34" ht="130" customHeight="1">
      <x:c r="A34" s="10" t="n">
        <x:v>33</x:v>
      </x:c>
      <x:c r="B34" s="10" t="str">
        <x:v>GUILD-01-0033</x:v>
      </x:c>
      <x:c r="C34" s="10" t="str">
        <x:v>登录与首页</x:v>
      </x:c>
      <x:c r="D34" s="10" t="str">
        <x:v>首页（公会长视角）</x:v>
      </x:c>
      <x:c r="E34" s="10" t="str">
        <x:v>逻辑校验</x:v>
      </x:c>
      <x:c r="F34" s="10" t="str">
        <x:v>P1</x:v>
      </x:c>
      <x:c r="G34" s="9" t="str">
        <x:v>验证有效天自然日累计179分钟</x:v>
      </x:c>
      <x:c r="H34" s="9" t="str">
        <x:v>有效天3小时边界</x:v>
      </x:c>
      <x:c r="I34" s="9" t="str">
        <x:v>1. 执行角色为公会长
2. 当前公会仅主播甲；甲在同一自然日累计有效直播179分钟；无跨日场次</x:v>
      </x:c>
      <x:c r="J34" s="9" t="str">
        <x:v>1. 进入公会首页</x:v>
      </x:c>
      <x:c r="K34" s="9" t="str">
        <x:v>达成有效天显示0人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来源（当前证据）：liveshow-proto/MainBasis/统一需求文档.md；位置：行2088、行2192
2. 规则：BR-604fc56d0d03ccc1
3. 未动态验证
4. 数据别名：甲、乙、丙用于区分本条测试对象；按前置条件准备并记录实际账号或记录 ID，不是固定业务名称。</x:v>
      </x:c>
    </x:row>
    <x:row r="35" ht="130" customHeight="1">
      <x:c r="A35" s="10" t="n">
        <x:v>34</x:v>
      </x:c>
      <x:c r="B35" s="10" t="str">
        <x:v>GUILD-01-0034</x:v>
      </x:c>
      <x:c r="C35" s="10" t="str">
        <x:v>登录与首页</x:v>
      </x:c>
      <x:c r="D35" s="10" t="str">
        <x:v>首页（公会长视角）</x:v>
      </x:c>
      <x:c r="E35" s="10" t="str">
        <x:v>逻辑校验</x:v>
      </x:c>
      <x:c r="F35" s="10" t="str">
        <x:v>P1</x:v>
      </x:c>
      <x:c r="G35" s="9" t="str">
        <x:v>验证有效天自然日累计180分钟</x:v>
      </x:c>
      <x:c r="H35" s="9" t="str">
        <x:v>有效天3小时边界</x:v>
      </x:c>
      <x:c r="I35" s="9" t="str">
        <x:v>1. 执行角色为公会长
2. 当前公会仅主播甲；甲在同一自然日累计有效直播180分钟；无跨日场次</x:v>
      </x:c>
      <x:c r="J35" s="9" t="str">
        <x:v>1. 进入公会首页</x:v>
      </x:c>
      <x:c r="K35" s="9" t="str">
        <x:v>达成有效天显示1人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来源（当前证据）：liveshow-proto/MainBasis/统一需求文档.md；位置：行2088、行2192
2. 规则：BR-9bfb4a3a4567574a
3. 未动态验证
4. 数据别名：甲、乙、丙用于区分本条测试对象；按前置条件准备并记录实际账号或记录 ID，不是固定业务名称。</x:v>
      </x:c>
    </x:row>
    <x:row r="36" ht="130" customHeight="1">
      <x:c r="A36" s="10" t="n">
        <x:v>35</x:v>
      </x:c>
      <x:c r="B36" s="10" t="str">
        <x:v>GUILD-01-0035</x:v>
      </x:c>
      <x:c r="C36" s="10" t="str">
        <x:v>登录与首页</x:v>
      </x:c>
      <x:c r="D36" s="10" t="str">
        <x:v>首页（公会长视角）</x:v>
      </x:c>
      <x:c r="E36" s="10" t="str">
        <x:v>逻辑校验</x:v>
      </x:c>
      <x:c r="F36" s="10" t="str">
        <x:v>P1</x:v>
      </x:c>
      <x:c r="G36" s="9" t="str">
        <x:v>验证有效天自然日累计181分钟</x:v>
      </x:c>
      <x:c r="H36" s="9" t="str">
        <x:v>有效天3小时边界</x:v>
      </x:c>
      <x:c r="I36" s="9" t="str">
        <x:v>1. 执行角色为公会长
2. 当前公会仅主播甲；甲在同一自然日累计有效直播181分钟；无跨日场次</x:v>
      </x:c>
      <x:c r="J36" s="9" t="str">
        <x:v>1. 进入公会首页</x:v>
      </x:c>
      <x:c r="K36" s="9" t="str">
        <x:v>达成有效天显示1人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来源（当前证据）：liveshow-proto/MainBasis/统一需求文档.md；位置：行2088、行2192
2. 规则：BR-109db5ab244ad4bf
3. 未动态验证
4. 数据别名：甲、乙、丙用于区分本条测试对象；按前置条件准备并记录实际账号或记录 ID，不是固定业务名称。</x:v>
      </x:c>
    </x:row>
    <x:row r="37" ht="70" customHeight="1">
      <x:c r="A37" s="10" t="n">
        <x:v>36</x:v>
      </x:c>
      <x:c r="B37" s="10" t="str">
        <x:v>GUILD-01-0036</x:v>
      </x:c>
      <x:c r="C37" s="10" t="str">
        <x:v>登录与首页</x:v>
      </x:c>
      <x:c r="D37" s="10" t="str">
        <x:v>首页（公会长视角）</x:v>
      </x:c>
      <x:c r="E37" s="10" t="str">
        <x:v>功能需求</x:v>
      </x:c>
      <x:c r="F37" s="10" t="str">
        <x:v>P2</x:v>
      </x:c>
      <x:c r="G37" s="9" t="str">
        <x:v>验证冲正消费不保留首页收益</x:v>
      </x:c>
      <x:c r="H37" s="9" t="str">
        <x:v>首页冲正收益排除</x:v>
      </x:c>
      <x:c r="I37" s="9" t="str">
        <x:v>1. 执行角色为公会长
2. 当前公会当日仅一笔100金币普通礼物成功消费，随后该消费已有效冲正；没有其他收入</x:v>
      </x:c>
      <x:c r="J37" s="9" t="str">
        <x:v>1. 进入公会首页
2. 查看当日收益</x:v>
      </x:c>
      <x:c r="K37" s="9" t="str">
        <x:v>当日收益为0金币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来源（当前证据）：liveshow-proto/MainBasis/统一需求文档.md；位置：行2090
2. 规则：BR-4e0d164b25fe1409
3. 未动态验证</x:v>
      </x:c>
    </x:row>
    <x:row r="38" ht="115" customHeight="1">
      <x:c r="A38" s="10" t="n">
        <x:v>37</x:v>
      </x:c>
      <x:c r="B38" s="10" t="str">
        <x:v>GUILD-01-0037</x:v>
      </x:c>
      <x:c r="C38" s="10" t="str">
        <x:v>登录与首页</x:v>
      </x:c>
      <x:c r="D38" s="10" t="str">
        <x:v>首页（公会长视角）</x:v>
      </x:c>
      <x:c r="E38" s="10" t="str">
        <x:v>功能需求</x:v>
      </x:c>
      <x:c r="F38" s="10" t="str">
        <x:v>P2</x:v>
      </x:c>
      <x:c r="G38" s="9" t="str">
        <x:v>验证今日概况进入当前日经营详情</x:v>
      </x:c>
      <x:c r="H38" s="9" t="str">
        <x:v>公会首页经营导航</x:v>
      </x:c>
      <x:c r="I38" s="9" t="str">
        <x:v>1. 执行角色为公会长
2. 公会长当前在公会甲首页</x:v>
      </x:c>
      <x:c r="J38" s="9" t="str">
        <x:v>1. 点击今日概况</x:v>
      </x:c>
      <x:c r="K38" s="9" t="str">
        <x:v>进入公会甲当日经营详情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来源（当前证据）：liveshow-proto/MainBasis/统一需求文档.md；位置：行2091
2. 规则：BR-146c6342cde07d43
3. 未动态验证
4. 数据别名：甲、乙、丙用于区分本条测试对象；按前置条件准备并记录实际账号或记录 ID，不是固定业务名称。</x:v>
      </x:c>
    </x:row>
    <x:row r="39" ht="70" customHeight="1">
      <x:c r="A39" s="10" t="n">
        <x:v>38</x:v>
      </x:c>
      <x:c r="B39" s="10" t="str">
        <x:v>GUILD-01-0038</x:v>
      </x:c>
      <x:c r="C39" s="10" t="str">
        <x:v>登录与首页</x:v>
      </x:c>
      <x:c r="D39" s="10" t="str">
        <x:v>通知消息（公会长视角）</x:v>
      </x:c>
      <x:c r="E39" s="10" t="str">
        <x:v>功能需求</x:v>
      </x:c>
      <x:c r="F39" s="10" t="str">
        <x:v>P2</x:v>
      </x:c>
      <x:c r="G39" s="9" t="str">
        <x:v>验证通知消息读取通知标题</x:v>
      </x:c>
      <x:c r="H39" s="9" t="str">
        <x:v>通知标题回显</x:v>
      </x:c>
      <x:c r="I39" s="9" t="str">
        <x:v>1. 执行角色为公会长
2. 发送给当前公会长的通知的通知标题为“入会申请待初审”</x:v>
      </x:c>
      <x:c r="J39" s="9" t="str">
        <x:v>1. 进入通知消息
2. 查看通知标题</x:v>
      </x:c>
      <x:c r="K39" s="9" t="str">
        <x:v>通知标题显示“入会申请待初审”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来源（当前证据）：liveshow-proto/MainBasis/统一需求文档.md；位置：行2095
2. 规则：BR-d920f734266309d6
3. 未动态验证</x:v>
      </x:c>
    </x:row>
    <x:row r="40" ht="70" customHeight="1">
      <x:c r="A40" s="10" t="n">
        <x:v>39</x:v>
      </x:c>
      <x:c r="B40" s="10" t="str">
        <x:v>GUILD-01-0039</x:v>
      </x:c>
      <x:c r="C40" s="10" t="str">
        <x:v>登录与首页</x:v>
      </x:c>
      <x:c r="D40" s="10" t="str">
        <x:v>通知消息（公会长视角）</x:v>
      </x:c>
      <x:c r="E40" s="10" t="str">
        <x:v>功能需求</x:v>
      </x:c>
      <x:c r="F40" s="10" t="str">
        <x:v>P2</x:v>
      </x:c>
      <x:c r="G40" s="9" t="str">
        <x:v>验证通知消息读取通知摘要</x:v>
      </x:c>
      <x:c r="H40" s="9" t="str">
        <x:v>通知摘要回显</x:v>
      </x:c>
      <x:c r="I40" s="9" t="str">
        <x:v>1. 执行角色为公会长
2. 发送给当前公会长的通知的通知摘要为“1位用户待审核”</x:v>
      </x:c>
      <x:c r="J40" s="9" t="str">
        <x:v>1. 进入通知消息
2. 查看通知摘要</x:v>
      </x:c>
      <x:c r="K40" s="9" t="str">
        <x:v>通知摘要显示“1位用户待审核”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来源（当前证据）：liveshow-proto/MainBasis/统一需求文档.md；位置：行2096
2. 规则：BR-9b645b4093fcdb61
3. 未动态验证</x:v>
      </x:c>
    </x:row>
    <x:row r="41" ht="115" customHeight="1">
      <x:c r="A41" s="10" t="n">
        <x:v>40</x:v>
      </x:c>
      <x:c r="B41" s="10" t="str">
        <x:v>GUILD-01-0040</x:v>
      </x:c>
      <x:c r="C41" s="10" t="str">
        <x:v>登录与首页</x:v>
      </x:c>
      <x:c r="D41" s="10" t="str">
        <x:v>通知消息（公会长视角）</x:v>
      </x:c>
      <x:c r="E41" s="10" t="str">
        <x:v>功能需求</x:v>
      </x:c>
      <x:c r="F41" s="10" t="str">
        <x:v>P2</x:v>
      </x:c>
      <x:c r="G41" s="9" t="str">
        <x:v>验证通知消息按生成时间从新到旧</x:v>
      </x:c>
      <x:c r="H41" s="9" t="str">
        <x:v>生成时间倒序</x:v>
      </x:c>
      <x:c r="I41" s="9" t="str">
        <x:v>1. 执行角色为公会长
2. 三条符合本页范围的记录甲乙丙，生成时间依次为同一天10:00、11:00、12:00</x:v>
      </x:c>
      <x:c r="J41" s="9" t="str">
        <x:v>1. 进入通知消息
2. 查看记录顺序</x:v>
      </x:c>
      <x:c r="K41" s="9" t="str">
        <x:v>记录顺序为丙、乙、甲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来源（当前证据）：liveshow-proto/MainBasis/统一需求文档.md；位置：行2097
2. 规则：BR-09da290676c2456e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GUILD-01-0041</x:v>
      </x:c>
      <x:c r="C42" s="10" t="str">
        <x:v>登录与首页</x:v>
      </x:c>
      <x:c r="D42" s="10" t="str">
        <x:v>通知消息（公会长视角）</x:v>
      </x:c>
      <x:c r="E42" s="10" t="str">
        <x:v>功能需求</x:v>
      </x:c>
      <x:c r="F42" s="10" t="str">
        <x:v>P2</x:v>
      </x:c>
      <x:c r="G42" s="9" t="str">
        <x:v>验证通知列表时间取生成时刻</x:v>
      </x:c>
      <x:c r="H42" s="9" t="str">
        <x:v>通知生成时间回显</x:v>
      </x:c>
      <x:c r="I42" s="9" t="str">
        <x:v>1. 执行角色为公会长
2. 当前有通知甲；已记录其生成时刻，读取时刻比生成时刻晚10分钟</x:v>
      </x:c>
      <x:c r="J42" s="9" t="str">
        <x:v>1. 进入通知消息
2. 查看通知甲时间</x:v>
      </x:c>
      <x:c r="K42" s="9" t="str">
        <x:v>通知甲时间对应已记录的生成时刻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来源（当前证据）：liveshow-proto/MainBasis/统一需求文档.md；位置：行2097
2. 规则：BR-27f2f908690afacb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GUILD-01-0042</x:v>
      </x:c>
      <x:c r="C43" s="10" t="str">
        <x:v>登录与首页</x:v>
      </x:c>
      <x:c r="D43" s="10" t="str">
        <x:v>通知消息（公会长视角）</x:v>
      </x:c>
      <x:c r="E43" s="10" t="str">
        <x:v>功能需求</x:v>
      </x:c>
      <x:c r="F43" s="10" t="str">
        <x:v>P2</x:v>
      </x:c>
      <x:c r="G43" s="9" t="str">
        <x:v>验证读过通知不再显示未读标记</x:v>
      </x:c>
      <x:c r="H43" s="9" t="str">
        <x:v>通知已读展示</x:v>
      </x:c>
      <x:c r="I43" s="9" t="str">
        <x:v>1. 执行角色为公会长
2. 通知甲已读，乙未读</x:v>
      </x:c>
      <x:c r="J43" s="9" t="str">
        <x:v>1. 进入通知消息</x:v>
      </x:c>
      <x:c r="K43" s="9" t="str">
        <x:v>甲不显示未读标记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来源（当前证据）：liveshow-proto/MainBasis/统一需求文档.md；位置：行2098
2. 规则：BR-44436828a1038b38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GUILD-01-0043</x:v>
      </x:c>
      <x:c r="C44" s="10" t="str">
        <x:v>登录与首页</x:v>
      </x:c>
      <x:c r="D44" s="10" t="str">
        <x:v>通知消息（公会长视角）</x:v>
      </x:c>
      <x:c r="E44" s="10" t="str">
        <x:v>功能需求</x:v>
      </x:c>
      <x:c r="F44" s="10" t="str">
        <x:v>P2</x:v>
      </x:c>
      <x:c r="G44" s="9" t="str">
        <x:v>验证未读公会通知显示圆点</x:v>
      </x:c>
      <x:c r="H44" s="9" t="str">
        <x:v>公会通知未读标记</x:v>
      </x:c>
      <x:c r="I44" s="9" t="str">
        <x:v>1. 执行角色为公会长
2. 通知甲已生成且当前公会长未打开过</x:v>
      </x:c>
      <x:c r="J44" s="9" t="str">
        <x:v>1. 进入通知消息
2. 查看甲条目</x:v>
      </x:c>
      <x:c r="K44" s="9" t="str">
        <x:v>甲显示未读圆点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来源（当前证据）：liveshow-proto/MainBasis/统一需求文档.md；位置：行2098
2. 规则：BR-1128c560e769cdf7
3. 未动态验证
4. 数据别名：甲、乙、丙用于区分本条测试对象；按前置条件准备并记录实际账号或记录 ID，不是固定业务名称。</x:v>
      </x:c>
    </x:row>
    <x:row r="45" ht="145" customHeight="1">
      <x:c r="A45" s="10" t="n">
        <x:v>44</x:v>
      </x:c>
      <x:c r="B45" s="10" t="str">
        <x:v>GUILD-01-0044</x:v>
      </x:c>
      <x:c r="C45" s="10" t="str">
        <x:v>登录与首页</x:v>
      </x:c>
      <x:c r="D45" s="10" t="str">
        <x:v>通知消息（公会长视角）</x:v>
      </x:c>
      <x:c r="E45" s="10" t="str">
        <x:v>功能需求</x:v>
      </x:c>
      <x:c r="F45" s="10" t="str">
        <x:v>P2</x:v>
      </x:c>
      <x:c r="G45" s="9" t="str">
        <x:v>验证公会收到新入会初审通知</x:v>
      </x:c>
      <x:c r="H45" s="9" t="str">
        <x:v>初审通知生成</x:v>
      </x:c>
      <x:c r="I45" s="9" t="str">
        <x:v>1. 执行角色为公会长
2. 用户甲刚向当前公会成功提交入会申请</x:v>
      </x:c>
      <x:c r="J45" s="9" t="str">
        <x:v>1. 进入通知消息</x:v>
      </x:c>
      <x:c r="K45" s="9" t="str">
        <x:v>出现甲的待初审通知</x:v>
      </x:c>
      <x:c r="L45" s="10" t="str">
        <x:v>FLOW-JOIN</x:v>
      </x:c>
      <x:c r="M45" s="10" t="str">
        <x:v>未测</x:v>
      </x:c>
      <x:c r="N45" s="10" t="str"/>
      <x:c r="O45" s="9" t="str">
        <x:v>1. 来源（当前证据）：liveshow-proto/MainBasis/统一需求文档.md；位置：行2099
2. 规则：BR-1096b233e1222474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46" ht="160" customHeight="1">
      <x:c r="A46" s="10" t="n">
        <x:v>45</x:v>
      </x:c>
      <x:c r="B46" s="10" t="str">
        <x:v>GUILD-01-0045</x:v>
      </x:c>
      <x:c r="C46" s="10" t="str">
        <x:v>登录与首页</x:v>
      </x:c>
      <x:c r="D46" s="10" t="str">
        <x:v>通知消息（公会长视角）</x:v>
      </x:c>
      <x:c r="E46" s="10" t="str">
        <x:v>功能需求</x:v>
      </x:c>
      <x:c r="F46" s="10" t="str">
        <x:v>P2</x:v>
      </x:c>
      <x:c r="G46" s="9" t="str">
        <x:v>验证公会收到平台终审结果</x:v>
      </x:c>
      <x:c r="H46" s="9" t="str">
        <x:v>终审结果通知</x:v>
      </x:c>
      <x:c r="I46" s="9" t="str">
        <x:v>1. 执行角色为公会长
2. 甲申请已经平台通过</x:v>
      </x:c>
      <x:c r="J46" s="9" t="str">
        <x:v>1. 进入通知消息</x:v>
      </x:c>
      <x:c r="K46" s="9" t="str">
        <x:v>出现甲的平台终审通过通知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来源（当前证据）：liveshow-proto/MainBasis/统一需求文档.md；位置：行2099
2. 规则：BR-e9908cc519cf6221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45" customHeight="1">
      <x:c r="A47" s="10" t="n">
        <x:v>46</x:v>
      </x:c>
      <x:c r="B47" s="10" t="str">
        <x:v>GUILD-01-0046</x:v>
      </x:c>
      <x:c r="C47" s="10" t="str">
        <x:v>登录与首页</x:v>
      </x:c>
      <x:c r="D47" s="10" t="str">
        <x:v>通知消息（公会长视角）</x:v>
      </x:c>
      <x:c r="E47" s="10" t="str">
        <x:v>功能需求</x:v>
      </x:c>
      <x:c r="F47" s="10" t="str">
        <x:v>P2</x:v>
      </x:c>
      <x:c r="G47" s="9" t="str">
        <x:v>验证公会收到新退会审核通知</x:v>
      </x:c>
      <x:c r="H47" s="9" t="str">
        <x:v>退会通知生成</x:v>
      </x:c>
      <x:c r="I47" s="9" t="str">
        <x:v>1. 执行角色为公会长
2. 在会主播甲刚提交退会申请</x:v>
      </x:c>
      <x:c r="J47" s="9" t="str">
        <x:v>1. 进入通知消息</x:v>
      </x:c>
      <x:c r="K47" s="9" t="str">
        <x:v>出现甲待退会审核通知</x:v>
      </x:c>
      <x:c r="L47" s="10" t="str">
        <x:v>FLOW-LEAVE</x:v>
      </x:c>
      <x:c r="M47" s="10" t="str">
        <x:v>未测</x:v>
      </x:c>
      <x:c r="N47" s="10" t="str"/>
      <x:c r="O47" s="9" t="str">
        <x:v>1. 来源（当前证据）：liveshow-proto/MainBasis/统一需求文档.md；位置：行2099
2. 规则：BR-0a91d8dbd7adfbbc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GUILD-01-0047</x:v>
      </x:c>
      <x:c r="C48" s="10" t="str">
        <x:v>登录与首页</x:v>
      </x:c>
      <x:c r="D48" s="10" t="str">
        <x:v>通知消息（公会长视角）</x:v>
      </x:c>
      <x:c r="E48" s="10" t="str">
        <x:v>功能需求</x:v>
      </x:c>
      <x:c r="F48" s="10" t="str">
        <x:v>P2</x:v>
      </x:c>
      <x:c r="G48" s="9" t="str">
        <x:v>验证平台驳回后通知公会长</x:v>
      </x:c>
      <x:c r="H48" s="9" t="str">
        <x:v>终审驳回通知</x:v>
      </x:c>
      <x:c r="I48" s="9" t="str">
        <x:v>1. 执行角色为公会长
2. 本公会用户甲的申请刚被平台终审驳回，公会长账号仍可用</x:v>
      </x:c>
      <x:c r="J48" s="9" t="str">
        <x:v>1. 进入通知消息</x:v>
      </x:c>
      <x:c r="K48" s="9" t="str">
        <x:v>出现甲的平台终审驳回通知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来源（当前证据）：liveshow-proto/MainBasis/统一需求文档.md；位置：行2099
2. 规则：BR-10b1adef408f2e07
3. 未动态验证
4. 数据别名：甲、乙、丙用于区分本条测试对象；按前置条件准备并记录实际账号或记录 ID，不是固定业务名称。</x:v>
      </x:c>
    </x:row>
    <x:row r="49" ht="115" customHeight="1">
      <x:c r="A49" s="10" t="n">
        <x:v>48</x:v>
      </x:c>
      <x:c r="B49" s="10" t="str">
        <x:v>GUILD-01-0048</x:v>
      </x:c>
      <x:c r="C49" s="10" t="str">
        <x:v>登录与首页</x:v>
      </x:c>
      <x:c r="D49" s="10" t="str">
        <x:v>通知消息（公会长视角）</x:v>
      </x:c>
      <x:c r="E49" s="10" t="str">
        <x:v>功能需求</x:v>
      </x:c>
      <x:c r="F49" s="10" t="str">
        <x:v>P2</x:v>
      </x:c>
      <x:c r="G49" s="9" t="str">
        <x:v>验证平台关播后公会收到通知</x:v>
      </x:c>
      <x:c r="H49" s="9" t="str">
        <x:v>平台关播通知</x:v>
      </x:c>
      <x:c r="I49" s="9" t="str">
        <x:v>1. 执行角色为公会长
2. 本公会主播甲原在播，平台刚关闭该场直播</x:v>
      </x:c>
      <x:c r="J49" s="9" t="str">
        <x:v>1. 进入通知消息</x:v>
      </x:c>
      <x:c r="K49" s="9" t="str">
        <x:v>出现甲场次被关闭通知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来源（当前证据）：liveshow-proto/MainBasis/统一需求文档.md；位置：行2100
2. 规则：BR-82c7e4099a3b6cef
3. 未动态验证
4. 数据别名：甲、乙、丙用于区分本条测试对象；按前置条件准备并记录实际账号或记录 ID，不是固定业务名称。</x:v>
      </x:c>
    </x:row>
    <x:row r="50" ht="115" customHeight="1">
      <x:c r="A50" s="10" t="n">
        <x:v>49</x:v>
      </x:c>
      <x:c r="B50" s="10" t="str">
        <x:v>GUILD-01-0049</x:v>
      </x:c>
      <x:c r="C50" s="10" t="str">
        <x:v>登录与首页</x:v>
      </x:c>
      <x:c r="D50" s="10" t="str">
        <x:v>通知消息（公会长视角）</x:v>
      </x:c>
      <x:c r="E50" s="10" t="str">
        <x:v>功能需求</x:v>
      </x:c>
      <x:c r="F50" s="10" t="str">
        <x:v>P2</x:v>
      </x:c>
      <x:c r="G50" s="9" t="str">
        <x:v>验证关闭直播权限通知公会</x:v>
      </x:c>
      <x:c r="H50" s="9" t="str">
        <x:v>直播权限关闭通知</x:v>
      </x:c>
      <x:c r="I50" s="9" t="str">
        <x:v>1. 执行角色为公会长
2. 本会主播甲的平台直播权限刚被管理员关闭</x:v>
      </x:c>
      <x:c r="J50" s="9" t="str">
        <x:v>1. 进入通知消息</x:v>
      </x:c>
      <x:c r="K50" s="9" t="str">
        <x:v>出现甲直播权限被关闭的通知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来源（当前证据）：liveshow-proto/MainBasis/统一需求文档.md；位置：行2100
2. 规则：BR-332bebb080a55ae3
3. 未动态验证
4. 数据别名：甲、乙、丙用于区分本条测试对象；按前置条件准备并记录实际账号或记录 ID，不是固定业务名称。</x:v>
      </x:c>
    </x:row>
    <x:row r="51" ht="115" customHeight="1">
      <x:c r="A51" s="10" t="n">
        <x:v>50</x:v>
      </x:c>
      <x:c r="B51" s="10" t="str">
        <x:v>GUILD-01-0050</x:v>
      </x:c>
      <x:c r="C51" s="10" t="str">
        <x:v>登录与首页</x:v>
      </x:c>
      <x:c r="D51" s="10" t="str">
        <x:v>通知消息（公会长视角）</x:v>
      </x:c>
      <x:c r="E51" s="10" t="str">
        <x:v>功能需求</x:v>
      </x:c>
      <x:c r="F51" s="10" t="str">
        <x:v>P2</x:v>
      </x:c>
      <x:c r="G51" s="9" t="str">
        <x:v>验证恢复直播权限通知公会</x:v>
      </x:c>
      <x:c r="H51" s="9" t="str">
        <x:v>直播权限恢复通知</x:v>
      </x:c>
      <x:c r="I51" s="9" t="str">
        <x:v>1. 执行角色为公会长
2. 本会主播甲的平台直播权限刚由关闭恢复开启</x:v>
      </x:c>
      <x:c r="J51" s="9" t="str">
        <x:v>1. 进入通知消息</x:v>
      </x:c>
      <x:c r="K51" s="9" t="str">
        <x:v>出现甲直播权限恢复的通知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来源（当前证据）：liveshow-proto/MainBasis/统一需求文档.md；位置：行2100
2. 规则：BR-7a086fd7781bbb3e
3. 未动态验证
4. 数据别名：甲、乙、丙用于区分本条测试对象；按前置条件准备并记录实际账号或记录 ID，不是固定业务名称。</x:v>
      </x:c>
    </x:row>
    <x:row r="52" ht="115" customHeight="1">
      <x:c r="A52" s="10" t="n">
        <x:v>51</x:v>
      </x:c>
      <x:c r="B52" s="10" t="str">
        <x:v>GUILD-01-0051</x:v>
      </x:c>
      <x:c r="C52" s="10" t="str">
        <x:v>登录与首页</x:v>
      </x:c>
      <x:c r="D52" s="10" t="str">
        <x:v>通知消息（公会长视角）</x:v>
      </x:c>
      <x:c r="E52" s="10" t="str">
        <x:v>功能需求</x:v>
      </x:c>
      <x:c r="F52" s="10" t="str">
        <x:v>P2</x:v>
      </x:c>
      <x:c r="G52" s="9" t="str">
        <x:v>验证公会收到运营管理权限变更通知</x:v>
      </x:c>
      <x:c r="H52" s="9" t="str">
        <x:v>管理权限变更通知</x:v>
      </x:c>
      <x:c r="I52" s="9" t="str">
        <x:v>1. 执行角色为公会长
2. 当前公会的运营账号甲刚被平台锁定管理，公会长仍可登录</x:v>
      </x:c>
      <x:c r="J52" s="9" t="str">
        <x:v>1. 进入通知消息</x:v>
      </x:c>
      <x:c r="K52" s="9" t="str">
        <x:v>存在甲运营管理权限变更通知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来源（当前证据）：liveshow-proto/MainBasis/统一需求文档.md；位置：行2101
2. 规则：BR-7ac1d5d75cc4bf2a
3. 未动态验证
4. 数据别名：甲、乙、丙用于区分本条测试对象；按前置条件准备并记录实际账号或记录 ID，不是固定业务名称。</x:v>
      </x:c>
    </x:row>
    <x:row r="53" ht="115" customHeight="1">
      <x:c r="A53" s="10" t="n">
        <x:v>52</x:v>
      </x:c>
      <x:c r="B53" s="10" t="str">
        <x:v>GUILD-01-0052</x:v>
      </x:c>
      <x:c r="C53" s="10" t="str">
        <x:v>登录与首页</x:v>
      </x:c>
      <x:c r="D53" s="10" t="str">
        <x:v>通知消息（公会长视角）</x:v>
      </x:c>
      <x:c r="E53" s="10" t="str">
        <x:v>功能需求</x:v>
      </x:c>
      <x:c r="F53" s="10" t="str">
        <x:v>P2</x:v>
      </x:c>
      <x:c r="G53" s="9" t="str">
        <x:v>验证公会恢复后可以查看状态通知</x:v>
      </x:c>
      <x:c r="H53" s="9" t="str">
        <x:v>公会状态变更通知</x:v>
      </x:c>
      <x:c r="I53" s="9" t="str">
        <x:v>1. 执行角色为公会长
2. 公会甲曾被平台停用，现已重新启用；当前公会长可登录甲</x:v>
      </x:c>
      <x:c r="J53" s="9" t="str">
        <x:v>1. 进入通知消息</x:v>
      </x:c>
      <x:c r="K53" s="9" t="str">
        <x:v>存在公会甲状态变更通知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来源（当前证据）：liveshow-proto/MainBasis/统一需求文档.md；位置：行2101
2. 规则：BR-1b8cd8f146437af3
3. 未动态验证
4. 数据别名：甲、乙、丙用于区分本条测试对象；按前置条件准备并记录实际账号或记录 ID，不是固定业务名称。</x:v>
      </x:c>
    </x:row>
    <x:row r="54" ht="70" customHeight="1">
      <x:c r="A54" s="10" t="n">
        <x:v>53</x:v>
      </x:c>
      <x:c r="B54" s="10" t="str">
        <x:v>GUILD-01-0053</x:v>
      </x:c>
      <x:c r="C54" s="10" t="str">
        <x:v>登录与首页</x:v>
      </x:c>
      <x:c r="D54" s="10" t="str">
        <x:v>通知消息（公会长视角）</x:v>
      </x:c>
      <x:c r="E54" s="10" t="str">
        <x:v>功能需求</x:v>
      </x:c>
      <x:c r="F54" s="10" t="str">
        <x:v>P2</x:v>
      </x:c>
      <x:c r="G54" s="9" t="str">
        <x:v>验证公会长重新启用后查看账号状态通知</x:v>
      </x:c>
      <x:c r="H54" s="9" t="str">
        <x:v>公会长账号状态通知</x:v>
      </x:c>
      <x:c r="I54" s="9" t="str">
        <x:v>1. 执行角色为公会长
2. 当前公会长账号曾被平台停用后重新启用，公会始终启用；现已使用该公会长账号登录</x:v>
      </x:c>
      <x:c r="J54" s="9" t="str">
        <x:v>1. 进入通知消息</x:v>
      </x:c>
      <x:c r="K54" s="9" t="str">
        <x:v>存在该公会长账号状态变更通知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来源（当前证据）：liveshow-proto/MainBasis/统一需求文档.md；位置：行2101
2. 规则：BR-01319a999d19fe1c
3. 未动态验证</x:v>
      </x:c>
    </x:row>
    <x:row r="55" ht="115" customHeight="1">
      <x:c r="A55" s="10" t="n">
        <x:v>54</x:v>
      </x:c>
      <x:c r="B55" s="10" t="str">
        <x:v>GUILD-01-0054</x:v>
      </x:c>
      <x:c r="C55" s="10" t="str">
        <x:v>登录与首页</x:v>
      </x:c>
      <x:c r="D55" s="10" t="str">
        <x:v>通知消息（公会长视角）</x:v>
      </x:c>
      <x:c r="E55" s="10" t="str">
        <x:v>功能需求</x:v>
      </x:c>
      <x:c r="F55" s="10" t="str">
        <x:v>P2</x:v>
      </x:c>
      <x:c r="G55" s="9" t="str">
        <x:v>验证新上传主播分成通知公会</x:v>
      </x:c>
      <x:c r="H55" s="9" t="str">
        <x:v>主播分成新增通知</x:v>
      </x:c>
      <x:c r="I55" s="9" t="str">
        <x:v>1. 执行角色为公会长
2. 财务刚成功导入当前公会主播甲的分成结果</x:v>
      </x:c>
      <x:c r="J55" s="9" t="str">
        <x:v>1. 进入通知消息</x:v>
      </x:c>
      <x:c r="K55" s="9" t="str">
        <x:v>出现主播分成结果新增通知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来源（当前证据）：liveshow-proto/MainBasis/统一需求文档.md；位置：行2102
2. 规则：BR-5097b60be50ada79
3. 未动态验证
4. 数据别名：甲、乙、丙用于区分本条测试对象；按前置条件准备并记录实际账号或记录 ID，不是固定业务名称。</x:v>
      </x:c>
    </x:row>
    <x:row r="56" ht="115" customHeight="1">
      <x:c r="A56" s="10" t="n">
        <x:v>55</x:v>
      </x:c>
      <x:c r="B56" s="10" t="str">
        <x:v>GUILD-01-0055</x:v>
      </x:c>
      <x:c r="C56" s="10" t="str">
        <x:v>登录与首页</x:v>
      </x:c>
      <x:c r="D56" s="10" t="str">
        <x:v>通知消息（公会长视角）</x:v>
      </x:c>
      <x:c r="E56" s="10" t="str">
        <x:v>功能需求</x:v>
      </x:c>
      <x:c r="F56" s="10" t="str">
        <x:v>P2</x:v>
      </x:c>
      <x:c r="G56" s="9" t="str">
        <x:v>验证新增公会分成通知公会长</x:v>
      </x:c>
      <x:c r="H56" s="9" t="str">
        <x:v>公会分成新增通知</x:v>
      </x:c>
      <x:c r="I56" s="9" t="str">
        <x:v>1. 执行角色为公会长
2. 财务刚成功导入当前公会甲的分成结果</x:v>
      </x:c>
      <x:c r="J56" s="9" t="str">
        <x:v>1. 进入通知消息</x:v>
      </x:c>
      <x:c r="K56" s="9" t="str">
        <x:v>出现公会分成结果新增通知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来源（当前证据）：liveshow-proto/MainBasis/统一需求文档.md；位置：行2102
2. 规则：BR-c7f4551cbc2517ac
3. 未动态验证
4.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GUILD-01-0056</x:v>
      </x:c>
      <x:c r="C57" s="10" t="str">
        <x:v>登录与首页</x:v>
      </x:c>
      <x:c r="D57" s="10" t="str">
        <x:v>通知消息（公会长视角）</x:v>
      </x:c>
      <x:c r="E57" s="10" t="str">
        <x:v>功能需求</x:v>
      </x:c>
      <x:c r="F57" s="10" t="str">
        <x:v>P2</x:v>
      </x:c>
      <x:c r="G57" s="9" t="str">
        <x:v>验证主播分成修正通知公会长</x:v>
      </x:c>
      <x:c r="H57" s="9" t="str">
        <x:v>主播分成冲正通知</x:v>
      </x:c>
      <x:c r="I57" s="9" t="str">
        <x:v>1. 执行角色为公会长
2. 财务刚对当前公会主播甲的分成完成一笔负向修正</x:v>
      </x:c>
      <x:c r="J57" s="9" t="str">
        <x:v>1. 进入通知消息</x:v>
      </x:c>
      <x:c r="K57" s="9" t="str">
        <x:v>出现主播分成冲正通知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来源（当前证据）：liveshow-proto/MainBasis/统一需求文档.md；位置：行2102
2. 规则：BR-82fd1d7725e03906
3. 未动态验证
4. 数据别名：甲、乙、丙用于区分本条测试对象；按前置条件准备并记录实际账号或记录 ID，不是固定业务名称。</x:v>
      </x:c>
    </x:row>
    <x:row r="58" ht="70" customHeight="1">
      <x:c r="A58" s="10" t="n">
        <x:v>57</x:v>
      </x:c>
      <x:c r="B58" s="10" t="str">
        <x:v>GUILD-01-0057</x:v>
      </x:c>
      <x:c r="C58" s="10" t="str">
        <x:v>登录与首页</x:v>
      </x:c>
      <x:c r="D58" s="10" t="str">
        <x:v>通知消息（公会长视角）</x:v>
      </x:c>
      <x:c r="E58" s="10" t="str">
        <x:v>功能需求</x:v>
      </x:c>
      <x:c r="F58" s="10" t="str">
        <x:v>P2</x:v>
      </x:c>
      <x:c r="G58" s="9" t="str">
        <x:v>验证公会分成修正通知公会长</x:v>
      </x:c>
      <x:c r="H58" s="9" t="str">
        <x:v>公会分成冲正通知</x:v>
      </x:c>
      <x:c r="I58" s="9" t="str">
        <x:v>1. 执行角色为公会长
2. 财务刚对当前公会的分成完成一笔负向修正</x:v>
      </x:c>
      <x:c r="J58" s="9" t="str">
        <x:v>1. 进入通知消息</x:v>
      </x:c>
      <x:c r="K58" s="9" t="str">
        <x:v>出现公会分成冲正通知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来源（当前证据）：liveshow-proto/MainBasis/统一需求文档.md；位置：行2102
2. 规则：BR-09c43f230385c4aa
3. 未动态验证</x:v>
      </x:c>
    </x:row>
    <x:row r="59" ht="85" customHeight="1">
      <x:c r="A59" s="10" t="n">
        <x:v>58</x:v>
      </x:c>
      <x:c r="B59" s="10" t="str">
        <x:v>GUILD-01-0058</x:v>
      </x:c>
      <x:c r="C59" s="10" t="str">
        <x:v>登录与首页</x:v>
      </x:c>
      <x:c r="D59" s="10" t="str">
        <x:v>通知消息（公会长视角）</x:v>
      </x:c>
      <x:c r="E59" s="10" t="str">
        <x:v>业务流程</x:v>
      </x:c>
      <x:c r="F59" s="10" t="str">
        <x:v>P1</x:v>
      </x:c>
      <x:c r="G59" s="9" t="str">
        <x:v>验证打开通知标记已读</x:v>
      </x:c>
      <x:c r="H59" s="9" t="str">
        <x:v>通知已读状态</x:v>
      </x:c>
      <x:c r="I59" s="9" t="str">
        <x:v>1. 执行角色为公会长
2. 有一条未读的入会通知</x:v>
      </x:c>
      <x:c r="J59" s="9" t="str">
        <x:v>1. 进入通知消息
2. 点击该通知
3. 返回通知消息</x:v>
      </x:c>
      <x:c r="K59" s="9" t="str">
        <x:v>该通知不再显示未读标记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来源（当前证据）：liveshow-proto/MainBasis/统一需求文档.md；位置：行2103、行2111
2. 规则：BR-0736990fbed33745
3. 未动态验证</x:v>
      </x:c>
    </x:row>
    <x:row r="60" ht="115" customHeight="1">
      <x:c r="A60" s="10" t="n">
        <x:v>59</x:v>
      </x:c>
      <x:c r="B60" s="10" t="str">
        <x:v>GUILD-01-0059</x:v>
      </x:c>
      <x:c r="C60" s="10" t="str">
        <x:v>登录与首页</x:v>
      </x:c>
      <x:c r="D60" s="10" t="str">
        <x:v>通知消息（公会长视角）</x:v>
      </x:c>
      <x:c r="E60" s="10" t="str">
        <x:v>功能需求</x:v>
      </x:c>
      <x:c r="F60" s="10" t="str">
        <x:v>P2</x:v>
      </x:c>
      <x:c r="G60" s="9" t="str">
        <x:v>验证点击公会通知打开对应详情</x:v>
      </x:c>
      <x:c r="H60" s="9" t="str">
        <x:v>通知详情导航</x:v>
      </x:c>
      <x:c r="I60" s="9" t="str">
        <x:v>1. 执行角色为公会长
2. 当前列表有不同业务对象的通知甲乙</x:v>
      </x:c>
      <x:c r="J60" s="9" t="str">
        <x:v>1. 进入通知消息
2. 点击通知甲</x:v>
      </x:c>
      <x:c r="K60" s="9" t="str">
        <x:v>进入通知甲详情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来源（当前证据）：liveshow-proto/MainBasis/统一需求文档.md；位置：行2103
2. 规则：BR-629dd3060e9c6ee5
3. 未动态验证
4. 数据别名：甲、乙、丙用于区分本条测试对象；按前置条件准备并记录实际账号或记录 ID，不是固定业务名称。</x:v>
      </x:c>
    </x:row>
    <x:row r="61" ht="70" customHeight="1">
      <x:c r="A61" s="10" t="n">
        <x:v>60</x:v>
      </x:c>
      <x:c r="B61" s="10" t="str">
        <x:v>GUILD-01-0060</x:v>
      </x:c>
      <x:c r="C61" s="10" t="str">
        <x:v>登录与首页</x:v>
      </x:c>
      <x:c r="D61" s="10" t="str">
        <x:v>通知详情（公会长视角）</x:v>
      </x:c>
      <x:c r="E61" s="10" t="str">
        <x:v>功能需求</x:v>
      </x:c>
      <x:c r="F61" s="10" t="str">
        <x:v>P2</x:v>
      </x:c>
      <x:c r="G61" s="9" t="str">
        <x:v>验证通知详情读取标题</x:v>
      </x:c>
      <x:c r="H61" s="9" t="str">
        <x:v>标题回显</x:v>
      </x:c>
      <x:c r="I61" s="9" t="str">
        <x:v>1. 执行角色为公会长
2. 所选通知的标题为“入会申请待初审”</x:v>
      </x:c>
      <x:c r="J61" s="9" t="str">
        <x:v>1. 进入通知详情
2. 查看标题</x:v>
      </x:c>
      <x:c r="K61" s="9" t="str">
        <x:v>标题显示“入会申请待初审”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来源（当前证据）：liveshow-proto/MainBasis/统一需求文档.md；位置：行2107
2. 规则：BR-777ed562a8d02b0e
3. 未动态验证</x:v>
      </x:c>
    </x:row>
    <x:row r="62" ht="115" customHeight="1">
      <x:c r="A62" s="10" t="n">
        <x:v>61</x:v>
      </x:c>
      <x:c r="B62" s="10" t="str">
        <x:v>GUILD-01-0061</x:v>
      </x:c>
      <x:c r="C62" s="10" t="str">
        <x:v>登录与首页</x:v>
      </x:c>
      <x:c r="D62" s="10" t="str">
        <x:v>通知详情（公会长视角）</x:v>
      </x:c>
      <x:c r="E62" s="10" t="str">
        <x:v>功能需求</x:v>
      </x:c>
      <x:c r="F62" s="10" t="str">
        <x:v>P2</x:v>
      </x:c>
      <x:c r="G62" s="9" t="str">
        <x:v>验证通知详情时间不是阅读时间</x:v>
      </x:c>
      <x:c r="H62" s="9" t="str">
        <x:v>通知详情生成时间</x:v>
      </x:c>
      <x:c r="I62" s="9" t="str">
        <x:v>1. 执行角色为公会长
2. 通知甲已生成，已记录其生成时刻；当前比生成时刻晚10分钟</x:v>
      </x:c>
      <x:c r="J62" s="9" t="str">
        <x:v>1. 进入通知甲详情
2. 查看发送时间</x:v>
      </x:c>
      <x:c r="K62" s="9" t="str">
        <x:v>发送时间对应通知甲已记录的生成时刻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来源（当前证据）：liveshow-proto/MainBasis/统一需求文档.md；位置：行2108
2. 规则：BR-5fed100cee75c145
3. 未动态验证
4. 数据别名：甲、乙、丙用于区分本条测试对象；按前置条件准备并记录实际账号或记录 ID，不是固定业务名称。</x:v>
      </x:c>
    </x:row>
    <x:row r="63" ht="70" customHeight="1">
      <x:c r="A63" s="10" t="n">
        <x:v>62</x:v>
      </x:c>
      <x:c r="B63" s="10" t="str">
        <x:v>GUILD-01-0062</x:v>
      </x:c>
      <x:c r="C63" s="10" t="str">
        <x:v>登录与首页</x:v>
      </x:c>
      <x:c r="D63" s="10" t="str">
        <x:v>通知详情（公会长视角）</x:v>
      </x:c>
      <x:c r="E63" s="10" t="str">
        <x:v>功能需求</x:v>
      </x:c>
      <x:c r="F63" s="10" t="str">
        <x:v>P2</x:v>
      </x:c>
      <x:c r="G63" s="9" t="str">
        <x:v>验证通知详情读取正文</x:v>
      </x:c>
      <x:c r="H63" s="9" t="str">
        <x:v>正文回显</x:v>
      </x:c>
      <x:c r="I63" s="9" t="str">
        <x:v>1. 执行角色为公会长
2. 所选通知的正文为“本次通知测试正文”</x:v>
      </x:c>
      <x:c r="J63" s="9" t="str">
        <x:v>1. 进入通知详情
2. 查看正文</x:v>
      </x:c>
      <x:c r="K63" s="9" t="str">
        <x:v>正文显示“本次通知测试正文”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来源（当前证据）：liveshow-proto/MainBasis/统一需求文档.md；位置：行2109
2. 规则：BR-58208e2c0dd0fea5
3. 未动态验证</x:v>
      </x:c>
    </x:row>
    <x:row r="64" ht="70" customHeight="1">
      <x:c r="A64" s="10" t="n">
        <x:v>63</x:v>
      </x:c>
      <x:c r="B64" s="10" t="str">
        <x:v>GUILD-01-0063</x:v>
      </x:c>
      <x:c r="C64" s="10" t="str">
        <x:v>登录与首页</x:v>
      </x:c>
      <x:c r="D64" s="10" t="str">
        <x:v>通知详情（公会长视角）</x:v>
      </x:c>
      <x:c r="E64" s="10" t="str">
        <x:v>业务流程</x:v>
      </x:c>
      <x:c r="F64" s="10" t="str">
        <x:v>P1</x:v>
      </x:c>
      <x:c r="G64" s="9" t="str">
        <x:v>验证无权限时隐藏通知关联入口</x:v>
      </x:c>
      <x:c r="H64" s="9" t="str">
        <x:v>通知业务权限</x:v>
      </x:c>
      <x:c r="I64" s="9" t="str">
        <x:v>1. 执行角色为公会长
2. 当前通知关联一条本人无访问权限的业务记录</x:v>
      </x:c>
      <x:c r="J64" s="9" t="str">
        <x:v>1. 进入该通知详情</x:v>
      </x:c>
      <x:c r="K64" s="9" t="str">
        <x:v>不显示关联业务入口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来源（当前证据）：liveshow-proto/MainBasis/统一需求文档.md；位置：行2110
2. 规则：BR-20bccea472b0c87f
3. 未动态验证</x:v>
      </x:c>
    </x:row>
    <x:row r="65" ht="130" customHeight="1">
      <x:c r="A65" s="10" t="n">
        <x:v>64</x:v>
      </x:c>
      <x:c r="B65" s="10" t="str">
        <x:v>GUILD-01-0064</x:v>
      </x:c>
      <x:c r="C65" s="10" t="str">
        <x:v>登录与首页</x:v>
      </x:c>
      <x:c r="D65" s="10" t="str">
        <x:v>通知详情（公会长视角）</x:v>
      </x:c>
      <x:c r="E65" s="10" t="str">
        <x:v>业务流程</x:v>
      </x:c>
      <x:c r="F65" s="10" t="str">
        <x:v>P1</x:v>
      </x:c>
      <x:c r="G65" s="9" t="str">
        <x:v>验证有权限时打开通知对应申请</x:v>
      </x:c>
      <x:c r="H65" s="9" t="str">
        <x:v>通知记录关联</x:v>
      </x:c>
      <x:c r="I65" s="9" t="str">
        <x:v>1. 执行角色为公会长
2. 入会通知关联申请甲；本人有申请甲审核权限</x:v>
      </x:c>
      <x:c r="J65" s="9" t="str">
        <x:v>1. 进入通知详情
2. 点击业务入口</x:v>
      </x:c>
      <x:c r="K65" s="9" t="str">
        <x:v>打开申请甲详情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来源（当前证据）：liveshow-proto/MainBasis/统一需求文档.md；位置：行2110、行2111
2. 规则：BR-3f01a4f32fbc3188
3. 未动态验证
4. 数据别名：甲、乙、丙用于区分本条测试对象；按前置条件准备并记录实际账号或记录 ID，不是固定业务名称。</x:v>
      </x:c>
    </x:row>
    <x:row r="66" ht="115" customHeight="1">
      <x:c r="A66" s="10" t="n">
        <x:v>65</x:v>
      </x:c>
      <x:c r="B66" s="10" t="str">
        <x:v>GUILD-01-0065</x:v>
      </x:c>
      <x:c r="C66" s="10" t="str">
        <x:v>登录与首页</x:v>
      </x:c>
      <x:c r="D66" s="10" t="str">
        <x:v>通知详情（公会长视角）</x:v>
      </x:c>
      <x:c r="E66" s="10" t="str">
        <x:v>功能需求</x:v>
      </x:c>
      <x:c r="F66" s="10" t="str">
        <x:v>P2</x:v>
      </x:c>
      <x:c r="G66" s="9" t="str">
        <x:v>验证无关联记录的通知没有业务入口</x:v>
      </x:c>
      <x:c r="H66" s="9" t="str">
        <x:v>无关联通知入口边界</x:v>
      </x:c>
      <x:c r="I66" s="9" t="str">
        <x:v>1. 执行角色为公会长
2. 通知甲仅告知公会状态，没有关联可查看的业务记录</x:v>
      </x:c>
      <x:c r="J66" s="9" t="str">
        <x:v>1. 进入通知甲详情</x:v>
      </x:c>
      <x:c r="K66" s="9" t="str">
        <x:v>不显示关联业务入口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来源（当前证据）：liveshow-proto/MainBasis/统一需求文档.md；位置：行2110
2. 规则：BR-097f5c3604601a72
3. 未动态验证
4. 数据别名：甲、乙、丙用于区分本条测试对象；按前置条件准备并记录实际账号或记录 ID，不是固定业务名称。</x:v>
      </x:c>
    </x:row>
    <x:row r="67" ht="130" customHeight="1">
      <x:c r="A67" s="10" t="n">
        <x:v>66</x:v>
      </x:c>
      <x:c r="B67" s="10" t="str">
        <x:v>GUILD-02-0001</x:v>
      </x:c>
      <x:c r="C67" s="10" t="str">
        <x:v>主播管理</x:v>
      </x:c>
      <x:c r="D67" s="10" t="str">
        <x:v>入会申请（公会长视角）</x:v>
      </x:c>
      <x:c r="E67" s="10" t="str">
        <x:v>业务流程</x:v>
      </x:c>
      <x:c r="F67" s="10" t="str">
        <x:v>P1</x:v>
      </x:c>
      <x:c r="G67" s="9" t="str">
        <x:v>验证入会审核中同时包含两个阶段</x:v>
      </x:c>
      <x:c r="H67" s="9" t="str">
        <x:v>入会审核中范围</x:v>
      </x:c>
      <x:c r="I67" s="9" t="str">
        <x:v>1. 执行角色为公会长
2. 本公会申请甲待公会审核；乙平台审核中；丙平台已通过</x:v>
      </x:c>
      <x:c r="J67" s="9" t="str">
        <x:v>1. 进入入会申请
2. 选择审核中</x:v>
      </x:c>
      <x:c r="K67" s="9" t="str">
        <x:v>列表包含甲和乙，不包含丙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来源（当前证据）：liveshow-proto/MainBasis/统一需求文档.md；位置：行2115、行2118
2. 规则：BR-abc7318f97a01c46
3. 未动态验证
4. 数据别名：甲、乙、丙用于区分本条测试对象；按前置条件准备并记录实际账号或记录 ID，不是固定业务名称。</x:v>
      </x:c>
    </x:row>
    <x:row r="68" ht="70" customHeight="1">
      <x:c r="A68" s="10" t="n">
        <x:v>67</x:v>
      </x:c>
      <x:c r="B68" s="10" t="str">
        <x:v>GUILD-02-0002</x:v>
      </x:c>
      <x:c r="C68" s="10" t="str">
        <x:v>主播管理</x:v>
      </x:c>
      <x:c r="D68" s="10" t="str">
        <x:v>入会申请（公会长视角）</x:v>
      </x:c>
      <x:c r="E68" s="10" t="str">
        <x:v>功能需求</x:v>
      </x:c>
      <x:c r="F68" s="10" t="str">
        <x:v>P2</x:v>
      </x:c>
      <x:c r="G68" s="9" t="str">
        <x:v>验证入会申请首次进入选审核中</x:v>
      </x:c>
      <x:c r="H68" s="9" t="str">
        <x:v>入会申请默认状态</x:v>
      </x:c>
      <x:c r="I68" s="9" t="str">
        <x:v>1. 执行角色为公会长
2. 当前公会同时存在审核中、通过和驳回申请</x:v>
      </x:c>
      <x:c r="J68" s="9" t="str">
        <x:v>1. 进入入会申请</x:v>
      </x:c>
      <x:c r="K68" s="9" t="str">
        <x:v>默认选中审核中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来源（当前证据）：liveshow-proto/MainBasis/统一需求文档.md；位置：行2115
2. 规则：BR-9e4e8f76b3b390ea
3. 未动态验证</x:v>
      </x:c>
    </x:row>
    <x:row r="69" ht="70" customHeight="1">
      <x:c r="A69" s="10" t="n">
        <x:v>68</x:v>
      </x:c>
      <x:c r="B69" s="10" t="str">
        <x:v>GUILD-02-0003</x:v>
      </x:c>
      <x:c r="C69" s="10" t="str">
        <x:v>主播管理</x:v>
      </x:c>
      <x:c r="D69" s="10" t="str">
        <x:v>入会申请（公会长视角）</x:v>
      </x:c>
      <x:c r="E69" s="10" t="str">
        <x:v>功能需求</x:v>
      </x:c>
      <x:c r="F69" s="10" t="str">
        <x:v>P2</x:v>
      </x:c>
      <x:c r="G69" s="9" t="str">
        <x:v>验证入会审核中数量合并两个节点</x:v>
      </x:c>
      <x:c r="H69" s="9" t="str">
        <x:v>入会审核中计数</x:v>
      </x:c>
      <x:c r="I69" s="9" t="str">
        <x:v>1. 执行角色为公会长
2. 本公会有2条待公会审核、1条平台审核中、1条通过、1条驳回申请，无其他申请</x:v>
      </x:c>
      <x:c r="J69" s="9" t="str">
        <x:v>1. 进入入会申请</x:v>
      </x:c>
      <x:c r="K69" s="9" t="str">
        <x:v>审核中数量显示3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来源（当前证据）：liveshow-proto/MainBasis/统一需求文档.md；位置：行2115
2. 规则：BR-4a991ab9f7cd7e10
3. 未动态验证</x:v>
      </x:c>
    </x:row>
    <x:row r="70" ht="70" customHeight="1">
      <x:c r="A70" s="10" t="n">
        <x:v>69</x:v>
      </x:c>
      <x:c r="B70" s="10" t="str">
        <x:v>GUILD-02-0004</x:v>
      </x:c>
      <x:c r="C70" s="10" t="str">
        <x:v>主播管理</x:v>
      </x:c>
      <x:c r="D70" s="10" t="str">
        <x:v>入会申请（公会长视角）</x:v>
      </x:c>
      <x:c r="E70" s="10" t="str">
        <x:v>功能需求</x:v>
      </x:c>
      <x:c r="F70" s="10" t="str">
        <x:v>P2</x:v>
      </x:c>
      <x:c r="G70" s="9" t="str">
        <x:v>验证入会通过数量只计已通过</x:v>
      </x:c>
      <x:c r="H70" s="9" t="str">
        <x:v>入会已通过计数</x:v>
      </x:c>
      <x:c r="I70" s="9" t="str">
        <x:v>1. 执行角色为公会长
2. 本公会有2条通过、1条审核中和1条驳回申请，无其他申请</x:v>
      </x:c>
      <x:c r="J70" s="9" t="str">
        <x:v>1. 进入入会申请</x:v>
      </x:c>
      <x:c r="K70" s="9" t="str">
        <x:v>已通过数量显示2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来源（当前证据）：liveshow-proto/MainBasis/统一需求文档.md；位置：行2115
2. 规则：BR-6125e7333a816bfd
3. 未动态验证</x:v>
      </x:c>
    </x:row>
    <x:row r="71" ht="70" customHeight="1">
      <x:c r="A71" s="10" t="n">
        <x:v>70</x:v>
      </x:c>
      <x:c r="B71" s="10" t="str">
        <x:v>GUILD-02-0005</x:v>
      </x:c>
      <x:c r="C71" s="10" t="str">
        <x:v>主播管理</x:v>
      </x:c>
      <x:c r="D71" s="10" t="str">
        <x:v>入会申请（公会长视角）</x:v>
      </x:c>
      <x:c r="E71" s="10" t="str">
        <x:v>功能需求</x:v>
      </x:c>
      <x:c r="F71" s="10" t="str">
        <x:v>P2</x:v>
      </x:c>
      <x:c r="G71" s="9" t="str">
        <x:v>验证入会驳回数量包含两级驳回</x:v>
      </x:c>
      <x:c r="H71" s="9" t="str">
        <x:v>入会已驳回计数</x:v>
      </x:c>
      <x:c r="I71" s="9" t="str">
        <x:v>1. 执行角色为公会长
2. 本公会有1条公会驳回、2条平台驳回、1条审核中申请，无其他申请</x:v>
      </x:c>
      <x:c r="J71" s="9" t="str">
        <x:v>1. 进入入会申请</x:v>
      </x:c>
      <x:c r="K71" s="9" t="str">
        <x:v>已驳回数量显示3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来源（当前证据）：liveshow-proto/MainBasis/统一需求文档.md；位置：行2115
2. 规则：BR-96b60a1b2bfc7438
3. 未动态验证</x:v>
      </x:c>
    </x:row>
    <x:row r="72" ht="115" customHeight="1">
      <x:c r="A72" s="10" t="n">
        <x:v>71</x:v>
      </x:c>
      <x:c r="B72" s="10" t="str">
        <x:v>GUILD-02-0006</x:v>
      </x:c>
      <x:c r="C72" s="10" t="str">
        <x:v>主播管理</x:v>
      </x:c>
      <x:c r="D72" s="10" t="str">
        <x:v>入会申请（公会长视角）</x:v>
      </x:c>
      <x:c r="E72" s="10" t="str">
        <x:v>功能需求</x:v>
      </x:c>
      <x:c r="F72" s="10" t="str">
        <x:v>P2</x:v>
      </x:c>
      <x:c r="G72" s="9" t="str">
        <x:v>验证入会申请读取申请人名称</x:v>
      </x:c>
      <x:c r="H72" s="9" t="str">
        <x:v>申请人名称回显</x:v>
      </x:c>
      <x:c r="I72" s="9" t="str">
        <x:v>1. 执行角色为公会长
2. 当前申请对应用户资料的申请人名称为“申请人甲”</x:v>
      </x:c>
      <x:c r="J72" s="9" t="str">
        <x:v>1. 进入入会申请
2. 查看申请人名称</x:v>
      </x:c>
      <x:c r="K72" s="9" t="str">
        <x:v>申请人名称显示“申请人甲”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来源（当前证据）：liveshow-proto/MainBasis/统一需求文档.md；位置：行2116
2. 规则：BR-f82a05235c58bcf5
3. 未动态验证
4. 数据别名：甲、乙、丙用于区分本条测试对象；按前置条件准备并记录实际账号或记录 ID，不是固定业务名称。</x:v>
      </x:c>
    </x:row>
    <x:row r="73" ht="70" customHeight="1">
      <x:c r="A73" s="10" t="n">
        <x:v>72</x:v>
      </x:c>
      <x:c r="B73" s="10" t="str">
        <x:v>GUILD-02-0007</x:v>
      </x:c>
      <x:c r="C73" s="10" t="str">
        <x:v>主播管理</x:v>
      </x:c>
      <x:c r="D73" s="10" t="str">
        <x:v>入会申请（公会长视角）</x:v>
      </x:c>
      <x:c r="E73" s="10" t="str">
        <x:v>功能需求</x:v>
      </x:c>
      <x:c r="F73" s="10" t="str">
        <x:v>P2</x:v>
      </x:c>
      <x:c r="G73" s="9" t="str">
        <x:v>验证入会申请读取用户ID</x:v>
      </x:c>
      <x:c r="H73" s="9" t="str">
        <x:v>用户ID回显</x:v>
      </x:c>
      <x:c r="I73" s="9" t="str">
        <x:v>1. 执行角色为公会长
2. 当前申请对应用户的用户ID为“100001”</x:v>
      </x:c>
      <x:c r="J73" s="9" t="str">
        <x:v>1. 进入入会申请
2. 查看用户ID</x:v>
      </x:c>
      <x:c r="K73" s="9" t="str">
        <x:v>用户ID显示“100001”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来源（当前证据）：liveshow-proto/MainBasis/统一需求文档.md；位置：行2116
2. 规则：BR-77eefc849d6274d0
3. 未动态验证</x:v>
      </x:c>
    </x:row>
    <x:row r="74" ht="115" customHeight="1">
      <x:c r="A74" s="10" t="n">
        <x:v>73</x:v>
      </x:c>
      <x:c r="B74" s="10" t="str">
        <x:v>GUILD-02-0008</x:v>
      </x:c>
      <x:c r="C74" s="10" t="str">
        <x:v>主播管理</x:v>
      </x:c>
      <x:c r="D74" s="10" t="str">
        <x:v>入会申请（公会长视角）</x:v>
      </x:c>
      <x:c r="E74" s="10" t="str">
        <x:v>功能需求</x:v>
      </x:c>
      <x:c r="F74" s="10" t="str">
        <x:v>P2</x:v>
      </x:c>
      <x:c r="G74" s="9" t="str">
        <x:v>验证入会申请头像关联申请人</x:v>
      </x:c>
      <x:c r="H74" s="9" t="str">
        <x:v>入会列表头像</x:v>
      </x:c>
      <x:c r="I74" s="9" t="str">
        <x:v>1. 执行角色为公会长
2. 申请甲由用户乙提交；乙头像与其他申请人不同，已记录原图</x:v>
      </x:c>
      <x:c r="J74" s="9" t="str">
        <x:v>1. 进入入会申请
2. 查看申请甲头像</x:v>
      </x:c>
      <x:c r="K74" s="9" t="str">
        <x:v>甲显示用户乙的头像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来源（当前证据）：liveshow-proto/MainBasis/统一需求文档.md；位置：行2116
2. 规则：BR-47a4c757f877ceac
3. 未动态验证
4. 数据别名：甲、乙、丙用于区分本条测试对象；按前置条件准备并记录实际账号或记录 ID，不是固定业务名称。</x:v>
      </x:c>
    </x:row>
    <x:row r="75" ht="115" customHeight="1">
      <x:c r="A75" s="10" t="n">
        <x:v>74</x:v>
      </x:c>
      <x:c r="B75" s="10" t="str">
        <x:v>GUILD-02-0009</x:v>
      </x:c>
      <x:c r="C75" s="10" t="str">
        <x:v>主播管理</x:v>
      </x:c>
      <x:c r="D75" s="10" t="str">
        <x:v>入会申请（公会长视角）</x:v>
      </x:c>
      <x:c r="E75" s="10" t="str">
        <x:v>功能需求</x:v>
      </x:c>
      <x:c r="F75" s="10" t="str">
        <x:v>P2</x:v>
      </x:c>
      <x:c r="G75" s="9" t="str">
        <x:v>验证入会申请时间取本次提交</x:v>
      </x:c>
      <x:c r="H75" s="9" t="str">
        <x:v>入会申请时间</x:v>
      </x:c>
      <x:c r="I75" s="9" t="str">
        <x:v>1. 执行角色为公会长
2. 同一用户曾提交旧申请甲，后来提交新申请乙；已记录乙的本次提交时刻</x:v>
      </x:c>
      <x:c r="J75" s="9" t="str">
        <x:v>1. 进入入会申请
2. 查看申请乙时间</x:v>
      </x:c>
      <x:c r="K75" s="9" t="str">
        <x:v>时间对应乙的本次提交时刻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来源（当前证据）：liveshow-proto/MainBasis/统一需求文档.md；位置：行2117
2. 规则：BR-f5301a79cf65c8fc
3. 未动态验证
4. 数据别名：甲、乙、丙用于区分本条测试对象；按前置条件准备并记录实际账号或记录 ID，不是固定业务名称。</x:v>
      </x:c>
    </x:row>
    <x:row r="76" ht="115" customHeight="1">
      <x:c r="A76" s="10" t="n">
        <x:v>75</x:v>
      </x:c>
      <x:c r="B76" s="10" t="str">
        <x:v>GUILD-02-0010</x:v>
      </x:c>
      <x:c r="C76" s="10" t="str">
        <x:v>主播管理</x:v>
      </x:c>
      <x:c r="D76" s="10" t="str">
        <x:v>入会申请（公会长视角）</x:v>
      </x:c>
      <x:c r="E76" s="10" t="str">
        <x:v>功能需求</x:v>
      </x:c>
      <x:c r="F76" s="10" t="str">
        <x:v>P2</x:v>
      </x:c>
      <x:c r="G76" s="9" t="str">
        <x:v>验证申请列表区分公会驳回</x:v>
      </x:c>
      <x:c r="H76" s="9" t="str">
        <x:v>初审驳回标记</x:v>
      </x:c>
      <x:c r="I76" s="9" t="str">
        <x:v>1. 执行角色为公会长
2. 甲已被公会驳回；乙已被平台驳回</x:v>
      </x:c>
      <x:c r="J76" s="9" t="str">
        <x:v>1. 进入入会申请
2. 选择已驳回
3. 查看甲</x:v>
      </x:c>
      <x:c r="K76" s="9" t="str">
        <x:v>甲显示公会驳回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来源（当前证据）：liveshow-proto/MainBasis/统一需求文档.md；位置：行2118
2. 规则：BR-fdcb3934261a6393
3. 未动态验证
4. 数据别名：甲、乙、丙用于区分本条测试对象；按前置条件准备并记录实际账号或记录 ID，不是固定业务名称。</x:v>
      </x:c>
    </x:row>
    <x:row r="77" ht="115" customHeight="1">
      <x:c r="A77" s="10" t="n">
        <x:v>76</x:v>
      </x:c>
      <x:c r="B77" s="10" t="str">
        <x:v>GUILD-02-0011</x:v>
      </x:c>
      <x:c r="C77" s="10" t="str">
        <x:v>主播管理</x:v>
      </x:c>
      <x:c r="D77" s="10" t="str">
        <x:v>入会申请（公会长视角）</x:v>
      </x:c>
      <x:c r="E77" s="10" t="str">
        <x:v>功能需求</x:v>
      </x:c>
      <x:c r="F77" s="10" t="str">
        <x:v>P2</x:v>
      </x:c>
      <x:c r="G77" s="9" t="str">
        <x:v>验证申请列表区分平台驳回</x:v>
      </x:c>
      <x:c r="H77" s="9" t="str">
        <x:v>终审驳回标记</x:v>
      </x:c>
      <x:c r="I77" s="9" t="str">
        <x:v>1. 执行角色为公会长
2. 甲已被公会驳回；乙已被平台驳回</x:v>
      </x:c>
      <x:c r="J77" s="9" t="str">
        <x:v>1. 进入入会申请
2. 选择已驳回
3. 查看乙</x:v>
      </x:c>
      <x:c r="K77" s="9" t="str">
        <x:v>乙显示平台驳回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来源（当前证据）：liveshow-proto/MainBasis/统一需求文档.md；位置：行2118
2. 规则：BR-44e877beee85bd34
3. 未动态验证
4. 数据别名：甲、乙、丙用于区分本条测试对象；按前置条件准备并记录实际账号或记录 ID，不是固定业务名称。</x:v>
      </x:c>
    </x:row>
    <x:row r="78" ht="160" customHeight="1">
      <x:c r="A78" s="10" t="n">
        <x:v>77</x:v>
      </x:c>
      <x:c r="B78" s="10" t="str">
        <x:v>GUILD-02-0012</x:v>
      </x:c>
      <x:c r="C78" s="10" t="str">
        <x:v>主播管理</x:v>
      </x:c>
      <x:c r="D78" s="10" t="str">
        <x:v>入会申请（公会长视角）</x:v>
      </x:c>
      <x:c r="E78" s="10" t="str">
        <x:v>业务流程</x:v>
      </x:c>
      <x:c r="F78" s="10" t="str">
        <x:v>P1</x:v>
      </x:c>
      <x:c r="G78" s="9" t="str">
        <x:v>验证终审驳回在公会申请中保留结果</x:v>
      </x:c>
      <x:c r="H78" s="9" t="str">
        <x:v>平台驳回公会投影</x:v>
      </x:c>
      <x:c r="I78" s="9" t="str">
        <x:v>1. 执行角色为公会长
2. 甲申请已获公会通过，平台刚驳回甲本次申请</x:v>
      </x:c>
      <x:c r="J78" s="9" t="str">
        <x:v>1. 进入入会申请
2. 查询甲本次申请</x:v>
      </x:c>
      <x:c r="K78" s="9" t="str">
        <x:v>甲本次申请显示已驳回</x:v>
      </x:c>
      <x:c r="L78" s="10" t="str">
        <x:v>FLOW-JOIN</x:v>
      </x:c>
      <x:c r="M78" s="10" t="str">
        <x:v>未测</x:v>
      </x:c>
      <x:c r="N78" s="10" t="str"/>
      <x:c r="O78" s="9" t="str">
        <x:v>1. 来源（当前证据）：liveshow-proto/MainBasis/统一需求文档.md；位置：行2118
2. 规则：BR-2c49bf2b8dbf75df
3. 未动态验证
4. 状态转换：ST-JOIN-PLATFORM-REJECT；按同一业务对象的数据别名准备对应上下游记录
5.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GUILD-02-0013</x:v>
      </x:c>
      <x:c r="C79" s="10" t="str">
        <x:v>主播管理</x:v>
      </x:c>
      <x:c r="D79" s="10" t="str">
        <x:v>入会申请（公会长视角）</x:v>
      </x:c>
      <x:c r="E79" s="10" t="str">
        <x:v>业务流程</x:v>
      </x:c>
      <x:c r="F79" s="10" t="str">
        <x:v>P1</x:v>
      </x:c>
      <x:c r="G79" s="9" t="str">
        <x:v>验证驳回后重新申请生成新单</x:v>
      </x:c>
      <x:c r="H79" s="9" t="str">
        <x:v>驳回后申请独立性</x:v>
      </x:c>
      <x:c r="I79" s="9" t="str">
        <x:v>1. 执行角色为公会长
2. 申请甲被本公会驳回；同用户随后重新提交申请乙</x:v>
      </x:c>
      <x:c r="J79" s="9" t="str">
        <x:v>1. 进入入会申请
2. 打开申请乙</x:v>
      </x:c>
      <x:c r="K79" s="9" t="str">
        <x:v>乙从新的公会审核节点开始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来源（当前证据）：liveshow-proto/MainBasis/统一需求文档.md；位置：行2120
2. 规则：BR-ebdc2c809c87e41f
3. 未动态验证
4. 数据别名：甲、乙、丙用于区分本条测试对象；按前置条件准备并记录实际账号或记录 ID，不是固定业务名称。</x:v>
      </x:c>
    </x:row>
    <x:row r="80" ht="115" customHeight="1">
      <x:c r="A80" s="10" t="n">
        <x:v>79</x:v>
      </x:c>
      <x:c r="B80" s="10" t="str">
        <x:v>GUILD-02-0014</x:v>
      </x:c>
      <x:c r="C80" s="10" t="str">
        <x:v>主播管理</x:v>
      </x:c>
      <x:c r="D80" s="10" t="str">
        <x:v>入会申请（公会长视角）</x:v>
      </x:c>
      <x:c r="E80" s="10" t="str">
        <x:v>功能需求</x:v>
      </x:c>
      <x:c r="F80" s="10" t="str">
        <x:v>P2</x:v>
      </x:c>
      <x:c r="G80" s="9" t="str">
        <x:v>验证平台驳回后重新申请仍先初审</x:v>
      </x:c>
      <x:c r="H80" s="9" t="str">
        <x:v>新申请回到初审</x:v>
      </x:c>
      <x:c r="I80" s="9" t="str">
        <x:v>1. 执行角色为公会长
2. 甲原申请被平台驳回，甲重新提交新申请</x:v>
      </x:c>
      <x:c r="J80" s="9" t="str">
        <x:v>1. 进入入会审核
2. 选择待审核</x:v>
      </x:c>
      <x:c r="K80" s="9" t="str">
        <x:v>包含甲的新申请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来源（当前证据）：liveshow-proto/MainBasis/统一需求文档.md；位置：行2121
2. 规则：BR-bd854177fcb2036c
3. 未动态验证
4. 数据别名：甲、乙、丙用于区分本条测试对象；按前置条件准备并记录实际账号或记录 ID，不是固定业务名称。</x:v>
      </x:c>
    </x:row>
    <x:row r="81" ht="115" customHeight="1">
      <x:c r="A81" s="10" t="n">
        <x:v>80</x:v>
      </x:c>
      <x:c r="B81" s="10" t="str">
        <x:v>GUILD-02-0015</x:v>
      </x:c>
      <x:c r="C81" s="10" t="str">
        <x:v>主播管理</x:v>
      </x:c>
      <x:c r="D81" s="10" t="str">
        <x:v>入会申请（公会长视角）</x:v>
      </x:c>
      <x:c r="E81" s="10" t="str">
        <x:v>功能需求</x:v>
      </x:c>
      <x:c r="F81" s="10" t="str">
        <x:v>P2</x:v>
      </x:c>
      <x:c r="G81" s="9" t="str">
        <x:v>验证入会驳回筛选排除待审核申请</x:v>
      </x:c>
      <x:c r="H81" s="9" t="str">
        <x:v>入会状态筛选</x:v>
      </x:c>
      <x:c r="I81" s="9" t="str">
        <x:v>1. 执行角色为公会长
2. 当前公会仅有申请甲已公会驳回、申请乙待审核</x:v>
      </x:c>
      <x:c r="J81" s="9" t="str">
        <x:v>1. 进入入会审核
2. 选择已驳回</x:v>
      </x:c>
      <x:c r="K81" s="9" t="str">
        <x:v>列表只包含甲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来源（当前证据）：liveshow-proto/MainBasis/统一需求文档.md；位置：行2122
2. 规则：BR-7315e297a4142034
3. 未动态验证
4. 数据别名：甲、乙、丙用于区分本条测试对象；按前置条件准备并记录实际账号或记录 ID，不是固定业务名称。</x:v>
      </x:c>
    </x:row>
    <x:row r="82" ht="115" customHeight="1">
      <x:c r="A82" s="10" t="n">
        <x:v>81</x:v>
      </x:c>
      <x:c r="B82" s="10" t="str">
        <x:v>GUILD-02-0016</x:v>
      </x:c>
      <x:c r="C82" s="10" t="str">
        <x:v>主播管理</x:v>
      </x:c>
      <x:c r="D82" s="10" t="str">
        <x:v>入会申请（公会长视角）</x:v>
      </x:c>
      <x:c r="E82" s="10" t="str">
        <x:v>功能需求</x:v>
      </x:c>
      <x:c r="F82" s="10" t="str">
        <x:v>P2</x:v>
      </x:c>
      <x:c r="G82" s="9" t="str">
        <x:v>验证通过状态列表隔离其他申请</x:v>
      </x:c>
      <x:c r="H82" s="9" t="str">
        <x:v>入会通过筛选</x:v>
      </x:c>
      <x:c r="I82" s="9" t="str">
        <x:v>1. 执行角色为公会长
2. 本公会甲平台通过，乙平台审核中，丙公会驳回</x:v>
      </x:c>
      <x:c r="J82" s="9" t="str">
        <x:v>1. 进入入会申请
2. 选择已通过</x:v>
      </x:c>
      <x:c r="K82" s="9" t="str">
        <x:v>结果集合仅包含甲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来源（当前证据）：liveshow-proto/MainBasis/统一需求文档.md；位置：行2122
2. 规则：BR-d51a77159c750e82
3. 未动态验证
4. 数据别名：甲、乙、丙用于区分本条测试对象；按前置条件准备并记录实际账号或记录 ID，不是固定业务名称。</x:v>
      </x:c>
    </x:row>
    <x:row r="83" ht="115" customHeight="1">
      <x:c r="A83" s="10" t="n">
        <x:v>82</x:v>
      </x:c>
      <x:c r="B83" s="10" t="str">
        <x:v>GUILD-02-0017</x:v>
      </x:c>
      <x:c r="C83" s="10" t="str">
        <x:v>主播管理</x:v>
      </x:c>
      <x:c r="D83" s="10" t="str">
        <x:v>入会申请（公会长视角）</x:v>
      </x:c>
      <x:c r="E83" s="10" t="str">
        <x:v>功能需求</x:v>
      </x:c>
      <x:c r="F83" s="10" t="str">
        <x:v>P2</x:v>
      </x:c>
      <x:c r="G83" s="9" t="str">
        <x:v>验证点击申请卡片定位本次申请</x:v>
      </x:c>
      <x:c r="H83" s="9" t="str">
        <x:v>入会申请详情导航</x:v>
      </x:c>
      <x:c r="I83" s="9" t="str">
        <x:v>1. 执行角色为公会长
2. 当前公会有同一用户的两笔不同历史申请甲乙，已记录两次提交时间</x:v>
      </x:c>
      <x:c r="J83" s="9" t="str">
        <x:v>1. 进入入会申请
2. 点击申请乙</x:v>
      </x:c>
      <x:c r="K83" s="9" t="str">
        <x:v>详情显示乙的提交时间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来源（当前证据）：liveshow-proto/MainBasis/统一需求文档.md；位置：行2122
2. 规则：BR-9a15683739e50858
3. 未动态验证
4. 数据别名：甲、乙、丙用于区分本条测试对象；按前置条件准备并记录实际账号或记录 ID，不是固定业务名称。</x:v>
      </x:c>
    </x:row>
    <x:row r="84" ht="115" customHeight="1">
      <x:c r="A84" s="10" t="n">
        <x:v>83</x:v>
      </x:c>
      <x:c r="B84" s="10" t="str">
        <x:v>GUILD-02-0018</x:v>
      </x:c>
      <x:c r="C84" s="10" t="str">
        <x:v>主播管理</x:v>
      </x:c>
      <x:c r="D84" s="10" t="str">
        <x:v>入会申请详情（公会长视角）</x:v>
      </x:c>
      <x:c r="E84" s="10" t="str">
        <x:v>功能需求</x:v>
      </x:c>
      <x:c r="F84" s="10" t="str">
        <x:v>P2</x:v>
      </x:c>
      <x:c r="G84" s="9" t="str">
        <x:v>验证入会申请详情读取昵称</x:v>
      </x:c>
      <x:c r="H84" s="9" t="str">
        <x:v>昵称回显</x:v>
      </x:c>
      <x:c r="I84" s="9" t="str">
        <x:v>1. 执行角色为公会长
2. 该笔申请提交人当前账号的昵称为“用户甲”</x:v>
      </x:c>
      <x:c r="J84" s="9" t="str">
        <x:v>1. 进入入会申请详情
2. 查看昵称</x:v>
      </x:c>
      <x:c r="K84" s="9" t="str">
        <x:v>昵称显示“用户甲”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来源（当前证据）：liveshow-proto/MainBasis/统一需求文档.md；位置：行2126
2. 规则：BR-577bc2715d02ab06
3. 未动态验证
4. 数据别名：甲、乙、丙用于区分本条测试对象；按前置条件准备并记录实际账号或记录 ID，不是固定业务名称。</x:v>
      </x:c>
    </x:row>
    <x:row r="85" ht="70" customHeight="1">
      <x:c r="A85" s="10" t="n">
        <x:v>84</x:v>
      </x:c>
      <x:c r="B85" s="10" t="str">
        <x:v>GUILD-02-0019</x:v>
      </x:c>
      <x:c r="C85" s="10" t="str">
        <x:v>主播管理</x:v>
      </x:c>
      <x:c r="D85" s="10" t="str">
        <x:v>入会申请详情（公会长视角）</x:v>
      </x:c>
      <x:c r="E85" s="10" t="str">
        <x:v>功能需求</x:v>
      </x:c>
      <x:c r="F85" s="10" t="str">
        <x:v>P2</x:v>
      </x:c>
      <x:c r="G85" s="9" t="str">
        <x:v>验证入会申请详情读取用户ID</x:v>
      </x:c>
      <x:c r="H85" s="9" t="str">
        <x:v>用户ID回显</x:v>
      </x:c>
      <x:c r="I85" s="9" t="str">
        <x:v>1. 执行角色为公会长
2. 该笔申请对应用户的用户ID为“100001”</x:v>
      </x:c>
      <x:c r="J85" s="9" t="str">
        <x:v>1. 进入入会申请详情
2. 查看用户ID</x:v>
      </x:c>
      <x:c r="K85" s="9" t="str">
        <x:v>用户ID显示“100001”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来源（当前证据）：liveshow-proto/MainBasis/统一需求文档.md；位置：行2126
2. 规则：BR-ed25db36460bff59
3. 未动态验证</x:v>
      </x:c>
    </x:row>
    <x:row r="86" ht="115" customHeight="1">
      <x:c r="A86" s="10" t="n">
        <x:v>85</x:v>
      </x:c>
      <x:c r="B86" s="10" t="str">
        <x:v>GUILD-02-0020</x:v>
      </x:c>
      <x:c r="C86" s="10" t="str">
        <x:v>主播管理</x:v>
      </x:c>
      <x:c r="D86" s="10" t="str">
        <x:v>入会申请详情（公会长视角）</x:v>
      </x:c>
      <x:c r="E86" s="10" t="str">
        <x:v>功能需求</x:v>
      </x:c>
      <x:c r="F86" s="10" t="str">
        <x:v>P2</x:v>
      </x:c>
      <x:c r="G86" s="9" t="str">
        <x:v>验证入会详情头像关联申请人</x:v>
      </x:c>
      <x:c r="H86" s="9" t="str">
        <x:v>入会详情头像</x:v>
      </x:c>
      <x:c r="I86" s="9" t="str">
        <x:v>1. 执行角色为公会长
2. 申请甲由用户乙提交；已记录乙的头像原图</x:v>
      </x:c>
      <x:c r="J86" s="9" t="str">
        <x:v>1. 进入申请甲详情
2. 查看申请人头像</x:v>
      </x:c>
      <x:c r="K86" s="9" t="str">
        <x:v>头像显示用户乙的头像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来源（当前证据）：liveshow-proto/MainBasis/统一需求文档.md；位置：行2126
2. 规则：BR-05f98f4a501be30a
3. 未动态验证
4. 数据别名：甲、乙、丙用于区分本条测试对象；按前置条件准备并记录实际账号或记录 ID，不是固定业务名称。</x:v>
      </x:c>
    </x:row>
    <x:row r="87" ht="115" customHeight="1">
      <x:c r="A87" s="10" t="n">
        <x:v>86</x:v>
      </x:c>
      <x:c r="B87" s="10" t="str">
        <x:v>GUILD-02-0021</x:v>
      </x:c>
      <x:c r="C87" s="10" t="str">
        <x:v>主播管理</x:v>
      </x:c>
      <x:c r="D87" s="10" t="str">
        <x:v>入会申请详情（公会长视角）</x:v>
      </x:c>
      <x:c r="E87" s="10" t="str">
        <x:v>功能需求</x:v>
      </x:c>
      <x:c r="F87" s="10" t="str">
        <x:v>P2</x:v>
      </x:c>
      <x:c r="G87" s="9" t="str">
        <x:v>验证入会申请详情读取申请公会</x:v>
      </x:c>
      <x:c r="H87" s="9" t="str">
        <x:v>申请公会回显</x:v>
      </x:c>
      <x:c r="I87" s="9" t="str">
        <x:v>1. 执行角色为公会长
2. 该笔申请目标公会的申请公会为“公会甲”</x:v>
      </x:c>
      <x:c r="J87" s="9" t="str">
        <x:v>1. 进入入会申请详情
2. 查看申请公会</x:v>
      </x:c>
      <x:c r="K87" s="9" t="str">
        <x:v>申请公会显示“公会甲”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来源（当前证据）：liveshow-proto/MainBasis/统一需求文档.md；位置：行2127
2. 规则：BR-4ad2ec79f8c959aa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GUILD-02-0022</x:v>
      </x:c>
      <x:c r="C88" s="10" t="str">
        <x:v>主播管理</x:v>
      </x:c>
      <x:c r="D88" s="10" t="str">
        <x:v>入会申请详情（公会长视角）</x:v>
      </x:c>
      <x:c r="E88" s="10" t="str">
        <x:v>功能需求</x:v>
      </x:c>
      <x:c r="F88" s="10" t="str">
        <x:v>P2</x:v>
      </x:c>
      <x:c r="G88" s="9" t="str">
        <x:v>验证入会申请详情读取姓名</x:v>
      </x:c>
      <x:c r="H88" s="9" t="str">
        <x:v>姓名回显</x:v>
      </x:c>
      <x:c r="I88" s="9" t="str">
        <x:v>1. 执行角色为公会长
2. 该笔申请提交时实名字段的姓名为“实名甲”
3. 申请人的账号昵称为昵称乙，与所提交实名甲不同</x:v>
      </x:c>
      <x:c r="J88" s="9" t="str">
        <x:v>1. 进入入会申请详情
2. 查看姓名</x:v>
      </x:c>
      <x:c r="K88" s="9" t="str">
        <x:v>姓名显示“实名甲”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来源（当前证据）：liveshow-proto/MainBasis/统一需求文档.md；位置：行2128
2. 规则：BR-54b43b21f49f94be
3. 未动态验证
4. 数据别名：甲、乙、丙用于区分本条测试对象；按前置条件准备并记录实际账号或记录 ID，不是固定业务名称。</x:v>
      </x:c>
    </x:row>
    <x:row r="89" ht="70" customHeight="1">
      <x:c r="A89" s="10" t="n">
        <x:v>88</x:v>
      </x:c>
      <x:c r="B89" s="10" t="str">
        <x:v>GUILD-02-0023</x:v>
      </x:c>
      <x:c r="C89" s="10" t="str">
        <x:v>主播管理</x:v>
      </x:c>
      <x:c r="D89" s="10" t="str">
        <x:v>入会申请详情（公会长视角）</x:v>
      </x:c>
      <x:c r="E89" s="10" t="str">
        <x:v>功能需求</x:v>
      </x:c>
      <x:c r="F89" s="10" t="str">
        <x:v>P2</x:v>
      </x:c>
      <x:c r="G89" s="9" t="str">
        <x:v>验证入会申请详情读取电话</x:v>
      </x:c>
      <x:c r="H89" s="9" t="str">
        <x:v>电话回显</x:v>
      </x:c>
      <x:c r="I89" s="9" t="str">
        <x:v>1. 执行角色为公会长
2. 该笔申请提交时电话字段的电话为“+6281234567890”</x:v>
      </x:c>
      <x:c r="J89" s="9" t="str">
        <x:v>1. 进入入会申请详情
2. 查看电话</x:v>
      </x:c>
      <x:c r="K89" s="9" t="str">
        <x:v>电话显示“+6281234567890”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来源（当前证据）：liveshow-proto/MainBasis/统一需求文档.md；位置：行2129
2. 规则：BR-19ce9a19460cda61
3. 未动态验证</x:v>
      </x:c>
    </x:row>
    <x:row r="90" ht="115" customHeight="1">
      <x:c r="A90" s="10" t="n">
        <x:v>89</x:v>
      </x:c>
      <x:c r="B90" s="10" t="str">
        <x:v>GUILD-02-0024</x:v>
      </x:c>
      <x:c r="C90" s="10" t="str">
        <x:v>主播管理</x:v>
      </x:c>
      <x:c r="D90" s="10" t="str">
        <x:v>入会申请详情（公会长视角）</x:v>
      </x:c>
      <x:c r="E90" s="10" t="str">
        <x:v>功能需求</x:v>
      </x:c>
      <x:c r="F90" s="10" t="str">
        <x:v>P2</x:v>
      </x:c>
      <x:c r="G90" s="9" t="str">
        <x:v>验证本人照片可查看大图</x:v>
      </x:c>
      <x:c r="H90" s="9" t="str">
        <x:v>认证本人照片查看</x:v>
      </x:c>
      <x:c r="I90" s="9" t="str">
        <x:v>1. 执行角色为公会长
2. 申请甲具有已提交的本人照片</x:v>
      </x:c>
      <x:c r="J90" s="9" t="str">
        <x:v>1. 进入甲申请详情
2. 点击本人照片</x:v>
      </x:c>
      <x:c r="K90" s="9" t="str">
        <x:v>打开该本人照片大图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来源（当前证据）：liveshow-proto/MainBasis/统一需求文档.md；位置：行2130
2. 规则：BR-5359ce1d8ca4c031
3. 未动态验证
4. 数据别名：甲、乙、丙用于区分本条测试对象；按前置条件准备并记录实际账号或记录 ID，不是固定业务名称。</x:v>
      </x:c>
    </x:row>
    <x:row r="91" ht="115" customHeight="1">
      <x:c r="A91" s="10" t="n">
        <x:v>90</x:v>
      </x:c>
      <x:c r="B91" s="10" t="str">
        <x:v>GUILD-02-0025</x:v>
      </x:c>
      <x:c r="C91" s="10" t="str">
        <x:v>主播管理</x:v>
      </x:c>
      <x:c r="D91" s="10" t="str">
        <x:v>入会申请详情（公会长视角）</x:v>
      </x:c>
      <x:c r="E91" s="10" t="str">
        <x:v>功能需求</x:v>
      </x:c>
      <x:c r="F91" s="10" t="str">
        <x:v>P2</x:v>
      </x:c>
      <x:c r="G91" s="9" t="str">
        <x:v>验证正反面材料分别查看</x:v>
      </x:c>
      <x:c r="H91" s="9" t="str">
        <x:v>认证证件反面查看</x:v>
      </x:c>
      <x:c r="I91" s="9" t="str">
        <x:v>1. 执行角色为公会长
2. 甲申请正反面图片内容可区分</x:v>
      </x:c>
      <x:c r="J91" s="9" t="str">
        <x:v>1. 进入甲申请详情
2. 点击证件反面</x:v>
      </x:c>
      <x:c r="K91" s="9" t="str">
        <x:v>大图为甲提交的证件反面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来源（当前证据）：liveshow-proto/MainBasis/统一需求文档.md；位置：行2131
2. 规则：BR-6c7d5fa9f36e65a6
3. 未动态验证
4. 数据别名：甲、乙、丙用于区分本条测试对象；按前置条件准备并记录实际账号或记录 ID，不是固定业务名称。</x:v>
      </x:c>
    </x:row>
    <x:row r="92" ht="115" customHeight="1">
      <x:c r="A92" s="10" t="n">
        <x:v>91</x:v>
      </x:c>
      <x:c r="B92" s="10" t="str">
        <x:v>GUILD-02-0026</x:v>
      </x:c>
      <x:c r="C92" s="10" t="str">
        <x:v>主播管理</x:v>
      </x:c>
      <x:c r="D92" s="10" t="str">
        <x:v>入会申请详情（公会长视角）</x:v>
      </x:c>
      <x:c r="E92" s="10" t="str">
        <x:v>功能需求</x:v>
      </x:c>
      <x:c r="F92" s="10" t="str">
        <x:v>P2</x:v>
      </x:c>
      <x:c r="G92" s="9" t="str">
        <x:v>验证入会材料证件正面可查看</x:v>
      </x:c>
      <x:c r="H92" s="9" t="str">
        <x:v>认证证件正面预览</x:v>
      </x:c>
      <x:c r="I92" s="9" t="str">
        <x:v>1. 执行角色为公会长
2. 申请甲正反面材料不同，已记录正面原图</x:v>
      </x:c>
      <x:c r="J92" s="9" t="str">
        <x:v>1. 进入申请甲详情
2. 点击证件正面</x:v>
      </x:c>
      <x:c r="K92" s="9" t="str">
        <x:v>大图显示甲提交的证件正面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来源（当前证据）：liveshow-proto/MainBasis/统一需求文档.md；位置：行2131
2. 规则：BR-1cd07389a59398eb
3. 未动态验证
4. 数据别名：甲、乙、丙用于区分本条测试对象；按前置条件准备并记录实际账号或记录 ID，不是固定业务名称。</x:v>
      </x:c>
    </x:row>
    <x:row r="93" ht="115" customHeight="1">
      <x:c r="A93" s="10" t="n">
        <x:v>92</x:v>
      </x:c>
      <x:c r="B93" s="10" t="str">
        <x:v>GUILD-02-0027</x:v>
      </x:c>
      <x:c r="C93" s="10" t="str">
        <x:v>主播管理</x:v>
      </x:c>
      <x:c r="D93" s="10" t="str">
        <x:v>入会申请详情（公会长视角）</x:v>
      </x:c>
      <x:c r="E93" s="10" t="str">
        <x:v>功能需求</x:v>
      </x:c>
      <x:c r="F93" s="10" t="str">
        <x:v>P2</x:v>
      </x:c>
      <x:c r="G93" s="9" t="str">
        <x:v>验证公会申请时间轴停在当前审核节点</x:v>
      </x:c>
      <x:c r="H93" s="9" t="str">
        <x:v>公会申请当前阶段</x:v>
      </x:c>
      <x:c r="I93" s="9" t="str">
        <x:v>1. 执行角色为公会长
2. 甲已公会通过、平台尚未审核</x:v>
      </x:c>
      <x:c r="J93" s="9" t="str">
        <x:v>1. 进入甲入会申请详情</x:v>
      </x:c>
      <x:c r="K93" s="9" t="str">
        <x:v>当前处理阶段为平台审核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来源（当前证据）：liveshow-proto/MainBasis/统一需求文档.md；位置：行2132
2. 规则：BR-de3b1ef421a840de
3. 未动态验证
4. 数据别名：甲、乙、丙用于区分本条测试对象；按前置条件准备并记录实际账号或记录 ID，不是固定业务名称。</x:v>
      </x:c>
    </x:row>
    <x:row r="94" ht="115" customHeight="1">
      <x:c r="A94" s="10" t="n">
        <x:v>93</x:v>
      </x:c>
      <x:c r="B94" s="10" t="str">
        <x:v>GUILD-02-0028</x:v>
      </x:c>
      <x:c r="C94" s="10" t="str">
        <x:v>主播管理</x:v>
      </x:c>
      <x:c r="D94" s="10" t="str">
        <x:v>入会申请详情（公会长视角）</x:v>
      </x:c>
      <x:c r="E94" s="10" t="str">
        <x:v>业务流程</x:v>
      </x:c>
      <x:c r="F94" s="10" t="str">
        <x:v>P1</x:v>
      </x:c>
      <x:c r="G94" s="9" t="str">
        <x:v>验证未发生审核节点不显示时间</x:v>
      </x:c>
      <x:c r="H94" s="9" t="str">
        <x:v>审核节点时间真实性</x:v>
      </x:c>
      <x:c r="I94" s="9" t="str">
        <x:v>1. 执行角色为公会长
2. 申请甲刚提交，公会尚未审核</x:v>
      </x:c>
      <x:c r="J94" s="9" t="str">
        <x:v>1. 进入申请甲详情
2. 查看平台审核节点</x:v>
      </x:c>
      <x:c r="K94" s="9" t="str">
        <x:v>平台审核节点不显示完成时间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来源（当前证据）：liveshow-proto/MainBasis/统一需求文档.md；位置：行2133
2. 规则：BR-4328a516ac290e89
3. 未动态验证
4. 数据别名：甲、乙、丙用于区分本条测试对象；按前置条件准备并记录实际账号或记录 ID，不是固定业务名称。</x:v>
      </x:c>
    </x:row>
    <x:row r="95" ht="115" customHeight="1">
      <x:c r="A95" s="10" t="n">
        <x:v>94</x:v>
      </x:c>
      <x:c r="B95" s="10" t="str">
        <x:v>GUILD-02-0029</x:v>
      </x:c>
      <x:c r="C95" s="10" t="str">
        <x:v>主播管理</x:v>
      </x:c>
      <x:c r="D95" s="10" t="str">
        <x:v>入会申请详情（公会长视角）</x:v>
      </x:c>
      <x:c r="E95" s="10" t="str">
        <x:v>功能需求</x:v>
      </x:c>
      <x:c r="F95" s="10" t="str">
        <x:v>P2</x:v>
      </x:c>
      <x:c r="G95" s="9" t="str">
        <x:v>验证已完成审核节点显示处理时间</x:v>
      </x:c>
      <x:c r="H95" s="9" t="str">
        <x:v>已完成节点时间</x:v>
      </x:c>
      <x:c r="I95" s="9" t="str">
        <x:v>1. 执行角色为公会长
2. 甲申请刚由公会审核通过，已记录该次审核完成时刻；平台尚未处理</x:v>
      </x:c>
      <x:c r="J95" s="9" t="str">
        <x:v>1. 进入申请甲详情
2. 查看公会审核节点</x:v>
      </x:c>
      <x:c r="K95" s="9" t="str">
        <x:v>节点显示该次公会审核完成时刻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来源（当前证据）：liveshow-proto/MainBasis/统一需求文档.md；位置：行2133
2. 规则：BR-e944355bd53c3667
3. 未动态验证
4. 数据别名：甲、乙、丙用于区分本条测试对象；按前置条件准备并记录实际账号或记录 ID，不是固定业务名称。</x:v>
      </x:c>
    </x:row>
    <x:row r="96" ht="115" customHeight="1">
      <x:c r="A96" s="10" t="n">
        <x:v>95</x:v>
      </x:c>
      <x:c r="B96" s="10" t="str">
        <x:v>GUILD-02-0030</x:v>
      </x:c>
      <x:c r="C96" s="10" t="str">
        <x:v>主播管理</x:v>
      </x:c>
      <x:c r="D96" s="10" t="str">
        <x:v>入会申请详情（公会长视角）</x:v>
      </x:c>
      <x:c r="E96" s="10" t="str">
        <x:v>功能需求</x:v>
      </x:c>
      <x:c r="F96" s="10" t="str">
        <x:v>P2</x:v>
      </x:c>
      <x:c r="G96" s="9" t="str">
        <x:v>验证用户提交节点显示提交时间</x:v>
      </x:c>
      <x:c r="H96" s="9" t="str">
        <x:v>提交节点时间</x:v>
      </x:c>
      <x:c r="I96" s="9" t="str">
        <x:v>1. 执行角色为公会长
2. 甲申请的提交时刻和公会审核时刻不同，已分别记录</x:v>
      </x:c>
      <x:c r="J96" s="9" t="str">
        <x:v>1. 进入申请甲详情
2. 查看用户提交节点</x:v>
      </x:c>
      <x:c r="K96" s="9" t="str">
        <x:v>节点显示甲该次申请的提交时刻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来源（当前证据）：liveshow-proto/MainBasis/统一需求文档.md；位置：行2133
2. 规则：BR-c13cecde3f62ab39
3. 未动态验证
4. 数据别名：甲、乙、丙用于区分本条测试对象；按前置条件准备并记录实际账号或记录 ID，不是固定业务名称。</x:v>
      </x:c>
    </x:row>
    <x:row r="97" ht="115" customHeight="1">
      <x:c r="A97" s="10" t="n">
        <x:v>96</x:v>
      </x:c>
      <x:c r="B97" s="10" t="str">
        <x:v>GUILD-02-0031</x:v>
      </x:c>
      <x:c r="C97" s="10" t="str">
        <x:v>主播管理</x:v>
      </x:c>
      <x:c r="D97" s="10" t="str">
        <x:v>入会申请详情（公会长视角）</x:v>
      </x:c>
      <x:c r="E97" s="10" t="str">
        <x:v>业务流程</x:v>
      </x:c>
      <x:c r="F97" s="10" t="str">
        <x:v>P1</x:v>
      </x:c>
      <x:c r="G97" s="9" t="str">
        <x:v>验证入会驳回不填理由</x:v>
      </x:c>
      <x:c r="H97" s="9" t="str">
        <x:v>入会可选理由</x:v>
      </x:c>
      <x:c r="I97" s="9" t="str">
        <x:v>1. 执行角色为公会长
2. 有待公会审核的申请甲</x:v>
      </x:c>
      <x:c r="J97" s="9" t="str">
        <x:v>1. 进入申请甲详情
2. 点击驳回
3. 清空驳回理由
4. 确认驳回</x:v>
      </x:c>
      <x:c r="K97" s="9" t="str">
        <x:v>公会驳回节点理由显示“未填写”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来源（当前证据）：liveshow-proto/MainBasis/统一需求文档.md；位置：行2134
2. 规则：BR-a9214ab5d161e64d
3. 未动态验证
4. 数据别名：甲、乙、丙用于区分本条测试对象；按前置条件准备并记录实际账号或记录 ID，不是固定业务名称。</x:v>
      </x:c>
    </x:row>
    <x:row r="98" ht="115" customHeight="1">
      <x:c r="A98" s="10" t="n">
        <x:v>97</x:v>
      </x:c>
      <x:c r="B98" s="10" t="str">
        <x:v>GUILD-02-0032</x:v>
      </x:c>
      <x:c r="C98" s="10" t="str">
        <x:v>主播管理</x:v>
      </x:c>
      <x:c r="D98" s="10" t="str">
        <x:v>入会申请详情（公会长视角）</x:v>
      </x:c>
      <x:c r="E98" s="10" t="str">
        <x:v>业务流程</x:v>
      </x:c>
      <x:c r="F98" s="10" t="str">
        <x:v>P1</x:v>
      </x:c>
      <x:c r="G98" s="9" t="str">
        <x:v>验证入会驳回理由200字符</x:v>
      </x:c>
      <x:c r="H98" s="9" t="str">
        <x:v>入会理由长度上限内</x:v>
      </x:c>
      <x:c r="I98" s="9" t="str">
        <x:v>1. 执行角色为公会长
2. 申请甲待公会审核</x:v>
      </x:c>
      <x:c r="J98" s="9" t="str">
        <x:v>1. 进入申请甲详情
2. 点击驳回
3. 填写200个“因”作为理由
4. 确认驳回</x:v>
      </x:c>
      <x:c r="K98" s="9" t="str">
        <x:v>节点理由保存为输入的200个字符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来源（当前证据）：liveshow-proto/MainBasis/统一需求文档.md；位置：行2134
2. 规则：BR-9a18c2b375fc6aa7
3. 未动态验证
4. 数据别名：甲、乙、丙用于区分本条测试对象；按前置条件准备并记录实际账号或记录 ID，不是固定业务名称。</x:v>
      </x:c>
    </x:row>
    <x:row r="99" ht="115" customHeight="1">
      <x:c r="A99" s="10" t="n">
        <x:v>98</x:v>
      </x:c>
      <x:c r="B99" s="10" t="str">
        <x:v>GUILD-02-0033</x:v>
      </x:c>
      <x:c r="C99" s="10" t="str">
        <x:v>主播管理</x:v>
      </x:c>
      <x:c r="D99" s="10" t="str">
        <x:v>入会申请详情（公会长视角）</x:v>
      </x:c>
      <x:c r="E99" s="10" t="str">
        <x:v>业务流程</x:v>
      </x:c>
      <x:c r="F99" s="10" t="str">
        <x:v>P1</x:v>
      </x:c>
      <x:c r="G99" s="9" t="str">
        <x:v>验证入会驳回理由201字符</x:v>
      </x:c>
      <x:c r="H99" s="9" t="str">
        <x:v>入会理由长度上限外</x:v>
      </x:c>
      <x:c r="I99" s="9" t="str">
        <x:v>1. 执行角色为公会长
2. 申请甲待公会审核</x:v>
      </x:c>
      <x:c r="J99" s="9" t="str">
        <x:v>1. 进入申请甲详情
2. 点击驳回
3. 填写201个“因”作为理由
4. 确认驳回</x:v>
      </x:c>
      <x:c r="K99" s="9" t="str">
        <x:v>不能保存超过200字符的理由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来源（当前证据）：liveshow-proto/MainBasis/统一需求文档.md；位置：行2134
2. 规则：BR-deb2e97bff4f8dfd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GUILD-02-0034</x:v>
      </x:c>
      <x:c r="C100" s="10" t="str">
        <x:v>主播管理</x:v>
      </x:c>
      <x:c r="D100" s="10" t="str">
        <x:v>入会申请详情（公会长视角）</x:v>
      </x:c>
      <x:c r="E100" s="10" t="str">
        <x:v>功能需求</x:v>
      </x:c>
      <x:c r="F100" s="10" t="str">
        <x:v>P2</x:v>
      </x:c>
      <x:c r="G100" s="9" t="str">
        <x:v>验证终审通过可查看主播详情</x:v>
      </x:c>
      <x:c r="H100" s="9" t="str">
        <x:v>入会审核后详情入口</x:v>
      </x:c>
      <x:c r="I100" s="9" t="str">
        <x:v>1. 执行角色为公会长
2. 甲已经平台终审通过且仍在本会</x:v>
      </x:c>
      <x:c r="J100" s="9" t="str">
        <x:v>1. 进入甲申请详情
2. 点击查看主页</x:v>
      </x:c>
      <x:c r="K100" s="9" t="str">
        <x:v>进入甲主播详情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来源（当前证据）：liveshow-proto/MainBasis/统一需求文档.md；位置：行2135
2. 规则：BR-e36bb713e6e4b566
3. 未动态验证
4. 数据别名：甲、乙、丙用于区分本条测试对象；按前置条件准备并记录实际账号或记录 ID，不是固定业务名称。</x:v>
      </x:c>
    </x:row>
    <x:row r="101" ht="160" customHeight="1">
      <x:c r="A101" s="10" t="n">
        <x:v>100</x:v>
      </x:c>
      <x:c r="B101" s="10" t="str">
        <x:v>GUILD-02-0035</x:v>
      </x:c>
      <x:c r="C101" s="10" t="str">
        <x:v>主播管理</x:v>
      </x:c>
      <x:c r="D101" s="10" t="str">
        <x:v>入会申请详情（公会长视角）</x:v>
      </x:c>
      <x:c r="E101" s="10" t="str">
        <x:v>业务流程</x:v>
      </x:c>
      <x:c r="F101" s="10" t="str">
        <x:v>P1</x:v>
      </x:c>
      <x:c r="G101" s="9" t="str">
        <x:v>验证公会初审通过自动转平台</x:v>
      </x:c>
      <x:c r="H101" s="9" t="str">
        <x:v>公会通过后的审核节点</x:v>
      </x:c>
      <x:c r="I101" s="9" t="str">
        <x:v>1. 执行角色为公会长
2. 申请甲待公会审核，资料完整</x:v>
      </x:c>
      <x:c r="J101" s="9" t="str">
        <x:v>1. 进入申请甲详情
2. 点击通过
3. 点击二次确认</x:v>
      </x:c>
      <x:c r="K101" s="9" t="str">
        <x:v>申请甲进入平台审核中</x:v>
      </x:c>
      <x:c r="L101" s="10" t="str">
        <x:v>FLOW-JOIN</x:v>
      </x:c>
      <x:c r="M101" s="10" t="str">
        <x:v>未测</x:v>
      </x:c>
      <x:c r="N101" s="10" t="str"/>
      <x:c r="O101" s="9" t="str">
        <x:v>1. 来源（当前证据）：liveshow-proto/MainBasis/统一需求文档.md；位置：行2136、行2139
2. 规则：BR-2df521b6f36cee82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102" ht="115" customHeight="1">
      <x:c r="A102" s="10" t="n">
        <x:v>101</x:v>
      </x:c>
      <x:c r="B102" s="10" t="str">
        <x:v>GUILD-02-0036</x:v>
      </x:c>
      <x:c r="C102" s="10" t="str">
        <x:v>主播管理</x:v>
      </x:c>
      <x:c r="D102" s="10" t="str">
        <x:v>入会申请详情（公会长视角）</x:v>
      </x:c>
      <x:c r="E102" s="10" t="str">
        <x:v>业务流程</x:v>
      </x:c>
      <x:c r="F102" s="10" t="str">
        <x:v>P1</x:v>
      </x:c>
      <x:c r="G102" s="9" t="str">
        <x:v>验证公会已审核申请不可重复操作</x:v>
      </x:c>
      <x:c r="H102" s="9" t="str">
        <x:v>初审结果只读</x:v>
      </x:c>
      <x:c r="I102" s="9" t="str">
        <x:v>1. 执行角色为公会长
2. 申请甲已由公会审核通过</x:v>
      </x:c>
      <x:c r="J102" s="9" t="str">
        <x:v>1. 进入申请甲详情</x:v>
      </x:c>
      <x:c r="K102" s="9" t="str">
        <x:v>公会审核结果不可再次提交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来源（当前证据）：liveshow-proto/MainBasis/统一需求文档.md；位置：行2138
2. 规则：BR-bb1677793e4fdc0c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GUILD-02-0037</x:v>
      </x:c>
      <x:c r="C103" s="10" t="str">
        <x:v>主播管理</x:v>
      </x:c>
      <x:c r="D103" s="10" t="str">
        <x:v>入会申请详情（公会长视角）</x:v>
      </x:c>
      <x:c r="E103" s="10" t="str">
        <x:v>功能需求</x:v>
      </x:c>
      <x:c r="F103" s="10" t="str">
        <x:v>P2</x:v>
      </x:c>
      <x:c r="G103" s="9" t="str">
        <x:v>验证已驳回申请不再提供初审提交</x:v>
      </x:c>
      <x:c r="H103" s="9" t="str">
        <x:v>公会驳回后只读</x:v>
      </x:c>
      <x:c r="I103" s="9" t="str">
        <x:v>1. 执行角色为公会长
2. 甲申请刚被公会驳回，未生成新申请</x:v>
      </x:c>
      <x:c r="J103" s="9" t="str">
        <x:v>1. 进入申请甲详情</x:v>
      </x:c>
      <x:c r="K103" s="9" t="str">
        <x:v>不提供再次提交该次初审结果的操作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来源（当前证据）：liveshow-proto/MainBasis/统一需求文档.md；位置：行2138
2. 规则：BR-2e3450e489c2dec8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GUILD-02-0038</x:v>
      </x:c>
      <x:c r="C104" s="10" t="str">
        <x:v>主播管理</x:v>
      </x:c>
      <x:c r="D104" s="10" t="str">
        <x:v>入会申请详情（公会长视角）</x:v>
      </x:c>
      <x:c r="E104" s="10" t="str">
        <x:v>功能需求</x:v>
      </x:c>
      <x:c r="F104" s="10" t="str">
        <x:v>P2</x:v>
      </x:c>
      <x:c r="G104" s="9" t="str">
        <x:v>验证通过申请先出现确认弹窗</x:v>
      </x:c>
      <x:c r="H104" s="9" t="str">
        <x:v>入会初审确认过程</x:v>
      </x:c>
      <x:c r="I104" s="9" t="str">
        <x:v>1. 执行角色为公会长
2. 申请甲待公会审核且材料完整</x:v>
      </x:c>
      <x:c r="J104" s="9" t="str">
        <x:v>1. 进入申请甲详情
2. 点击通过</x:v>
      </x:c>
      <x:c r="K104" s="9" t="str">
        <x:v>显示通过申请二次确认弹窗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来源（当前证据）：liveshow-proto/MainBasis/统一需求文档.md；位置：行2139
2. 规则：BR-287202cd09254bb4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GUILD-02-0039</x:v>
      </x:c>
      <x:c r="C105" s="10" t="str">
        <x:v>主播管理</x:v>
      </x:c>
      <x:c r="D105" s="10" t="str">
        <x:v>入会申请详情（公会长视角）</x:v>
      </x:c>
      <x:c r="E105" s="10" t="str">
        <x:v>功能需求</x:v>
      </x:c>
      <x:c r="F105" s="10" t="str">
        <x:v>P2</x:v>
      </x:c>
      <x:c r="G105" s="9" t="str">
        <x:v>验证取消初审通过不改变申请</x:v>
      </x:c>
      <x:c r="H105" s="9" t="str">
        <x:v>入会初审确认取消</x:v>
      </x:c>
      <x:c r="I105" s="9" t="str">
        <x:v>1. 执行角色为公会长
2. 申请甲待公会审核且材料完整</x:v>
      </x:c>
      <x:c r="J105" s="9" t="str">
        <x:v>1. 进入申请甲详情
2. 点击通过
3. 点击取消</x:v>
      </x:c>
      <x:c r="K105" s="9" t="str">
        <x:v>甲仍为待公会审核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来源（当前证据）：liveshow-proto/MainBasis/统一需求文档.md；位置：行2139
2. 规则：BR-41f8b228c88e12bb
3. 未动态验证
4. 数据别名：甲、乙、丙用于区分本条测试对象；按前置条件准备并记录实际账号或记录 ID，不是固定业务名称。</x:v>
      </x:c>
    </x:row>
    <x:row r="106" ht="145" customHeight="1">
      <x:c r="A106" s="10" t="n">
        <x:v>105</x:v>
      </x:c>
      <x:c r="B106" s="10" t="str">
        <x:v>GUILD-02-0040</x:v>
      </x:c>
      <x:c r="C106" s="10" t="str">
        <x:v>主播管理</x:v>
      </x:c>
      <x:c r="D106" s="10" t="str">
        <x:v>入会申请详情（公会长视角）</x:v>
      </x:c>
      <x:c r="E106" s="10" t="str">
        <x:v>业务流程</x:v>
      </x:c>
      <x:c r="F106" s="10" t="str">
        <x:v>P1</x:v>
      </x:c>
      <x:c r="G106" s="9" t="str">
        <x:v>验证初审驳回后当前申请终止</x:v>
      </x:c>
      <x:c r="H106" s="9" t="str">
        <x:v>初审驳回终态</x:v>
      </x:c>
      <x:c r="I106" s="9" t="str">
        <x:v>1. 执行角色为公会长
2. 申请甲待当前公会审核，资料不符合</x:v>
      </x:c>
      <x:c r="J106" s="9" t="str">
        <x:v>1. 进入申请甲详情
2. 点击驳回
3. 填写理由材料不清晰
4. 点击确认</x:v>
      </x:c>
      <x:c r="K106" s="9" t="str">
        <x:v>甲本次申请为已驳回</x:v>
      </x:c>
      <x:c r="L106" s="10" t="str">
        <x:v>FLOW-JOIN</x:v>
      </x:c>
      <x:c r="M106" s="10" t="str">
        <x:v>未测</x:v>
      </x:c>
      <x:c r="N106" s="10" t="str"/>
      <x:c r="O106" s="9" t="str">
        <x:v>1. 来源（当前证据）：liveshow-proto/MainBasis/统一需求文档.md；位置：行2139
2. 规则：BR-c3b4418e16ebb67e
3. 未动态验证
4. 状态转换：ST-JOIN-GUILD-REJECT；按同一业务对象的数据别名准备对应上下游记录
5. 数据别名：甲、乙、丙用于区分本条测试对象；按前置条件准备并记录实际账号或记录 ID，不是固定业务名称。</x:v>
      </x:c>
    </x:row>
    <x:row r="107" ht="130" customHeight="1">
      <x:c r="A107" s="10" t="n">
        <x:v>106</x:v>
      </x:c>
      <x:c r="B107" s="10" t="str">
        <x:v>GUILD-02-0041</x:v>
      </x:c>
      <x:c r="C107" s="10" t="str">
        <x:v>主播管理</x:v>
      </x:c>
      <x:c r="D107" s="10" t="str">
        <x:v>入会申请详情（公会长视角）</x:v>
      </x:c>
      <x:c r="E107" s="10" t="str">
        <x:v>业务流程</x:v>
      </x:c>
      <x:c r="F107" s="10" t="str">
        <x:v>P1</x:v>
      </x:c>
      <x:c r="G107" s="9" t="str">
        <x:v>验证查看本人照片大图</x:v>
      </x:c>
      <x:c r="H107" s="9" t="str">
        <x:v>认证材料预览</x:v>
      </x:c>
      <x:c r="I107" s="9" t="str">
        <x:v>1. 执行角色为公会长
2. 申请甲本人照片为测试图片qa-person.jpg
3. 材料准备要求：准备本条使用的qa-person.jpg，为可正常解码的测试图片，并按前置条件保存原图或供本次上传；文件名仅为材料别名</x:v>
      </x:c>
      <x:c r="J107" s="9" t="str">
        <x:v>1. 进入申请甲详情
2. 点击本人照片</x:v>
      </x:c>
      <x:c r="K107" s="9" t="str">
        <x:v>大图显示qa-person.jpg对应图片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来源（当前证据）：liveshow-proto/MainBasis/统一需求文档.md；位置：行2140
2. 规则：BR-9f7a651817f1290d
3. 未动态验证
4. 数据别名：甲、乙、丙用于区分本条测试对象；按前置条件准备并记录实际账号或记录 ID，不是固定业务名称。</x:v>
      </x:c>
    </x:row>
    <x:row r="108" ht="70" customHeight="1">
      <x:c r="A108" s="10" t="n">
        <x:v>107</x:v>
      </x:c>
      <x:c r="B108" s="10" t="str">
        <x:v>GUILD-02-0042</x:v>
      </x:c>
      <x:c r="C108" s="10" t="str">
        <x:v>主播管理</x:v>
      </x:c>
      <x:c r="D108" s="10" t="str">
        <x:v>退会申请（公会长视角）</x:v>
      </x:c>
      <x:c r="E108" s="10" t="str">
        <x:v>功能需求</x:v>
      </x:c>
      <x:c r="F108" s="10" t="str">
        <x:v>P2</x:v>
      </x:c>
      <x:c r="G108" s="9" t="str">
        <x:v>验证退会审核初始选择审核中</x:v>
      </x:c>
      <x:c r="H108" s="9" t="str">
        <x:v>退会列表默认</x:v>
      </x:c>
      <x:c r="I108" s="9" t="str">
        <x:v>1. 执行角色为公会长
2. 公会有审核中和已处理退会申请</x:v>
      </x:c>
      <x:c r="J108" s="9" t="str">
        <x:v>1. 进入退会审核</x:v>
      </x:c>
      <x:c r="K108" s="9" t="str">
        <x:v>默认选中审核中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来源（当前证据）：liveshow-proto/MainBasis/统一需求文档.md；位置：行2144
2. 规则：BR-5446ad86d3a81183
3. 未动态验证</x:v>
      </x:c>
    </x:row>
    <x:row r="109" ht="70" customHeight="1">
      <x:c r="A109" s="10" t="n">
        <x:v>108</x:v>
      </x:c>
      <x:c r="B109" s="10" t="str">
        <x:v>GUILD-02-0043</x:v>
      </x:c>
      <x:c r="C109" s="10" t="str">
        <x:v>主播管理</x:v>
      </x:c>
      <x:c r="D109" s="10" t="str">
        <x:v>退会申请（公会长视角）</x:v>
      </x:c>
      <x:c r="E109" s="10" t="str">
        <x:v>功能需求</x:v>
      </x:c>
      <x:c r="F109" s="10" t="str">
        <x:v>P2</x:v>
      </x:c>
      <x:c r="G109" s="9" t="str">
        <x:v>验证退会各状态数量独立</x:v>
      </x:c>
      <x:c r="H109" s="9" t="str">
        <x:v>退会状态计数</x:v>
      </x:c>
      <x:c r="I109" s="9" t="str">
        <x:v>1. 执行角色为公会长
2. 当前公会有2条审核中、1条通过、3条驳回申请</x:v>
      </x:c>
      <x:c r="J109" s="9" t="str">
        <x:v>1. 进入退会审核</x:v>
      </x:c>
      <x:c r="K109" s="9" t="str">
        <x:v>审核中数量为2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来源（当前证据）：liveshow-proto/MainBasis/统一需求文档.md；位置：行2144
2. 规则：BR-30b374dbab04f020
3. 未动态验证</x:v>
      </x:c>
    </x:row>
    <x:row r="110" ht="70" customHeight="1">
      <x:c r="A110" s="10" t="n">
        <x:v>109</x:v>
      </x:c>
      <x:c r="B110" s="10" t="str">
        <x:v>GUILD-02-0044</x:v>
      </x:c>
      <x:c r="C110" s="10" t="str">
        <x:v>主播管理</x:v>
      </x:c>
      <x:c r="D110" s="10" t="str">
        <x:v>退会申请（公会长视角）</x:v>
      </x:c>
      <x:c r="E110" s="10" t="str">
        <x:v>功能需求</x:v>
      </x:c>
      <x:c r="F110" s="10" t="str">
        <x:v>P2</x:v>
      </x:c>
      <x:c r="G110" s="9" t="str">
        <x:v>验证退会通过状态数量</x:v>
      </x:c>
      <x:c r="H110" s="9" t="str">
        <x:v>退会通过计数</x:v>
      </x:c>
      <x:c r="I110" s="9" t="str">
        <x:v>1. 执行角色为公会长
2. 本公会有2条审核中、1条通过、3条驳回退会申请，无其他记录</x:v>
      </x:c>
      <x:c r="J110" s="9" t="str">
        <x:v>1. 进入退会申请</x:v>
      </x:c>
      <x:c r="K110" s="9" t="str">
        <x:v>已通过数量为1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来源（当前证据）：liveshow-proto/MainBasis/统一需求文档.md；位置：行2144
2. 规则：BR-3be348f158d40570
3. 未动态验证</x:v>
      </x:c>
    </x:row>
    <x:row r="111" ht="70" customHeight="1">
      <x:c r="A111" s="10" t="n">
        <x:v>110</x:v>
      </x:c>
      <x:c r="B111" s="10" t="str">
        <x:v>GUILD-02-0045</x:v>
      </x:c>
      <x:c r="C111" s="10" t="str">
        <x:v>主播管理</x:v>
      </x:c>
      <x:c r="D111" s="10" t="str">
        <x:v>退会申请（公会长视角）</x:v>
      </x:c>
      <x:c r="E111" s="10" t="str">
        <x:v>功能需求</x:v>
      </x:c>
      <x:c r="F111" s="10" t="str">
        <x:v>P2</x:v>
      </x:c>
      <x:c r="G111" s="9" t="str">
        <x:v>验证退会驳回状态数量</x:v>
      </x:c>
      <x:c r="H111" s="9" t="str">
        <x:v>退会驳回计数</x:v>
      </x:c>
      <x:c r="I111" s="9" t="str">
        <x:v>1. 执行角色为公会长
2. 本公会有2条审核中、1条通过、3条驳回退会申请，无其他记录</x:v>
      </x:c>
      <x:c r="J111" s="9" t="str">
        <x:v>1. 进入退会申请</x:v>
      </x:c>
      <x:c r="K111" s="9" t="str">
        <x:v>已驳回数量为3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来源（当前证据）：liveshow-proto/MainBasis/统一需求文档.md；位置：行2144
2. 规则：BR-c38d62af9070d2dd
3. 未动态验证</x:v>
      </x:c>
    </x:row>
    <x:row r="112" ht="115" customHeight="1">
      <x:c r="A112" s="10" t="n">
        <x:v>111</x:v>
      </x:c>
      <x:c r="B112" s="10" t="str">
        <x:v>GUILD-02-0046</x:v>
      </x:c>
      <x:c r="C112" s="10" t="str">
        <x:v>主播管理</x:v>
      </x:c>
      <x:c r="D112" s="10" t="str">
        <x:v>退会申请（公会长视角）</x:v>
      </x:c>
      <x:c r="E112" s="10" t="str">
        <x:v>功能需求</x:v>
      </x:c>
      <x:c r="F112" s="10" t="str">
        <x:v>P2</x:v>
      </x:c>
      <x:c r="G112" s="9" t="str">
        <x:v>验证退会申请读取申请人名称</x:v>
      </x:c>
      <x:c r="H112" s="9" t="str">
        <x:v>申请人名称回显</x:v>
      </x:c>
      <x:c r="I112" s="9" t="str">
        <x:v>1. 执行角色为公会长
2. 当前退会申请的提交账号的申请人名称为“主播甲”</x:v>
      </x:c>
      <x:c r="J112" s="9" t="str">
        <x:v>1. 进入退会申请
2. 查看申请人名称</x:v>
      </x:c>
      <x:c r="K112" s="9" t="str">
        <x:v>申请人名称显示“主播甲”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来源（当前证据）：liveshow-proto/MainBasis/统一需求文档.md；位置：行2145
2. 规则：BR-3fef0764e0e46666
3. 未动态验证
4. 数据别名：甲、乙、丙用于区分本条测试对象；按前置条件准备并记录实际账号或记录 ID，不是固定业务名称。</x:v>
      </x:c>
    </x:row>
    <x:row r="113" ht="70" customHeight="1">
      <x:c r="A113" s="10" t="n">
        <x:v>112</x:v>
      </x:c>
      <x:c r="B113" s="10" t="str">
        <x:v>GUILD-02-0047</x:v>
      </x:c>
      <x:c r="C113" s="10" t="str">
        <x:v>主播管理</x:v>
      </x:c>
      <x:c r="D113" s="10" t="str">
        <x:v>退会申请（公会长视角）</x:v>
      </x:c>
      <x:c r="E113" s="10" t="str">
        <x:v>功能需求</x:v>
      </x:c>
      <x:c r="F113" s="10" t="str">
        <x:v>P2</x:v>
      </x:c>
      <x:c r="G113" s="9" t="str">
        <x:v>验证退会申请读取主播ID</x:v>
      </x:c>
      <x:c r="H113" s="9" t="str">
        <x:v>主播ID回显</x:v>
      </x:c>
      <x:c r="I113" s="9" t="str">
        <x:v>1. 执行角色为公会长
2. 当前退会申请的提交账号的主播ID为“100001”</x:v>
      </x:c>
      <x:c r="J113" s="9" t="str">
        <x:v>1. 进入退会申请
2. 查看主播ID</x:v>
      </x:c>
      <x:c r="K113" s="9" t="str">
        <x:v>主播ID显示“100001”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来源（当前证据）：liveshow-proto/MainBasis/统一需求文档.md；位置：行2145
2. 规则：BR-3eebe219b986001d
3. 未动态验证</x:v>
      </x:c>
    </x:row>
    <x:row r="114" ht="115" customHeight="1">
      <x:c r="A114" s="10" t="n">
        <x:v>113</x:v>
      </x:c>
      <x:c r="B114" s="10" t="str">
        <x:v>GUILD-02-0048</x:v>
      </x:c>
      <x:c r="C114" s="10" t="str">
        <x:v>主播管理</x:v>
      </x:c>
      <x:c r="D114" s="10" t="str">
        <x:v>退会申请（公会长视角）</x:v>
      </x:c>
      <x:c r="E114" s="10" t="str">
        <x:v>功能需求</x:v>
      </x:c>
      <x:c r="F114" s="10" t="str">
        <x:v>P2</x:v>
      </x:c>
      <x:c r="G114" s="9" t="str">
        <x:v>验证退会申请列表头像关联主播</x:v>
      </x:c>
      <x:c r="H114" s="9" t="str">
        <x:v>退会列表头像</x:v>
      </x:c>
      <x:c r="I114" s="9" t="str">
        <x:v>1. 执行角色为公会长
2. 退会申请甲由主播乙提交，已记录乙头像原图</x:v>
      </x:c>
      <x:c r="J114" s="9" t="str">
        <x:v>1. 进入退会申请
2. 查看甲头像</x:v>
      </x:c>
      <x:c r="K114" s="9" t="str">
        <x:v>甲显示乙的头像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来源（当前证据）：liveshow-proto/MainBasis/统一需求文档.md；位置：行2145
2. 规则：BR-f61a49436ba46dad
3. 未动态验证
4. 数据别名：甲、乙、丙用于区分本条测试对象；按前置条件准备并记录实际账号或记录 ID，不是固定业务名称。</x:v>
      </x:c>
    </x:row>
    <x:row r="115" ht="115" customHeight="1">
      <x:c r="A115" s="10" t="n">
        <x:v>114</x:v>
      </x:c>
      <x:c r="B115" s="10" t="str">
        <x:v>GUILD-02-0049</x:v>
      </x:c>
      <x:c r="C115" s="10" t="str">
        <x:v>主播管理</x:v>
      </x:c>
      <x:c r="D115" s="10" t="str">
        <x:v>退会申请（公会长视角）</x:v>
      </x:c>
      <x:c r="E115" s="10" t="str">
        <x:v>功能需求</x:v>
      </x:c>
      <x:c r="F115" s="10" t="str">
        <x:v>P2</x:v>
      </x:c>
      <x:c r="G115" s="9" t="str">
        <x:v>验证退会列表时间为本次申请提交时刻</x:v>
      </x:c>
      <x:c r="H115" s="9" t="str">
        <x:v>退会列表申请时间</x:v>
      </x:c>
      <x:c r="I115" s="9" t="str">
        <x:v>1. 执行角色为公会长
2. 甲主播先后提交过两笔退会申请，已记录后一次乙的提交时刻</x:v>
      </x:c>
      <x:c r="J115" s="9" t="str">
        <x:v>1. 进入退会申请
2. 查看申请乙时间</x:v>
      </x:c>
      <x:c r="K115" s="9" t="str">
        <x:v>乙显示本次提交时刻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来源（当前证据）：liveshow-proto/MainBasis/统一需求文档.md；位置：行2146
2. 规则：BR-1c83dd2e78263b08
3. 未动态验证
4. 数据别名：甲、乙、丙用于区分本条测试对象；按前置条件准备并记录实际账号或记录 ID，不是固定业务名称。</x:v>
      </x:c>
    </x:row>
    <x:row r="116" ht="145" customHeight="1">
      <x:c r="A116" s="10" t="n">
        <x:v>115</x:v>
      </x:c>
      <x:c r="B116" s="10" t="str">
        <x:v>GUILD-02-0050</x:v>
      </x:c>
      <x:c r="C116" s="10" t="str">
        <x:v>主播管理</x:v>
      </x:c>
      <x:c r="D116" s="10" t="str">
        <x:v>退会申请（公会长视角）</x:v>
      </x:c>
      <x:c r="E116" s="10" t="str">
        <x:v>业务流程</x:v>
      </x:c>
      <x:c r="F116" s="10" t="str">
        <x:v>P1</x:v>
      </x:c>
      <x:c r="G116" s="9" t="str">
        <x:v>验证退会通过不进入平台终审</x:v>
      </x:c>
      <x:c r="H116" s="9" t="str">
        <x:v>退会审核层级</x:v>
      </x:c>
      <x:c r="I116" s="9" t="str">
        <x:v>1. 执行角色为公会长
2. 退会申请甲待公会处理</x:v>
      </x:c>
      <x:c r="J116" s="9" t="str">
        <x:v>1. 进入退会申请甲详情
2. 点击通过
3. 点击确认</x:v>
      </x:c>
      <x:c r="K116" s="9" t="str">
        <x:v>该退会申请显示已通过</x:v>
      </x:c>
      <x:c r="L116" s="10" t="str">
        <x:v>FLOW-LEAVE</x:v>
      </x:c>
      <x:c r="M116" s="10" t="str">
        <x:v>未测</x:v>
      </x:c>
      <x:c r="N116" s="10" t="str"/>
      <x:c r="O116" s="9" t="str">
        <x:v>1. 来源（当前证据）：liveshow-proto/MainBasis/统一需求文档.md；位置：行2148
2. 规则：BR-14b1b7c7ca47e358
3. 未动态验证
4. 状态转换：ST-LEAVE-PASS；按同一业务对象的数据别名准备对应上下游记录
5. 数据别名：甲、乙、丙用于区分本条测试对象；按前置条件准备并记录实际账号或记录 ID，不是固定业务名称。</x:v>
      </x:c>
    </x:row>
    <x:row r="117" ht="130" customHeight="1">
      <x:c r="A117" s="10" t="n">
        <x:v>116</x:v>
      </x:c>
      <x:c r="B117" s="10" t="str">
        <x:v>GUILD-02-0051</x:v>
      </x:c>
      <x:c r="C117" s="10" t="str">
        <x:v>主播管理</x:v>
      </x:c>
      <x:c r="D117" s="10" t="str">
        <x:v>退会申请（公会长视角）</x:v>
      </x:c>
      <x:c r="E117" s="10" t="str">
        <x:v>功能需求</x:v>
      </x:c>
      <x:c r="F117" s="10" t="str">
        <x:v>P2</x:v>
      </x:c>
      <x:c r="G117" s="9" t="str">
        <x:v>验证退会通过结束正在直播场次</x:v>
      </x:c>
      <x:c r="H117" s="9" t="str">
        <x:v>退会关播结果</x:v>
      </x:c>
      <x:c r="I117" s="9" t="str">
        <x:v>1. 执行角色为公会长
2. 本公会主播甲正在场次乙直播，甲的退会申请待审核</x:v>
      </x:c>
      <x:c r="J117" s="9" t="str">
        <x:v>1. 进入甲退会详情
2. 点击通过
3. 点击确认
4. 进入直播记录
5. 打开场次乙</x:v>
      </x:c>
      <x:c r="K117" s="9" t="str">
        <x:v>乙显示已结束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来源（当前证据）：liveshow-proto/MainBasis/统一需求文档.md；位置：行2149、行2162
2. 规则：BR-cdae14ab412c7563
3. 未动态验证
4. 数据别名：甲、乙、丙用于区分本条测试对象；按前置条件准备并记录实际账号或记录 ID，不是固定业务名称。</x:v>
      </x:c>
    </x:row>
    <x:row r="118" ht="130" customHeight="1">
      <x:c r="A118" s="10" t="n">
        <x:v>117</x:v>
      </x:c>
      <x:c r="B118" s="10" t="str">
        <x:v>GUILD-02-0052</x:v>
      </x:c>
      <x:c r="C118" s="10" t="str">
        <x:v>主播管理</x:v>
      </x:c>
      <x:c r="D118" s="10" t="str">
        <x:v>退会申请（公会长视角）</x:v>
      </x:c>
      <x:c r="E118" s="10" t="str">
        <x:v>功能需求</x:v>
      </x:c>
      <x:c r="F118" s="10" t="str">
        <x:v>P2</x:v>
      </x:c>
      <x:c r="G118" s="9" t="str">
        <x:v>验证退会通过从在会列表移除</x:v>
      </x:c>
      <x:c r="H118" s="9" t="str">
        <x:v>退会公会关系解除</x:v>
      </x:c>
      <x:c r="I118" s="9" t="str">
        <x:v>1. 执行角色为公会长
2. 甲是本公会在会主播且退会申请待审核</x:v>
      </x:c>
      <x:c r="J118" s="9" t="str">
        <x:v>1. 进入甲退会详情
2. 点击通过
3. 点击确认
4. 进入主播列表
5. 选择在会
6. 输入甲实际ID</x:v>
      </x:c>
      <x:c r="K118" s="9" t="str">
        <x:v>在会结果不包含甲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来源（当前证据）：liveshow-proto/MainBasis/统一需求文档.md；位置：行2149、行2162
2. 规则：BR-4d098ea0bbfcae0a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GUILD-02-0053</x:v>
      </x:c>
      <x:c r="C119" s="10" t="str">
        <x:v>主播管理</x:v>
      </x:c>
      <x:c r="D119" s="10" t="str">
        <x:v>退会申请（公会长视角）</x:v>
      </x:c>
      <x:c r="E119" s="10" t="str">
        <x:v>功能需求</x:v>
      </x:c>
      <x:c r="F119" s="10" t="str">
        <x:v>P2</x:v>
      </x:c>
      <x:c r="G119" s="9" t="str">
        <x:v>验证退会通过Tab隔离其他状态</x:v>
      </x:c>
      <x:c r="H119" s="9" t="str">
        <x:v>退会结果筛选</x:v>
      </x:c>
      <x:c r="I119" s="9" t="str">
        <x:v>1. 执行角色为公会长
2. 当前公会退会甲通过、乙驳回、丙审核中</x:v>
      </x:c>
      <x:c r="J119" s="9" t="str">
        <x:v>1. 进入退会审核
2. 选择已通过</x:v>
      </x:c>
      <x:c r="K119" s="9" t="str">
        <x:v>列表仅包含甲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来源（当前证据）：liveshow-proto/MainBasis/统一需求文档.md；位置：行2150
2. 规则：BR-3843e278382c3a92
3. 未动态验证
4. 数据别名：甲、乙、丙用于区分本条测试对象；按前置条件准备并记录实际账号或记录 ID，不是固定业务名称。</x:v>
      </x:c>
    </x:row>
    <x:row r="120" ht="115" customHeight="1">
      <x:c r="A120" s="10" t="n">
        <x:v>119</x:v>
      </x:c>
      <x:c r="B120" s="10" t="str">
        <x:v>GUILD-02-0054</x:v>
      </x:c>
      <x:c r="C120" s="10" t="str">
        <x:v>主播管理</x:v>
      </x:c>
      <x:c r="D120" s="10" t="str">
        <x:v>退会申请（公会长视角）</x:v>
      </x:c>
      <x:c r="E120" s="10" t="str">
        <x:v>功能需求</x:v>
      </x:c>
      <x:c r="F120" s="10" t="str">
        <x:v>P2</x:v>
      </x:c>
      <x:c r="G120" s="9" t="str">
        <x:v>验证退会审核中排除已处理申请</x:v>
      </x:c>
      <x:c r="H120" s="9" t="str">
        <x:v>退会审核中筛选</x:v>
      </x:c>
      <x:c r="I120" s="9" t="str">
        <x:v>1. 执行角色为公会长
2. 本公会退会甲待审核、乙通过、丙驳回，无其他申请</x:v>
      </x:c>
      <x:c r="J120" s="9" t="str">
        <x:v>1. 进入退会申请
2. 选择审核中</x:v>
      </x:c>
      <x:c r="K120" s="9" t="str">
        <x:v>结果集合仅包含甲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来源（当前证据）：liveshow-proto/MainBasis/统一需求文档.md；位置：行2150
2. 规则：BR-100740da011cbe29
3. 未动态验证
4. 数据别名：甲、乙、丙用于区分本条测试对象；按前置条件准备并记录实际账号或记录 ID，不是固定业务名称。</x:v>
      </x:c>
    </x:row>
    <x:row r="121" ht="115" customHeight="1">
      <x:c r="A121" s="10" t="n">
        <x:v>120</x:v>
      </x:c>
      <x:c r="B121" s="10" t="str">
        <x:v>GUILD-02-0055</x:v>
      </x:c>
      <x:c r="C121" s="10" t="str">
        <x:v>主播管理</x:v>
      </x:c>
      <x:c r="D121" s="10" t="str">
        <x:v>退会申请（公会长视角）</x:v>
      </x:c>
      <x:c r="E121" s="10" t="str">
        <x:v>功能需求</x:v>
      </x:c>
      <x:c r="F121" s="10" t="str">
        <x:v>P2</x:v>
      </x:c>
      <x:c r="G121" s="9" t="str">
        <x:v>验证退会驳回列表排除其他状态</x:v>
      </x:c>
      <x:c r="H121" s="9" t="str">
        <x:v>退会驳回筛选</x:v>
      </x:c>
      <x:c r="I121" s="9" t="str">
        <x:v>1. 执行角色为公会长
2. 本公会退会甲待审核、乙通过、丙驳回，无其他申请</x:v>
      </x:c>
      <x:c r="J121" s="9" t="str">
        <x:v>1. 进入退会申请
2. 选择已驳回</x:v>
      </x:c>
      <x:c r="K121" s="9" t="str">
        <x:v>结果集合仅包含丙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来源（当前证据）：liveshow-proto/MainBasis/统一需求文档.md；位置：行2150
2. 规则：BR-c2e69b05128ff5d2
3. 未动态验证
4. 数据别名：甲、乙、丙用于区分本条测试对象；按前置条件准备并记录实际账号或记录 ID，不是固定业务名称。</x:v>
      </x:c>
    </x:row>
    <x:row r="122" ht="115" customHeight="1">
      <x:c r="A122" s="10" t="n">
        <x:v>121</x:v>
      </x:c>
      <x:c r="B122" s="10" t="str">
        <x:v>GUILD-02-0056</x:v>
      </x:c>
      <x:c r="C122" s="10" t="str">
        <x:v>主播管理</x:v>
      </x:c>
      <x:c r="D122" s="10" t="str">
        <x:v>退会申请（公会长视角）</x:v>
      </x:c>
      <x:c r="E122" s="10" t="str">
        <x:v>功能需求</x:v>
      </x:c>
      <x:c r="F122" s="10" t="str">
        <x:v>P2</x:v>
      </x:c>
      <x:c r="G122" s="9" t="str">
        <x:v>验证退会申请卡片定位本次记录</x:v>
      </x:c>
      <x:c r="H122" s="9" t="str">
        <x:v>退会详情导航</x:v>
      </x:c>
      <x:c r="I122" s="9" t="str">
        <x:v>1. 执行角色为公会长
2. 当前有同一主播的历史退会甲和本次退会乙；两笔原因分别为甲次原因、乙次原因</x:v>
      </x:c>
      <x:c r="J122" s="9" t="str">
        <x:v>1. 进入退会申请
2. 点击申请乙</x:v>
      </x:c>
      <x:c r="K122" s="9" t="str">
        <x:v>详情退会原因为乙次原因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来源（当前证据）：liveshow-proto/MainBasis/统一需求文档.md；位置：行2150
2. 规则：BR-e1394f5db86a86d2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GUILD-02-0057</x:v>
      </x:c>
      <x:c r="C123" s="10" t="str">
        <x:v>主播管理</x:v>
      </x:c>
      <x:c r="D123" s="10" t="str">
        <x:v>退会申请详情（公会长视角）</x:v>
      </x:c>
      <x:c r="E123" s="10" t="str">
        <x:v>功能需求</x:v>
      </x:c>
      <x:c r="F123" s="10" t="str">
        <x:v>P2</x:v>
      </x:c>
      <x:c r="G123" s="9" t="str">
        <x:v>验证退会申请详情读取名称</x:v>
      </x:c>
      <x:c r="H123" s="9" t="str">
        <x:v>名称回显</x:v>
      </x:c>
      <x:c r="I123" s="9" t="str">
        <x:v>1. 执行角色为公会长
2. 退会申请对应主播当前资料的名称为“主播甲”</x:v>
      </x:c>
      <x:c r="J123" s="9" t="str">
        <x:v>1. 进入退会申请详情
2. 查看名称</x:v>
      </x:c>
      <x:c r="K123" s="9" t="str">
        <x:v>名称显示“主播甲”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来源（当前证据）：liveshow-proto/MainBasis/统一需求文档.md；位置：行2154
2. 规则：BR-201d6f4db130052d
3. 未动态验证
4. 数据别名：甲、乙、丙用于区分本条测试对象；按前置条件准备并记录实际账号或记录 ID，不是固定业务名称。</x:v>
      </x:c>
    </x:row>
    <x:row r="124" ht="115" customHeight="1">
      <x:c r="A124" s="10" t="n">
        <x:v>123</x:v>
      </x:c>
      <x:c r="B124" s="10" t="str">
        <x:v>GUILD-02-0058</x:v>
      </x:c>
      <x:c r="C124" s="10" t="str">
        <x:v>主播管理</x:v>
      </x:c>
      <x:c r="D124" s="10" t="str">
        <x:v>退会申请详情（公会长视角）</x:v>
      </x:c>
      <x:c r="E124" s="10" t="str">
        <x:v>功能需求</x:v>
      </x:c>
      <x:c r="F124" s="10" t="str">
        <x:v>P2</x:v>
      </x:c>
      <x:c r="G124" s="9" t="str">
        <x:v>验证退会详情头像关联当前主播</x:v>
      </x:c>
      <x:c r="H124" s="9" t="str">
        <x:v>退会详情头像</x:v>
      </x:c>
      <x:c r="I124" s="9" t="str">
        <x:v>1. 执行角色为公会长
2. 申请甲属于主播乙，已记录乙当前头像原图</x:v>
      </x:c>
      <x:c r="J124" s="9" t="str">
        <x:v>1. 进入退会申请甲详情
2. 查看头像</x:v>
      </x:c>
      <x:c r="K124" s="9" t="str">
        <x:v>头像显示主播乙当前原图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来源（当前证据）：liveshow-proto/MainBasis/统一需求文档.md；位置：行2154
2. 规则：BR-6e2115c9c02db66a
3. 未动态验证
4. 数据别名：甲、乙、丙用于区分本条测试对象；按前置条件准备并记录实际账号或记录 ID，不是固定业务名称。</x:v>
      </x:c>
    </x:row>
    <x:row r="125" ht="70" customHeight="1">
      <x:c r="A125" s="10" t="n">
        <x:v>124</x:v>
      </x:c>
      <x:c r="B125" s="10" t="str">
        <x:v>GUILD-02-0059</x:v>
      </x:c>
      <x:c r="C125" s="10" t="str">
        <x:v>主播管理</x:v>
      </x:c>
      <x:c r="D125" s="10" t="str">
        <x:v>退会申请详情（公会长视角）</x:v>
      </x:c>
      <x:c r="E125" s="10" t="str">
        <x:v>功能需求</x:v>
      </x:c>
      <x:c r="F125" s="10" t="str">
        <x:v>P2</x:v>
      </x:c>
      <x:c r="G125" s="9" t="str">
        <x:v>验证退会申请详情读取主播ID</x:v>
      </x:c>
      <x:c r="H125" s="9" t="str">
        <x:v>主播ID回显</x:v>
      </x:c>
      <x:c r="I125" s="9" t="str">
        <x:v>1. 执行角色为公会长
2. 退会申请对应主播的主播ID为“100001”</x:v>
      </x:c>
      <x:c r="J125" s="9" t="str">
        <x:v>1. 进入退会申请详情
2. 查看主播ID</x:v>
      </x:c>
      <x:c r="K125" s="9" t="str">
        <x:v>主播ID显示“100001”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来源（当前证据）：liveshow-proto/MainBasis/统一需求文档.md；位置：行2155
2. 规则：BR-3232e05fd7b44b15
3. 未动态验证</x:v>
      </x:c>
    </x:row>
    <x:row r="126" ht="115" customHeight="1">
      <x:c r="A126" s="10" t="n">
        <x:v>125</x:v>
      </x:c>
      <x:c r="B126" s="10" t="str">
        <x:v>GUILD-02-0060</x:v>
      </x:c>
      <x:c r="C126" s="10" t="str">
        <x:v>主播管理</x:v>
      </x:c>
      <x:c r="D126" s="10" t="str">
        <x:v>退会申请详情（公会长视角）</x:v>
      </x:c>
      <x:c r="E126" s="10" t="str">
        <x:v>功能需求</x:v>
      </x:c>
      <x:c r="F126" s="10" t="str">
        <x:v>P2</x:v>
      </x:c>
      <x:c r="G126" s="9" t="str">
        <x:v>验证退会详情加入时间使用本次关系</x:v>
      </x:c>
      <x:c r="H126" s="9" t="str">
        <x:v>当前公会关系生效日期</x:v>
      </x:c>
      <x:c r="I126" s="9" t="str">
        <x:v>1. 执行角色为公会长
2. 主播甲曾退出后重新加入同一公会，本次关系于2026年9月1日生效；现已提交退会</x:v>
      </x:c>
      <x:c r="J126" s="9" t="str">
        <x:v>1. 进入甲本次退会详情</x:v>
      </x:c>
      <x:c r="K126" s="9" t="str">
        <x:v>加入日期为2026年9月1日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来源（当前证据）：liveshow-proto/MainBasis/统一需求文档.md；位置：行2156
2. 规则：BR-ae4ffad16d93f37d
3. 未动态验证
4. 数据别名：甲、乙、丙用于区分本条测试对象；按前置条件准备并记录实际账号或记录 ID，不是固定业务名称。</x:v>
      </x:c>
    </x:row>
    <x:row r="127" ht="115" customHeight="1">
      <x:c r="A127" s="10" t="n">
        <x:v>126</x:v>
      </x:c>
      <x:c r="B127" s="10" t="str">
        <x:v>GUILD-02-0061</x:v>
      </x:c>
      <x:c r="C127" s="10" t="str">
        <x:v>主播管理</x:v>
      </x:c>
      <x:c r="D127" s="10" t="str">
        <x:v>退会申请详情（公会长视角）</x:v>
      </x:c>
      <x:c r="E127" s="10" t="str">
        <x:v>功能需求</x:v>
      </x:c>
      <x:c r="F127" s="10" t="str">
        <x:v>P2</x:v>
      </x:c>
      <x:c r="G127" s="9" t="str">
        <x:v>验证退会详情时间区分加入与申请</x:v>
      </x:c>
      <x:c r="H127" s="9" t="str">
        <x:v>退会详情申请时间</x:v>
      </x:c>
      <x:c r="I127" s="9" t="str">
        <x:v>1. 执行角色为公会长
2. 主播甲9月1日入会，9月10日提交本次退会，已记录本次提交时刻</x:v>
      </x:c>
      <x:c r="J127" s="9" t="str">
        <x:v>1. 进入甲退会详情</x:v>
      </x:c>
      <x:c r="K127" s="9" t="str">
        <x:v>申请时间对应9月10日本次提交时刻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来源（当前证据）：liveshow-proto/MainBasis/统一需求文档.md；位置：行2157
2. 规则：BR-cf2aeb5211331a2b
3. 未动态验证
4. 数据别名：甲、乙、丙用于区分本条测试对象；按前置条件准备并记录实际账号或记录 ID，不是固定业务名称。</x:v>
      </x:c>
    </x:row>
    <x:row r="128" ht="70" customHeight="1">
      <x:c r="A128" s="10" t="n">
        <x:v>127</x:v>
      </x:c>
      <x:c r="B128" s="10" t="str">
        <x:v>GUILD-02-0062</x:v>
      </x:c>
      <x:c r="C128" s="10" t="str">
        <x:v>主播管理</x:v>
      </x:c>
      <x:c r="D128" s="10" t="str">
        <x:v>退会申请详情（公会长视角）</x:v>
      </x:c>
      <x:c r="E128" s="10" t="str">
        <x:v>功能需求</x:v>
      </x:c>
      <x:c r="F128" s="10" t="str">
        <x:v>P2</x:v>
      </x:c>
      <x:c r="G128" s="9" t="str">
        <x:v>验证退会申请详情读取申请状态</x:v>
      </x:c>
      <x:c r="H128" s="9" t="str">
        <x:v>申请状态回显</x:v>
      </x:c>
      <x:c r="I128" s="9" t="str">
        <x:v>1. 执行角色为公会长
2. 当前退会申请的申请状态为“待审核”</x:v>
      </x:c>
      <x:c r="J128" s="9" t="str">
        <x:v>1. 进入退会申请详情
2. 查看申请状态</x:v>
      </x:c>
      <x:c r="K128" s="9" t="str">
        <x:v>申请状态显示“待审核”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来源（当前证据）：liveshow-proto/MainBasis/统一需求文档.md；位置：行2158
2. 规则：BR-10a9f10d7d11ec91
3. 未动态验证</x:v>
      </x:c>
    </x:row>
    <x:row r="129" ht="130" customHeight="1">
      <x:c r="A129" s="10" t="n">
        <x:v>128</x:v>
      </x:c>
      <x:c r="B129" s="10" t="str">
        <x:v>GUILD-02-0063</x:v>
      </x:c>
      <x:c r="C129" s="10" t="str">
        <x:v>主播管理</x:v>
      </x:c>
      <x:c r="D129" s="10" t="str">
        <x:v>退会申请详情（公会长视角）</x:v>
      </x:c>
      <x:c r="E129" s="10" t="str">
        <x:v>功能需求</x:v>
      </x:c>
      <x:c r="F129" s="10" t="str">
        <x:v>P2</x:v>
      </x:c>
      <x:c r="G129" s="9" t="str">
        <x:v>验证退会通过后详情显示审核结果</x:v>
      </x:c>
      <x:c r="H129" s="9" t="str">
        <x:v>退会详情通过结果</x:v>
      </x:c>
      <x:c r="I129" s="9" t="str">
        <x:v>1. 执行角色为公会长
2. 本次申请甲刚由公会通过</x:v>
      </x:c>
      <x:c r="J129" s="9" t="str">
        <x:v>1. 进入甲退会详情</x:v>
      </x:c>
      <x:c r="K129" s="9" t="str">
        <x:v>申请状态为已通过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来源（当前证据）：liveshow-proto/MainBasis/统一需求文档.md；位置：行2158、行2160
2. 规则：BR-25d33f1b6bf7498b
3. 未动态验证
4. 数据别名：甲、乙、丙用于区分本条测试对象；按前置条件准备并记录实际账号或记录 ID，不是固定业务名称。</x:v>
      </x:c>
    </x:row>
    <x:row r="130" ht="130" customHeight="1">
      <x:c r="A130" s="10" t="n">
        <x:v>129</x:v>
      </x:c>
      <x:c r="B130" s="10" t="str">
        <x:v>GUILD-02-0064</x:v>
      </x:c>
      <x:c r="C130" s="10" t="str">
        <x:v>主播管理</x:v>
      </x:c>
      <x:c r="D130" s="10" t="str">
        <x:v>退会申请详情（公会长视角）</x:v>
      </x:c>
      <x:c r="E130" s="10" t="str">
        <x:v>功能需求</x:v>
      </x:c>
      <x:c r="F130" s="10" t="str">
        <x:v>P2</x:v>
      </x:c>
      <x:c r="G130" s="9" t="str">
        <x:v>验证退会驳回后详情显示审核结果</x:v>
      </x:c>
      <x:c r="H130" s="9" t="str">
        <x:v>退会详情驳回结果</x:v>
      </x:c>
      <x:c r="I130" s="9" t="str">
        <x:v>1. 执行角色为公会长
2. 本次申请甲刚由公会驳回</x:v>
      </x:c>
      <x:c r="J130" s="9" t="str">
        <x:v>1. 进入甲退会详情</x:v>
      </x:c>
      <x:c r="K130" s="9" t="str">
        <x:v>申请状态为已驳回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来源（当前证据）：liveshow-proto/MainBasis/统一需求文档.md；位置：行2158、行2160
2. 规则：BR-7e1f625285bc2d11
3. 未动态验证
4. 数据别名：甲、乙、丙用于区分本条测试对象；按前置条件准备并记录实际账号或记录 ID，不是固定业务名称。</x:v>
      </x:c>
    </x:row>
    <x:row r="131" ht="70" customHeight="1">
      <x:c r="A131" s="10" t="n">
        <x:v>130</x:v>
      </x:c>
      <x:c r="B131" s="10" t="str">
        <x:v>GUILD-02-0065</x:v>
      </x:c>
      <x:c r="C131" s="10" t="str">
        <x:v>主播管理</x:v>
      </x:c>
      <x:c r="D131" s="10" t="str">
        <x:v>退会申请详情（公会长视角）</x:v>
      </x:c>
      <x:c r="E131" s="10" t="str">
        <x:v>功能需求</x:v>
      </x:c>
      <x:c r="F131" s="10" t="str">
        <x:v>P2</x:v>
      </x:c>
      <x:c r="G131" s="9" t="str">
        <x:v>验证退会申请详情读取退会原因</x:v>
      </x:c>
      <x:c r="H131" s="9" t="str">
        <x:v>退会原因回显</x:v>
      </x:c>
      <x:c r="I131" s="9" t="str">
        <x:v>1. 执行角色为公会长
2. 当前退会申请提交快照的退会原因为“个人安排调整”</x:v>
      </x:c>
      <x:c r="J131" s="9" t="str">
        <x:v>1. 进入退会申请详情
2. 查看退会原因</x:v>
      </x:c>
      <x:c r="K131" s="9" t="str">
        <x:v>退会原因显示“个人安排调整”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来源（当前证据）：liveshow-proto/MainBasis/统一需求文档.md；位置：行2159
2. 规则：BR-93475ca61458a8f5
3. 未动态验证</x:v>
      </x:c>
    </x:row>
    <x:row r="132" ht="115" customHeight="1">
      <x:c r="A132" s="10" t="n">
        <x:v>131</x:v>
      </x:c>
      <x:c r="B132" s="10" t="str">
        <x:v>GUILD-02-0066</x:v>
      </x:c>
      <x:c r="C132" s="10" t="str">
        <x:v>主播管理</x:v>
      </x:c>
      <x:c r="D132" s="10" t="str">
        <x:v>退会申请详情（公会长视角）</x:v>
      </x:c>
      <x:c r="E132" s="10" t="str">
        <x:v>功能需求</x:v>
      </x:c>
      <x:c r="F132" s="10" t="str">
        <x:v>P2</x:v>
      </x:c>
      <x:c r="G132" s="9" t="str">
        <x:v>验证已处理退会显示处理时间</x:v>
      </x:c>
      <x:c r="H132" s="9" t="str">
        <x:v>退会处理时间回显</x:v>
      </x:c>
      <x:c r="I132" s="9" t="str">
        <x:v>1. 执行角色为公会长
2. 甲退会审核完成，处理时间已记录为本日10:30</x:v>
      </x:c>
      <x:c r="J132" s="9" t="str">
        <x:v>1. 进入甲退会详情</x:v>
      </x:c>
      <x:c r="K132" s="9" t="str">
        <x:v>显示本日10:30对应处理时间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来源（当前证据）：liveshow-proto/MainBasis/统一需求文档.md；位置：行2160
2. 规则：BR-386a0d4b8f813be3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GUILD-02-0067</x:v>
      </x:c>
      <x:c r="C133" s="10" t="str">
        <x:v>主播管理</x:v>
      </x:c>
      <x:c r="D133" s="10" t="str">
        <x:v>退会申请详情（公会长视角）</x:v>
      </x:c>
      <x:c r="E133" s="10" t="str">
        <x:v>业务流程</x:v>
      </x:c>
      <x:c r="F133" s="10" t="str">
        <x:v>P1</x:v>
      </x:c>
      <x:c r="G133" s="9" t="str">
        <x:v>验证退会驳回不填理由</x:v>
      </x:c>
      <x:c r="H133" s="9" t="str">
        <x:v>退会可选理由</x:v>
      </x:c>
      <x:c r="I133" s="9" t="str">
        <x:v>1. 执行角色为公会长
2. 退会申请甲待审核</x:v>
      </x:c>
      <x:c r="J133" s="9" t="str">
        <x:v>1. 进入申请甲详情
2. 点击驳回
3. 清空驳回理由
4. 确认驳回</x:v>
      </x:c>
      <x:c r="K133" s="9" t="str">
        <x:v>驳回理由显示“未填写”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来源（当前证据）：liveshow-proto/MainBasis/统一需求文档.md；位置：行2161
2. 规则：BR-9682a0eb60c704d9
3. 未动态验证
4. 数据别名：甲、乙、丙用于区分本条测试对象；按前置条件准备并记录实际账号或记录 ID，不是固定业务名称。</x:v>
      </x:c>
    </x:row>
    <x:row r="134" ht="130" customHeight="1">
      <x:c r="A134" s="10" t="n">
        <x:v>133</x:v>
      </x:c>
      <x:c r="B134" s="10" t="str">
        <x:v>GUILD-02-0068</x:v>
      </x:c>
      <x:c r="C134" s="10" t="str">
        <x:v>主播管理</x:v>
      </x:c>
      <x:c r="D134" s="10" t="str">
        <x:v>退会申请详情（公会长视角）</x:v>
      </x:c>
      <x:c r="E134" s="10" t="str">
        <x:v>功能需求</x:v>
      </x:c>
      <x:c r="F134" s="10" t="str">
        <x:v>P2</x:v>
      </x:c>
      <x:c r="G134" s="9" t="str">
        <x:v>验证退会驳回200字符理由可保存</x:v>
      </x:c>
      <x:c r="H134" s="9" t="str">
        <x:v>退会理由长度上限内</x:v>
      </x:c>
      <x:c r="I134" s="9" t="str">
        <x:v>1. 执行角色为公会长
2. 甲申请待审核</x:v>
      </x:c>
      <x:c r="J134" s="9" t="str">
        <x:v>1. 进入甲退会详情
2. 点击驳回
3. 填写200个“因”作为理由
4. 点击确认</x:v>
      </x:c>
      <x:c r="K134" s="9" t="str">
        <x:v>驳回节点保存输入的200字符理由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来源（当前证据）：liveshow-proto/MainBasis/统一需求文档.md；位置：行2161、行2164
2. 规则：BR-110c3ecd33d51b43
3. 未动态验证
4. 数据别名：甲、乙、丙用于区分本条测试对象；按前置条件准备并记录实际账号或记录 ID，不是固定业务名称。</x:v>
      </x:c>
    </x:row>
    <x:row r="135" ht="130" customHeight="1">
      <x:c r="A135" s="10" t="n">
        <x:v>134</x:v>
      </x:c>
      <x:c r="B135" s="10" t="str">
        <x:v>GUILD-02-0069</x:v>
      </x:c>
      <x:c r="C135" s="10" t="str">
        <x:v>主播管理</x:v>
      </x:c>
      <x:c r="D135" s="10" t="str">
        <x:v>退会申请详情（公会长视角）</x:v>
      </x:c>
      <x:c r="E135" s="10" t="str">
        <x:v>功能需求</x:v>
      </x:c>
      <x:c r="F135" s="10" t="str">
        <x:v>P2</x:v>
      </x:c>
      <x:c r="G135" s="9" t="str">
        <x:v>验证退会驳回201字符理由不能保存</x:v>
      </x:c>
      <x:c r="H135" s="9" t="str">
        <x:v>退会理由长度上限外</x:v>
      </x:c>
      <x:c r="I135" s="9" t="str">
        <x:v>1. 执行角色为公会长
2. 甲申请待审核</x:v>
      </x:c>
      <x:c r="J135" s="9" t="str">
        <x:v>1. 进入甲退会详情
2. 点击驳回
3. 填写201个“因”作为理由
4. 点击确认</x:v>
      </x:c>
      <x:c r="K135" s="9" t="str">
        <x:v>不能保存超过200字符的驳回理由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来源（当前证据）：liveshow-proto/MainBasis/统一需求文档.md；位置：行2161、行2164
2. 规则：BR-d08ba41db3747f7a
3. 未动态验证
4. 数据别名：甲、乙、丙用于区分本条测试对象；按前置条件准备并记录实际账号或记录 ID，不是固定业务名称。</x:v>
      </x:c>
    </x:row>
    <x:row r="136" ht="145" customHeight="1">
      <x:c r="A136" s="10" t="n">
        <x:v>135</x:v>
      </x:c>
      <x:c r="B136" s="10" t="str">
        <x:v>GUILD-02-0070</x:v>
      </x:c>
      <x:c r="C136" s="10" t="str">
        <x:v>主播管理</x:v>
      </x:c>
      <x:c r="D136" s="10" t="str">
        <x:v>退会申请详情（公会长视角）</x:v>
      </x:c>
      <x:c r="E136" s="10" t="str">
        <x:v>业务流程</x:v>
      </x:c>
      <x:c r="F136" s="10" t="str">
        <x:v>P1</x:v>
      </x:c>
      <x:c r="G136" s="9" t="str">
        <x:v>验证驳回退会后主播仍在会</x:v>
      </x:c>
      <x:c r="H136" s="9" t="str">
        <x:v>退会驳回关系保留</x:v>
      </x:c>
      <x:c r="I136" s="9" t="str">
        <x:v>1. 执行角色为公会长
2. 主播甲在会且申请退会待审核</x:v>
      </x:c>
      <x:c r="J136" s="9" t="str">
        <x:v>1. 进入退会申请甲详情
2. 点击驳回
3. 确认驳回
4. 进入主播列表
5. 选择在会</x:v>
      </x:c>
      <x:c r="K136" s="9" t="str">
        <x:v>在会列表仍包含主播甲</x:v>
      </x:c>
      <x:c r="L136" s="10" t="str">
        <x:v>FLOW-LEAVE</x:v>
      </x:c>
      <x:c r="M136" s="10" t="str">
        <x:v>未测</x:v>
      </x:c>
      <x:c r="N136" s="10" t="str"/>
      <x:c r="O136" s="9" t="str">
        <x:v>1. 来源（当前证据）：liveshow-proto/MainBasis/统一需求文档.md；位置：行2163
2. 规则：BR-08f8d577d6625721
3. 未动态验证
4. 状态转换：ST-LEAVE-REJECT；按同一业务对象的数据别名准备对应上下游记录
5. 数据别名：甲、乙、丙用于区分本条测试对象；按前置条件准备并记录实际账号或记录 ID，不是固定业务名称。</x:v>
      </x:c>
    </x:row>
    <x:row r="137" ht="115" customHeight="1">
      <x:c r="A137" s="10" t="n">
        <x:v>136</x:v>
      </x:c>
      <x:c r="B137" s="10" t="str">
        <x:v>GUILD-02-0071</x:v>
      </x:c>
      <x:c r="C137" s="10" t="str">
        <x:v>主播管理</x:v>
      </x:c>
      <x:c r="D137" s="10" t="str">
        <x:v>退会申请详情（公会长视角）</x:v>
      </x:c>
      <x:c r="E137" s="10" t="str">
        <x:v>功能需求</x:v>
      </x:c>
      <x:c r="F137" s="10" t="str">
        <x:v>P2</x:v>
      </x:c>
      <x:c r="G137" s="9" t="str">
        <x:v>验证驳回后新退会申请可继续审核</x:v>
      </x:c>
      <x:c r="H137" s="9" t="str">
        <x:v>退会重新申请</x:v>
      </x:c>
      <x:c r="I137" s="9" t="str">
        <x:v>1. 执行角色为公会长
2. 主播甲上次退会被公会驳回，现已重新提交新申请乙</x:v>
      </x:c>
      <x:c r="J137" s="9" t="str">
        <x:v>1. 进入退会申请
2. 选择审核中</x:v>
      </x:c>
      <x:c r="K137" s="9" t="str">
        <x:v>列表包含新申请乙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来源（当前证据）：liveshow-proto/MainBasis/统一需求文档.md；位置：行2163
2. 规则：BR-39cd62b41e664387
3. 未动态验证
4. 数据别名：甲、乙、丙用于区分本条测试对象；按前置条件准备并记录实际账号或记录 ID，不是固定业务名称。</x:v>
      </x:c>
    </x:row>
    <x:row r="138" ht="115" customHeight="1">
      <x:c r="A138" s="10" t="n">
        <x:v>137</x:v>
      </x:c>
      <x:c r="B138" s="10" t="str">
        <x:v>GUILD-02-0072</x:v>
      </x:c>
      <x:c r="C138" s="10" t="str">
        <x:v>主播管理</x:v>
      </x:c>
      <x:c r="D138" s="10" t="str">
        <x:v>退会申请详情（公会长视角）</x:v>
      </x:c>
      <x:c r="E138" s="10" t="str">
        <x:v>业务流程</x:v>
      </x:c>
      <x:c r="F138" s="10" t="str">
        <x:v>P1</x:v>
      </x:c>
      <x:c r="G138" s="9" t="str">
        <x:v>验证已处理退会不再审核</x:v>
      </x:c>
      <x:c r="H138" s="9" t="str">
        <x:v>退会终态只读</x:v>
      </x:c>
      <x:c r="I138" s="9" t="str">
        <x:v>1. 执行角色为公会长
2. 申请甲已经审核通过</x:v>
      </x:c>
      <x:c r="J138" s="9" t="str">
        <x:v>1. 进入退会申请甲详情</x:v>
      </x:c>
      <x:c r="K138" s="9" t="str">
        <x:v>不提供再次审核操作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来源（当前证据）：liveshow-proto/MainBasis/统一需求文档.md；位置：行2164
2. 规则：BR-e752da3d54590026
3. 未动态验证
4. 数据别名：甲、乙、丙用于区分本条测试对象；按前置条件准备并记录实际账号或记录 ID，不是固定业务名称。</x:v>
      </x:c>
    </x:row>
    <x:row r="139" ht="130" customHeight="1">
      <x:c r="A139" s="10" t="n">
        <x:v>138</x:v>
      </x:c>
      <x:c r="B139" s="10" t="str">
        <x:v>GUILD-02-0073</x:v>
      </x:c>
      <x:c r="C139" s="10" t="str">
        <x:v>主播管理</x:v>
      </x:c>
      <x:c r="D139" s="10" t="str">
        <x:v>退会申请详情（公会长视角）</x:v>
      </x:c>
      <x:c r="E139" s="10" t="str">
        <x:v>功能需求</x:v>
      </x:c>
      <x:c r="F139" s="10" t="str">
        <x:v>P2</x:v>
      </x:c>
      <x:c r="G139" s="9" t="str">
        <x:v>验证取消退会通过保留待审核</x:v>
      </x:c>
      <x:c r="H139" s="9" t="str">
        <x:v>退会确认取消</x:v>
      </x:c>
      <x:c r="I139" s="9" t="str">
        <x:v>1. 执行角色为公会长
2. 申请甲仍待公会审核</x:v>
      </x:c>
      <x:c r="J139" s="9" t="str">
        <x:v>1. 进入甲退会详情
2. 点击通过
3. 点击取消</x:v>
      </x:c>
      <x:c r="K139" s="9" t="str">
        <x:v>甲仍为待审核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来源（当前证据）：liveshow-proto/MainBasis/统一需求文档.md；位置：行2164、行2165
2. 规则：BR-c07f11c635a773eb
3. 未动态验证
4. 数据别名：甲、乙、丙用于区分本条测试对象；按前置条件准备并记录实际账号或记录 ID，不是固定业务名称。</x:v>
      </x:c>
    </x:row>
    <x:row r="140" ht="115" customHeight="1">
      <x:c r="A140" s="10" t="n">
        <x:v>139</x:v>
      </x:c>
      <x:c r="B140" s="10" t="str">
        <x:v>GUILD-02-0074</x:v>
      </x:c>
      <x:c r="C140" s="10" t="str">
        <x:v>主播管理</x:v>
      </x:c>
      <x:c r="D140" s="10" t="str">
        <x:v>退会申请详情（公会长视角）</x:v>
      </x:c>
      <x:c r="E140" s="10" t="str">
        <x:v>功能需求</x:v>
      </x:c>
      <x:c r="F140" s="10" t="str">
        <x:v>P2</x:v>
      </x:c>
      <x:c r="G140" s="9" t="str">
        <x:v>验证驳回的退会申请保持只读</x:v>
      </x:c>
      <x:c r="H140" s="9" t="str">
        <x:v>退会驳回终态</x:v>
      </x:c>
      <x:c r="I140" s="9" t="str">
        <x:v>1. 执行角色为公会长
2. 申请甲已经被公会驳回，主播未重新申请</x:v>
      </x:c>
      <x:c r="J140" s="9" t="str">
        <x:v>1. 进入甲退会详情</x:v>
      </x:c>
      <x:c r="K140" s="9" t="str">
        <x:v>不提供再次审核该笔申请的操作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来源（当前证据）：liveshow-proto/MainBasis/统一需求文档.md；位置：行2164
2. 规则：BR-f8903b7127829087
3. 未动态验证
4.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GUILD-02-0075</x:v>
      </x:c>
      <x:c r="C141" s="10" t="str">
        <x:v>主播管理</x:v>
      </x:c>
      <x:c r="D141" s="10" t="str">
        <x:v>退会申请详情（公会长视角）</x:v>
      </x:c>
      <x:c r="E141" s="10" t="str">
        <x:v>业务流程</x:v>
      </x:c>
      <x:c r="F141" s="10" t="str">
        <x:v>P1</x:v>
      </x:c>
      <x:c r="G141" s="9" t="str">
        <x:v>验证通过退会必须二次确认</x:v>
      </x:c>
      <x:c r="H141" s="9" t="str">
        <x:v>退会确认过程</x:v>
      </x:c>
      <x:c r="I141" s="9" t="str">
        <x:v>1. 执行角色为公会长
2. 退会申请甲待审核</x:v>
      </x:c>
      <x:c r="J141" s="9" t="str">
        <x:v>1. 进入申请甲详情
2. 点击通过</x:v>
      </x:c>
      <x:c r="K141" s="9" t="str">
        <x:v>显示退会通过确认弹窗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来源（当前证据）：liveshow-proto/MainBasis/统一需求文档.md；位置：行2165
2. 规则：BR-52696f108fc282ce
3. 未动态验证
4. 数据别名：甲、乙、丙用于区分本条测试对象；按前置条件准备并记录实际账号或记录 ID，不是固定业务名称。</x:v>
      </x:c>
    </x:row>
    <x:row r="142" ht="70" customHeight="1">
      <x:c r="A142" s="10" t="n">
        <x:v>141</x:v>
      </x:c>
      <x:c r="B142" s="10" t="str">
        <x:v>GUILD-02-0076</x:v>
      </x:c>
      <x:c r="C142" s="10" t="str">
        <x:v>主播管理</x:v>
      </x:c>
      <x:c r="D142" s="10" t="str">
        <x:v>主播列表（公会长视角）</x:v>
      </x:c>
      <x:c r="E142" s="10" t="str">
        <x:v>功能需求</x:v>
      </x:c>
      <x:c r="F142" s="10" t="str">
        <x:v>P2</x:v>
      </x:c>
      <x:c r="G142" s="9" t="str">
        <x:v>验证主播列表默认在会</x:v>
      </x:c>
      <x:c r="H142" s="9" t="str">
        <x:v>主播关系列表默认</x:v>
      </x:c>
      <x:c r="I142" s="9" t="str">
        <x:v>1. 执行角色为公会长
2. 当前有在会和已退出主播记录</x:v>
      </x:c>
      <x:c r="J142" s="9" t="str">
        <x:v>1. 进入主播列表</x:v>
      </x:c>
      <x:c r="K142" s="9" t="str">
        <x:v>默认选择在会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来源（当前证据）：liveshow-proto/MainBasis/统一需求文档.md；位置：行2169
2. 规则：BR-c4c575c8136f69c8
3. 未动态验证</x:v>
      </x:c>
    </x:row>
    <x:row r="143" ht="115" customHeight="1">
      <x:c r="A143" s="10" t="n">
        <x:v>142</x:v>
      </x:c>
      <x:c r="B143" s="10" t="str">
        <x:v>GUILD-02-0077</x:v>
      </x:c>
      <x:c r="C143" s="10" t="str">
        <x:v>主播管理</x:v>
      </x:c>
      <x:c r="D143" s="10" t="str">
        <x:v>主播列表（公会长视角）</x:v>
      </x:c>
      <x:c r="E143" s="10" t="str">
        <x:v>功能需求</x:v>
      </x:c>
      <x:c r="F143" s="10" t="str">
        <x:v>P2</x:v>
      </x:c>
      <x:c r="G143" s="9" t="str">
        <x:v>验证已退出列表保留历史主播</x:v>
      </x:c>
      <x:c r="H143" s="9" t="str">
        <x:v>退会历史列表</x:v>
      </x:c>
      <x:c r="I143" s="9" t="str">
        <x:v>1. 执行角色为公会长
2. 甲刚完成退会，乙仍在会</x:v>
      </x:c>
      <x:c r="J143" s="9" t="str">
        <x:v>1. 进入主播列表
2. 选择已退会</x:v>
      </x:c>
      <x:c r="K143" s="9" t="str">
        <x:v>列表包含甲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来源（当前证据）：liveshow-proto/MainBasis/统一需求文档.md；位置：行2169
2. 规则：BR-4fc8bffb48433fb7
3. 未动态验证
4. 数据别名：甲、乙、丙用于区分本条测试对象；按前置条件准备并记录实际账号或记录 ID，不是固定业务名称。</x:v>
      </x:c>
    </x:row>
    <x:row r="144" ht="70" customHeight="1">
      <x:c r="A144" s="10" t="n">
        <x:v>143</x:v>
      </x:c>
      <x:c r="B144" s="10" t="str">
        <x:v>GUILD-02-0078</x:v>
      </x:c>
      <x:c r="C144" s="10" t="str">
        <x:v>主播管理</x:v>
      </x:c>
      <x:c r="D144" s="10" t="str">
        <x:v>主播列表（公会长视角）</x:v>
      </x:c>
      <x:c r="E144" s="10" t="str">
        <x:v>功能需求</x:v>
      </x:c>
      <x:c r="F144" s="10" t="str">
        <x:v>P2</x:v>
      </x:c>
      <x:c r="G144" s="9" t="str">
        <x:v>验证在会主播数量不含历史退会</x:v>
      </x:c>
      <x:c r="H144" s="9" t="str">
        <x:v>在会人数</x:v>
      </x:c>
      <x:c r="I144" s="9" t="str">
        <x:v>1. 执行角色为公会长
2. 当前公会有2名在会主播、1名历史退会主播，没有其他主播</x:v>
      </x:c>
      <x:c r="J144" s="9" t="str">
        <x:v>1. 进入主播列表</x:v>
      </x:c>
      <x:c r="K144" s="9" t="str">
        <x:v>在会人数显示2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来源（当前证据）：liveshow-proto/MainBasis/统一需求文档.md；位置：行2169
2. 规则：BR-30539f5e2ec28393
3. 未动态验证</x:v>
      </x:c>
    </x:row>
    <x:row r="145" ht="70" customHeight="1">
      <x:c r="A145" s="10" t="n">
        <x:v>144</x:v>
      </x:c>
      <x:c r="B145" s="10" t="str">
        <x:v>GUILD-02-0079</x:v>
      </x:c>
      <x:c r="C145" s="10" t="str">
        <x:v>主播管理</x:v>
      </x:c>
      <x:c r="D145" s="10" t="str">
        <x:v>主播列表（公会长视角）</x:v>
      </x:c>
      <x:c r="E145" s="10" t="str">
        <x:v>功能需求</x:v>
      </x:c>
      <x:c r="F145" s="10" t="str">
        <x:v>P2</x:v>
      </x:c>
      <x:c r="G145" s="9" t="str">
        <x:v>验证历史退会主播数量</x:v>
      </x:c>
      <x:c r="H145" s="9" t="str">
        <x:v>已退会人数</x:v>
      </x:c>
      <x:c r="I145" s="9" t="str">
        <x:v>1. 执行角色为公会长
2. 当前公会有2名在会主播、1名历史退会主播，没有其他主播</x:v>
      </x:c>
      <x:c r="J145" s="9" t="str">
        <x:v>1. 进入主播列表</x:v>
      </x:c>
      <x:c r="K145" s="9" t="str">
        <x:v>已退会人数显示1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来源（当前证据）：liveshow-proto/MainBasis/统一需求文档.md；位置：行2169
2. 规则：BR-0085209b40e2ea3f
3. 未动态验证</x:v>
      </x:c>
    </x:row>
    <x:row r="146" ht="85" customHeight="1">
      <x:c r="A146" s="10" t="n">
        <x:v>145</x:v>
      </x:c>
      <x:c r="B146" s="10" t="str">
        <x:v>GUILD-02-0080</x:v>
      </x:c>
      <x:c r="C146" s="10" t="str">
        <x:v>主播管理</x:v>
      </x:c>
      <x:c r="D146" s="10" t="str">
        <x:v>主播列表（公会长视角）</x:v>
      </x:c>
      <x:c r="E146" s="10" t="str">
        <x:v>业务流程</x:v>
      </x:c>
      <x:c r="F146" s="10" t="str">
        <x:v>P1</x:v>
      </x:c>
      <x:c r="G146" s="9" t="str">
        <x:v>验证在会状态与ID条件共同筛选</x:v>
      </x:c>
      <x:c r="H146" s="9" t="str">
        <x:v>成员组合查询</x:v>
      </x:c>
      <x:c r="I146" s="9" t="str">
        <x:v>1. 执行角色为公会长
2. 在会主播ID100001；已退会主播ID100002</x:v>
      </x:c>
      <x:c r="J146" s="9" t="str">
        <x:v>1. 进入主播列表
2. 选择在会
3. 输入ID100002</x:v>
      </x:c>
      <x:c r="K146" s="9" t="str">
        <x:v>显示空列表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来源（当前证据）：liveshow-proto/MainBasis/统一需求文档.md；位置：行2170、行2175
2. 规则：BR-8bbdfe7c1ec33edb
3. 未动态验证</x:v>
      </x:c>
    </x:row>
    <x:row r="147" ht="130" customHeight="1">
      <x:c r="A147" s="10" t="n">
        <x:v>146</x:v>
      </x:c>
      <x:c r="B147" s="10" t="str">
        <x:v>GUILD-02-0081</x:v>
      </x:c>
      <x:c r="C147" s="10" t="str">
        <x:v>主播管理</x:v>
      </x:c>
      <x:c r="D147" s="10" t="str">
        <x:v>主播列表（公会长视角）</x:v>
      </x:c>
      <x:c r="E147" s="10" t="str">
        <x:v>功能需求</x:v>
      </x:c>
      <x:c r="F147" s="10" t="str">
        <x:v>P2</x:v>
      </x:c>
      <x:c r="G147" s="9" t="str">
        <x:v>验证主播名称模糊搜索与状态共同生效</x:v>
      </x:c>
      <x:c r="H147" s="9" t="str">
        <x:v>主播名称搜索交集</x:v>
      </x:c>
      <x:c r="I147" s="9" t="str">
        <x:v>1. 执行角色为公会长
2. 当前公会在会甲昵称MusicA，已退会乙昵称MusicB，在会丙昵称ChatC</x:v>
      </x:c>
      <x:c r="J147" s="9" t="str">
        <x:v>1. 进入主播列表
2. 选择在会
3. 输入Music</x:v>
      </x:c>
      <x:c r="K147" s="9" t="str">
        <x:v>结果集合仅包含甲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来源（当前证据）：liveshow-proto/MainBasis/统一需求文档.md；位置：行2170、行2175
2. 规则：BR-fd4f0be7e51b2ce0
3. 未动态验证
4. 数据别名：甲、乙、丙用于区分本条测试对象；按前置条件准备并记录实际账号或记录 ID，不是固定业务名称。</x:v>
      </x:c>
    </x:row>
    <x:row r="148" ht="70" customHeight="1">
      <x:c r="A148" s="10" t="n">
        <x:v>147</x:v>
      </x:c>
      <x:c r="B148" s="10" t="str">
        <x:v>GUILD-02-0082</x:v>
      </x:c>
      <x:c r="C148" s="10" t="str">
        <x:v>主播管理</x:v>
      </x:c>
      <x:c r="D148" s="10" t="str">
        <x:v>主播列表（公会长视角）</x:v>
      </x:c>
      <x:c r="E148" s="10" t="str">
        <x:v>功能需求</x:v>
      </x:c>
      <x:c r="F148" s="10" t="str">
        <x:v>P2</x:v>
      </x:c>
      <x:c r="G148" s="9" t="str">
        <x:v>验证主播ID支持部分字符搜索</x:v>
      </x:c>
      <x:c r="H148" s="9" t="str">
        <x:v>主播ID模糊检索</x:v>
      </x:c>
      <x:c r="I148" s="9" t="str">
        <x:v>1. 执行角色为公会长
2. 本会在会主播ID为100123和100456；实际测试数据须由环境准备为这两个唯一ID</x:v>
      </x:c>
      <x:c r="J148" s="9" t="str">
        <x:v>1. 进入主播列表
2. 选择在会
3. 输入0123</x:v>
      </x:c>
      <x:c r="K148" s="9" t="str">
        <x:v>结果仅包含100123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来源（当前证据）：liveshow-proto/MainBasis/统一需求文档.md；位置：行2170
2. 规则：BR-88251ca2e92bbad4
3. 未动态验证</x:v>
      </x:c>
    </x:row>
    <x:row r="149" ht="115" customHeight="1">
      <x:c r="A149" s="10" t="n">
        <x:v>148</x:v>
      </x:c>
      <x:c r="B149" s="10" t="str">
        <x:v>GUILD-02-0083</x:v>
      </x:c>
      <x:c r="C149" s="10" t="str">
        <x:v>主播管理</x:v>
      </x:c>
      <x:c r="D149" s="10" t="str">
        <x:v>主播列表（公会长视角）</x:v>
      </x:c>
      <x:c r="E149" s="10" t="str">
        <x:v>功能需求</x:v>
      </x:c>
      <x:c r="F149" s="10" t="str">
        <x:v>P2</x:v>
      </x:c>
      <x:c r="G149" s="9" t="str">
        <x:v>验证主播列表读取名称</x:v>
      </x:c>
      <x:c r="H149" s="9" t="str">
        <x:v>名称回显</x:v>
      </x:c>
      <x:c r="I149" s="9" t="str">
        <x:v>1. 执行角色为公会长
2. 主播列表当前有效记录的名称为“主播甲”</x:v>
      </x:c>
      <x:c r="J149" s="9" t="str">
        <x:v>1. 进入主播列表
2. 查看名称</x:v>
      </x:c>
      <x:c r="K149" s="9" t="str">
        <x:v>名称显示“主播甲”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来源（当前证据）：liveshow-proto/MainBasis/统一需求文档.md；位置：行2171
2. 规则：BR-5a1b13c77d0ec9bd
3. 未动态验证
4. 数据别名：甲、乙、丙用于区分本条测试对象；按前置条件准备并记录实际账号或记录 ID，不是固定业务名称。</x:v>
      </x:c>
    </x:row>
    <x:row r="150" ht="115" customHeight="1">
      <x:c r="A150" s="10" t="n">
        <x:v>149</x:v>
      </x:c>
      <x:c r="B150" s="10" t="str">
        <x:v>GUILD-02-0084</x:v>
      </x:c>
      <x:c r="C150" s="10" t="str">
        <x:v>主播管理</x:v>
      </x:c>
      <x:c r="D150" s="10" t="str">
        <x:v>主播列表（公会长视角）</x:v>
      </x:c>
      <x:c r="E150" s="10" t="str">
        <x:v>功能需求</x:v>
      </x:c>
      <x:c r="F150" s="10" t="str">
        <x:v>P2</x:v>
      </x:c>
      <x:c r="G150" s="9" t="str">
        <x:v>验证主播列表显示当前头像</x:v>
      </x:c>
      <x:c r="H150" s="9" t="str">
        <x:v>成员列表头像</x:v>
      </x:c>
      <x:c r="I150" s="9" t="str">
        <x:v>1. 执行角色为公会长
2. 本公会主播甲的头像刚更新成功，已记录新原图</x:v>
      </x:c>
      <x:c r="J150" s="9" t="str">
        <x:v>1. 进入主播列表
2. 查看甲头像</x:v>
      </x:c>
      <x:c r="K150" s="9" t="str">
        <x:v>甲显示新头像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来源（当前证据）：liveshow-proto/MainBasis/统一需求文档.md；位置：行2171
2. 规则：BR-5ce5842753e2f929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GUILD-02-0085</x:v>
      </x:c>
      <x:c r="C151" s="10" t="str">
        <x:v>主播管理</x:v>
      </x:c>
      <x:c r="D151" s="10" t="str">
        <x:v>主播列表（公会长视角）</x:v>
      </x:c>
      <x:c r="E151" s="10" t="str">
        <x:v>功能需求</x:v>
      </x:c>
      <x:c r="F151" s="10" t="str">
        <x:v>P2</x:v>
      </x:c>
      <x:c r="G151" s="9" t="str">
        <x:v>验证主播列表读取主播ID</x:v>
      </x:c>
      <x:c r="H151" s="9" t="str">
        <x:v>主播ID回显</x:v>
      </x:c>
      <x:c r="I151" s="9" t="str">
        <x:v>1. 执行角色为公会长
2. 主播列表当前有效记录的主播ID为“100001”</x:v>
      </x:c>
      <x:c r="J151" s="9" t="str">
        <x:v>1. 进入主播列表
2. 查看主播ID</x:v>
      </x:c>
      <x:c r="K151" s="9" t="str">
        <x:v>主播ID显示“100001”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来源（当前证据）：liveshow-proto/MainBasis/统一需求文档.md；位置：行2172
2. 规则：BR-a04b6b314cea0cea
3. 未动态验证</x:v>
      </x:c>
    </x:row>
    <x:row r="152" ht="145" customHeight="1">
      <x:c r="A152" s="10" t="n">
        <x:v>151</x:v>
      </x:c>
      <x:c r="B152" s="10" t="str">
        <x:v>GUILD-02-0086</x:v>
      </x:c>
      <x:c r="C152" s="10" t="str">
        <x:v>主播管理</x:v>
      </x:c>
      <x:c r="D152" s="10" t="str">
        <x:v>主播列表（公会长视角）</x:v>
      </x:c>
      <x:c r="E152" s="10" t="str">
        <x:v>功能需求</x:v>
      </x:c>
      <x:c r="F152" s="10" t="str">
        <x:v>P2</x:v>
      </x:c>
      <x:c r="G152" s="9" t="str">
        <x:v>验证主播列表按加入时间从新到旧</x:v>
      </x:c>
      <x:c r="H152" s="9" t="str">
        <x:v>加入时间倒序</x:v>
      </x:c>
      <x:c r="I152" s="9" t="str">
        <x:v>1. 执行角色为公会长
2. 三条符合本页范围的记录甲乙丙，加入时间依次为同一天10:00、11:00、12:00</x:v>
      </x:c>
      <x:c r="J152" s="9" t="str">
        <x:v>1. 进入主播列表
2. 查看记录顺序</x:v>
      </x:c>
      <x:c r="K152" s="9" t="str">
        <x:v>记录顺序为丙、乙、甲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来源（当前证据）：liveshow-proto/MainBasis/统一需求文档.md；位置：行2173
2. 规则：BR-54a0a734fe53b4b7
3. 未动态验证
4. 数据别名：甲、乙、丙用于区分本条测试对象；按前置条件准备并记录实际账号或记录 ID，不是固定业务名称。
5. 本轮语义去重：合并同一结果路径“验证主播按加入时间倒序”，不读取历史用例。</x:v>
      </x:c>
    </x:row>
    <x:row r="153" ht="115" customHeight="1">
      <x:c r="A153" s="10" t="n">
        <x:v>152</x:v>
      </x:c>
      <x:c r="B153" s="10" t="str">
        <x:v>GUILD-02-0087</x:v>
      </x:c>
      <x:c r="C153" s="10" t="str">
        <x:v>主播管理</x:v>
      </x:c>
      <x:c r="D153" s="10" t="str">
        <x:v>主播列表（公会长视角）</x:v>
      </x:c>
      <x:c r="E153" s="10" t="str">
        <x:v>功能需求</x:v>
      </x:c>
      <x:c r="F153" s="10" t="str">
        <x:v>P2</x:v>
      </x:c>
      <x:c r="G153" s="9" t="str">
        <x:v>验证主播加入日期不是申请日期</x:v>
      </x:c>
      <x:c r="H153" s="9" t="str">
        <x:v>成员关系生效日期</x:v>
      </x:c>
      <x:c r="I153" s="9" t="str">
        <x:v>1. 执行角色为公会长
2. 甲8月31日提交入会，平台于9月1日审核通过建立公会关系</x:v>
      </x:c>
      <x:c r="J153" s="9" t="str">
        <x:v>1. 进入主播列表
2. 查看甲加入时间</x:v>
      </x:c>
      <x:c r="K153" s="9" t="str">
        <x:v>加入日期为9月1日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来源（当前证据）：liveshow-proto/MainBasis/统一需求文档.md；位置：行2173
2. 规则：BR-adacc91150038af0
3. 未动态验证
4. 数据别名：甲、乙、丙用于区分本条测试对象；按前置条件准备并记录实际账号或记录 ID，不是固定业务名称。</x:v>
      </x:c>
    </x:row>
    <x:row r="154" ht="115" customHeight="1">
      <x:c r="A154" s="10" t="n">
        <x:v>153</x:v>
      </x:c>
      <x:c r="B154" s="10" t="str">
        <x:v>GUILD-02-0088</x:v>
      </x:c>
      <x:c r="C154" s="10" t="str">
        <x:v>主播管理</x:v>
      </x:c>
      <x:c r="D154" s="10" t="str">
        <x:v>主播列表（公会长视角）</x:v>
      </x:c>
      <x:c r="E154" s="10" t="str">
        <x:v>业务流程</x:v>
      </x:c>
      <x:c r="F154" s="10" t="str">
        <x:v>P1</x:v>
      </x:c>
      <x:c r="G154" s="9" t="str">
        <x:v>验证主播列表排除普通用户</x:v>
      </x:c>
      <x:c r="H154" s="9" t="str">
        <x:v>公会主播成员范围</x:v>
      </x:c>
      <x:c r="I154" s="9" t="str">
        <x:v>1. 执行角色为公会长
2. 公会甲有在会主播乙及待初审普通用户丙</x:v>
      </x:c>
      <x:c r="J154" s="9" t="str">
        <x:v>1. 进入主播列表
2. 选择在会</x:v>
      </x:c>
      <x:c r="K154" s="9" t="str">
        <x:v>列表不包含普通用户丙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来源（当前证据）：liveshow-proto/MainBasis/统一需求文档.md；位置：行2174
2. 规则：BR-2bd9529376917cb3
3. 未动态验证
4. 数据别名：甲、乙、丙用于区分本条测试对象；按前置条件准备并记录实际账号或记录 ID，不是固定业务名称。</x:v>
      </x:c>
    </x:row>
    <x:row r="155" ht="115" customHeight="1">
      <x:c r="A155" s="10" t="n">
        <x:v>154</x:v>
      </x:c>
      <x:c r="B155" s="10" t="str">
        <x:v>GUILD-02-0089</x:v>
      </x:c>
      <x:c r="C155" s="10" t="str">
        <x:v>主播管理</x:v>
      </x:c>
      <x:c r="D155" s="10" t="str">
        <x:v>主播列表（公会长视角）</x:v>
      </x:c>
      <x:c r="E155" s="10" t="str">
        <x:v>功能需求</x:v>
      </x:c>
      <x:c r="F155" s="10" t="str">
        <x:v>P2</x:v>
      </x:c>
      <x:c r="G155" s="9" t="str">
        <x:v>验证主播列表隔离其他公会主播</x:v>
      </x:c>
      <x:c r="H155" s="9" t="str">
        <x:v>公会成员数据隔离</x:v>
      </x:c>
      <x:c r="I155" s="9" t="str">
        <x:v>1. 执行角色为公会长
2. 甲属于本会，乙从未属于本会且当前属于另一公会</x:v>
      </x:c>
      <x:c r="J155" s="9" t="str">
        <x:v>1. 进入主播列表
2. 输入乙实际ID</x:v>
      </x:c>
      <x:c r="K155" s="9" t="str">
        <x:v>结果不包含乙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来源（当前证据）：liveshow-proto/MainBasis/统一需求文档.md；位置：行2174
2. 规则：BR-dbd7ce8c19f0140f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GUILD-02-0090</x:v>
      </x:c>
      <x:c r="C156" s="10" t="str">
        <x:v>主播管理</x:v>
      </x:c>
      <x:c r="D156" s="10" t="str">
        <x:v>主播列表（公会长视角）</x:v>
      </x:c>
      <x:c r="E156" s="10" t="str">
        <x:v>功能需求</x:v>
      </x:c>
      <x:c r="F156" s="10" t="str">
        <x:v>P2</x:v>
      </x:c>
      <x:c r="G156" s="9" t="str">
        <x:v>验证主播列表点击进入对应详情</x:v>
      </x:c>
      <x:c r="H156" s="9" t="str">
        <x:v>公会成员详情导航</x:v>
      </x:c>
      <x:c r="I156" s="9" t="str">
        <x:v>1. 执行角色为公会长
2. 本公会主播甲乙当前都在列表</x:v>
      </x:c>
      <x:c r="J156" s="9" t="str">
        <x:v>1. 进入主播列表
2. 点击甲</x:v>
      </x:c>
      <x:c r="K156" s="9" t="str">
        <x:v>进入主播甲详情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来源（当前证据）：liveshow-proto/MainBasis/统一需求文档.md；位置：行2175
2. 规则：BR-e3a104e0994a3c32
3. 未动态验证
4. 数据别名：甲、乙、丙用于区分本条测试对象；按前置条件准备并记录实际账号或记录 ID，不是固定业务名称。</x:v>
      </x:c>
    </x:row>
    <x:row r="157" ht="115" customHeight="1">
      <x:c r="A157" s="10" t="n">
        <x:v>156</x:v>
      </x:c>
      <x:c r="B157" s="10" t="str">
        <x:v>GUILD-02-0091</x:v>
      </x:c>
      <x:c r="C157" s="10" t="str">
        <x:v>主播管理</x:v>
      </x:c>
      <x:c r="D157" s="10" t="str">
        <x:v>主播业绩（公会长视角）</x:v>
      </x:c>
      <x:c r="E157" s="10" t="str">
        <x:v>逻辑校验</x:v>
      </x:c>
      <x:c r="F157" s="10" t="str">
        <x:v>P1</x:v>
      </x:c>
      <x:c r="G157" s="9" t="str">
        <x:v>验证主播业绩包含开始日记录</x:v>
      </x:c>
      <x:c r="H157" s="9" t="str">
        <x:v>开始日边界包含</x:v>
      </x:c>
      <x:c r="I157" s="9" t="str">
        <x:v>1. 执行角色为公会长
2. 准备本页有效记录甲，统计日期为2026年9月1日；记录乙在9月4日，其他筛选条件均满足</x:v>
      </x:c>
      <x:c r="J157" s="9" t="str">
        <x:v>1. 进入主播业绩
2. 选择自定义日期2026年9月1日至3日
3. 查看结果</x:v>
      </x:c>
      <x:c r="K157" s="9" t="str">
        <x:v>结果包含甲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来源（当前证据）：liveshow-proto/MainBasis/统一需求文档.md；位置：行2179
2. 规则：BR-11d26a8099c0c0c3
3. 未动态验证
4. 数据别名：甲、乙、丙用于区分本条测试对象；按前置条件准备并记录实际账号或记录 ID，不是固定业务名称。</x:v>
      </x:c>
    </x:row>
    <x:row r="158" ht="115" customHeight="1">
      <x:c r="A158" s="10" t="n">
        <x:v>157</x:v>
      </x:c>
      <x:c r="B158" s="10" t="str">
        <x:v>GUILD-02-0092</x:v>
      </x:c>
      <x:c r="C158" s="10" t="str">
        <x:v>主播管理</x:v>
      </x:c>
      <x:c r="D158" s="10" t="str">
        <x:v>主播业绩（公会长视角）</x:v>
      </x:c>
      <x:c r="E158" s="10" t="str">
        <x:v>逻辑校验</x:v>
      </x:c>
      <x:c r="F158" s="10" t="str">
        <x:v>P1</x:v>
      </x:c>
      <x:c r="G158" s="9" t="str">
        <x:v>验证主播业绩包含结束日记录</x:v>
      </x:c>
      <x:c r="H158" s="9" t="str">
        <x:v>结束日边界包含</x:v>
      </x:c>
      <x:c r="I158" s="9" t="str">
        <x:v>1. 执行角色为公会长
2. 准备本页有效记录甲，统计日期为2026年9月3日；记录乙在9月4日，其他筛选条件均满足</x:v>
      </x:c>
      <x:c r="J158" s="9" t="str">
        <x:v>1. 进入主播业绩
2. 选择自定义日期2026年9月1日至3日
3. 查看结果</x:v>
      </x:c>
      <x:c r="K158" s="9" t="str">
        <x:v>结果包含甲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来源（当前证据）：liveshow-proto/MainBasis/统一需求文档.md；位置：行2179
2. 规则：BR-65d7189c7b3765e6
3. 未动态验证
4. 数据别名：甲、乙、丙用于区分本条测试对象；按前置条件准备并记录实际账号或记录 ID，不是固定业务名称。</x:v>
      </x:c>
    </x:row>
    <x:row r="159" ht="70" customHeight="1">
      <x:c r="A159" s="10" t="n">
        <x:v>158</x:v>
      </x:c>
      <x:c r="B159" s="10" t="str">
        <x:v>GUILD-02-0093</x:v>
      </x:c>
      <x:c r="C159" s="10" t="str">
        <x:v>主播管理</x:v>
      </x:c>
      <x:c r="D159" s="10" t="str">
        <x:v>主播业绩（公会长视角）</x:v>
      </x:c>
      <x:c r="E159" s="10" t="str">
        <x:v>业务流程</x:v>
      </x:c>
      <x:c r="F159" s="10" t="str">
        <x:v>P1</x:v>
      </x:c>
      <x:c r="G159" s="9" t="str">
        <x:v>验证主播业绩默认今日</x:v>
      </x:c>
      <x:c r="H159" s="9" t="str">
        <x:v>业绩默认范围</x:v>
      </x:c>
      <x:c r="I159" s="9" t="str">
        <x:v>1. 执行角色为公会长
2. 当前日期2026年9月15日</x:v>
      </x:c>
      <x:c r="J159" s="9" t="str">
        <x:v>1. 进入主播业绩</x:v>
      </x:c>
      <x:c r="K159" s="9" t="str">
        <x:v>日期条件为2026年9月15日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来源（当前证据）：liveshow-proto/MainBasis/统一需求文档.md；位置：行2180
2. 规则：BR-b9060190ace1367e
3. 未动态验证</x:v>
      </x:c>
    </x:row>
    <x:row r="160" ht="115" customHeight="1">
      <x:c r="A160" s="10" t="n">
        <x:v>159</x:v>
      </x:c>
      <x:c r="B160" s="10" t="str">
        <x:v>GUILD-02-0094</x:v>
      </x:c>
      <x:c r="C160" s="10" t="str">
        <x:v>主播管理</x:v>
      </x:c>
      <x:c r="D160" s="10" t="str">
        <x:v>主播业绩（公会长视角）</x:v>
      </x:c>
      <x:c r="E160" s="10" t="str">
        <x:v>功能需求</x:v>
      </x:c>
      <x:c r="F160" s="10" t="str">
        <x:v>P2</x:v>
      </x:c>
      <x:c r="G160" s="9" t="str">
        <x:v>验证主播业绩选择今日范围</x:v>
      </x:c>
      <x:c r="H160" s="9" t="str">
        <x:v>今日筛选切换</x:v>
      </x:c>
      <x:c r="I160" s="9" t="str">
        <x:v>1. 执行角色为公会长
2. 准备两笔记录：甲的本页统计时间在本次今日内；乙在范围外；主体均属于当前公会</x:v>
      </x:c>
      <x:c r="J160" s="9" t="str">
        <x:v>1. 进入主播业绩
2. 选择今日
3. 查看列表</x:v>
      </x:c>
      <x:c r="K160" s="9" t="str">
        <x:v>列表包含甲且排除乙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来源（当前证据）：liveshow-proto/MainBasis/统一需求文档.md；位置：行2180
2. 规则：BR-b377162f8657879c
3. 未动态验证
4. 数据别名：甲、乙、丙用于区分本条测试对象；按前置条件准备并记录实际账号或记录 ID，不是固定业务名称。</x:v>
      </x:c>
    </x:row>
    <x:row r="161" ht="115" customHeight="1">
      <x:c r="A161" s="10" t="n">
        <x:v>160</x:v>
      </x:c>
      <x:c r="B161" s="10" t="str">
        <x:v>GUILD-02-0095</x:v>
      </x:c>
      <x:c r="C161" s="10" t="str">
        <x:v>主播管理</x:v>
      </x:c>
      <x:c r="D161" s="10" t="str">
        <x:v>主播业绩（公会长视角）</x:v>
      </x:c>
      <x:c r="E161" s="10" t="str">
        <x:v>功能需求</x:v>
      </x:c>
      <x:c r="F161" s="10" t="str">
        <x:v>P2</x:v>
      </x:c>
      <x:c r="G161" s="9" t="str">
        <x:v>验证主播业绩选择昨日范围</x:v>
      </x:c>
      <x:c r="H161" s="9" t="str">
        <x:v>昨日筛选切换</x:v>
      </x:c>
      <x:c r="I161" s="9" t="str">
        <x:v>1. 执行角色为公会长
2. 准备两笔记录：甲的本页统计时间在本次昨日内；乙在范围外；主体均属于当前公会</x:v>
      </x:c>
      <x:c r="J161" s="9" t="str">
        <x:v>1. 进入主播业绩
2. 选择昨日
3. 查看列表</x:v>
      </x:c>
      <x:c r="K161" s="9" t="str">
        <x:v>列表包含甲且排除乙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来源（当前证据）：liveshow-proto/MainBasis/统一需求文档.md；位置：行2180
2. 规则：BR-2395324dc35aa830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GUILD-02-0096</x:v>
      </x:c>
      <x:c r="C162" s="10" t="str">
        <x:v>主播管理</x:v>
      </x:c>
      <x:c r="D162" s="10" t="str">
        <x:v>主播业绩（公会长视角）</x:v>
      </x:c>
      <x:c r="E162" s="10" t="str">
        <x:v>功能需求</x:v>
      </x:c>
      <x:c r="F162" s="10" t="str">
        <x:v>P2</x:v>
      </x:c>
      <x:c r="G162" s="9" t="str">
        <x:v>验证主播业绩选择本周范围</x:v>
      </x:c>
      <x:c r="H162" s="9" t="str">
        <x:v>本周筛选切换</x:v>
      </x:c>
      <x:c r="I162" s="9" t="str">
        <x:v>1. 执行角色为公会长
2. 准备两笔记录：甲的本页统计时间在本次本周内；乙在范围外；主体均属于当前公会</x:v>
      </x:c>
      <x:c r="J162" s="9" t="str">
        <x:v>1. 进入主播业绩
2. 选择本周
3. 查看列表</x:v>
      </x:c>
      <x:c r="K162" s="9" t="str">
        <x:v>列表包含甲且排除乙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来源（当前证据）：liveshow-proto/MainBasis/统一需求文档.md；位置：行2180
2. 规则：BR-a51d67fa5f0ff377
3. 未动态验证
4. 数据别名：甲、乙、丙用于区分本条测试对象；按前置条件准备并记录实际账号或记录 ID，不是固定业务名称。</x:v>
      </x:c>
    </x:row>
    <x:row r="163" ht="115" customHeight="1">
      <x:c r="A163" s="10" t="n">
        <x:v>162</x:v>
      </x:c>
      <x:c r="B163" s="10" t="str">
        <x:v>GUILD-02-0097</x:v>
      </x:c>
      <x:c r="C163" s="10" t="str">
        <x:v>主播管理</x:v>
      </x:c>
      <x:c r="D163" s="10" t="str">
        <x:v>主播业绩（公会长视角）</x:v>
      </x:c>
      <x:c r="E163" s="10" t="str">
        <x:v>功能需求</x:v>
      </x:c>
      <x:c r="F163" s="10" t="str">
        <x:v>P2</x:v>
      </x:c>
      <x:c r="G163" s="9" t="str">
        <x:v>验证主播业绩选择上周范围</x:v>
      </x:c>
      <x:c r="H163" s="9" t="str">
        <x:v>上周筛选切换</x:v>
      </x:c>
      <x:c r="I163" s="9" t="str">
        <x:v>1. 执行角色为公会长
2. 准备两笔记录：甲的本页统计时间在本次上周内；乙在范围外；主体均属于当前公会</x:v>
      </x:c>
      <x:c r="J163" s="9" t="str">
        <x:v>1. 进入主播业绩
2. 选择上周
3. 查看列表</x:v>
      </x:c>
      <x:c r="K163" s="9" t="str">
        <x:v>列表包含甲且排除乙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来源（当前证据）：liveshow-proto/MainBasis/统一需求文档.md；位置：行2180
2. 规则：BR-9aaa683969d2c78b
3. 未动态验证
4. 数据别名：甲、乙、丙用于区分本条测试对象；按前置条件准备并记录实际账号或记录 ID，不是固定业务名称。</x:v>
      </x:c>
    </x:row>
    <x:row r="164" ht="115" customHeight="1">
      <x:c r="A164" s="10" t="n">
        <x:v>163</x:v>
      </x:c>
      <x:c r="B164" s="10" t="str">
        <x:v>GUILD-02-0098</x:v>
      </x:c>
      <x:c r="C164" s="10" t="str">
        <x:v>主播管理</x:v>
      </x:c>
      <x:c r="D164" s="10" t="str">
        <x:v>主播业绩（公会长视角）</x:v>
      </x:c>
      <x:c r="E164" s="10" t="str">
        <x:v>功能需求</x:v>
      </x:c>
      <x:c r="F164" s="10" t="str">
        <x:v>P2</x:v>
      </x:c>
      <x:c r="G164" s="9" t="str">
        <x:v>验证主播业绩选择本月范围</x:v>
      </x:c>
      <x:c r="H164" s="9" t="str">
        <x:v>本月筛选切换</x:v>
      </x:c>
      <x:c r="I164" s="9" t="str">
        <x:v>1. 执行角色为公会长
2. 准备两笔记录：甲的本页统计时间在本次本月内；乙在范围外；主体均属于当前公会</x:v>
      </x:c>
      <x:c r="J164" s="9" t="str">
        <x:v>1. 进入主播业绩
2. 选择本月
3. 查看列表</x:v>
      </x:c>
      <x:c r="K164" s="9" t="str">
        <x:v>列表包含甲且排除乙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来源（当前证据）：liveshow-proto/MainBasis/统一需求文档.md；位置：行2180
2. 规则：BR-a004f59501cb7c00
3. 未动态验证
4. 数据别名：甲、乙、丙用于区分本条测试对象；按前置条件准备并记录实际账号或记录 ID，不是固定业务名称。</x:v>
      </x:c>
    </x:row>
    <x:row r="165" ht="115" customHeight="1">
      <x:c r="A165" s="10" t="n">
        <x:v>164</x:v>
      </x:c>
      <x:c r="B165" s="10" t="str">
        <x:v>GUILD-02-0099</x:v>
      </x:c>
      <x:c r="C165" s="10" t="str">
        <x:v>主播管理</x:v>
      </x:c>
      <x:c r="D165" s="10" t="str">
        <x:v>主播业绩（公会长视角）</x:v>
      </x:c>
      <x:c r="E165" s="10" t="str">
        <x:v>功能需求</x:v>
      </x:c>
      <x:c r="F165" s="10" t="str">
        <x:v>P2</x:v>
      </x:c>
      <x:c r="G165" s="9" t="str">
        <x:v>验证主播业绩选择上月范围</x:v>
      </x:c>
      <x:c r="H165" s="9" t="str">
        <x:v>上月筛选切换</x:v>
      </x:c>
      <x:c r="I165" s="9" t="str">
        <x:v>1. 执行角色为公会长
2. 准备两笔记录：甲的本页统计时间在本次上月内；乙在范围外；主体均属于当前公会</x:v>
      </x:c>
      <x:c r="J165" s="9" t="str">
        <x:v>1. 进入主播业绩
2. 选择上月
3. 查看列表</x:v>
      </x:c>
      <x:c r="K165" s="9" t="str">
        <x:v>列表包含甲且排除乙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来源（当前证据）：liveshow-proto/MainBasis/统一需求文档.md；位置：行2180
2. 规则：BR-8ca7d081bbac8da6
3. 未动态验证
4. 数据别名：甲、乙、丙用于区分本条测试对象；按前置条件准备并记录实际账号或记录 ID，不是固定业务名称。</x:v>
      </x:c>
    </x:row>
    <x:row r="166" ht="115" customHeight="1">
      <x:c r="A166" s="10" t="n">
        <x:v>165</x:v>
      </x:c>
      <x:c r="B166" s="10" t="str">
        <x:v>GUILD-02-0100</x:v>
      </x:c>
      <x:c r="C166" s="10" t="str">
        <x:v>主播管理</x:v>
      </x:c>
      <x:c r="D166" s="10" t="str">
        <x:v>主播业绩（公会长视角）</x:v>
      </x:c>
      <x:c r="E166" s="10" t="str">
        <x:v>功能需求</x:v>
      </x:c>
      <x:c r="F166" s="10" t="str">
        <x:v>P2</x:v>
      </x:c>
      <x:c r="G166" s="9" t="str">
        <x:v>验证主播业绩选择自定义范围</x:v>
      </x:c>
      <x:c r="H166" s="9" t="str">
        <x:v>自定义筛选切换</x:v>
      </x:c>
      <x:c r="I166" s="9" t="str">
        <x:v>1. 执行角色为公会长
2. 准备两笔记录：甲的本页统计时间在9月1日至9月3日内；乙在范围外；主体均属于当前公会</x:v>
      </x:c>
      <x:c r="J166" s="9" t="str">
        <x:v>1. 进入主播业绩
2. 选择自定义9月1日至9月3日
3. 查看列表</x:v>
      </x:c>
      <x:c r="K166" s="9" t="str">
        <x:v>列表包含甲且排除乙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来源（当前证据）：liveshow-proto/MainBasis/统一需求文档.md；位置：行2180
2. 规则：BR-032ae66edb60bdfd
3. 未动态验证
4. 数据别名：甲、乙、丙用于区分本条测试对象；按前置条件准备并记录实际账号或记录 ID，不是固定业务名称。</x:v>
      </x:c>
    </x:row>
    <x:row r="167" ht="115" customHeight="1">
      <x:c r="A167" s="10" t="n">
        <x:v>166</x:v>
      </x:c>
      <x:c r="B167" s="10" t="str">
        <x:v>GUILD-02-0101</x:v>
      </x:c>
      <x:c r="C167" s="10" t="str">
        <x:v>主播管理</x:v>
      </x:c>
      <x:c r="D167" s="10" t="str">
        <x:v>主播业绩（公会长视角）</x:v>
      </x:c>
      <x:c r="E167" s="10" t="str">
        <x:v>功能需求</x:v>
      </x:c>
      <x:c r="F167" s="10" t="str">
        <x:v>P2</x:v>
      </x:c>
      <x:c r="G167" s="9" t="str">
        <x:v>验证主播业绩按ID检索</x:v>
      </x:c>
      <x:c r="H167" s="9" t="str">
        <x:v>业绩主体筛选</x:v>
      </x:c>
      <x:c r="I167" s="9" t="str">
        <x:v>1. 执行角色为公会长
2. 本会主播甲乙都有业绩，已记录甲实际ID</x:v>
      </x:c>
      <x:c r="J167" s="9" t="str">
        <x:v>1. 进入主播业绩
2. 输入甲实际ID
3. 点击搜索</x:v>
      </x:c>
      <x:c r="K167" s="9" t="str">
        <x:v>结果仅包含甲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来源（当前证据）：liveshow-proto/MainBasis/统一需求文档.md；位置：行2181
2. 规则：BR-262976c097b42426
3. 未动态验证
4. 数据别名：甲、乙、丙用于区分本条测试对象；按前置条件准备并记录实际账号或记录 ID，不是固定业务名称。</x:v>
      </x:c>
    </x:row>
    <x:row r="168" ht="115" customHeight="1">
      <x:c r="A168" s="10" t="n">
        <x:v>167</x:v>
      </x:c>
      <x:c r="B168" s="10" t="str">
        <x:v>GUILD-02-0102</x:v>
      </x:c>
      <x:c r="C168" s="10" t="str">
        <x:v>主播管理</x:v>
      </x:c>
      <x:c r="D168" s="10" t="str">
        <x:v>主播业绩（公会长视角）</x:v>
      </x:c>
      <x:c r="E168" s="10" t="str">
        <x:v>功能需求</x:v>
      </x:c>
      <x:c r="F168" s="10" t="str">
        <x:v>P2</x:v>
      </x:c>
      <x:c r="G168" s="9" t="str">
        <x:v>验证主播业绩按昵称查找</x:v>
      </x:c>
      <x:c r="H168" s="9" t="str">
        <x:v>业绩昵称检索</x:v>
      </x:c>
      <x:c r="I168" s="9" t="str">
        <x:v>1. 执行角色为公会长
2. 本公会甲昵称QAMusic、乙昵称QAChat，均有本期业绩</x:v>
      </x:c>
      <x:c r="J168" s="9" t="str">
        <x:v>1. 进入主播业绩
2. 输入QAMusic
3. 点击搜索</x:v>
      </x:c>
      <x:c r="K168" s="9" t="str">
        <x:v>结果仅包含甲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来源（当前证据）：liveshow-proto/MainBasis/统一需求文档.md；位置：行2181
2. 规则：BR-86174e6ef6c11ca4
3. 未动态验证
4. 数据别名：甲、乙、丙用于区分本条测试对象；按前置条件准备并记录实际账号或记录 ID，不是固定业务名称。</x:v>
      </x:c>
    </x:row>
    <x:row r="169" ht="115" customHeight="1">
      <x:c r="A169" s="10" t="n">
        <x:v>168</x:v>
      </x:c>
      <x:c r="B169" s="10" t="str">
        <x:v>GUILD-02-0103</x:v>
      </x:c>
      <x:c r="C169" s="10" t="str">
        <x:v>主播管理</x:v>
      </x:c>
      <x:c r="D169" s="10" t="str">
        <x:v>主播业绩（公会长视角）</x:v>
      </x:c>
      <x:c r="E169" s="10" t="str">
        <x:v>功能需求</x:v>
      </x:c>
      <x:c r="F169" s="10" t="str">
        <x:v>P2</x:v>
      </x:c>
      <x:c r="G169" s="9" t="str">
        <x:v>验证主播业绩读取名称</x:v>
      </x:c>
      <x:c r="H169" s="9" t="str">
        <x:v>名称回显</x:v>
      </x:c>
      <x:c r="I169" s="9" t="str">
        <x:v>1. 执行角色为公会长
2. 当前业绩列表所属主播的名称为“主播甲”</x:v>
      </x:c>
      <x:c r="J169" s="9" t="str">
        <x:v>1. 进入主播业绩
2. 查看名称</x:v>
      </x:c>
      <x:c r="K169" s="9" t="str">
        <x:v>名称显示“主播甲”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来源（当前证据）：liveshow-proto/MainBasis/统一需求文档.md；位置：行2182
2. 规则：BR-0b40d387c67f13b5
3. 未动态验证
4. 数据别名：甲、乙、丙用于区分本条测试对象；按前置条件准备并记录实际账号或记录 ID，不是固定业务名称。</x:v>
      </x:c>
    </x:row>
    <x:row r="170" ht="115" customHeight="1">
      <x:c r="A170" s="10" t="n">
        <x:v>169</x:v>
      </x:c>
      <x:c r="B170" s="10" t="str">
        <x:v>GUILD-02-0104</x:v>
      </x:c>
      <x:c r="C170" s="10" t="str">
        <x:v>主播管理</x:v>
      </x:c>
      <x:c r="D170" s="10" t="str">
        <x:v>主播业绩（公会长视角）</x:v>
      </x:c>
      <x:c r="E170" s="10" t="str">
        <x:v>功能需求</x:v>
      </x:c>
      <x:c r="F170" s="10" t="str">
        <x:v>P2</x:v>
      </x:c>
      <x:c r="G170" s="9" t="str">
        <x:v>验证业绩列表头像关联主播</x:v>
      </x:c>
      <x:c r="H170" s="9" t="str">
        <x:v>业绩列表头像</x:v>
      </x:c>
      <x:c r="I170" s="9" t="str">
        <x:v>1. 执行角色为公会长
2. 本期甲乙都有业绩，已记录甲当前头像原图</x:v>
      </x:c>
      <x:c r="J170" s="9" t="str">
        <x:v>1. 进入主播业绩
2. 查看甲头像</x:v>
      </x:c>
      <x:c r="K170" s="9" t="str">
        <x:v>甲显示其当前头像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来源（当前证据）：liveshow-proto/MainBasis/统一需求文档.md；位置：行2182
2. 规则：BR-b70ef3bcb3294a6f
3. 未动态验证
4. 数据别名：甲、乙、丙用于区分本条测试对象；按前置条件准备并记录实际账号或记录 ID，不是固定业务名称。</x:v>
      </x:c>
    </x:row>
    <x:row r="171" ht="70" customHeight="1">
      <x:c r="A171" s="10" t="n">
        <x:v>170</x:v>
      </x:c>
      <x:c r="B171" s="10" t="str">
        <x:v>GUILD-02-0105</x:v>
      </x:c>
      <x:c r="C171" s="10" t="str">
        <x:v>主播管理</x:v>
      </x:c>
      <x:c r="D171" s="10" t="str">
        <x:v>主播业绩（公会长视角）</x:v>
      </x:c>
      <x:c r="E171" s="10" t="str">
        <x:v>功能需求</x:v>
      </x:c>
      <x:c r="F171" s="10" t="str">
        <x:v>P2</x:v>
      </x:c>
      <x:c r="G171" s="9" t="str">
        <x:v>验证主播业绩读取主播ID</x:v>
      </x:c>
      <x:c r="H171" s="9" t="str">
        <x:v>主播ID回显</x:v>
      </x:c>
      <x:c r="I171" s="9" t="str">
        <x:v>1. 执行角色为公会长
2. 当前业绩列表所属主播的主播ID为“100001”</x:v>
      </x:c>
      <x:c r="J171" s="9" t="str">
        <x:v>1. 进入主播业绩
2. 查看主播ID</x:v>
      </x:c>
      <x:c r="K171" s="9" t="str">
        <x:v>主播ID显示“100001”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来源（当前证据）：liveshow-proto/MainBasis/统一需求文档.md；位置：行2183
2. 规则：BR-03c918d324a78b27
3. 未动态验证</x:v>
      </x:c>
    </x:row>
    <x:row r="172" ht="145" customHeight="1">
      <x:c r="A172" s="10" t="n">
        <x:v>171</x:v>
      </x:c>
      <x:c r="B172" s="10" t="str">
        <x:v>GUILD-02-0106</x:v>
      </x:c>
      <x:c r="C172" s="10" t="str">
        <x:v>主播管理</x:v>
      </x:c>
      <x:c r="D172" s="10" t="str">
        <x:v>主播业绩（公会长视角）</x:v>
      </x:c>
      <x:c r="E172" s="10" t="str">
        <x:v>逻辑校验</x:v>
      </x:c>
      <x:c r="F172" s="10" t="str">
        <x:v>P1</x:v>
      </x:c>
      <x:c r="G172" s="9" t="str">
        <x:v>验证主播业绩主播等级按分成前收益匹配</x:v>
      </x:c>
      <x:c r="H172" s="9" t="str">
        <x:v>主播等级收益口径</x:v>
      </x:c>
      <x:c r="I172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172" s="9" t="str">
        <x:v>1. 进入主播业绩
2. 查看主播甲等级</x:v>
      </x:c>
      <x:c r="K172" s="9" t="str">
        <x:v>主播等级为2级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来源（当前证据）：liveshow-proto/MainBasis/统一需求文档.md；位置：行2184
2. 规则：BR-186fa6d2b166ac52
3. 未动态验证
4. 数据别名：甲、乙、丙用于区分本条测试对象；按前置条件准备并记录实际账号或记录 ID，不是固定业务名称。</x:v>
      </x:c>
    </x:row>
    <x:row r="173" ht="130" customHeight="1">
      <x:c r="A173" s="10" t="n">
        <x:v>172</x:v>
      </x:c>
      <x:c r="B173" s="10" t="str">
        <x:v>GUILD-02-0107</x:v>
      </x:c>
      <x:c r="C173" s="10" t="str">
        <x:v>主播管理</x:v>
      </x:c>
      <x:c r="D173" s="10" t="str">
        <x:v>主播业绩（公会长视角）</x:v>
      </x:c>
      <x:c r="E173" s="10" t="str">
        <x:v>业务流程</x:v>
      </x:c>
      <x:c r="F173" s="10" t="str">
        <x:v>P1</x:v>
      </x:c>
      <x:c r="G173" s="9" t="str">
        <x:v>验证退会后历史业绩留在原公会</x:v>
      </x:c>
      <x:c r="H173" s="9" t="str">
        <x:v>历史业绩归属</x:v>
      </x:c>
      <x:c r="I173" s="9" t="str">
        <x:v>1. 执行角色为公会长
2. 主播甲9月1日在本公会取得100金币收益；9月2日退会后在乙公会取得200金币</x:v>
      </x:c>
      <x:c r="J173" s="9" t="str">
        <x:v>1. 进入主播业绩
2. 选择9月1日至9月3日
3. 输入主播甲
4. 点击搜索</x:v>
      </x:c>
      <x:c r="K173" s="9" t="str">
        <x:v>本公会记录中甲收益为100金币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来源（当前证据）：liveshow-proto/MainBasis/统一需求文档.md；位置：行2185、行2193
2. 规则：BR-b02b38c76f477ea2
3. 未动态验证
4. 数据别名：甲、乙、丙用于区分本条测试对象；按前置条件准备并记录实际账号或记录 ID，不是固定业务名称。</x:v>
      </x:c>
    </x:row>
    <x:row r="174" ht="130" customHeight="1">
      <x:c r="A174" s="10" t="n">
        <x:v>173</x:v>
      </x:c>
      <x:c r="B174" s="10" t="str">
        <x:v>GUILD-02-0108</x:v>
      </x:c>
      <x:c r="C174" s="10" t="str">
        <x:v>主播管理</x:v>
      </x:c>
      <x:c r="D174" s="10" t="str">
        <x:v>主播业绩（公会长视角）</x:v>
      </x:c>
      <x:c r="E174" s="10" t="str">
        <x:v>功能需求</x:v>
      </x:c>
      <x:c r="F174" s="10" t="str">
        <x:v>P2</x:v>
      </x:c>
      <x:c r="G174" s="9" t="str">
        <x:v>验证业绩历史主播显示退会标记</x:v>
      </x:c>
      <x:c r="H174" s="9" t="str">
        <x:v>业绩退会标记</x:v>
      </x:c>
      <x:c r="I174" s="9" t="str">
        <x:v>1. 执行角色为公会长
2. 甲在当前公会产生过本期业绩，现已退会</x:v>
      </x:c>
      <x:c r="J174" s="9" t="str">
        <x:v>1. 进入主播业绩
2. 查询甲的历史业绩</x:v>
      </x:c>
      <x:c r="K174" s="9" t="str">
        <x:v>甲显示退会标记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来源（当前证据）：liveshow-proto/MainBasis/统一需求文档.md；位置：行2185、行2193
2. 规则：BR-81fd086015544b4a
3. 未动态验证
4. 数据别名：甲、乙、丙用于区分本条测试对象；按前置条件准备并记录实际账号或记录 ID，不是固定业务名称。</x:v>
      </x:c>
    </x:row>
    <x:row r="175" ht="70" customHeight="1">
      <x:c r="A175" s="10" t="n">
        <x:v>174</x:v>
      </x:c>
      <x:c r="B175" s="10" t="str">
        <x:v>GUILD-02-0109</x:v>
      </x:c>
      <x:c r="C175" s="10" t="str">
        <x:v>主播管理</x:v>
      </x:c>
      <x:c r="D175" s="10" t="str">
        <x:v>主播业绩（公会长视角）</x:v>
      </x:c>
      <x:c r="E175" s="10" t="str">
        <x:v>逻辑校验</x:v>
      </x:c>
      <x:c r="F175" s="10" t="str">
        <x:v>P1</x:v>
      </x:c>
      <x:c r="G175" s="9" t="str">
        <x:v>验证主播业绩金币收益按当前对象求和</x:v>
      </x:c>
      <x:c r="H175" s="9" t="str">
        <x:v>金币收益计算范围</x:v>
      </x:c>
      <x:c r="I175" s="9" t="str">
        <x:v>1. 执行角色为公会长
2. 所选周期该主播普通真实赠礼100、定制真实赠礼200；没有其他收入</x:v>
      </x:c>
      <x:c r="J175" s="9" t="str">
        <x:v>1. 进入主播业绩
2. 查看前置条件指定对象及范围的金币收益</x:v>
      </x:c>
      <x:c r="K175" s="9" t="str">
        <x:v>金币收益按100+200计算=300金币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来源（当前证据）：liveshow-proto/MainBasis/统一需求文档.md；位置：行2186
2. 规则：BR-9463ebed7a8e863a
3. 未动态验证</x:v>
      </x:c>
    </x:row>
    <x:row r="176" ht="85" customHeight="1">
      <x:c r="A176" s="10" t="n">
        <x:v>175</x:v>
      </x:c>
      <x:c r="B176" s="10" t="str">
        <x:v>GUILD-02-0110</x:v>
      </x:c>
      <x:c r="C176" s="10" t="str">
        <x:v>主播管理</x:v>
      </x:c>
      <x:c r="D176" s="10" t="str">
        <x:v>主播业绩（公会长视角）</x:v>
      </x:c>
      <x:c r="E176" s="10" t="str">
        <x:v>功能需求</x:v>
      </x:c>
      <x:c r="F176" s="10" t="str">
        <x:v>P2</x:v>
      </x:c>
      <x:c r="G176" s="9" t="str">
        <x:v>验证业绩日期变化更新收益指标</x:v>
      </x:c>
      <x:c r="H176" s="9" t="str">
        <x:v>业绩收益周期切换</x:v>
      </x:c>
      <x:c r="I176" s="9" t="str">
        <x:v>1. 执行角色为公会长
2. 本公会9月1日仅普通真实赠礼收益100金币，9月2日仅200金币；无其他收入</x:v>
      </x:c>
      <x:c r="J176" s="9" t="str">
        <x:v>1. 进入主播业绩
2. 选择9月1日
3. 选择9月2日</x:v>
      </x:c>
      <x:c r="K176" s="9" t="str">
        <x:v>收益汇总显示200金币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来源（当前证据）：liveshow-proto/MainBasis/统一需求文档.md；位置：行2188、行2194
2. 规则：BR-8c3b8c26715d5b3b
3. 未动态验证</x:v>
      </x:c>
    </x:row>
    <x:row r="177" ht="130" customHeight="1">
      <x:c r="A177" s="10" t="n">
        <x:v>176</x:v>
      </x:c>
      <x:c r="B177" s="10" t="str">
        <x:v>GUILD-02-0111</x:v>
      </x:c>
      <x:c r="C177" s="10" t="str">
        <x:v>主播管理</x:v>
      </x:c>
      <x:c r="D177" s="10" t="str">
        <x:v>主播业绩（公会长视角）</x:v>
      </x:c>
      <x:c r="E177" s="10" t="str">
        <x:v>功能需求</x:v>
      </x:c>
      <x:c r="F177" s="10" t="str">
        <x:v>P2</x:v>
      </x:c>
      <x:c r="G177" s="9" t="str">
        <x:v>验证业绩日期变化更新开播人数</x:v>
      </x:c>
      <x:c r="H177" s="9" t="str">
        <x:v>业绩开播人数周期切换</x:v>
      </x:c>
      <x:c r="I177" s="9" t="str">
        <x:v>1. 执行角色为公会长
2. 9月1日仅甲完成直播；9月2日甲乙分别完成一场；无其他主播直播</x:v>
      </x:c>
      <x:c r="J177" s="9" t="str">
        <x:v>1. 进入主播业绩
2. 选择9月1日
3. 选择9月2日</x:v>
      </x:c>
      <x:c r="K177" s="9" t="str">
        <x:v>开播人数显示2人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来源（当前证据）：liveshow-proto/MainBasis/统一需求文档.md；位置：行2188、行2194
2. 规则：BR-cd7d855d0b41c62c
3. 未动态验证
4. 数据别名：甲、乙、丙用于区分本条测试对象；按前置条件准备并记录实际账号或记录 ID，不是固定业务名称。</x:v>
      </x:c>
    </x:row>
    <x:row r="178" ht="130" customHeight="1">
      <x:c r="A178" s="10" t="n">
        <x:v>177</x:v>
      </x:c>
      <x:c r="B178" s="10" t="str">
        <x:v>GUILD-02-0112</x:v>
      </x:c>
      <x:c r="C178" s="10" t="str">
        <x:v>主播管理</x:v>
      </x:c>
      <x:c r="D178" s="10" t="str">
        <x:v>主播业绩（公会长视角）</x:v>
      </x:c>
      <x:c r="E178" s="10" t="str">
        <x:v>功能需求</x:v>
      </x:c>
      <x:c r="F178" s="10" t="str">
        <x:v>P2</x:v>
      </x:c>
      <x:c r="G178" s="9" t="str">
        <x:v>验证业绩日期变化更新达标人数</x:v>
      </x:c>
      <x:c r="H178" s="9" t="str">
        <x:v>业绩达标人数周期切换</x:v>
      </x:c>
      <x:c r="I178" s="9" t="str">
        <x:v>1. 执行角色为公会长
2. 9月1日甲乙都满3小时有效直播；9月2日仅甲满3小时，乙不足3小时；均无跨日</x:v>
      </x:c>
      <x:c r="J178" s="9" t="str">
        <x:v>1. 进入主播业绩
2. 选择9月1日
3. 选择9月2日</x:v>
      </x:c>
      <x:c r="K178" s="9" t="str">
        <x:v>达标人数显示1人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来源（当前证据）：liveshow-proto/MainBasis/统一需求文档.md；位置：行2188、行2194
2. 规则：BR-ec2ec0add5c19dd8
3. 未动态验证
4. 数据别名：甲、乙、丙用于区分本条测试对象；按前置条件准备并记录实际账号或记录 ID，不是固定业务名称。</x:v>
      </x:c>
    </x:row>
    <x:row r="179" ht="115" customHeight="1">
      <x:c r="A179" s="10" t="n">
        <x:v>178</x:v>
      </x:c>
      <x:c r="B179" s="10" t="str">
        <x:v>GUILD-02-0113</x:v>
      </x:c>
      <x:c r="C179" s="10" t="str">
        <x:v>主播管理</x:v>
      </x:c>
      <x:c r="D179" s="10" t="str">
        <x:v>主播业绩（公会长视角）</x:v>
      </x:c>
      <x:c r="E179" s="10" t="str">
        <x:v>逻辑校验</x:v>
      </x:c>
      <x:c r="F179" s="10" t="str">
        <x:v>P1</x:v>
      </x:c>
      <x:c r="G179" s="9" t="str">
        <x:v>验证主播业绩主播收益汇总按当前对象求和</x:v>
      </x:c>
      <x:c r="H179" s="9" t="str">
        <x:v>主播收益汇总计算范围</x:v>
      </x:c>
      <x:c r="I179" s="9" t="str">
        <x:v>1. 执行角色为公会长
2. 所选周期本公会甲主播收益100、乙主播收益200；外公会主播500不属于当前范围</x:v>
      </x:c>
      <x:c r="J179" s="9" t="str">
        <x:v>1. 进入主播业绩
2. 查看前置条件指定对象及范围的主播收益汇总</x:v>
      </x:c>
      <x:c r="K179" s="9" t="str">
        <x:v>主播收益汇总按100+200计算=300金币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来源（当前证据）：liveshow-proto/MainBasis/统一需求文档.md；位置：行2189
2. 规则：BR-6e21b891ca649a88
3. 未动态验证
4. 数据别名：甲、乙、丙用于区分本条测试对象；按前置条件准备并记录实际账号或记录 ID，不是固定业务名称。</x:v>
      </x:c>
    </x:row>
    <x:row r="180" ht="115" customHeight="1">
      <x:c r="A180" s="10" t="n">
        <x:v>179</x:v>
      </x:c>
      <x:c r="B180" s="10" t="str">
        <x:v>GUILD-02-0114</x:v>
      </x:c>
      <x:c r="C180" s="10" t="str">
        <x:v>主播管理</x:v>
      </x:c>
      <x:c r="D180" s="10" t="str">
        <x:v>主播业绩（公会长视角）</x:v>
      </x:c>
      <x:c r="E180" s="10" t="str">
        <x:v>逻辑校验</x:v>
      </x:c>
      <x:c r="F180" s="10" t="str">
        <x:v>P1</x:v>
      </x:c>
      <x:c r="G180" s="9" t="str">
        <x:v>验证期间开播人数不累加重复主播</x:v>
      </x:c>
      <x:c r="H180" s="9" t="str">
        <x:v>期间开播人数</x:v>
      </x:c>
      <x:c r="I180" s="9" t="str">
        <x:v>1. 执行角色为公会长
2. 甲在9月1日及2日分别完成一场；乙9月2日完成一场；丙只有进行中未完成场次</x:v>
      </x:c>
      <x:c r="J180" s="9" t="str">
        <x:v>1. 进入主播业绩
2. 选择9月1日至9月2日</x:v>
      </x:c>
      <x:c r="K180" s="9" t="str">
        <x:v>开播人数计算为不同已完成场次主播数=2人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来源（当前证据）：liveshow-proto/MainBasis/统一需求文档.md；位置：行2190
2. 规则：BR-8fb2c77121fdf6a2
3. 未动态验证
4. 数据别名：甲、乙、丙用于区分本条测试对象；按前置条件准备并记录实际账号或记录 ID，不是固定业务名称。</x:v>
      </x:c>
    </x:row>
    <x:row r="181" ht="115" customHeight="1">
      <x:c r="A181" s="10" t="n">
        <x:v>180</x:v>
      </x:c>
      <x:c r="B181" s="10" t="str">
        <x:v>GUILD-02-0115</x:v>
      </x:c>
      <x:c r="C181" s="10" t="str">
        <x:v>主播管理</x:v>
      </x:c>
      <x:c r="D181" s="10" t="str">
        <x:v>主播业绩（公会长视角）</x:v>
      </x:c>
      <x:c r="E181" s="10" t="str">
        <x:v>功能需求</x:v>
      </x:c>
      <x:c r="F181" s="10" t="str">
        <x:v>P2</x:v>
      </x:c>
      <x:c r="G181" s="9" t="str">
        <x:v>验证主播业绩达标人数按业务对象去重</x:v>
      </x:c>
      <x:c r="H181" s="9" t="str">
        <x:v>达标人数去重范围</x:v>
      </x:c>
      <x:c r="I181" s="9" t="str">
        <x:v>1. 执行角色为公会长
2. 本期甲两天满3小时，乙一天满3小时，丙全部不足3小时</x:v>
      </x:c>
      <x:c r="J181" s="9" t="str">
        <x:v>1. 进入主播业绩
2. 查看准备范围的达标人数</x:v>
      </x:c>
      <x:c r="K181" s="9" t="str">
        <x:v>达标人数为2人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来源（当前证据）：liveshow-proto/MainBasis/统一需求文档.md；位置：行2191
2. 规则：BR-81c833a387f5b35b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GUILD-02-0116</x:v>
      </x:c>
      <x:c r="C182" s="10" t="str">
        <x:v>主播管理</x:v>
      </x:c>
      <x:c r="D182" s="10" t="str">
        <x:v>主播业绩（公会长视角）</x:v>
      </x:c>
      <x:c r="E182" s="10" t="str">
        <x:v>功能需求</x:v>
      </x:c>
      <x:c r="F182" s="10" t="str">
        <x:v>P2</x:v>
      </x:c>
      <x:c r="G182" s="9" t="str">
        <x:v>验证主播业绩点击打开本人成绩</x:v>
      </x:c>
      <x:c r="H182" s="9" t="str">
        <x:v>主播业绩明细导航</x:v>
      </x:c>
      <x:c r="I182" s="9" t="str">
        <x:v>1. 执行角色为公会长
2. 当前列表有主播甲的业绩</x:v>
      </x:c>
      <x:c r="J182" s="9" t="str">
        <x:v>1. 点击甲行</x:v>
      </x:c>
      <x:c r="K182" s="9" t="str">
        <x:v>进入甲主播数据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来源（当前证据）：liveshow-proto/MainBasis/统一需求文档.md；位置：行2194
2. 规则：BR-9e2b8a784e7ec691
3. 未动态验证
4. 数据别名：甲、乙、丙用于区分本条测试对象；按前置条件准备并记录实际账号或记录 ID，不是固定业务名称。</x:v>
      </x:c>
    </x:row>
    <x:row r="183" ht="115" customHeight="1">
      <x:c r="A183" s="10" t="n">
        <x:v>182</x:v>
      </x:c>
      <x:c r="B183" s="10" t="str">
        <x:v>GUILD-02-0117</x:v>
      </x:c>
      <x:c r="C183" s="10" t="str">
        <x:v>主播管理</x:v>
      </x:c>
      <x:c r="D183" s="10" t="str">
        <x:v>主播数据（公会长视角）</x:v>
      </x:c>
      <x:c r="E183" s="10" t="str">
        <x:v>功能需求</x:v>
      </x:c>
      <x:c r="F183" s="10" t="str">
        <x:v>P2</x:v>
      </x:c>
      <x:c r="G183" s="9" t="str">
        <x:v>验证主播数据读取名称</x:v>
      </x:c>
      <x:c r="H183" s="9" t="str">
        <x:v>名称回显</x:v>
      </x:c>
      <x:c r="I183" s="9" t="str">
        <x:v>1. 执行角色为公会长
2. 主播数据所属账号的名称为“主播甲”</x:v>
      </x:c>
      <x:c r="J183" s="9" t="str">
        <x:v>1. 进入主播数据
2. 查看名称</x:v>
      </x:c>
      <x:c r="K183" s="9" t="str">
        <x:v>名称显示“主播甲”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来源（当前证据）：liveshow-proto/MainBasis/统一需求文档.md；位置：行2199
2. 规则：BR-33bc7299aa6e3b8b
3. 未动态验证
4. 数据别名：甲、乙、丙用于区分本条测试对象；按前置条件准备并记录实际账号或记录 ID，不是固定业务名称。</x:v>
      </x:c>
    </x:row>
    <x:row r="184" ht="115" customHeight="1">
      <x:c r="A184" s="10" t="n">
        <x:v>183</x:v>
      </x:c>
      <x:c r="B184" s="10" t="str">
        <x:v>GUILD-02-0118</x:v>
      </x:c>
      <x:c r="C184" s="10" t="str">
        <x:v>主播管理</x:v>
      </x:c>
      <x:c r="D184" s="10" t="str">
        <x:v>主播数据（公会长视角）</x:v>
      </x:c>
      <x:c r="E184" s="10" t="str">
        <x:v>功能需求</x:v>
      </x:c>
      <x:c r="F184" s="10" t="str">
        <x:v>P2</x:v>
      </x:c>
      <x:c r="G184" s="9" t="str">
        <x:v>验证主播数据头像属于选中主播</x:v>
      </x:c>
      <x:c r="H184" s="9" t="str">
        <x:v>主播数据头像</x:v>
      </x:c>
      <x:c r="I184" s="9" t="str">
        <x:v>1. 执行角色为公会长
2. 当前查看本会甲的数据，已记录甲头像原图</x:v>
      </x:c>
      <x:c r="J184" s="9" t="str">
        <x:v>1. 进入甲主播数据
2. 查看头像</x:v>
      </x:c>
      <x:c r="K184" s="9" t="str">
        <x:v>头像显示甲的原图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来源（当前证据）：liveshow-proto/MainBasis/统一需求文档.md；位置：行2199
2. 规则：BR-6b5e9c0759e916b5
3. 未动态验证
4. 数据别名：甲、乙、丙用于区分本条测试对象；按前置条件准备并记录实际账号或记录 ID，不是固定业务名称。</x:v>
      </x:c>
    </x:row>
    <x:row r="185" ht="70" customHeight="1">
      <x:c r="A185" s="10" t="n">
        <x:v>184</x:v>
      </x:c>
      <x:c r="B185" s="10" t="str">
        <x:v>GUILD-02-0119</x:v>
      </x:c>
      <x:c r="C185" s="10" t="str">
        <x:v>主播管理</x:v>
      </x:c>
      <x:c r="D185" s="10" t="str">
        <x:v>主播数据（公会长视角）</x:v>
      </x:c>
      <x:c r="E185" s="10" t="str">
        <x:v>功能需求</x:v>
      </x:c>
      <x:c r="F185" s="10" t="str">
        <x:v>P2</x:v>
      </x:c>
      <x:c r="G185" s="9" t="str">
        <x:v>验证主播数据读取主播ID</x:v>
      </x:c>
      <x:c r="H185" s="9" t="str">
        <x:v>主播ID回显</x:v>
      </x:c>
      <x:c r="I185" s="9" t="str">
        <x:v>1. 执行角色为公会长
2. 主播数据所属账号的主播ID为“100001”</x:v>
      </x:c>
      <x:c r="J185" s="9" t="str">
        <x:v>1. 进入主播数据
2. 查看主播ID</x:v>
      </x:c>
      <x:c r="K185" s="9" t="str">
        <x:v>主播ID显示“100001”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来源（当前证据）：liveshow-proto/MainBasis/统一需求文档.md；位置：行2200
2. 规则：BR-5c6f0d6a4f55f460
3. 未动态验证</x:v>
      </x:c>
    </x:row>
    <x:row r="186" ht="145" customHeight="1">
      <x:c r="A186" s="10" t="n">
        <x:v>185</x:v>
      </x:c>
      <x:c r="B186" s="10" t="str">
        <x:v>GUILD-02-0120</x:v>
      </x:c>
      <x:c r="C186" s="10" t="str">
        <x:v>主播管理</x:v>
      </x:c>
      <x:c r="D186" s="10" t="str">
        <x:v>主播数据（公会长视角）</x:v>
      </x:c>
      <x:c r="E186" s="10" t="str">
        <x:v>逻辑校验</x:v>
      </x:c>
      <x:c r="F186" s="10" t="str">
        <x:v>P1</x:v>
      </x:c>
      <x:c r="G186" s="9" t="str">
        <x:v>验证主播数据主播等级按分成前收益匹配</x:v>
      </x:c>
      <x:c r="H186" s="9" t="str">
        <x:v>主播等级收益口径</x:v>
      </x:c>
      <x:c r="I186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186" s="9" t="str">
        <x:v>1. 进入主播数据
2. 查看主播甲等级</x:v>
      </x:c>
      <x:c r="K186" s="9" t="str">
        <x:v>主播等级为2级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来源（当前证据）：liveshow-proto/MainBasis/统一需求文档.md；位置：行2201
2. 规则：BR-aeb1729d90247bf1
3. 未动态验证
4. 数据别名：甲、乙、丙用于区分本条测试对象；按前置条件准备并记录实际账号或记录 ID，不是固定业务名称。</x:v>
      </x:c>
    </x:row>
    <x:row r="187" ht="115" customHeight="1">
      <x:c r="A187" s="10" t="n">
        <x:v>186</x:v>
      </x:c>
      <x:c r="B187" s="10" t="str">
        <x:v>GUILD-02-0121</x:v>
      </x:c>
      <x:c r="C187" s="10" t="str">
        <x:v>主播管理</x:v>
      </x:c>
      <x:c r="D187" s="10" t="str">
        <x:v>主播数据（公会长视角）</x:v>
      </x:c>
      <x:c r="E187" s="10" t="str">
        <x:v>功能需求</x:v>
      </x:c>
      <x:c r="F187" s="10" t="str">
        <x:v>P2</x:v>
      </x:c>
      <x:c r="G187" s="9" t="str">
        <x:v>验证主播下播隐藏直播中标记</x:v>
      </x:c>
      <x:c r="H187" s="9" t="str">
        <x:v>公会主播开播状态</x:v>
      </x:c>
      <x:c r="I187" s="9" t="str">
        <x:v>1. 执行角色为公会长
2. 本会主播甲刚结束直播</x:v>
      </x:c>
      <x:c r="J187" s="9" t="str">
        <x:v>1. 进入甲主播数据</x:v>
      </x:c>
      <x:c r="K187" s="9" t="str">
        <x:v>不显示直播中标记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来源（当前证据）：liveshow-proto/MainBasis/统一需求文档.md；位置：行2202
2. 规则：BR-7fe45a1d295aff0f
3. 未动态验证
4. 数据别名：甲、乙、丙用于区分本条测试对象；按前置条件准备并记录实际账号或记录 ID，不是固定业务名称。</x:v>
      </x:c>
    </x:row>
    <x:row r="188" ht="115" customHeight="1">
      <x:c r="A188" s="10" t="n">
        <x:v>187</x:v>
      </x:c>
      <x:c r="B188" s="10" t="str">
        <x:v>GUILD-02-0122</x:v>
      </x:c>
      <x:c r="C188" s="10" t="str">
        <x:v>主播管理</x:v>
      </x:c>
      <x:c r="D188" s="10" t="str">
        <x:v>主播数据（公会长视角）</x:v>
      </x:c>
      <x:c r="E188" s="10" t="str">
        <x:v>功能需求</x:v>
      </x:c>
      <x:c r="F188" s="10" t="str">
        <x:v>P2</x:v>
      </x:c>
      <x:c r="G188" s="9" t="str">
        <x:v>验证开播时主播数据展示直播中标记</x:v>
      </x:c>
      <x:c r="H188" s="9" t="str">
        <x:v>主播数据在播状态</x:v>
      </x:c>
      <x:c r="I188" s="9" t="str">
        <x:v>1. 执行角色为公会长
2. 本公会甲正在进行有效直播场次</x:v>
      </x:c>
      <x:c r="J188" s="9" t="str">
        <x:v>1. 进入甲主播数据</x:v>
      </x:c>
      <x:c r="K188" s="9" t="str">
        <x:v>显示直播中标记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来源（当前证据）：liveshow-proto/MainBasis/统一需求文档.md；位置：行2202
2. 规则：BR-e39de316258c94a8
3. 未动态验证
4. 数据别名：甲、乙、丙用于区分本条测试对象；按前置条件准备并记录实际账号或记录 ID，不是固定业务名称。</x:v>
      </x:c>
    </x:row>
    <x:row r="189" ht="115" customHeight="1">
      <x:c r="A189" s="10" t="n">
        <x:v>188</x:v>
      </x:c>
      <x:c r="B189" s="10" t="str">
        <x:v>GUILD-02-0123</x:v>
      </x:c>
      <x:c r="C189" s="10" t="str">
        <x:v>主播管理</x:v>
      </x:c>
      <x:c r="D189" s="10" t="str">
        <x:v>主播数据（公会长视角）</x:v>
      </x:c>
      <x:c r="E189" s="10" t="str">
        <x:v>功能需求</x:v>
      </x:c>
      <x:c r="F189" s="10" t="str">
        <x:v>P2</x:v>
      </x:c>
      <x:c r="G189" s="9" t="str">
        <x:v>验证已退会主播保留退会标记</x:v>
      </x:c>
      <x:c r="H189" s="9" t="str">
        <x:v>退会身份展示</x:v>
      </x:c>
      <x:c r="I189" s="9" t="str">
        <x:v>1. 执行角色为公会长
2. 甲已退出公会且有历史数据</x:v>
      </x:c>
      <x:c r="J189" s="9" t="str">
        <x:v>1. 进入甲主播数据</x:v>
      </x:c>
      <x:c r="K189" s="9" t="str">
        <x:v>显示退会标记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来源（当前证据）：liveshow-proto/MainBasis/统一需求文档.md；位置：行2203
2. 规则：BR-485baf84f12112a7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GUILD-02-0124</x:v>
      </x:c>
      <x:c r="C190" s="10" t="str">
        <x:v>主播管理</x:v>
      </x:c>
      <x:c r="D190" s="10" t="str">
        <x:v>主播数据（公会长视角）</x:v>
      </x:c>
      <x:c r="E190" s="10" t="str">
        <x:v>业务流程</x:v>
      </x:c>
      <x:c r="F190" s="10" t="str">
        <x:v>P1</x:v>
      </x:c>
      <x:c r="G190" s="9" t="str">
        <x:v>验证主播日数据默认本月</x:v>
      </x:c>
      <x:c r="H190" s="9" t="str">
        <x:v>主播日数据默认范围</x:v>
      </x:c>
      <x:c r="I190" s="9" t="str">
        <x:v>1. 执行角色为公会长
2. 当前为2026年9月</x:v>
      </x:c>
      <x:c r="J190" s="9" t="str">
        <x:v>1. 进入主播数据
2. 选择日数据</x:v>
      </x:c>
      <x:c r="K190" s="9" t="str">
        <x:v>日期快捷项选中本月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来源（当前证据）：liveshow-proto/MainBasis/统一需求文档.md；位置：行2204
2. 规则：BR-25640c0e6e46d092
3. 未动态验证</x:v>
      </x:c>
    </x:row>
    <x:row r="191" ht="115" customHeight="1">
      <x:c r="A191" s="10" t="n">
        <x:v>190</x:v>
      </x:c>
      <x:c r="B191" s="10" t="str">
        <x:v>GUILD-02-0125</x:v>
      </x:c>
      <x:c r="C191" s="10" t="str">
        <x:v>主播管理</x:v>
      </x:c>
      <x:c r="D191" s="10" t="str">
        <x:v>主播数据（公会长视角）</x:v>
      </x:c>
      <x:c r="E191" s="10" t="str">
        <x:v>业务流程</x:v>
      </x:c>
      <x:c r="F191" s="10" t="str">
        <x:v>P1</x:v>
      </x:c>
      <x:c r="G191" s="9" t="str">
        <x:v>验证主播月数据不提供月份筛选</x:v>
      </x:c>
      <x:c r="H191" s="9" t="str">
        <x:v>月数据控件边界</x:v>
      </x:c>
      <x:c r="I191" s="9" t="str">
        <x:v>1. 执行角色为公会长
2. 当前有主播甲的数据查看权限</x:v>
      </x:c>
      <x:c r="J191" s="9" t="str">
        <x:v>1. 进入主播甲数据
2. 选择月数据</x:v>
      </x:c>
      <x:c r="K191" s="9" t="str">
        <x:v>不显示月份筛选控件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来源（当前证据）：liveshow-proto/MainBasis/统一需求文档.md；位置：行2204
2. 规则：BR-2aaa0650ec75c2b5
3. 未动态验证
4. 数据别名：甲、乙、丙用于区分本条测试对象；按前置条件准备并记录实际账号或记录 ID，不是固定业务名称。</x:v>
      </x:c>
    </x:row>
    <x:row r="192" ht="115" customHeight="1">
      <x:c r="A192" s="10" t="n">
        <x:v>191</x:v>
      </x:c>
      <x:c r="B192" s="10" t="str">
        <x:v>GUILD-02-0126</x:v>
      </x:c>
      <x:c r="C192" s="10" t="str">
        <x:v>主播管理</x:v>
      </x:c>
      <x:c r="D192" s="10" t="str">
        <x:v>主播数据（公会长视角）</x:v>
      </x:c>
      <x:c r="E192" s="10" t="str">
        <x:v>功能需求</x:v>
      </x:c>
      <x:c r="F192" s="10" t="str">
        <x:v>P2</x:v>
      </x:c>
      <x:c r="G192" s="9" t="str">
        <x:v>验证日数据按自然日形成行</x:v>
      </x:c>
      <x:c r="H192" s="9" t="str">
        <x:v>主播日数据粒度</x:v>
      </x:c>
      <x:c r="I192" s="9" t="str">
        <x:v>1. 执行角色为公会长
2. 甲仅9月1日和2日有有效数据</x:v>
      </x:c>
      <x:c r="J192" s="9" t="str">
        <x:v>1. 进入甲主播数据
2. 选择日数据
3. 选择9月1日至2日</x:v>
      </x:c>
      <x:c r="K192" s="9" t="str">
        <x:v>列表按两个自然日分别展示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来源（当前证据）：liveshow-proto/MainBasis/统一需求文档.md；位置：行2205
2. 规则：BR-0e1916ab83189352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GUILD-02-0127</x:v>
      </x:c>
      <x:c r="C193" s="10" t="str">
        <x:v>主播管理</x:v>
      </x:c>
      <x:c r="D193" s="10" t="str">
        <x:v>主播数据（公会长视角）</x:v>
      </x:c>
      <x:c r="E193" s="10" t="str">
        <x:v>功能需求</x:v>
      </x:c>
      <x:c r="F193" s="10" t="str">
        <x:v>P2</x:v>
      </x:c>
      <x:c r="G193" s="9" t="str">
        <x:v>验证主播月数据每月独立成行</x:v>
      </x:c>
      <x:c r="H193" s="9" t="str">
        <x:v>主播月统计粒度</x:v>
      </x:c>
      <x:c r="I193" s="9" t="str">
        <x:v>1. 执行角色为公会长
2. 主播甲仅2026年8月、9月有直播数据</x:v>
      </x:c>
      <x:c r="J193" s="9" t="str">
        <x:v>1. 进入甲主播数据
2. 选择月数据</x:v>
      </x:c>
      <x:c r="K193" s="9" t="str">
        <x:v>月份行集合为2026年8月和9月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来源（当前证据）：liveshow-proto/MainBasis/统一需求文档.md；位置：行2205
2. 规则：BR-428fadc213cdbb8c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GUILD-02-0128</x:v>
      </x:c>
      <x:c r="C194" s="10" t="str">
        <x:v>主播管理</x:v>
      </x:c>
      <x:c r="D194" s="10" t="str">
        <x:v>主播数据（公会长视角）</x:v>
      </x:c>
      <x:c r="E194" s="10" t="str">
        <x:v>功能需求</x:v>
      </x:c>
      <x:c r="F194" s="10" t="str">
        <x:v>P2</x:v>
      </x:c>
      <x:c r="G194" s="9" t="str">
        <x:v>验证累计时长以小时分钟显示</x:v>
      </x:c>
      <x:c r="H194" s="9" t="str">
        <x:v>主播时长单位</x:v>
      </x:c>
      <x:c r="I194" s="9" t="str">
        <x:v>1. 执行角色为公会长
2. 甲选定日有效直播累计185分钟</x:v>
      </x:c>
      <x:c r="J194" s="9" t="str">
        <x:v>1. 进入甲主播数据
2. 选择该日</x:v>
      </x:c>
      <x:c r="K194" s="9" t="str">
        <x:v>直播时长显示3小时5分钟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来源（当前证据）：liveshow-proto/MainBasis/统一需求文档.md；位置：行2206
2. 规则：BR-b0ae33e24e540d04
3. 未动态验证
4. 数据别名：甲、乙、丙用于区分本条测试对象；按前置条件准备并记录实际账号或记录 ID，不是固定业务名称。</x:v>
      </x:c>
    </x:row>
    <x:row r="195" ht="115" customHeight="1">
      <x:c r="A195" s="10" t="n">
        <x:v>194</x:v>
      </x:c>
      <x:c r="B195" s="10" t="str">
        <x:v>GUILD-02-0129</x:v>
      </x:c>
      <x:c r="C195" s="10" t="str">
        <x:v>主播管理</x:v>
      </x:c>
      <x:c r="D195" s="10" t="str">
        <x:v>主播数据（公会长视角）</x:v>
      </x:c>
      <x:c r="E195" s="10" t="str">
        <x:v>功能需求</x:v>
      </x:c>
      <x:c r="F195" s="10" t="str">
        <x:v>P2</x:v>
      </x:c>
      <x:c r="G195" s="9" t="str">
        <x:v>验证主播月时长累加本月场次</x:v>
      </x:c>
      <x:c r="H195" s="9" t="str">
        <x:v>月直播时长单位</x:v>
      </x:c>
      <x:c r="I195" s="9" t="str">
        <x:v>1. 执行角色为公会长
2. 甲所查看自然月两场有效时长60、90分钟，均未跨日；无其他场次</x:v>
      </x:c>
      <x:c r="J195" s="9" t="str">
        <x:v>1. 进入甲主播数据
2. 选择月数据
3. 查看该月</x:v>
      </x:c>
      <x:c r="K195" s="9" t="str">
        <x:v>直播时长显示2小时30分钟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来源（当前证据）：liveshow-proto/MainBasis/统一需求文档.md；位置：行2206
2. 规则：BR-a4ebc80f4894705f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GUILD-02-0130</x:v>
      </x:c>
      <x:c r="C196" s="10" t="str">
        <x:v>主播管理</x:v>
      </x:c>
      <x:c r="D196" s="10" t="str">
        <x:v>主播数据（公会长视角）</x:v>
      </x:c>
      <x:c r="E196" s="10" t="str">
        <x:v>逻辑校验</x:v>
      </x:c>
      <x:c r="F196" s="10" t="str">
        <x:v>P1</x:v>
      </x:c>
      <x:c r="G196" s="9" t="str">
        <x:v>验证主播日数据179分钟有效天标记</x:v>
      </x:c>
      <x:c r="H196" s="9" t="str">
        <x:v>日有效天标记</x:v>
      </x:c>
      <x:c r="I196" s="9" t="str">
        <x:v>1. 执行角色为公会长
2. 甲目标自然日有效直播累计179分钟，无跨日场次；统计结果已生成</x:v>
      </x:c>
      <x:c r="J196" s="9" t="str">
        <x:v>1. 进入甲主播数据
2. 选择日数据
3. 选择目标日期</x:v>
      </x:c>
      <x:c r="K196" s="9" t="str">
        <x:v>直播时长旁显示!标记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来源（当前证据）：liveshow-proto/MainBasis/统一需求文档.md；位置：行2207
2. 规则：BR-9dccecb41792ddac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GUILD-02-0131</x:v>
      </x:c>
      <x:c r="C197" s="10" t="str">
        <x:v>主播管理</x:v>
      </x:c>
      <x:c r="D197" s="10" t="str">
        <x:v>主播数据（公会长视角）</x:v>
      </x:c>
      <x:c r="E197" s="10" t="str">
        <x:v>逻辑校验</x:v>
      </x:c>
      <x:c r="F197" s="10" t="str">
        <x:v>P1</x:v>
      </x:c>
      <x:c r="G197" s="9" t="str">
        <x:v>验证主播日数据180分钟有效天标记</x:v>
      </x:c>
      <x:c r="H197" s="9" t="str">
        <x:v>日有效天标记</x:v>
      </x:c>
      <x:c r="I197" s="9" t="str">
        <x:v>1. 执行角色为公会长
2. 甲目标自然日有效直播累计180分钟，无跨日场次；统计结果已生成</x:v>
      </x:c>
      <x:c r="J197" s="9" t="str">
        <x:v>1. 进入甲主播数据
2. 选择日数据
3. 选择目标日期</x:v>
      </x:c>
      <x:c r="K197" s="9" t="str">
        <x:v>直播时长旁显示✓标记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来源（当前证据）：liveshow-proto/MainBasis/统一需求文档.md；位置：行2207
2. 规则：BR-d9a8764fb8a5a741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GUILD-02-0132</x:v>
      </x:c>
      <x:c r="C198" s="10" t="str">
        <x:v>主播管理</x:v>
      </x:c>
      <x:c r="D198" s="10" t="str">
        <x:v>主播数据（公会长视角）</x:v>
      </x:c>
      <x:c r="E198" s="10" t="str">
        <x:v>逻辑校验</x:v>
      </x:c>
      <x:c r="F198" s="10" t="str">
        <x:v>P1</x:v>
      </x:c>
      <x:c r="G198" s="9" t="str">
        <x:v>验证主播日数据181分钟有效天标记</x:v>
      </x:c>
      <x:c r="H198" s="9" t="str">
        <x:v>日有效天标记</x:v>
      </x:c>
      <x:c r="I198" s="9" t="str">
        <x:v>1. 执行角色为公会长
2. 甲目标自然日有效直播累计181分钟，无跨日场次；统计结果已生成</x:v>
      </x:c>
      <x:c r="J198" s="9" t="str">
        <x:v>1. 进入甲主播数据
2. 选择日数据
3. 选择目标日期</x:v>
      </x:c>
      <x:c r="K198" s="9" t="str">
        <x:v>直播时长旁显示✓标记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来源（当前证据）：liveshow-proto/MainBasis/统一需求文档.md；位置：行2207
2. 规则：BR-b0d23db751c94cb0
3. 未动态验证
4. 数据别名：甲、乙、丙用于区分本条测试对象；按前置条件准备并记录实际账号或记录 ID，不是固定业务名称。</x:v>
      </x:c>
    </x:row>
    <x:row r="199" ht="115" customHeight="1">
      <x:c r="A199" s="10" t="n">
        <x:v>198</x:v>
      </x:c>
      <x:c r="B199" s="10" t="str">
        <x:v>GUILD-02-0133</x:v>
      </x:c>
      <x:c r="C199" s="10" t="str">
        <x:v>主播管理</x:v>
      </x:c>
      <x:c r="D199" s="10" t="str">
        <x:v>主播数据（公会长视角）</x:v>
      </x:c>
      <x:c r="E199" s="10" t="str">
        <x:v>功能需求</x:v>
      </x:c>
      <x:c r="F199" s="10" t="str">
        <x:v>P2</x:v>
      </x:c>
      <x:c r="G199" s="9" t="str">
        <x:v>验证新增粉丝不扣同期取关</x:v>
      </x:c>
      <x:c r="H199" s="9" t="str">
        <x:v>主播数据新增粉丝口径</x:v>
      </x:c>
      <x:c r="I199" s="9" t="str">
        <x:v>1. 执行角色为公会长
2. 甲9月1日新增5个关注、原粉丝取关3个</x:v>
      </x:c>
      <x:c r="J199" s="9" t="str">
        <x:v>1. 进入甲主播数据
2. 选择9月1日</x:v>
      </x:c>
      <x:c r="K199" s="9" t="str">
        <x:v>新增粉丝为5人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来源（当前证据）：liveshow-proto/MainBasis/统一需求文档.md；位置：行2208
2. 规则：BR-34efcfdba2a41fde
3. 未动态验证
4. 数据别名：甲、乙、丙用于区分本条测试对象；按前置条件准备并记录实际账号或记录 ID，不是固定业务名称。</x:v>
      </x:c>
    </x:row>
    <x:row r="200" ht="115" customHeight="1">
      <x:c r="A200" s="10" t="n">
        <x:v>199</x:v>
      </x:c>
      <x:c r="B200" s="10" t="str">
        <x:v>GUILD-02-0134</x:v>
      </x:c>
      <x:c r="C200" s="10" t="str">
        <x:v>主播管理</x:v>
      </x:c>
      <x:c r="D200" s="10" t="str">
        <x:v>主播数据（公会长视角）</x:v>
      </x:c>
      <x:c r="E200" s="10" t="str">
        <x:v>功能需求</x:v>
      </x:c>
      <x:c r="F200" s="10" t="str">
        <x:v>P2</x:v>
      </x:c>
      <x:c r="G200" s="9" t="str">
        <x:v>验证主播月新增粉丝不扣取关</x:v>
      </x:c>
      <x:c r="H200" s="9" t="str">
        <x:v>月新增粉丝口径</x:v>
      </x:c>
      <x:c r="I200" s="9" t="str">
        <x:v>1. 执行角色为公会长
2. 甲本月新增10位关注、原有粉丝取关3位；没有其他新增</x:v>
      </x:c>
      <x:c r="J200" s="9" t="str">
        <x:v>1. 进入甲主播数据
2. 选择月数据
3. 查看本月</x:v>
      </x:c>
      <x:c r="K200" s="9" t="str">
        <x:v>新增粉丝显示10人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来源（当前证据）：liveshow-proto/MainBasis/统一需求文档.md；位置：行2208
2. 规则：BR-c8d5b7d5cb02894c
3. 未动态验证
4. 数据别名：甲、乙、丙用于区分本条测试对象；按前置条件准备并记录实际账号或记录 ID，不是固定业务名称。</x:v>
      </x:c>
    </x:row>
    <x:row r="201" ht="70" customHeight="1">
      <x:c r="A201" s="10" t="n">
        <x:v>200</x:v>
      </x:c>
      <x:c r="B201" s="10" t="str">
        <x:v>GUILD-02-0135</x:v>
      </x:c>
      <x:c r="C201" s="10" t="str">
        <x:v>主播管理</x:v>
      </x:c>
      <x:c r="D201" s="10" t="str">
        <x:v>主播数据（公会长视角）</x:v>
      </x:c>
      <x:c r="E201" s="10" t="str">
        <x:v>逻辑校验</x:v>
      </x:c>
      <x:c r="F201" s="10" t="str">
        <x:v>P1</x:v>
      </x:c>
      <x:c r="G201" s="9" t="str">
        <x:v>验证主播数据日收益按当前对象求和</x:v>
      </x:c>
      <x:c r="H201" s="9" t="str">
        <x:v>日收益计算范围</x:v>
      </x:c>
      <x:c r="I201" s="9" t="str">
        <x:v>1. 执行角色为公会长
2. 当前主播9月1日普通真实赠礼100、定制真实赠礼200；无其他收入</x:v>
      </x:c>
      <x:c r="J201" s="9" t="str">
        <x:v>1. 进入主播数据
2. 查看前置条件指定对象及范围的日收益</x:v>
      </x:c>
      <x:c r="K201" s="9" t="str">
        <x:v>日收益按100+200计算=300金币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来源（当前证据）：liveshow-proto/MainBasis/统一需求文档.md；位置：行2209
2. 规则：BR-63644ecb5f554b94
3. 未动态验证</x:v>
      </x:c>
    </x:row>
    <x:row r="202" ht="115" customHeight="1">
      <x:c r="A202" s="10" t="n">
        <x:v>201</x:v>
      </x:c>
      <x:c r="B202" s="10" t="str">
        <x:v>GUILD-02-0136</x:v>
      </x:c>
      <x:c r="C202" s="10" t="str">
        <x:v>主播管理</x:v>
      </x:c>
      <x:c r="D202" s="10" t="str">
        <x:v>主播数据（公会长视角）</x:v>
      </x:c>
      <x:c r="E202" s="10" t="str">
        <x:v>功能需求</x:v>
      </x:c>
      <x:c r="F202" s="10" t="str">
        <x:v>P2</x:v>
      </x:c>
      <x:c r="G202" s="9" t="str">
        <x:v>验证主播月收益按月份汇总</x:v>
      </x:c>
      <x:c r="H202" s="9" t="str">
        <x:v>月主播收益</x:v>
      </x:c>
      <x:c r="I202" s="9" t="str">
        <x:v>1. 执行角色为公会长
2. 甲本月普通礼物收益100金币、定制收益200金币，没有其他收益</x:v>
      </x:c>
      <x:c r="J202" s="9" t="str">
        <x:v>1. 进入甲主播数据
2. 选择月数据
3. 查看本月</x:v>
      </x:c>
      <x:c r="K202" s="9" t="str">
        <x:v>本月收益显示300金币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来源（当前证据）：liveshow-proto/MainBasis/统一需求文档.md；位置：行2209
2. 规则：BR-5cbb232d6ab97893
3. 未动态验证
4. 数据别名：甲、乙、丙用于区分本条测试对象；按前置条件准备并记录实际账号或记录 ID，不是固定业务名称。</x:v>
      </x:c>
    </x:row>
    <x:row r="203" ht="115" customHeight="1">
      <x:c r="A203" s="10" t="n">
        <x:v>202</x:v>
      </x:c>
      <x:c r="B203" s="10" t="str">
        <x:v>GUILD-02-0137</x:v>
      </x:c>
      <x:c r="C203" s="10" t="str">
        <x:v>主播管理</x:v>
      </x:c>
      <x:c r="D203" s="10" t="str">
        <x:v>主播数据（公会长视角）</x:v>
      </x:c>
      <x:c r="E203" s="10" t="str">
        <x:v>业务流程</x:v>
      </x:c>
      <x:c r="F203" s="10" t="str">
        <x:v>P1</x:v>
      </x:c>
      <x:c r="G203" s="9" t="str">
        <x:v>验证从日数据进入对应直播记录</x:v>
      </x:c>
      <x:c r="H203" s="9" t="str">
        <x:v>日明细参数传递</x:v>
      </x:c>
      <x:c r="I203" s="9" t="str">
        <x:v>1. 执行角色为公会长
2. 主播甲9月1日有直播记录；9月2日也有记录</x:v>
      </x:c>
      <x:c r="J203" s="9" t="str">
        <x:v>1. 进入主播甲数据
2. 点击9月1日数据行</x:v>
      </x:c>
      <x:c r="K203" s="9" t="str">
        <x:v>直播记录带入主播甲及9月1日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来源（当前证据）：liveshow-proto/MainBasis/统一需求文档.md；位置：行2210
2. 规则：BR-991cf2ae483796d2
3. 未动态验证
4. 数据别名：甲、乙、丙用于区分本条测试对象；按前置条件准备并记录实际账号或记录 ID，不是固定业务名称。</x:v>
      </x:c>
    </x:row>
    <x:row r="204" ht="115" customHeight="1">
      <x:c r="A204" s="10" t="n">
        <x:v>203</x:v>
      </x:c>
      <x:c r="B204" s="10" t="str">
        <x:v>GUILD-02-0138</x:v>
      </x:c>
      <x:c r="C204" s="10" t="str">
        <x:v>主播管理</x:v>
      </x:c>
      <x:c r="D204" s="10" t="str">
        <x:v>主播数据（公会长视角）</x:v>
      </x:c>
      <x:c r="E204" s="10" t="str">
        <x:v>功能需求</x:v>
      </x:c>
      <x:c r="F204" s="10" t="str">
        <x:v>P2</x:v>
      </x:c>
      <x:c r="G204" s="9" t="str">
        <x:v>验证月数据带月份进入直播记录</x:v>
      </x:c>
      <x:c r="H204" s="9" t="str">
        <x:v>主播月记录导航</x:v>
      </x:c>
      <x:c r="I204" s="9" t="str">
        <x:v>1. 执行角色为公会长
2. 甲2026年8月、9月均有场次</x:v>
      </x:c>
      <x:c r="J204" s="9" t="str">
        <x:v>1. 进入甲主播数据
2. 选择月数据
3. 点击2026年8月</x:v>
      </x:c>
      <x:c r="K204" s="9" t="str">
        <x:v>直播记录带入主播甲及2026年8月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来源（当前证据）：liveshow-proto/MainBasis/统一需求文档.md；位置：行2210
2. 规则：BR-9ca64f8c4cb94f58
3. 未动态验证
4. 数据别名：甲、乙、丙用于区分本条测试对象；按前置条件准备并记录实际账号或记录 ID，不是固定业务名称。</x:v>
      </x:c>
    </x:row>
    <x:row r="205" ht="115" customHeight="1">
      <x:c r="A205" s="10" t="n">
        <x:v>204</x:v>
      </x:c>
      <x:c r="B205" s="10" t="str">
        <x:v>GUILD-02-0139</x:v>
      </x:c>
      <x:c r="C205" s="10" t="str">
        <x:v>主播管理</x:v>
      </x:c>
      <x:c r="D205" s="10" t="str">
        <x:v>主播数据（公会长视角）</x:v>
      </x:c>
      <x:c r="E205" s="10" t="str">
        <x:v>功能需求</x:v>
      </x:c>
      <x:c r="F205" s="10" t="str">
        <x:v>P2</x:v>
      </x:c>
      <x:c r="G205" s="9" t="str">
        <x:v>验证主播数据主页入口指向选中主播</x:v>
      </x:c>
      <x:c r="H205" s="9" t="str">
        <x:v>公会主播主页导航</x:v>
      </x:c>
      <x:c r="I205" s="9" t="str">
        <x:v>1. 执行角色为公会长
2. 当前正在查看本会主播甲日数据</x:v>
      </x:c>
      <x:c r="J205" s="9" t="str">
        <x:v>1. 点击主页入口</x:v>
      </x:c>
      <x:c r="K205" s="9" t="str">
        <x:v>进入主播甲详情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来源（当前证据）：liveshow-proto/MainBasis/统一需求文档.md；位置：行2211
2. 规则：BR-74219d600e64a2c4
3. 未动态验证
4. 数据别名：甲、乙、丙用于区分本条测试对象；按前置条件准备并记录实际账号或记录 ID，不是固定业务名称。</x:v>
      </x:c>
    </x:row>
    <x:row r="206" ht="115" customHeight="1">
      <x:c r="A206" s="10" t="n">
        <x:v>205</x:v>
      </x:c>
      <x:c r="B206" s="10" t="str">
        <x:v>GUILD-02-0140</x:v>
      </x:c>
      <x:c r="C206" s="10" t="str">
        <x:v>主播管理</x:v>
      </x:c>
      <x:c r="D206" s="10" t="str">
        <x:v>主播数据（公会长视角）</x:v>
      </x:c>
      <x:c r="E206" s="10" t="str">
        <x:v>业务流程</x:v>
      </x:c>
      <x:c r="F206" s="10" t="str">
        <x:v>P1</x:v>
      </x:c>
      <x:c r="G206" s="9" t="str">
        <x:v>验证取关不抵扣新增粉丝</x:v>
      </x:c>
      <x:c r="H206" s="9" t="str">
        <x:v>主播新增关注口径</x:v>
      </x:c>
      <x:c r="I206" s="9" t="str">
        <x:v>1. 执行角色为公会长
2. 主播甲当日新增关注5人，另有3名原粉丝取关</x:v>
      </x:c>
      <x:c r="J206" s="9" t="str">
        <x:v>1. 进入主播甲数据
2. 选择该自然日</x:v>
      </x:c>
      <x:c r="K206" s="9" t="str">
        <x:v>新增粉丝显示5人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来源（当前证据）：liveshow-proto/MainBasis/统一需求文档.md；位置：行2212
2. 规则：BR-456b1cb698d5a0a1
3. 未动态验证
4. 数据别名：甲、乙、丙用于区分本条测试对象；按前置条件准备并记录实际账号或记录 ID，不是固定业务名称。</x:v>
      </x:c>
    </x:row>
    <x:row r="207" ht="115" customHeight="1">
      <x:c r="A207" s="10" t="n">
        <x:v>206</x:v>
      </x:c>
      <x:c r="B207" s="10" t="str">
        <x:v>GUILD-02-0141</x:v>
      </x:c>
      <x:c r="C207" s="10" t="str">
        <x:v>主播管理</x:v>
      </x:c>
      <x:c r="D207" s="10" t="str">
        <x:v>主播数据（公会长视角）</x:v>
      </x:c>
      <x:c r="E207" s="10" t="str">
        <x:v>功能需求</x:v>
      </x:c>
      <x:c r="F207" s="10" t="str">
        <x:v>P2</x:v>
      </x:c>
      <x:c r="G207" s="9" t="str">
        <x:v>验证仅发生取关时新增粉丝不为负</x:v>
      </x:c>
      <x:c r="H207" s="9" t="str">
        <x:v>新增粉丝非负边界</x:v>
      </x:c>
      <x:c r="I207" s="9" t="str">
        <x:v>1. 执行角色为公会长
2. 甲目标日没有新增关注，仅3名历史粉丝取关</x:v>
      </x:c>
      <x:c r="J207" s="9" t="str">
        <x:v>1. 进入甲主播数据
2. 选择该日</x:v>
      </x:c>
      <x:c r="K207" s="9" t="str">
        <x:v>新增粉丝显示0人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来源（当前证据）：liveshow-proto/MainBasis/统一需求文档.md；位置：行2212
2. 规则：BR-2128148e7d86c3fb
3. 未动态验证
4. 数据别名：甲、乙、丙用于区分本条测试对象；按前置条件准备并记录实际账号或记录 ID，不是固定业务名称。</x:v>
      </x:c>
    </x:row>
    <x:row r="208" ht="115" customHeight="1">
      <x:c r="A208" s="10" t="n">
        <x:v>207</x:v>
      </x:c>
      <x:c r="B208" s="10" t="str">
        <x:v>GUILD-02-0142</x:v>
      </x:c>
      <x:c r="C208" s="10" t="str">
        <x:v>主播管理</x:v>
      </x:c>
      <x:c r="D208" s="10" t="str">
        <x:v>主播主页（公会长视角）</x:v>
      </x:c>
      <x:c r="E208" s="10" t="str">
        <x:v>功能需求</x:v>
      </x:c>
      <x:c r="F208" s="10" t="str">
        <x:v>P2</x:v>
      </x:c>
      <x:c r="G208" s="9" t="str">
        <x:v>验证主播主页读取名称</x:v>
      </x:c>
      <x:c r="H208" s="9" t="str">
        <x:v>名称回显</x:v>
      </x:c>
      <x:c r="I208" s="9" t="str">
        <x:v>1. 执行角色为公会长
2. 主播详情所属账号的名称为“主播甲”</x:v>
      </x:c>
      <x:c r="J208" s="9" t="str">
        <x:v>1. 进入主播主页
2. 查看名称</x:v>
      </x:c>
      <x:c r="K208" s="9" t="str">
        <x:v>名称显示“主播甲”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来源（当前证据）：liveshow-proto/MainBasis/统一需求文档.md；位置：行2216
2. 规则：BR-ea022eee50b3f0b5
3. 未动态验证
4. 数据别名：甲、乙、丙用于区分本条测试对象；按前置条件准备并记录实际账号或记录 ID，不是固定业务名称。</x:v>
      </x:c>
    </x:row>
    <x:row r="209" ht="115" customHeight="1">
      <x:c r="A209" s="10" t="n">
        <x:v>208</x:v>
      </x:c>
      <x:c r="B209" s="10" t="str">
        <x:v>GUILD-02-0143</x:v>
      </x:c>
      <x:c r="C209" s="10" t="str">
        <x:v>主播管理</x:v>
      </x:c>
      <x:c r="D209" s="10" t="str">
        <x:v>主播主页（公会长视角）</x:v>
      </x:c>
      <x:c r="E209" s="10" t="str">
        <x:v>功能需求</x:v>
      </x:c>
      <x:c r="F209" s="10" t="str">
        <x:v>P2</x:v>
      </x:c>
      <x:c r="G209" s="9" t="str">
        <x:v>验证主播主页头像关联本人</x:v>
      </x:c>
      <x:c r="H209" s="9" t="str">
        <x:v>主播详情头像</x:v>
      </x:c>
      <x:c r="I209" s="9" t="str">
        <x:v>1. 执行角色为公会长
2. 当前公会正在查看甲，已记录甲头像原图</x:v>
      </x:c>
      <x:c r="J209" s="9" t="str">
        <x:v>1. 进入甲主播主页
2. 查看头像</x:v>
      </x:c>
      <x:c r="K209" s="9" t="str">
        <x:v>头像显示甲的原图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来源（当前证据）：liveshow-proto/MainBasis/统一需求文档.md；位置：行2216
2. 规则：BR-050f74007093ab8f
3. 未动态验证
4. 数据别名：甲、乙、丙用于区分本条测试对象；按前置条件准备并记录实际账号或记录 ID，不是固定业务名称。</x:v>
      </x:c>
    </x:row>
    <x:row r="210" ht="70" customHeight="1">
      <x:c r="A210" s="10" t="n">
        <x:v>209</x:v>
      </x:c>
      <x:c r="B210" s="10" t="str">
        <x:v>GUILD-02-0144</x:v>
      </x:c>
      <x:c r="C210" s="10" t="str">
        <x:v>主播管理</x:v>
      </x:c>
      <x:c r="D210" s="10" t="str">
        <x:v>主播主页（公会长视角）</x:v>
      </x:c>
      <x:c r="E210" s="10" t="str">
        <x:v>功能需求</x:v>
      </x:c>
      <x:c r="F210" s="10" t="str">
        <x:v>P2</x:v>
      </x:c>
      <x:c r="G210" s="9" t="str">
        <x:v>验证主播主页读取主播ID</x:v>
      </x:c>
      <x:c r="H210" s="9" t="str">
        <x:v>主播ID回显</x:v>
      </x:c>
      <x:c r="I210" s="9" t="str">
        <x:v>1. 执行角色为公会长
2. 主播详情所属账号的主播ID为“100001”</x:v>
      </x:c>
      <x:c r="J210" s="9" t="str">
        <x:v>1. 进入主播主页
2. 查看主播ID</x:v>
      </x:c>
      <x:c r="K210" s="9" t="str">
        <x:v>主播ID显示“100001”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来源（当前证据）：liveshow-proto/MainBasis/统一需求文档.md；位置：行2217
2. 规则：BR-23790e3ba1eae4e7
3. 未动态验证</x:v>
      </x:c>
    </x:row>
    <x:row r="211" ht="145" customHeight="1">
      <x:c r="A211" s="10" t="n">
        <x:v>210</x:v>
      </x:c>
      <x:c r="B211" s="10" t="str">
        <x:v>GUILD-02-0145</x:v>
      </x:c>
      <x:c r="C211" s="10" t="str">
        <x:v>主播管理</x:v>
      </x:c>
      <x:c r="D211" s="10" t="str">
        <x:v>主播主页（公会长视角）</x:v>
      </x:c>
      <x:c r="E211" s="10" t="str">
        <x:v>逻辑校验</x:v>
      </x:c>
      <x:c r="F211" s="10" t="str">
        <x:v>P1</x:v>
      </x:c>
      <x:c r="G211" s="9" t="str">
        <x:v>验证主播主页主播等级按分成前收益匹配</x:v>
      </x:c>
      <x:c r="H211" s="9" t="str">
        <x:v>主播等级收益口径</x:v>
      </x:c>
      <x:c r="I211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211" s="9" t="str">
        <x:v>1. 进入主播主页
2. 查看主播甲等级</x:v>
      </x:c>
      <x:c r="K211" s="9" t="str">
        <x:v>主播等级为2级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来源（当前证据）：liveshow-proto/MainBasis/统一需求文档.md；位置：行2218
2. 规则：BR-25e19fbf742c366a
3. 未动态验证
4. 数据别名：甲、乙、丙用于区分本条测试对象；按前置条件准备并记录实际账号或记录 ID，不是固定业务名称。</x:v>
      </x:c>
    </x:row>
    <x:row r="212" ht="115" customHeight="1">
      <x:c r="A212" s="10" t="n">
        <x:v>211</x:v>
      </x:c>
      <x:c r="B212" s="10" t="str">
        <x:v>GUILD-02-0146</x:v>
      </x:c>
      <x:c r="C212" s="10" t="str">
        <x:v>主播管理</x:v>
      </x:c>
      <x:c r="D212" s="10" t="str">
        <x:v>主播主页（公会长视角）</x:v>
      </x:c>
      <x:c r="E212" s="10" t="str">
        <x:v>业务流程</x:v>
      </x:c>
      <x:c r="F212" s="10" t="str">
        <x:v>P1</x:v>
      </x:c>
      <x:c r="G212" s="9" t="str">
        <x:v>验证退会主播不再显示管理入口</x:v>
      </x:c>
      <x:c r="H212" s="9" t="str">
        <x:v>退会管理权限</x:v>
      </x:c>
      <x:c r="I212" s="9" t="str">
        <x:v>1. 执行角色为公会长
2. 主播甲已退出当前公会</x:v>
      </x:c>
      <x:c r="J212" s="9" t="str">
        <x:v>1. 进入主播甲主页</x:v>
      </x:c>
      <x:c r="K212" s="9" t="str">
        <x:v>不显示主播管理入口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来源（当前证据）：liveshow-proto/MainBasis/统一需求文档.md；位置：行2219
2. 规则：BR-cbf66937d16b58c8
3. 未动态验证
4. 数据别名：甲、乙、丙用于区分本条测试对象；按前置条件准备并记录实际账号或记录 ID，不是固定业务名称。</x:v>
      </x:c>
    </x:row>
    <x:row r="213" ht="115" customHeight="1">
      <x:c r="A213" s="10" t="n">
        <x:v>212</x:v>
      </x:c>
      <x:c r="B213" s="10" t="str">
        <x:v>GUILD-02-0147</x:v>
      </x:c>
      <x:c r="C213" s="10" t="str">
        <x:v>主播管理</x:v>
      </x:c>
      <x:c r="D213" s="10" t="str">
        <x:v>主播主页（公会长视角）</x:v>
      </x:c>
      <x:c r="E213" s="10" t="str">
        <x:v>功能需求</x:v>
      </x:c>
      <x:c r="F213" s="10" t="str">
        <x:v>P2</x:v>
      </x:c>
      <x:c r="G213" s="9" t="str">
        <x:v>验证退会主播主页展示退会标记</x:v>
      </x:c>
      <x:c r="H213" s="9" t="str">
        <x:v>主播详情退会身份</x:v>
      </x:c>
      <x:c r="I213" s="9" t="str">
        <x:v>1. 执行角色为公会长
2. 甲有本会历史记录，当前已退出本会</x:v>
      </x:c>
      <x:c r="J213" s="9" t="str">
        <x:v>1. 进入甲主播主页</x:v>
      </x:c>
      <x:c r="K213" s="9" t="str">
        <x:v>显示退会标记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来源（当前证据）：liveshow-proto/MainBasis/统一需求文档.md；位置：行2219
2. 规则：BR-9fc1f32c30cbe560
3. 未动态验证
4. 数据别名：甲、乙、丙用于区分本条测试对象；按前置条件准备并记录实际账号或记录 ID，不是固定业务名称。</x:v>
      </x:c>
    </x:row>
    <x:row r="214" ht="115" customHeight="1">
      <x:c r="A214" s="10" t="n">
        <x:v>213</x:v>
      </x:c>
      <x:c r="B214" s="10" t="str">
        <x:v>GUILD-02-0148</x:v>
      </x:c>
      <x:c r="C214" s="10" t="str">
        <x:v>主播管理</x:v>
      </x:c>
      <x:c r="D214" s="10" t="str">
        <x:v>主播主页（公会长视角）</x:v>
      </x:c>
      <x:c r="E214" s="10" t="str">
        <x:v>功能需求</x:v>
      </x:c>
      <x:c r="F214" s="10" t="str">
        <x:v>P2</x:v>
      </x:c>
      <x:c r="G214" s="9" t="str">
        <x:v>验证主播主页读取姓名</x:v>
      </x:c>
      <x:c r="H214" s="9" t="str">
        <x:v>姓名回显</x:v>
      </x:c>
      <x:c r="I214" s="9" t="str">
        <x:v>1. 执行角色为公会长
2. 主播认证时提交的资料的姓名为“实名甲”</x:v>
      </x:c>
      <x:c r="J214" s="9" t="str">
        <x:v>1. 进入主播主页
2. 查看姓名</x:v>
      </x:c>
      <x:c r="K214" s="9" t="str">
        <x:v>姓名显示“实名甲”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来源（当前证据）：liveshow-proto/MainBasis/统一需求文档.md；位置：行2220
2. 规则：BR-0f48f53cf02fdcd9
3. 未动态验证
4. 数据别名：甲、乙、丙用于区分本条测试对象；按前置条件准备并记录实际账号或记录 ID，不是固定业务名称。</x:v>
      </x:c>
    </x:row>
    <x:row r="215" ht="70" customHeight="1">
      <x:c r="A215" s="10" t="n">
        <x:v>214</x:v>
      </x:c>
      <x:c r="B215" s="10" t="str">
        <x:v>GUILD-02-0149</x:v>
      </x:c>
      <x:c r="C215" s="10" t="str">
        <x:v>主播管理</x:v>
      </x:c>
      <x:c r="D215" s="10" t="str">
        <x:v>主播主页（公会长视角）</x:v>
      </x:c>
      <x:c r="E215" s="10" t="str">
        <x:v>功能需求</x:v>
      </x:c>
      <x:c r="F215" s="10" t="str">
        <x:v>P2</x:v>
      </x:c>
      <x:c r="G215" s="9" t="str">
        <x:v>验证主播主页读取电话</x:v>
      </x:c>
      <x:c r="H215" s="9" t="str">
        <x:v>电话回显</x:v>
      </x:c>
      <x:c r="I215" s="9" t="str">
        <x:v>1. 执行角色为公会长
2. 主播认证时提交的资料的电话为“+6281234567890”</x:v>
      </x:c>
      <x:c r="J215" s="9" t="str">
        <x:v>1. 进入主播主页
2. 查看电话</x:v>
      </x:c>
      <x:c r="K215" s="9" t="str">
        <x:v>电话显示“+6281234567890”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来源（当前证据）：liveshow-proto/MainBasis/统一需求文档.md；位置：行2220
2. 规则：BR-81497aec1860d1e3
3. 未动态验证</x:v>
      </x:c>
    </x:row>
    <x:row r="216" ht="130" customHeight="1">
      <x:c r="A216" s="10" t="n">
        <x:v>215</x:v>
      </x:c>
      <x:c r="B216" s="10" t="str">
        <x:v>GUILD-02-0150</x:v>
      </x:c>
      <x:c r="C216" s="10" t="str">
        <x:v>主播管理</x:v>
      </x:c>
      <x:c r="D216" s="10" t="str">
        <x:v>主播主页（公会长视角）</x:v>
      </x:c>
      <x:c r="E216" s="10" t="str">
        <x:v>功能需求</x:v>
      </x:c>
      <x:c r="F216" s="10" t="str">
        <x:v>P2</x:v>
      </x:c>
      <x:c r="G216" s="9" t="str">
        <x:v>验证主播主页查看本人照片</x:v>
      </x:c>
      <x:c r="H216" s="9" t="str">
        <x:v>主播认证材料预览</x:v>
      </x:c>
      <x:c r="I216" s="9" t="str">
        <x:v>1. 执行角色为公会长
2. 甲认证通过，三份认证材料图片内容可区分，已记录本人照片原图</x:v>
      </x:c>
      <x:c r="J216" s="9" t="str">
        <x:v>1. 进入甲主播主页
2. 点击本人照片</x:v>
      </x:c>
      <x:c r="K216" s="9" t="str">
        <x:v>大图为甲认证时提交的本人照片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来源（当前证据）：liveshow-proto/MainBasis/统一需求文档.md；位置：行2221、行2238
2. 规则：BR-9fa2d39446413f4f
3. 未动态验证
4. 数据别名：甲、乙、丙用于区分本条测试对象；按前置条件准备并记录实际账号或记录 ID，不是固定业务名称。</x:v>
      </x:c>
    </x:row>
    <x:row r="217" ht="130" customHeight="1">
      <x:c r="A217" s="10" t="n">
        <x:v>216</x:v>
      </x:c>
      <x:c r="B217" s="10" t="str">
        <x:v>GUILD-02-0151</x:v>
      </x:c>
      <x:c r="C217" s="10" t="str">
        <x:v>主播管理</x:v>
      </x:c>
      <x:c r="D217" s="10" t="str">
        <x:v>主播主页（公会长视角）</x:v>
      </x:c>
      <x:c r="E217" s="10" t="str">
        <x:v>功能需求</x:v>
      </x:c>
      <x:c r="F217" s="10" t="str">
        <x:v>P2</x:v>
      </x:c>
      <x:c r="G217" s="9" t="str">
        <x:v>验证主播主页查看证件正面</x:v>
      </x:c>
      <x:c r="H217" s="9" t="str">
        <x:v>主播认证材料预览</x:v>
      </x:c>
      <x:c r="I217" s="9" t="str">
        <x:v>1. 执行角色为公会长
2. 甲认证通过，三份认证材料图片内容可区分，已记录证件正面原图</x:v>
      </x:c>
      <x:c r="J217" s="9" t="str">
        <x:v>1. 进入甲主播主页
2. 点击证件正面</x:v>
      </x:c>
      <x:c r="K217" s="9" t="str">
        <x:v>大图为甲认证时提交的证件正面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来源（当前证据）：liveshow-proto/MainBasis/统一需求文档.md；位置：行2221、行2238
2. 规则：BR-678b8dc26c526246
3. 未动态验证
4. 数据别名：甲、乙、丙用于区分本条测试对象；按前置条件准备并记录实际账号或记录 ID，不是固定业务名称。</x:v>
      </x:c>
    </x:row>
    <x:row r="218" ht="130" customHeight="1">
      <x:c r="A218" s="10" t="n">
        <x:v>217</x:v>
      </x:c>
      <x:c r="B218" s="10" t="str">
        <x:v>GUILD-02-0152</x:v>
      </x:c>
      <x:c r="C218" s="10" t="str">
        <x:v>主播管理</x:v>
      </x:c>
      <x:c r="D218" s="10" t="str">
        <x:v>主播主页（公会长视角）</x:v>
      </x:c>
      <x:c r="E218" s="10" t="str">
        <x:v>功能需求</x:v>
      </x:c>
      <x:c r="F218" s="10" t="str">
        <x:v>P2</x:v>
      </x:c>
      <x:c r="G218" s="9" t="str">
        <x:v>验证主播主页查看证件反面</x:v>
      </x:c>
      <x:c r="H218" s="9" t="str">
        <x:v>主播认证材料预览</x:v>
      </x:c>
      <x:c r="I218" s="9" t="str">
        <x:v>1. 执行角色为公会长
2. 甲认证通过，三份认证材料图片内容可区分，已记录证件反面原图</x:v>
      </x:c>
      <x:c r="J218" s="9" t="str">
        <x:v>1. 进入甲主播主页
2. 点击证件反面</x:v>
      </x:c>
      <x:c r="K218" s="9" t="str">
        <x:v>大图为甲认证时提交的证件反面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来源（当前证据）：liveshow-proto/MainBasis/统一需求文档.md；位置：行2221、行2238
2. 规则：BR-b80264439966fdd9
3. 未动态验证
4. 数据别名：甲、乙、丙用于区分本条测试对象；按前置条件准备并记录实际账号或记录 ID，不是固定业务名称。</x:v>
      </x:c>
    </x:row>
    <x:row r="219" ht="115" customHeight="1">
      <x:c r="A219" s="10" t="n">
        <x:v>218</x:v>
      </x:c>
      <x:c r="B219" s="10" t="str">
        <x:v>GUILD-02-0153</x:v>
      </x:c>
      <x:c r="C219" s="10" t="str">
        <x:v>主播管理</x:v>
      </x:c>
      <x:c r="D219" s="10" t="str">
        <x:v>主播主页（公会长视角）</x:v>
      </x:c>
      <x:c r="E219" s="10" t="str">
        <x:v>功能需求</x:v>
      </x:c>
      <x:c r="F219" s="10" t="str">
        <x:v>P2</x:v>
      </x:c>
      <x:c r="G219" s="9" t="str">
        <x:v>验证已退会不能改直播权限</x:v>
      </x:c>
      <x:c r="H219" s="9" t="str">
        <x:v>退会后的权限操作</x:v>
      </x:c>
      <x:c r="I219" s="9" t="str">
        <x:v>1. 执行角色为公会长
2. 甲已退出当前公会</x:v>
      </x:c>
      <x:c r="J219" s="9" t="str">
        <x:v>1. 进入甲历史主播详情</x:v>
      </x:c>
      <x:c r="K219" s="9" t="str">
        <x:v>直播权限不能修改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来源（当前证据）：liveshow-proto/MainBasis/统一需求文档.md；位置：行2222
2. 规则：BR-69ecfb7c56ab0303
3. 未动态验证
4. 数据别名：甲、乙、丙用于区分本条测试对象；按前置条件准备并记录实际账号或记录 ID，不是固定业务名称。</x:v>
      </x:c>
    </x:row>
    <x:row r="220" ht="115" customHeight="1">
      <x:c r="A220" s="10" t="n">
        <x:v>219</x:v>
      </x:c>
      <x:c r="B220" s="10" t="str">
        <x:v>GUILD-02-0154</x:v>
      </x:c>
      <x:c r="C220" s="10" t="str">
        <x:v>主播管理</x:v>
      </x:c>
      <x:c r="D220" s="10" t="str">
        <x:v>主播主页（公会长视角）</x:v>
      </x:c>
      <x:c r="E220" s="10" t="str">
        <x:v>功能需求</x:v>
      </x:c>
      <x:c r="F220" s="10" t="str">
        <x:v>P2</x:v>
      </x:c>
      <x:c r="G220" s="9" t="str">
        <x:v>验证平台锁定显示锁定说明</x:v>
      </x:c>
      <x:c r="H220" s="9" t="str">
        <x:v>权限锁定标记</x:v>
      </x:c>
      <x:c r="I220" s="9" t="str">
        <x:v>1. 执行角色为公会长
2. 平台已锁定本公会对甲的直播权限管理</x:v>
      </x:c>
      <x:c r="J220" s="9" t="str">
        <x:v>1. 进入甲主播详情</x:v>
      </x:c>
      <x:c r="K220" s="9" t="str">
        <x:v>显示权限已锁定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来源（当前证据）：liveshow-proto/MainBasis/统一需求文档.md；位置：行2223
2. 规则：BR-033100dcfaf8756c
3. 未动态验证
4. 数据别名：甲、乙、丙用于区分本条测试对象；按前置条件准备并记录实际账号或记录 ID，不是固定业务名称。</x:v>
      </x:c>
    </x:row>
    <x:row r="221" ht="160" customHeight="1">
      <x:c r="A221" s="10" t="n">
        <x:v>220</x:v>
      </x:c>
      <x:c r="B221" s="10" t="str">
        <x:v>GUILD-02-0155</x:v>
      </x:c>
      <x:c r="C221" s="10" t="str">
        <x:v>主播管理</x:v>
      </x:c>
      <x:c r="D221" s="10" t="str">
        <x:v>主播主页（公会长视角）</x:v>
      </x:c>
      <x:c r="E221" s="10" t="str">
        <x:v>业务流程</x:v>
      </x:c>
      <x:c r="F221" s="10" t="str">
        <x:v>P1</x:v>
      </x:c>
      <x:c r="G221" s="9" t="str">
        <x:v>验证收益结清后移出主播</x:v>
      </x:c>
      <x:c r="H221" s="9" t="str">
        <x:v>移出公会关系结果</x:v>
      </x:c>
      <x:c r="I221" s="9" t="str">
        <x:v>1. 执行角色为公会长
2. 主播甲在会且收益已结清；平台允许公会管理</x:v>
      </x:c>
      <x:c r="J221" s="9" t="str">
        <x:v>1. 进入主播甲主页
2. 点击移出公会
3. 点击确认
4. 进入主播列表
5. 选择已退会</x:v>
      </x:c>
      <x:c r="K221" s="9" t="str">
        <x:v>列表包含主播甲</x:v>
      </x:c>
      <x:c r="L221" s="10" t="str">
        <x:v>FLOW-GUILD</x:v>
      </x:c>
      <x:c r="M221" s="10" t="str">
        <x:v>未测</x:v>
      </x:c>
      <x:c r="N221" s="10" t="str"/>
      <x:c r="O221" s="9" t="str">
        <x:v>1. 来源（当前证据）：liveshow-proto/MainBasis/统一需求文档.md；位置：行2237、行2224
2. 规则：BR-47c2e8bd5138354e
3. 未动态验证
4. 状态转换：ST-GUILD-REMOVE；按同一业务对象的数据别名准备对应上下游记录
5. 数据别名：甲、乙、丙用于区分本条测试对象；按前置条件准备并记录实际账号或记录 ID，不是固定业务名称。</x:v>
      </x:c>
    </x:row>
    <x:row r="222" ht="130" customHeight="1">
      <x:c r="A222" s="10" t="n">
        <x:v>221</x:v>
      </x:c>
      <x:c r="B222" s="10" t="str">
        <x:v>GUILD-02-0156</x:v>
      </x:c>
      <x:c r="C222" s="10" t="str">
        <x:v>主播管理</x:v>
      </x:c>
      <x:c r="D222" s="10" t="str">
        <x:v>主播主页（公会长视角）</x:v>
      </x:c>
      <x:c r="E222" s="10" t="str">
        <x:v>功能需求</x:v>
      </x:c>
      <x:c r="F222" s="10" t="str">
        <x:v>P2</x:v>
      </x:c>
      <x:c r="G222" s="9" t="str">
        <x:v>验证移出主播结束当前直播</x:v>
      </x:c>
      <x:c r="H222" s="9" t="str">
        <x:v>移出公会关播</x:v>
      </x:c>
      <x:c r="I222" s="9" t="str">
        <x:v>1. 执行角色为公会长
2. 本会甲收益已结清且允许移出；甲当前正在场次乙直播</x:v>
      </x:c>
      <x:c r="J222" s="9" t="str">
        <x:v>1. 进入甲主播主页
2. 点击移出公会
3. 点击确认
4. 进入直播记录
5. 打开乙</x:v>
      </x:c>
      <x:c r="K222" s="9" t="str">
        <x:v>场次乙为已结束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来源（当前证据）：liveshow-proto/MainBasis/统一需求文档.md；位置：行2224、行2237
2. 规则：BR-e4d8dd56c268ee52
3. 未动态验证
4. 数据别名：甲、乙、丙用于区分本条测试对象；按前置条件准备并记录实际账号或记录 ID，不是固定业务名称。</x:v>
      </x:c>
    </x:row>
    <x:row r="223" ht="70" customHeight="1">
      <x:c r="A223" s="10" t="n">
        <x:v>222</x:v>
      </x:c>
      <x:c r="B223" s="10" t="str">
        <x:v>GUILD-02-0157</x:v>
      </x:c>
      <x:c r="C223" s="10" t="str">
        <x:v>主播管理</x:v>
      </x:c>
      <x:c r="D223" s="10" t="str">
        <x:v>主播主页（公会长视角）</x:v>
      </x:c>
      <x:c r="E223" s="10" t="str">
        <x:v>功能需求</x:v>
      </x:c>
      <x:c r="F223" s="10" t="str">
        <x:v>P2</x:v>
      </x:c>
      <x:c r="G223" s="9" t="str">
        <x:v>验证主播主页读取申请类型</x:v>
      </x:c>
      <x:c r="H223" s="9" t="str">
        <x:v>申请类型回显</x:v>
      </x:c>
      <x:c r="I223" s="9" t="str">
        <x:v>1. 执行角色为公会长
2. 所选历史申请的申请类型为“加入”</x:v>
      </x:c>
      <x:c r="J223" s="9" t="str">
        <x:v>1. 进入主播主页
2. 查看申请类型</x:v>
      </x:c>
      <x:c r="K223" s="9" t="str">
        <x:v>申请类型显示“加入”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来源（当前证据）：liveshow-proto/MainBasis/统一需求文档.md；位置：行2225
2. 规则：BR-9c2770bb2ea9beb7
3. 未动态验证</x:v>
      </x:c>
    </x:row>
    <x:row r="224" ht="70" customHeight="1">
      <x:c r="A224" s="10" t="n">
        <x:v>223</x:v>
      </x:c>
      <x:c r="B224" s="10" t="str">
        <x:v>GUILD-02-0158</x:v>
      </x:c>
      <x:c r="C224" s="10" t="str">
        <x:v>主播管理</x:v>
      </x:c>
      <x:c r="D224" s="10" t="str">
        <x:v>主播主页（公会长视角）</x:v>
      </x:c>
      <x:c r="E224" s="10" t="str">
        <x:v>功能需求</x:v>
      </x:c>
      <x:c r="F224" s="10" t="str">
        <x:v>P2</x:v>
      </x:c>
      <x:c r="G224" s="9" t="str">
        <x:v>验证主播主页读取申请状态</x:v>
      </x:c>
      <x:c r="H224" s="9" t="str">
        <x:v>申请状态回显</x:v>
      </x:c>
      <x:c r="I224" s="9" t="str">
        <x:v>1. 执行角色为公会长
2. 所选历史申请的申请状态为“已通过”</x:v>
      </x:c>
      <x:c r="J224" s="9" t="str">
        <x:v>1. 进入主播主页
2. 查看申请状态</x:v>
      </x:c>
      <x:c r="K224" s="9" t="str">
        <x:v>申请状态显示“已通过”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来源（当前证据）：liveshow-proto/MainBasis/统一需求文档.md；位置：行2225
2. 规则：BR-da23a54ba017f203
3. 未动态验证</x:v>
      </x:c>
    </x:row>
    <x:row r="225" ht="115" customHeight="1">
      <x:c r="A225" s="10" t="n">
        <x:v>224</x:v>
      </x:c>
      <x:c r="B225" s="10" t="str">
        <x:v>GUILD-02-0159</x:v>
      </x:c>
      <x:c r="C225" s="10" t="str">
        <x:v>主播管理</x:v>
      </x:c>
      <x:c r="D225" s="10" t="str">
        <x:v>主播主页（公会长视角）</x:v>
      </x:c>
      <x:c r="E225" s="10" t="str">
        <x:v>功能需求</x:v>
      </x:c>
      <x:c r="F225" s="10" t="str">
        <x:v>P2</x:v>
      </x:c>
      <x:c r="G225" s="9" t="str">
        <x:v>验证申请记录按提交倒序</x:v>
      </x:c>
      <x:c r="H225" s="9" t="str">
        <x:v>公会详情申请顺序</x:v>
      </x:c>
      <x:c r="I225" s="9" t="str">
        <x:v>1. 执行角色为公会长
2. 甲有9月1日和9月2日两笔申请记录</x:v>
      </x:c>
      <x:c r="J225" s="9" t="str">
        <x:v>1. 进入甲主播详情
2. 展开申请记录</x:v>
      </x:c>
      <x:c r="K225" s="9" t="str">
        <x:v>9月2日申请排在9月1日之前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来源（当前证据）：liveshow-proto/MainBasis/统一需求文档.md；位置：行2226
2. 规则：BR-b6741d5f480258a1
3. 未动态验证
4. 数据别名：甲、乙、丙用于区分本条测试对象；按前置条件准备并记录实际账号或记录 ID，不是固定业务名称。</x:v>
      </x:c>
    </x:row>
    <x:row r="226" ht="115" customHeight="1">
      <x:c r="A226" s="10" t="n">
        <x:v>225</x:v>
      </x:c>
      <x:c r="B226" s="10" t="str">
        <x:v>GUILD-02-0160</x:v>
      </x:c>
      <x:c r="C226" s="10" t="str">
        <x:v>主播管理</x:v>
      </x:c>
      <x:c r="D226" s="10" t="str">
        <x:v>主播主页（公会长视角）</x:v>
      </x:c>
      <x:c r="E226" s="10" t="str">
        <x:v>功能需求</x:v>
      </x:c>
      <x:c r="F226" s="10" t="str">
        <x:v>P2</x:v>
      </x:c>
      <x:c r="G226" s="9" t="str">
        <x:v>验证主播详情申请时间对应单笔提交</x:v>
      </x:c>
      <x:c r="H226" s="9" t="str">
        <x:v>主播申请时间回显</x:v>
      </x:c>
      <x:c r="I226" s="9" t="str">
        <x:v>1. 执行角色为公会长
2. 甲有两次不同提交时刻的申请乙丙；已记录丙的提交时刻</x:v>
      </x:c>
      <x:c r="J226" s="9" t="str">
        <x:v>1. 进入甲主播主页
2. 展开申请丙</x:v>
      </x:c>
      <x:c r="K226" s="9" t="str">
        <x:v>申请时间对应丙本次提交时刻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来源（当前证据）：liveshow-proto/MainBasis/统一需求文档.md；位置：行2226
2. 规则：BR-424362c89246788f
3. 未动态验证
4. 数据别名：甲、乙、丙用于区分本条测试对象；按前置条件准备并记录实际账号或记录 ID，不是固定业务名称。</x:v>
      </x:c>
    </x:row>
    <x:row r="227" ht="115" customHeight="1">
      <x:c r="A227" s="10" t="n">
        <x:v>226</x:v>
      </x:c>
      <x:c r="B227" s="10" t="str">
        <x:v>GUILD-02-0161</x:v>
      </x:c>
      <x:c r="C227" s="10" t="str">
        <x:v>主播管理</x:v>
      </x:c>
      <x:c r="D227" s="10" t="str">
        <x:v>主播主页（公会长视角）</x:v>
      </x:c>
      <x:c r="E227" s="10" t="str">
        <x:v>功能需求</x:v>
      </x:c>
      <x:c r="F227" s="10" t="str">
        <x:v>P2</x:v>
      </x:c>
      <x:c r="G227" s="9" t="str">
        <x:v>验证入会记录展示两级审核时间</x:v>
      </x:c>
      <x:c r="H227" s="9" t="str">
        <x:v>入会节点时间展示</x:v>
      </x:c>
      <x:c r="I227" s="9" t="str">
        <x:v>1. 执行角色为公会长
2. 甲入会申请公会9月1日通过、平台9月2日通过，已分别记录完成时刻</x:v>
      </x:c>
      <x:c r="J227" s="9" t="str">
        <x:v>1. 进入甲主播主页
2. 展开该入会申请</x:v>
      </x:c>
      <x:c r="K227" s="9" t="str">
        <x:v>平台审核节点时间对应9月2日该次完成时刻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来源（当前证据）：liveshow-proto/MainBasis/统一需求文档.md；位置：行2227
2. 规则：BR-79c19f47926731cb
3. 未动态验证
4. 数据别名：甲、乙、丙用于区分本条测试对象；按前置条件准备并记录实际账号或记录 ID，不是固定业务名称。</x:v>
      </x:c>
    </x:row>
    <x:row r="228" ht="115" customHeight="1">
      <x:c r="A228" s="10" t="n">
        <x:v>227</x:v>
      </x:c>
      <x:c r="B228" s="10" t="str">
        <x:v>GUILD-02-0162</x:v>
      </x:c>
      <x:c r="C228" s="10" t="str">
        <x:v>主播管理</x:v>
      </x:c>
      <x:c r="D228" s="10" t="str">
        <x:v>主播主页（公会长视角）</x:v>
      </x:c>
      <x:c r="E228" s="10" t="str">
        <x:v>功能需求</x:v>
      </x:c>
      <x:c r="F228" s="10" t="str">
        <x:v>P2</x:v>
      </x:c>
      <x:c r="G228" s="9" t="str">
        <x:v>验证退会记录只展示公会处理节点</x:v>
      </x:c>
      <x:c r="H228" s="9" t="str">
        <x:v>退会审核节点范围</x:v>
      </x:c>
      <x:c r="I228" s="9" t="str">
        <x:v>1. 执行角色为公会长
2. 甲退会已由公会通过；此流程没有平台终审</x:v>
      </x:c>
      <x:c r="J228" s="9" t="str">
        <x:v>1. 进入甲历史主播主页
2. 展开该退会申请</x:v>
      </x:c>
      <x:c r="K228" s="9" t="str">
        <x:v>不显示已执行的平台终审节点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来源（当前证据）：liveshow-proto/MainBasis/统一需求文档.md；位置：行2227
2. 规则：BR-705cce2ef90f36f2
3. 未动态验证
4. 数据别名：甲、乙、丙用于区分本条测试对象；按前置条件准备并记录实际账号或记录 ID，不是固定业务名称。</x:v>
      </x:c>
    </x:row>
    <x:row r="229" ht="70" customHeight="1">
      <x:c r="A229" s="10" t="n">
        <x:v>228</x:v>
      </x:c>
      <x:c r="B229" s="10" t="str">
        <x:v>GUILD-02-0163</x:v>
      </x:c>
      <x:c r="C229" s="10" t="str">
        <x:v>主播管理</x:v>
      </x:c>
      <x:c r="D229" s="10" t="str">
        <x:v>主播主页（公会长视角）</x:v>
      </x:c>
      <x:c r="E229" s="10" t="str">
        <x:v>功能需求</x:v>
      </x:c>
      <x:c r="F229" s="10" t="str">
        <x:v>P2</x:v>
      </x:c>
      <x:c r="G229" s="9" t="str">
        <x:v>验证主播主页读取申请原因</x:v>
      </x:c>
      <x:c r="H229" s="9" t="str">
        <x:v>申请原因回显</x:v>
      </x:c>
      <x:c r="I229" s="9" t="str">
        <x:v>1. 执行角色为公会长
2. 所选退会申请快照的申请原因为“个人安排调整”</x:v>
      </x:c>
      <x:c r="J229" s="9" t="str">
        <x:v>1. 进入主播主页
2. 查看申请原因</x:v>
      </x:c>
      <x:c r="K229" s="9" t="str">
        <x:v>申请原因显示“个人安排调整”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来源（当前证据）：liveshow-proto/MainBasis/统一需求文档.md；位置：行2228
2. 规则：BR-2e90e431583724d5
3. 未动态验证</x:v>
      </x:c>
    </x:row>
    <x:row r="230" ht="70" customHeight="1">
      <x:c r="A230" s="10" t="n">
        <x:v>229</x:v>
      </x:c>
      <x:c r="B230" s="10" t="str">
        <x:v>GUILD-02-0164</x:v>
      </x:c>
      <x:c r="C230" s="10" t="str">
        <x:v>主播管理</x:v>
      </x:c>
      <x:c r="D230" s="10" t="str">
        <x:v>主播主页（公会长视角）</x:v>
      </x:c>
      <x:c r="E230" s="10" t="str">
        <x:v>功能需求</x:v>
      </x:c>
      <x:c r="F230" s="10" t="str">
        <x:v>P2</x:v>
      </x:c>
      <x:c r="G230" s="9" t="str">
        <x:v>验证主播主页读取驳回原因</x:v>
      </x:c>
      <x:c r="H230" s="9" t="str">
        <x:v>驳回原因回显</x:v>
      </x:c>
      <x:c r="I230" s="9" t="str">
        <x:v>1. 执行角色为公会长
2. 所选已驳回申请的审核快照的驳回原因为“材料不清晰”</x:v>
      </x:c>
      <x:c r="J230" s="9" t="str">
        <x:v>1. 进入主播主页
2. 查看驳回原因</x:v>
      </x:c>
      <x:c r="K230" s="9" t="str">
        <x:v>驳回原因显示“材料不清晰”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来源（当前证据）：liveshow-proto/MainBasis/统一需求文档.md；位置：行2228
2. 规则：BR-4fb2ed8dc8e5378e
3. 未动态验证</x:v>
      </x:c>
    </x:row>
    <x:row r="231" ht="130" customHeight="1">
      <x:c r="A231" s="10" t="n">
        <x:v>230</x:v>
      </x:c>
      <x:c r="B231" s="10" t="str">
        <x:v>GUILD-02-0165</x:v>
      </x:c>
      <x:c r="C231" s="10" t="str">
        <x:v>主播管理</x:v>
      </x:c>
      <x:c r="D231" s="10" t="str">
        <x:v>主播主页（公会长视角）</x:v>
      </x:c>
      <x:c r="E231" s="10" t="str">
        <x:v>功能需求</x:v>
      </x:c>
      <x:c r="F231" s="10" t="str">
        <x:v>P2</x:v>
      </x:c>
      <x:c r="G231" s="9" t="str">
        <x:v>验证主播详情粉丝数取当前关系</x:v>
      </x:c>
      <x:c r="H231" s="9" t="str">
        <x:v>当前粉丝与新增区别</x:v>
      </x:c>
      <x:c r="I231" s="9" t="str">
        <x:v>1. 执行角色为公会长
2. 甲当前5位有效粉丝，历史累计新增10位</x:v>
      </x:c>
      <x:c r="J231" s="9" t="str">
        <x:v>1. 进入甲主播详情</x:v>
      </x:c>
      <x:c r="K231" s="9" t="str">
        <x:v>粉丝数为5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来源（当前证据）：liveshow-proto/MainBasis/统一需求文档.md；位置：行2229、行2239
2. 规则：BR-88da7ec9e8905dd4
3. 未动态验证
4. 数据别名：甲、乙、丙用于区分本条测试对象；按前置条件准备并记录实际账号或记录 ID，不是固定业务名称。</x:v>
      </x:c>
    </x:row>
    <x:row r="232" ht="70" customHeight="1">
      <x:c r="A232" s="10" t="n">
        <x:v>231</x:v>
      </x:c>
      <x:c r="B232" s="10" t="str">
        <x:v>GUILD-02-0166</x:v>
      </x:c>
      <x:c r="C232" s="10" t="str">
        <x:v>主播管理</x:v>
      </x:c>
      <x:c r="D232" s="10" t="str">
        <x:v>主播主页（公会长视角）</x:v>
      </x:c>
      <x:c r="E232" s="10" t="str">
        <x:v>逻辑校验</x:v>
      </x:c>
      <x:c r="F232" s="10" t="str">
        <x:v>P1</x:v>
      </x:c>
      <x:c r="G232" s="9" t="str">
        <x:v>验证主播主页总收益按当前对象求和</x:v>
      </x:c>
      <x:c r="H232" s="9" t="str">
        <x:v>总收益计算范围</x:v>
      </x:c>
      <x:c r="I232" s="9" t="str">
        <x:v>1. 执行角色为公会长
2. 当前主播两个已完成场次的有效礼物收益为100、200，无其他历史收益</x:v>
      </x:c>
      <x:c r="J232" s="9" t="str">
        <x:v>1. 进入主播主页
2. 查看前置条件指定对象及范围的总收益</x:v>
      </x:c>
      <x:c r="K232" s="9" t="str">
        <x:v>总收益按100+200计算=300金币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来源（当前证据）：liveshow-proto/MainBasis/统一需求文档.md；位置：行2230
2. 规则：BR-523746979967cd51
3. 未动态验证</x:v>
      </x:c>
    </x:row>
    <x:row r="233" ht="115" customHeight="1">
      <x:c r="A233" s="10" t="n">
        <x:v>232</x:v>
      </x:c>
      <x:c r="B233" s="10" t="str">
        <x:v>GUILD-02-0167</x:v>
      </x:c>
      <x:c r="C233" s="10" t="str">
        <x:v>主播管理</x:v>
      </x:c>
      <x:c r="D233" s="10" t="str">
        <x:v>主播主页（公会长视角）</x:v>
      </x:c>
      <x:c r="E233" s="10" t="str">
        <x:v>功能需求</x:v>
      </x:c>
      <x:c r="F233" s="10" t="str">
        <x:v>P2</x:v>
      </x:c>
      <x:c r="G233" s="9" t="str">
        <x:v>验证主播主页直播次数按业务对象去重</x:v>
      </x:c>
      <x:c r="H233" s="9" t="str">
        <x:v>直播次数去重范围</x:v>
      </x:c>
      <x:c r="I233" s="9" t="str">
        <x:v>1. 执行角色为公会长
2. 甲已完成2场，另有1场进行中</x:v>
      </x:c>
      <x:c r="J233" s="9" t="str">
        <x:v>1. 进入主播主页
2. 查看准备范围的直播次数</x:v>
      </x:c>
      <x:c r="K233" s="9" t="str">
        <x:v>直播次数为2场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来源（当前证据）：liveshow-proto/MainBasis/统一需求文档.md；位置：行2231
2. 规则：BR-3bd67979d3b829d7
3. 未动态验证
4. 数据别名：甲、乙、丙用于区分本条测试对象；按前置条件准备并记录实际账号或记录 ID，不是固定业务名称。</x:v>
      </x:c>
    </x:row>
    <x:row r="234" ht="70" customHeight="1">
      <x:c r="A234" s="10" t="n">
        <x:v>233</x:v>
      </x:c>
      <x:c r="B234" s="10" t="str">
        <x:v>GUILD-02-0168</x:v>
      </x:c>
      <x:c r="C234" s="10" t="str">
        <x:v>主播管理</x:v>
      </x:c>
      <x:c r="D234" s="10" t="str">
        <x:v>主播主页（公会长视角）</x:v>
      </x:c>
      <x:c r="E234" s="10" t="str">
        <x:v>逻辑校验</x:v>
      </x:c>
      <x:c r="F234" s="10" t="str">
        <x:v>P1</x:v>
      </x:c>
      <x:c r="G234" s="9" t="str">
        <x:v>验证主播主页直播时长按当前对象求和</x:v>
      </x:c>
      <x:c r="H234" s="9" t="str">
        <x:v>直播时长计算范围</x:v>
      </x:c>
      <x:c r="I234" s="9" t="str">
        <x:v>1. 执行角色为公会长
2. 当前主播已完成两场有效直播60、90分钟；进行中10分钟的场次不计已完成时长</x:v>
      </x:c>
      <x:c r="J234" s="9" t="str">
        <x:v>1. 进入主播主页
2. 查看前置条件指定对象及范围的直播时长</x:v>
      </x:c>
      <x:c r="K234" s="9" t="str">
        <x:v>直播时长按60+90计算=150分钟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来源（当前证据）：liveshow-proto/MainBasis/统一需求文档.md；位置：行2232
2. 规则：BR-4d8f12615f507182
3. 未动态验证</x:v>
      </x:c>
    </x:row>
    <x:row r="235" ht="70" customHeight="1">
      <x:c r="A235" s="10" t="n">
        <x:v>234</x:v>
      </x:c>
      <x:c r="B235" s="10" t="str">
        <x:v>GUILD-02-0169</x:v>
      </x:c>
      <x:c r="C235" s="10" t="str">
        <x:v>主播管理</x:v>
      </x:c>
      <x:c r="D235" s="10" t="str">
        <x:v>主播主页（公会长视角）</x:v>
      </x:c>
      <x:c r="E235" s="10" t="str">
        <x:v>逻辑校验</x:v>
      </x:c>
      <x:c r="F235" s="10" t="str">
        <x:v>P1</x:v>
      </x:c>
      <x:c r="G235" s="9" t="str">
        <x:v>验证主播主页累计违规按当前对象求和</x:v>
      </x:c>
      <x:c r="H235" s="9" t="str">
        <x:v>累计违规计算范围</x:v>
      </x:c>
      <x:c r="I235" s="9" t="str">
        <x:v>1. 执行角色为公会长
2. 当前主播有2笔确认的直播违规、1笔确认的账号违规；无其他违规</x:v>
      </x:c>
      <x:c r="J235" s="9" t="str">
        <x:v>1. 进入主播主页
2. 查看前置条件指定对象及范围的累计违规</x:v>
      </x:c>
      <x:c r="K235" s="9" t="str">
        <x:v>累计违规按2+1计算=3次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来源（当前证据）：liveshow-proto/MainBasis/统一需求文档.md；位置：行2233
2. 规则：BR-5438ce755c00a7f8
3. 未动态验证</x:v>
      </x:c>
    </x:row>
    <x:row r="236" ht="160" customHeight="1">
      <x:c r="A236" s="10" t="n">
        <x:v>235</x:v>
      </x:c>
      <x:c r="B236" s="10" t="str">
        <x:v>GUILD-02-0170</x:v>
      </x:c>
      <x:c r="C236" s="10" t="str">
        <x:v>主播管理</x:v>
      </x:c>
      <x:c r="D236" s="10" t="str">
        <x:v>主播主页（公会长视角）</x:v>
      </x:c>
      <x:c r="E236" s="10" t="str">
        <x:v>业务流程</x:v>
      </x:c>
      <x:c r="F236" s="10" t="str">
        <x:v>P1</x:v>
      </x:c>
      <x:c r="G236" s="9" t="str">
        <x:v>验证平台关闭权限后公会不能恢复最终权限</x:v>
      </x:c>
      <x:c r="H236" s="9" t="str">
        <x:v>平台关权限公会投影</x:v>
      </x:c>
      <x:c r="I236" s="9" t="str">
        <x:v>1. 执行角色为公会长
2. 甲在会且公会开关开启；平台刚关闭甲直播权限</x:v>
      </x:c>
      <x:c r="J236" s="9" t="str">
        <x:v>1. 进入主播甲主页</x:v>
      </x:c>
      <x:c r="K236" s="9" t="str">
        <x:v>最终直播权限为关闭</x:v>
      </x:c>
      <x:c r="L236" s="10" t="str">
        <x:v>FLOW-PERMISSION</x:v>
      </x:c>
      <x:c r="M236" s="10" t="str">
        <x:v>未测</x:v>
      </x:c>
      <x:c r="N236" s="10" t="str"/>
      <x:c r="O236" s="9" t="str">
        <x:v>1. 来源（当前证据）：liveshow-proto/MainBasis/统一需求文档.md；位置：行2234
2. 规则：BR-79b9330a1589f6e7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237" ht="145" customHeight="1">
      <x:c r="A237" s="10" t="n">
        <x:v>236</x:v>
      </x:c>
      <x:c r="B237" s="10" t="str">
        <x:v>GUILD-02-0171</x:v>
      </x:c>
      <x:c r="C237" s="10" t="str">
        <x:v>主播管理</x:v>
      </x:c>
      <x:c r="D237" s="10" t="str">
        <x:v>主播主页（公会长视角）</x:v>
      </x:c>
      <x:c r="E237" s="10" t="str">
        <x:v>业务流程</x:v>
      </x:c>
      <x:c r="F237" s="10" t="str">
        <x:v>P1</x:v>
      </x:c>
      <x:c r="G237" s="9" t="str">
        <x:v>验证解锁后公会原开关恢复</x:v>
      </x:c>
      <x:c r="H237" s="9" t="str">
        <x:v>解锁恢复公会投影</x:v>
      </x:c>
      <x:c r="I237" s="9" t="str">
        <x:v>1. 执行角色为公会长
2. 甲平台权限开启，锁定前公会关闭；平台刚解除锁定</x:v>
      </x:c>
      <x:c r="J237" s="9" t="str">
        <x:v>1. 进入主播甲主页</x:v>
      </x:c>
      <x:c r="K237" s="9" t="str">
        <x:v>公会直播权限为关闭</x:v>
      </x:c>
      <x:c r="L237" s="10" t="str">
        <x:v>FLOW-PERMISSION</x:v>
      </x:c>
      <x:c r="M237" s="10" t="str">
        <x:v>未测</x:v>
      </x:c>
      <x:c r="N237" s="10" t="str"/>
      <x:c r="O237" s="9" t="str">
        <x:v>1. 来源（当前证据）：liveshow-proto/MainBasis/统一需求文档.md；位置：行2234
2. 规则：BR-de02dbaa7246c7eb
3. 未动态验证
4. 状态转换：ST-PERMISSION-UNLOCK；按同一业务对象的数据别名准备对应上下游记录
5. 数据别名：甲、乙、丙用于区分本条测试对象；按前置条件准备并记录实际账号或记录 ID，不是固定业务名称。</x:v>
      </x:c>
    </x:row>
    <x:row r="238" ht="145" customHeight="1">
      <x:c r="A238" s="10" t="n">
        <x:v>237</x:v>
      </x:c>
      <x:c r="B238" s="10" t="str">
        <x:v>GUILD-02-0172</x:v>
      </x:c>
      <x:c r="C238" s="10" t="str">
        <x:v>主播管理</x:v>
      </x:c>
      <x:c r="D238" s="10" t="str">
        <x:v>主播主页（公会长视角）</x:v>
      </x:c>
      <x:c r="E238" s="10" t="str">
        <x:v>业务流程</x:v>
      </x:c>
      <x:c r="F238" s="10" t="str">
        <x:v>P1</x:v>
      </x:c>
      <x:c r="G238" s="9" t="str">
        <x:v>验证平台锁定后公会开关只读</x:v>
      </x:c>
      <x:c r="H238" s="9" t="str">
        <x:v>平台锁定下公会权限</x:v>
      </x:c>
      <x:c r="I238" s="9" t="str">
        <x:v>1. 执行角色为公会长
2. 主播甲仍在会；平台已锁定公会管理权限</x:v>
      </x:c>
      <x:c r="J238" s="9" t="str">
        <x:v>1. 进入主播甲主页
2. 点击直播权限开关</x:v>
      </x:c>
      <x:c r="K238" s="9" t="str">
        <x:v>不能修改该开关</x:v>
      </x:c>
      <x:c r="L238" s="10" t="str">
        <x:v>FLOW-PERMISSION</x:v>
      </x:c>
      <x:c r="M238" s="10" t="str">
        <x:v>未测</x:v>
      </x:c>
      <x:c r="N238" s="10" t="str"/>
      <x:c r="O238" s="9" t="str">
        <x:v>1. 来源（当前证据）：liveshow-proto/MainBasis/统一需求文档.md；位置：行2235
2. 规则：BR-f671feb449ce3cf4
3. 未动态验证
4. 状态转换：ST-PERMISSION-LOCK；按同一业务对象的数据别名准备对应上下游记录
5. 数据别名：甲、乙、丙用于区分本条测试对象；按前置条件准备并记录实际账号或记录 ID，不是固定业务名称。</x:v>
      </x:c>
    </x:row>
    <x:row r="239" ht="115" customHeight="1">
      <x:c r="A239" s="10" t="n">
        <x:v>238</x:v>
      </x:c>
      <x:c r="B239" s="10" t="str">
        <x:v>GUILD-02-0173</x:v>
      </x:c>
      <x:c r="C239" s="10" t="str">
        <x:v>主播管理</x:v>
      </x:c>
      <x:c r="D239" s="10" t="str">
        <x:v>主播主页（公会长视角）</x:v>
      </x:c>
      <x:c r="E239" s="10" t="str">
        <x:v>业务流程</x:v>
      </x:c>
      <x:c r="F239" s="10" t="str">
        <x:v>P1</x:v>
      </x:c>
      <x:c r="G239" s="9" t="str">
        <x:v>验证关闭在播主播权限需确认</x:v>
      </x:c>
      <x:c r="H239" s="9" t="str">
        <x:v>公会关权限确认</x:v>
      </x:c>
      <x:c r="I239" s="9" t="str">
        <x:v>1. 执行角色为公会长
2. 主播甲正在直播；平台开启且未锁定；公会权限开启</x:v>
      </x:c>
      <x:c r="J239" s="9" t="str">
        <x:v>1. 进入主播甲主页
2. 点击关闭直播权限</x:v>
      </x:c>
      <x:c r="K239" s="9" t="str">
        <x:v>显示关闭权限确认弹窗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来源（当前证据）：liveshow-proto/MainBasis/统一需求文档.md；位置：行2236
2. 规则：BR-982a3cc1abefe42c
3. 未动态验证
4. 数据别名：甲、乙、丙用于区分本条测试对象；按前置条件准备并记录实际账号或记录 ID，不是固定业务名称。</x:v>
      </x:c>
    </x:row>
    <x:row r="240" ht="160" customHeight="1">
      <x:c r="A240" s="10" t="n">
        <x:v>239</x:v>
      </x:c>
      <x:c r="B240" s="10" t="str">
        <x:v>GUILD-02-0174</x:v>
      </x:c>
      <x:c r="C240" s="10" t="str">
        <x:v>主播管理</x:v>
      </x:c>
      <x:c r="D240" s="10" t="str">
        <x:v>主播主页（公会长视角）</x:v>
      </x:c>
      <x:c r="E240" s="10" t="str">
        <x:v>业务流程</x:v>
      </x:c>
      <x:c r="F240" s="10" t="str">
        <x:v>P1</x:v>
      </x:c>
      <x:c r="G240" s="9" t="str">
        <x:v>验证确认关闭权限结束当前场次</x:v>
      </x:c>
      <x:c r="H240" s="9" t="str">
        <x:v>权限关闭场次联动</x:v>
      </x:c>
      <x:c r="I240" s="9" t="str">
        <x:v>1. 执行角色为公会长
2. 主播甲正在场次甲直播；平台未锁定</x:v>
      </x:c>
      <x:c r="J240" s="9" t="str">
        <x:v>1. 进入主播甲主页
2. 关闭直播权限
3. 点击确认
4. 进入直播记录
5. 打开场次甲</x:v>
      </x:c>
      <x:c r="K240" s="9" t="str">
        <x:v>场次甲显示已结束</x:v>
      </x:c>
      <x:c r="L240" s="10" t="str">
        <x:v>FLOW-PERMISSION</x:v>
      </x:c>
      <x:c r="M240" s="10" t="str">
        <x:v>未测</x:v>
      </x:c>
      <x:c r="N240" s="10" t="str"/>
      <x:c r="O240" s="9" t="str">
        <x:v>1. 来源（当前证据）：liveshow-proto/MainBasis/统一需求文档.md；位置：行2236
2. 规则：BR-bf2315c6211d2ca3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241" ht="115" customHeight="1">
      <x:c r="A241" s="10" t="n">
        <x:v>240</x:v>
      </x:c>
      <x:c r="B241" s="10" t="str">
        <x:v>GUILD-02-0175</x:v>
      </x:c>
      <x:c r="C241" s="10" t="str">
        <x:v>主播管理</x:v>
      </x:c>
      <x:c r="D241" s="10" t="str">
        <x:v>主播主页（公会长视角）</x:v>
      </x:c>
      <x:c r="E241" s="10" t="str">
        <x:v>功能需求</x:v>
      </x:c>
      <x:c r="F241" s="10" t="str">
        <x:v>P2</x:v>
      </x:c>
      <x:c r="G241" s="9" t="str">
        <x:v>验证取消关闭权限保留当前直播</x:v>
      </x:c>
      <x:c r="H241" s="9" t="str">
        <x:v>公会关闭直播权限取消</x:v>
      </x:c>
      <x:c r="I241" s="9" t="str">
        <x:v>1. 执行角色为公会长
2. 甲正在场次乙直播，平台未锁定、公会权限开启</x:v>
      </x:c>
      <x:c r="J241" s="9" t="str">
        <x:v>1. 进入甲主播主页
2. 点击关闭直播权限
3. 点击取消
4. 进入直播记录
5. 打开乙</x:v>
      </x:c>
      <x:c r="K241" s="9" t="str">
        <x:v>乙仍为直播中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来源（当前证据）：liveshow-proto/MainBasis/统一需求文档.md；位置：行2236
2. 规则：BR-efde7b0aed0f5208
3. 未动态验证
4. 数据别名：甲、乙、丙用于区分本条测试对象；按前置条件准备并记录实际账号或记录 ID，不是固定业务名称。</x:v>
      </x:c>
    </x:row>
    <x:row r="242" ht="130" customHeight="1">
      <x:c r="A242" s="10" t="n">
        <x:v>241</x:v>
      </x:c>
      <x:c r="B242" s="10" t="str">
        <x:v>GUILD-02-0176</x:v>
      </x:c>
      <x:c r="C242" s="10" t="str">
        <x:v>主播管理</x:v>
      </x:c>
      <x:c r="D242" s="10" t="str">
        <x:v>主播主页（公会长视角）</x:v>
      </x:c>
      <x:c r="E242" s="10" t="str">
        <x:v>业务流程</x:v>
      </x:c>
      <x:c r="F242" s="10" t="str">
        <x:v>P1</x:v>
      </x:c>
      <x:c r="G242" s="9" t="str">
        <x:v>验证未结清收益禁止移出</x:v>
      </x:c>
      <x:c r="H242" s="9" t="str">
        <x:v>移出前收益约束</x:v>
      </x:c>
      <x:c r="I242" s="9" t="str">
        <x:v>1. 执行角色为公会长
2. 主播甲仍有未结清收益</x:v>
      </x:c>
      <x:c r="J242" s="9" t="str">
        <x:v>1. 进入主播甲主页</x:v>
      </x:c>
      <x:c r="K242" s="9" t="str">
        <x:v>移出公会按钮不可用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来源（当前证据）：liveshow-proto/MainBasis/统一需求文档.md；位置：行2237、行2240
2. 规则：BR-d2d089eecefca965
3. 未动态验证
4. 数据别名：甲、乙、丙用于区分本条测试对象；按前置条件准备并记录实际账号或记录 ID，不是固定业务名称。</x:v>
      </x:c>
    </x:row>
    <x:row r="243" ht="115" customHeight="1">
      <x:c r="A243" s="10" t="n">
        <x:v>242</x:v>
      </x:c>
      <x:c r="B243" s="10" t="str">
        <x:v>GUILD-02-0177</x:v>
      </x:c>
      <x:c r="C243" s="10" t="str">
        <x:v>主播管理</x:v>
      </x:c>
      <x:c r="D243" s="10" t="str">
        <x:v>主播主页（公会长视角）</x:v>
      </x:c>
      <x:c r="E243" s="10" t="str">
        <x:v>功能需求</x:v>
      </x:c>
      <x:c r="F243" s="10" t="str">
        <x:v>P2</x:v>
      </x:c>
      <x:c r="G243" s="9" t="str">
        <x:v>验证主播详情业绩入口带入本人</x:v>
      </x:c>
      <x:c r="H243" s="9" t="str">
        <x:v>主播业绩导航</x:v>
      </x:c>
      <x:c r="I243" s="9" t="str">
        <x:v>1. 执行角色为公会长
2. 当前查看本会主播甲详情</x:v>
      </x:c>
      <x:c r="J243" s="9" t="str">
        <x:v>1. 点击业绩</x:v>
      </x:c>
      <x:c r="K243" s="9" t="str">
        <x:v>进入主播甲数据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来源（当前证据）：liveshow-proto/MainBasis/统一需求文档.md；位置：行2238
2. 规则：BR-7d80c344f31b1f70
3. 未动态验证
4. 数据别名：甲、乙、丙用于区分本条测试对象；按前置条件准备并记录实际账号或记录 ID，不是固定业务名称。</x:v>
      </x:c>
    </x:row>
    <x:row r="244" ht="115" customHeight="1">
      <x:c r="A244" s="10" t="n">
        <x:v>243</x:v>
      </x:c>
      <x:c r="B244" s="10" t="str">
        <x:v>GUILD-02-0178</x:v>
      </x:c>
      <x:c r="C244" s="10" t="str">
        <x:v>主播管理</x:v>
      </x:c>
      <x:c r="D244" s="10" t="str">
        <x:v>主播主页（公会长视角）</x:v>
      </x:c>
      <x:c r="E244" s="10" t="str">
        <x:v>功能需求</x:v>
      </x:c>
      <x:c r="F244" s="10" t="str">
        <x:v>P2</x:v>
      </x:c>
      <x:c r="G244" s="9" t="str">
        <x:v>验证移出主播操作先确认</x:v>
      </x:c>
      <x:c r="H244" s="9" t="str">
        <x:v>移出公会确认弹窗</x:v>
      </x:c>
      <x:c r="I244" s="9" t="str">
        <x:v>1. 执行角色为公会长
2. 甲在会、收益已结清且允许移出</x:v>
      </x:c>
      <x:c r="J244" s="9" t="str">
        <x:v>1. 进入甲主播主页
2. 点击移出公会</x:v>
      </x:c>
      <x:c r="K244" s="9" t="str">
        <x:v>显示移出确认弹窗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来源（当前证据）：liveshow-proto/MainBasis/统一需求文档.md；位置：行2238
2. 规则：BR-59cda7e17fb3839c
3. 未动态验证
4. 数据别名：甲、乙、丙用于区分本条测试对象；按前置条件准备并记录实际账号或记录 ID，不是固定业务名称。</x:v>
      </x:c>
    </x:row>
    <x:row r="245" ht="115" customHeight="1">
      <x:c r="A245" s="10" t="n">
        <x:v>244</x:v>
      </x:c>
      <x:c r="B245" s="10" t="str">
        <x:v>GUILD-02-0179</x:v>
      </x:c>
      <x:c r="C245" s="10" t="str">
        <x:v>主播管理</x:v>
      </x:c>
      <x:c r="D245" s="10" t="str">
        <x:v>主播主页（公会长视角）</x:v>
      </x:c>
      <x:c r="E245" s="10" t="str">
        <x:v>功能需求</x:v>
      </x:c>
      <x:c r="F245" s="10" t="str">
        <x:v>P2</x:v>
      </x:c>
      <x:c r="G245" s="9" t="str">
        <x:v>验证取消移出主播保留关系</x:v>
      </x:c>
      <x:c r="H245" s="9" t="str">
        <x:v>移出公会取消</x:v>
      </x:c>
      <x:c r="I245" s="9" t="str">
        <x:v>1. 执行角色为公会长
2. 甲在会、收益已结清且允许移出</x:v>
      </x:c>
      <x:c r="J245" s="9" t="str">
        <x:v>1. 进入甲主播主页
2. 点击移出公会
3. 点击取消
4. 进入主播列表
5. 选择在会</x:v>
      </x:c>
      <x:c r="K245" s="9" t="str">
        <x:v>在会列表仍包含甲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来源（当前证据）：liveshow-proto/MainBasis/统一需求文档.md；位置：行2238
2. 规则：BR-a03391a05676dbaa
3. 未动态验证
4. 数据别名：甲、乙、丙用于区分本条测试对象；按前置条件准备并记录实际账号或记录 ID，不是固定业务名称。</x:v>
      </x:c>
    </x:row>
    <x:row r="246" ht="115" customHeight="1">
      <x:c r="A246" s="10" t="n">
        <x:v>245</x:v>
      </x:c>
      <x:c r="B246" s="10" t="str">
        <x:v>GUILD-03-0001</x:v>
      </x:c>
      <x:c r="C246" s="10" t="str">
        <x:v>运营工具</x:v>
      </x:c>
      <x:c r="D246" s="10" t="str">
        <x:v>运营消息（公会长视角）</x:v>
      </x:c>
      <x:c r="E246" s="10" t="str">
        <x:v>逻辑校验</x:v>
      </x:c>
      <x:c r="F246" s="10" t="str">
        <x:v>P1</x:v>
      </x:c>
      <x:c r="G246" s="9" t="str">
        <x:v>验证运营消息包含开始日记录</x:v>
      </x:c>
      <x:c r="H246" s="9" t="str">
        <x:v>开始日边界包含</x:v>
      </x:c>
      <x:c r="I246" s="9" t="str">
        <x:v>1. 执行角色为公会长
2. 准备本页有效记录甲，统计日期为2026年9月1日；记录乙在9月4日，其他筛选条件均满足</x:v>
      </x:c>
      <x:c r="J246" s="9" t="str">
        <x:v>1. 进入运营消息
2. 选择自定义日期2026年9月1日至3日
3. 查看结果</x:v>
      </x:c>
      <x:c r="K246" s="9" t="str">
        <x:v>结果包含甲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来源（当前证据）：liveshow-proto/MainBasis/统一需求文档.md；位置：行2244
2. 规则：BR-257d0cdd6c9e95f3
3. 未动态验证
4. 数据别名：甲、乙、丙用于区分本条测试对象；按前置条件准备并记录实际账号或记录 ID，不是固定业务名称。</x:v>
      </x:c>
    </x:row>
    <x:row r="247" ht="115" customHeight="1">
      <x:c r="A247" s="10" t="n">
        <x:v>246</x:v>
      </x:c>
      <x:c r="B247" s="10" t="str">
        <x:v>GUILD-03-0002</x:v>
      </x:c>
      <x:c r="C247" s="10" t="str">
        <x:v>运营工具</x:v>
      </x:c>
      <x:c r="D247" s="10" t="str">
        <x:v>运营消息（公会长视角）</x:v>
      </x:c>
      <x:c r="E247" s="10" t="str">
        <x:v>逻辑校验</x:v>
      </x:c>
      <x:c r="F247" s="10" t="str">
        <x:v>P1</x:v>
      </x:c>
      <x:c r="G247" s="9" t="str">
        <x:v>验证运营消息包含结束日记录</x:v>
      </x:c>
      <x:c r="H247" s="9" t="str">
        <x:v>结束日边界包含</x:v>
      </x:c>
      <x:c r="I247" s="9" t="str">
        <x:v>1. 执行角色为公会长
2. 准备本页有效记录甲，统计日期为2026年9月3日；记录乙在9月4日，其他筛选条件均满足</x:v>
      </x:c>
      <x:c r="J247" s="9" t="str">
        <x:v>1. 进入运营消息
2. 选择自定义日期2026年9月1日至3日
3. 查看结果</x:v>
      </x:c>
      <x:c r="K247" s="9" t="str">
        <x:v>结果包含甲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来源（当前证据）：liveshow-proto/MainBasis/统一需求文档.md；位置：行2244
2. 规则：BR-a83a937f40b653a2
3. 未动态验证
4. 数据别名：甲、乙、丙用于区分本条测试对象；按前置条件准备并记录实际账号或记录 ID，不是固定业务名称。</x:v>
      </x:c>
    </x:row>
    <x:row r="248" ht="70" customHeight="1">
      <x:c r="A248" s="10" t="n">
        <x:v>247</x:v>
      </x:c>
      <x:c r="B248" s="10" t="str">
        <x:v>GUILD-03-0003</x:v>
      </x:c>
      <x:c r="C248" s="10" t="str">
        <x:v>运营工具</x:v>
      </x:c>
      <x:c r="D248" s="10" t="str">
        <x:v>运营消息（公会长视角）</x:v>
      </x:c>
      <x:c r="E248" s="10" t="str">
        <x:v>业务流程</x:v>
      </x:c>
      <x:c r="F248" s="10" t="str">
        <x:v>P1</x:v>
      </x:c>
      <x:c r="G248" s="9" t="str">
        <x:v>验证运营消息默认本月</x:v>
      </x:c>
      <x:c r="H248" s="9" t="str">
        <x:v>消息默认时间</x:v>
      </x:c>
      <x:c r="I248" s="9" t="str">
        <x:v>1. 执行角色为公会长
2. 当前2026年9月15日</x:v>
      </x:c>
      <x:c r="J248" s="9" t="str">
        <x:v>1. 进入运营消息</x:v>
      </x:c>
      <x:c r="K248" s="9" t="str">
        <x:v>按本月发送时间筛选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来源（当前证据）：liveshow-proto/MainBasis/统一需求文档.md；位置：行2245
2. 规则：BR-37e589c18e9b9e68
3. 未动态验证</x:v>
      </x:c>
    </x:row>
    <x:row r="249" ht="70" customHeight="1">
      <x:c r="A249" s="10" t="n">
        <x:v>248</x:v>
      </x:c>
      <x:c r="B249" s="10" t="str">
        <x:v>GUILD-03-0004</x:v>
      </x:c>
      <x:c r="C249" s="10" t="str">
        <x:v>运营工具</x:v>
      </x:c>
      <x:c r="D249" s="10" t="str">
        <x:v>运营消息（公会长视角）</x:v>
      </x:c>
      <x:c r="E249" s="10" t="str">
        <x:v>功能需求</x:v>
      </x:c>
      <x:c r="F249" s="10" t="str">
        <x:v>P2</x:v>
      </x:c>
      <x:c r="G249" s="9" t="str">
        <x:v>验证运营消息读取发送对象</x:v>
      </x:c>
      <x:c r="H249" s="9" t="str">
        <x:v>发送对象回显</x:v>
      </x:c>
      <x:c r="I249" s="9" t="str">
        <x:v>1. 执行角色为公会长
2. 当前运营消息发送快照的发送对象为“全体主播”</x:v>
      </x:c>
      <x:c r="J249" s="9" t="str">
        <x:v>1. 进入运营消息
2. 查看发送对象</x:v>
      </x:c>
      <x:c r="K249" s="9" t="str">
        <x:v>发送对象显示“全体主播”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来源（当前证据）：liveshow-proto/MainBasis/统一需求文档.md；位置：行2246
2. 规则：BR-0ec6cd3d37f33506
3. 未动态验证</x:v>
      </x:c>
    </x:row>
    <x:row r="250" ht="70" customHeight="1">
      <x:c r="A250" s="10" t="n">
        <x:v>249</x:v>
      </x:c>
      <x:c r="B250" s="10" t="str">
        <x:v>GUILD-03-0005</x:v>
      </x:c>
      <x:c r="C250" s="10" t="str">
        <x:v>运营工具</x:v>
      </x:c>
      <x:c r="D250" s="10" t="str">
        <x:v>运营消息（公会长视角）</x:v>
      </x:c>
      <x:c r="E250" s="10" t="str">
        <x:v>功能需求</x:v>
      </x:c>
      <x:c r="F250" s="10" t="str">
        <x:v>P2</x:v>
      </x:c>
      <x:c r="G250" s="9" t="str">
        <x:v>验证运营消息读取消息摘要</x:v>
      </x:c>
      <x:c r="H250" s="9" t="str">
        <x:v>消息摘要回显</x:v>
      </x:c>
      <x:c r="I250" s="9" t="str">
        <x:v>1. 执行角色为公会长
2. 当前发送记录的正文的消息摘要为“今晚开播安排”</x:v>
      </x:c>
      <x:c r="J250" s="9" t="str">
        <x:v>1. 进入运营消息
2. 查看消息摘要</x:v>
      </x:c>
      <x:c r="K250" s="9" t="str">
        <x:v>消息摘要显示“今晚开播安排”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来源（当前证据）：liveshow-proto/MainBasis/统一需求文档.md；位置：行2248
2. 规则：BR-7010da27858e39d3
3. 未动态验证</x:v>
      </x:c>
    </x:row>
    <x:row r="251" ht="115" customHeight="1">
      <x:c r="A251" s="10" t="n">
        <x:v>250</x:v>
      </x:c>
      <x:c r="B251" s="10" t="str">
        <x:v>GUILD-03-0006</x:v>
      </x:c>
      <x:c r="C251" s="10" t="str">
        <x:v>运营工具</x:v>
      </x:c>
      <x:c r="D251" s="10" t="str">
        <x:v>运营消息（公会长视角）</x:v>
      </x:c>
      <x:c r="E251" s="10" t="str">
        <x:v>功能需求</x:v>
      </x:c>
      <x:c r="F251" s="10" t="str">
        <x:v>P2</x:v>
      </x:c>
      <x:c r="G251" s="9" t="str">
        <x:v>验证公会消息记录数随筛选变化</x:v>
      </x:c>
      <x:c r="H251" s="9" t="str">
        <x:v>公会消息筛选条数</x:v>
      </x:c>
      <x:c r="I251" s="9" t="str">
        <x:v>1. 执行角色为公会长
2. 消息甲乙在当前范围，丙在范围外</x:v>
      </x:c>
      <x:c r="J251" s="9" t="str">
        <x:v>1. 进入运营消息
2. 选择当前范围</x:v>
      </x:c>
      <x:c r="K251" s="9" t="str">
        <x:v>记录数量为2条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来源（当前证据）：liveshow-proto/MainBasis/统一需求文档.md；位置：行2249
2. 规则：BR-6fca144a4a34e460
3. 未动态验证
4. 数据别名：甲、乙、丙用于区分本条测试对象；按前置条件准备并记录实际账号或记录 ID，不是固定业务名称。</x:v>
      </x:c>
    </x:row>
    <x:row r="252" ht="70" customHeight="1">
      <x:c r="A252" s="10" t="n">
        <x:v>251</x:v>
      </x:c>
      <x:c r="B252" s="10" t="str">
        <x:v>GUILD-03-0007</x:v>
      </x:c>
      <x:c r="C252" s="10" t="str">
        <x:v>运营工具</x:v>
      </x:c>
      <x:c r="D252" s="10" t="str">
        <x:v>运营消息（公会长视角）</x:v>
      </x:c>
      <x:c r="E252" s="10" t="str">
        <x:v>功能需求</x:v>
      </x:c>
      <x:c r="F252" s="10" t="str">
        <x:v>P2</x:v>
      </x:c>
      <x:c r="G252" s="9" t="str">
        <x:v>验证运营消息新建进入发送页</x:v>
      </x:c>
      <x:c r="H252" s="9" t="str">
        <x:v>公会发消息入口</x:v>
      </x:c>
      <x:c r="I252" s="9" t="str">
        <x:v>1. 执行角色为公会长
2. 当前公会长可发送运营消息</x:v>
      </x:c>
      <x:c r="J252" s="9" t="str">
        <x:v>1. 进入运营消息
2. 点击新建</x:v>
      </x:c>
      <x:c r="K252" s="9" t="str">
        <x:v>进入发送消息页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来源（当前证据）：liveshow-proto/MainBasis/统一需求文档.md；位置：行2250
2. 规则：BR-b286ed805b3ce5f9
3. 未动态验证</x:v>
      </x:c>
    </x:row>
    <x:row r="253" ht="130" customHeight="1">
      <x:c r="A253" s="10" t="n">
        <x:v>252</x:v>
      </x:c>
      <x:c r="B253" s="10" t="str">
        <x:v>GUILD-03-0008</x:v>
      </x:c>
      <x:c r="C253" s="10" t="str">
        <x:v>运营工具</x:v>
      </x:c>
      <x:c r="D253" s="10" t="str">
        <x:v>新建运营消息（公会长视角）</x:v>
      </x:c>
      <x:c r="E253" s="10" t="str">
        <x:v>业务流程</x:v>
      </x:c>
      <x:c r="F253" s="10" t="str">
        <x:v>P1</x:v>
      </x:c>
      <x:c r="G253" s="9" t="str">
        <x:v>验证向指定在会主播发送通知</x:v>
      </x:c>
      <x:c r="H253" s="9" t="str">
        <x:v>定向运营通知受理</x:v>
      </x:c>
      <x:c r="I253" s="9" t="str">
        <x:v>1. 执行角色为公会长
2. 本公会主播甲在会；待发文字为“今晚八点开播”</x:v>
      </x:c>
      <x:c r="J253" s="9" t="str">
        <x:v>1. 进入新建运营消息
2. 选择指定主播甲
3. 填写文字“今晚八点开播”
4. 点击发送
5. 确认接收范围</x:v>
      </x:c>
      <x:c r="K253" s="9" t="str">
        <x:v>返回运营消息列表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来源（当前证据）：liveshow-proto/MainBasis/统一需求文档.md；位置：行2254、行2259
2. 规则：BR-d3d954bf0478c3ca
3. 未动态验证
4. 数据别名：甲、乙、丙用于区分本条测试对象；按前置条件准备并记录实际账号或记录 ID，不是固定业务名称。</x:v>
      </x:c>
    </x:row>
    <x:row r="254" ht="115" customHeight="1">
      <x:c r="A254" s="10" t="n">
        <x:v>253</x:v>
      </x:c>
      <x:c r="B254" s="10" t="str">
        <x:v>GUILD-03-0009</x:v>
      </x:c>
      <x:c r="C254" s="10" t="str">
        <x:v>运营工具</x:v>
      </x:c>
      <x:c r="D254" s="10" t="str">
        <x:v>新建运营消息（公会长视角）</x:v>
      </x:c>
      <x:c r="E254" s="10" t="str">
        <x:v>业务流程</x:v>
      </x:c>
      <x:c r="F254" s="10" t="str">
        <x:v>P1</x:v>
      </x:c>
      <x:c r="G254" s="9" t="str">
        <x:v>验证发送前确认当前接收人数</x:v>
      </x:c>
      <x:c r="H254" s="9" t="str">
        <x:v>全体主播接收范围重检</x:v>
      </x:c>
      <x:c r="I254" s="9" t="str">
        <x:v>1. 执行角色为公会长
2. 编辑页预估2位在会主播；确认前新主播丙加入当前公会</x:v>
      </x:c>
      <x:c r="J254" s="9" t="str">
        <x:v>1. 进入新建运营消息
2. 选择全体主播
3. 填写“欢迎”
4. 点击发送</x:v>
      </x:c>
      <x:c r="K254" s="9" t="str">
        <x:v>确认接收人数为3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来源（当前证据）：liveshow-proto/MainBasis/统一需求文档.md；位置：行2255
2. 规则：BR-0ddd3dcd1c6914e8
3. 未动态验证
4. 数据别名：甲、乙、丙用于区分本条测试对象；按前置条件准备并记录实际账号或记录 ID，不是固定业务名称。</x:v>
      </x:c>
    </x:row>
    <x:row r="255" ht="70" customHeight="1">
      <x:c r="A255" s="10" t="n">
        <x:v>254</x:v>
      </x:c>
      <x:c r="B255" s="10" t="str">
        <x:v>GUILD-03-0010</x:v>
      </x:c>
      <x:c r="C255" s="10" t="str">
        <x:v>运营工具</x:v>
      </x:c>
      <x:c r="D255" s="10" t="str">
        <x:v>新建运营消息（公会长视角）</x:v>
      </x:c>
      <x:c r="E255" s="10" t="str">
        <x:v>业务流程</x:v>
      </x:c>
      <x:c r="F255" s="10" t="str">
        <x:v>P1</x:v>
      </x:c>
      <x:c r="G255" s="9" t="str">
        <x:v>验证消息内容为空不可发送</x:v>
      </x:c>
      <x:c r="H255" s="9" t="str">
        <x:v>运营消息必填</x:v>
      </x:c>
      <x:c r="I255" s="9" t="str">
        <x:v>1. 执行角色为公会长
2. 选择本公会全体主播</x:v>
      </x:c>
      <x:c r="J255" s="9" t="str">
        <x:v>1. 进入新建运营消息
2. 清空文字
3. 点击发送</x:v>
      </x:c>
      <x:c r="K255" s="9" t="str">
        <x:v>不能生成空内容消息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来源（当前证据）：liveshow-proto/MainBasis/统一需求文档.md；位置：行2256
2. 规则：BR-7fba63a82859eb43
3. 未动态验证</x:v>
      </x:c>
    </x:row>
    <x:row r="256" ht="70" customHeight="1">
      <x:c r="A256" s="10" t="n">
        <x:v>255</x:v>
      </x:c>
      <x:c r="B256" s="10" t="str">
        <x:v>GUILD-03-0011</x:v>
      </x:c>
      <x:c r="C256" s="10" t="str">
        <x:v>运营工具</x:v>
      </x:c>
      <x:c r="D256" s="10" t="str">
        <x:v>新建运营消息（公会长视角）</x:v>
      </x:c>
      <x:c r="E256" s="10" t="str">
        <x:v>业务流程</x:v>
      </x:c>
      <x:c r="F256" s="10" t="str">
        <x:v>P1</x:v>
      </x:c>
      <x:c r="G256" s="9" t="str">
        <x:v>验证消息文字达到500字符</x:v>
      </x:c>
      <x:c r="H256" s="9" t="str">
        <x:v>运营消息长度上限内</x:v>
      </x:c>
      <x:c r="I256" s="9" t="str">
        <x:v>1. 执行角色为公会长
2. 选择本公会全体主播</x:v>
      </x:c>
      <x:c r="J256" s="9" t="str">
        <x:v>1. 进入新建运营消息
2. 填写500个“文”
3. 点击发送
4. 确认接收范围</x:v>
      </x:c>
      <x:c r="K256" s="9" t="str">
        <x:v>发送记录正文为500个“文”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来源（当前证据）：liveshow-proto/MainBasis/统一需求文档.md；位置：行2256
2. 规则：BR-033271118a66a5a6
3. 未动态验证</x:v>
      </x:c>
    </x:row>
    <x:row r="257" ht="70" customHeight="1">
      <x:c r="A257" s="10" t="n">
        <x:v>256</x:v>
      </x:c>
      <x:c r="B257" s="10" t="str">
        <x:v>GUILD-03-0012</x:v>
      </x:c>
      <x:c r="C257" s="10" t="str">
        <x:v>运营工具</x:v>
      </x:c>
      <x:c r="D257" s="10" t="str">
        <x:v>新建运营消息（公会长视角）</x:v>
      </x:c>
      <x:c r="E257" s="10" t="str">
        <x:v>业务流程</x:v>
      </x:c>
      <x:c r="F257" s="10" t="str">
        <x:v>P1</x:v>
      </x:c>
      <x:c r="G257" s="9" t="str">
        <x:v>验证消息文字超过500字符</x:v>
      </x:c>
      <x:c r="H257" s="9" t="str">
        <x:v>运营消息长度上限外</x:v>
      </x:c>
      <x:c r="I257" s="9" t="str">
        <x:v>1. 执行角色为公会长
2. 选择本公会全体主播</x:v>
      </x:c>
      <x:c r="J257" s="9" t="str">
        <x:v>1. 进入新建运营消息
2. 填写501个“文”
3. 点击发送</x:v>
      </x:c>
      <x:c r="K257" s="9" t="str">
        <x:v>不能发送超过500字符的消息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来源（当前证据）：liveshow-proto/MainBasis/统一需求文档.md；位置：行2256
2. 规则：BR-662ef091632ec887
3. 未动态验证</x:v>
      </x:c>
    </x:row>
    <x:row r="258" ht="115" customHeight="1">
      <x:c r="A258" s="10" t="n">
        <x:v>257</x:v>
      </x:c>
      <x:c r="B258" s="10" t="str">
        <x:v>GUILD-03-0013</x:v>
      </x:c>
      <x:c r="C258" s="10" t="str">
        <x:v>运营工具</x:v>
      </x:c>
      <x:c r="D258" s="10" t="str">
        <x:v>新建运营消息（公会长视角）</x:v>
      </x:c>
      <x:c r="E258" s="10" t="str">
        <x:v>功能需求</x:v>
      </x:c>
      <x:c r="F258" s="10" t="str">
        <x:v>P2</x:v>
      </x:c>
      <x:c r="G258" s="9" t="str">
        <x:v>验证运营消息允许不附图片</x:v>
      </x:c>
      <x:c r="H258" s="9" t="str">
        <x:v>消息图片选填</x:v>
      </x:c>
      <x:c r="I258" s="9" t="str">
        <x:v>1. 执行角色为公会长
2. 已选择当前公会主播甲，填写标题测试通知和正文测试正文</x:v>
      </x:c>
      <x:c r="J258" s="9" t="str">
        <x:v>1. 进入发送消息
2. 清空图片
3. 点击发送
4. 点击确认</x:v>
      </x:c>
      <x:c r="K258" s="9" t="str">
        <x:v>该消息发送成功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来源（当前证据）：liveshow-proto/MainBasis/统一需求文档.md；位置：行2257
2. 规则：BR-6c519c51c2e845d2
3. 未动态验证
4. 数据别名：甲、乙、丙用于区分本条测试对象；按前置条件准备并记录实际账号或记录 ID，不是固定业务名称。</x:v>
      </x:c>
    </x:row>
    <x:row r="259" ht="70" customHeight="1">
      <x:c r="A259" s="10" t="n">
        <x:v>258</x:v>
      </x:c>
      <x:c r="B259" s="10" t="str">
        <x:v>GUILD-03-0014</x:v>
      </x:c>
      <x:c r="C259" s="10" t="str">
        <x:v>运营工具</x:v>
      </x:c>
      <x:c r="D259" s="10" t="str">
        <x:v>新建运营消息（公会长视角）</x:v>
      </x:c>
      <x:c r="E259" s="10" t="str">
        <x:v>功能需求</x:v>
      </x:c>
      <x:c r="F259" s="10" t="str">
        <x:v>P2</x:v>
      </x:c>
      <x:c r="G259" s="9" t="str">
        <x:v>验证第二张图片不能与第一张同时附加</x:v>
      </x:c>
      <x:c r="H259" s="9" t="str">
        <x:v>运营消息图片数量</x:v>
      </x:c>
      <x:c r="I259" s="9" t="str">
        <x:v>1. 执行角色为公会长
2. 当前发送表单已有一张图，准备另一张正常PNG测试图</x:v>
      </x:c>
      <x:c r="J259" s="9" t="str">
        <x:v>1. 点击上传
2. 选择第二张图片</x:v>
      </x:c>
      <x:c r="K259" s="9" t="str">
        <x:v>附件最多保留1张图片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来源（当前证据）：liveshow-proto/MainBasis/统一需求文档.md；位置：行2257
2. 规则：BR-15fbb466d73b8bec
3. 未动态验证</x:v>
      </x:c>
    </x:row>
    <x:row r="260" ht="130" customHeight="1">
      <x:c r="A260" s="10" t="n">
        <x:v>259</x:v>
      </x:c>
      <x:c r="B260" s="10" t="str">
        <x:v>GUILD-03-0015</x:v>
      </x:c>
      <x:c r="C260" s="10" t="str">
        <x:v>运营工具</x:v>
      </x:c>
      <x:c r="D260" s="10" t="str">
        <x:v>新建运营消息（公会长视角）</x:v>
      </x:c>
      <x:c r="E260" s="10" t="str">
        <x:v>业务流程</x:v>
      </x:c>
      <x:c r="F260" s="10" t="str">
        <x:v>P1</x:v>
      </x:c>
      <x:c r="G260" s="9" t="str">
        <x:v>验证发送后不允许编辑或撤回</x:v>
      </x:c>
      <x:c r="H260" s="9" t="str">
        <x:v>已发送通知不可变</x:v>
      </x:c>
      <x:c r="I260" s="9" t="str">
        <x:v>1. 执行角色为公会长
2. 本公会已成功发送消息甲</x:v>
      </x:c>
      <x:c r="J260" s="9" t="str">
        <x:v>1. 进入运营消息
2. 点击消息甲</x:v>
      </x:c>
      <x:c r="K260" s="9" t="str">
        <x:v>消息甲只读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来源（当前证据）：liveshow-proto/MainBasis/统一需求文档.md；位置：行2258、行2278
2. 规则：BR-83aabbc886f00e03
3. 未动态验证
4. 数据别名：甲、乙、丙用于区分本条测试对象；按前置条件准备并记录实际账号或记录 ID，不是固定业务名称。</x:v>
      </x:c>
    </x:row>
    <x:row r="261" ht="115" customHeight="1">
      <x:c r="A261" s="10" t="n">
        <x:v>260</x:v>
      </x:c>
      <x:c r="B261" s="10" t="str">
        <x:v>GUILD-03-0016</x:v>
      </x:c>
      <x:c r="C261" s="10" t="str">
        <x:v>运营工具</x:v>
      </x:c>
      <x:c r="D261" s="10" t="str">
        <x:v>选择主播（公会长视角）</x:v>
      </x:c>
      <x:c r="E261" s="10" t="str">
        <x:v>功能需求</x:v>
      </x:c>
      <x:c r="F261" s="10" t="str">
        <x:v>P2</x:v>
      </x:c>
      <x:c r="G261" s="9" t="str">
        <x:v>验证选择收件主播限定当前公会</x:v>
      </x:c>
      <x:c r="H261" s="9" t="str">
        <x:v>发送对象公会隔离</x:v>
      </x:c>
      <x:c r="I261" s="9" t="str">
        <x:v>1. 执行角色为公会长
2. 本会甲、其他公会乙昵称都包含Music</x:v>
      </x:c>
      <x:c r="J261" s="9" t="str">
        <x:v>1. 进入选择主播
2. 输入Music</x:v>
      </x:c>
      <x:c r="K261" s="9" t="str">
        <x:v>搜索结果不包含乙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来源（当前证据）：liveshow-proto/MainBasis/统一需求文档.md；位置：行2263
2. 规则：BR-85b548c9732b3fa2
3. 未动态验证
4. 数据别名：甲、乙、丙用于区分本条测试对象；按前置条件准备并记录实际账号或记录 ID，不是固定业务名称。</x:v>
      </x:c>
    </x:row>
    <x:row r="262" ht="115" customHeight="1">
      <x:c r="A262" s="10" t="n">
        <x:v>261</x:v>
      </x:c>
      <x:c r="B262" s="10" t="str">
        <x:v>GUILD-03-0017</x:v>
      </x:c>
      <x:c r="C262" s="10" t="str">
        <x:v>运营工具</x:v>
      </x:c>
      <x:c r="D262" s="10" t="str">
        <x:v>选择主播（公会长视角）</x:v>
      </x:c>
      <x:c r="E262" s="10" t="str">
        <x:v>功能需求</x:v>
      </x:c>
      <x:c r="F262" s="10" t="str">
        <x:v>P2</x:v>
      </x:c>
      <x:c r="G262" s="9" t="str">
        <x:v>验证收件人搜索显示匹配人数</x:v>
      </x:c>
      <x:c r="H262" s="9" t="str">
        <x:v>群发对象查询数量</x:v>
      </x:c>
      <x:c r="I262" s="9" t="str">
        <x:v>1. 执行角色为公会长
2. 本会主播昵称中只有甲乙包含测试词QALive，丙不包含</x:v>
      </x:c>
      <x:c r="J262" s="9" t="str">
        <x:v>1. 进入选择主播
2. 输入QALive</x:v>
      </x:c>
      <x:c r="K262" s="9" t="str">
        <x:v>主播数量为2人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来源（当前证据）：liveshow-proto/MainBasis/统一需求文档.md；位置：行2264
2. 规则：BR-c9896e20d5784738
3. 未动态验证
4. 数据别名：甲、乙、丙用于区分本条测试对象；按前置条件准备并记录实际账号或记录 ID，不是固定业务名称。</x:v>
      </x:c>
    </x:row>
    <x:row r="263" ht="115" customHeight="1">
      <x:c r="A263" s="10" t="n">
        <x:v>262</x:v>
      </x:c>
      <x:c r="B263" s="10" t="str">
        <x:v>GUILD-03-0018</x:v>
      </x:c>
      <x:c r="C263" s="10" t="str">
        <x:v>运营工具</x:v>
      </x:c>
      <x:c r="D263" s="10" t="str">
        <x:v>选择主播（公会长视角）</x:v>
      </x:c>
      <x:c r="E263" s="10" t="str">
        <x:v>功能需求</x:v>
      </x:c>
      <x:c r="F263" s="10" t="str">
        <x:v>P2</x:v>
      </x:c>
      <x:c r="G263" s="9" t="str">
        <x:v>验证选择主播读取名称</x:v>
      </x:c>
      <x:c r="H263" s="9" t="str">
        <x:v>名称回显</x:v>
      </x:c>
      <x:c r="I263" s="9" t="str">
        <x:v>1. 执行角色为公会长
2. 当前公会可选择主播的名称为“主播甲”</x:v>
      </x:c>
      <x:c r="J263" s="9" t="str">
        <x:v>1. 进入选择主播
2. 查看名称</x:v>
      </x:c>
      <x:c r="K263" s="9" t="str">
        <x:v>名称显示“主播甲”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来源（当前证据）：liveshow-proto/MainBasis/统一需求文档.md；位置：行2265
2. 规则：BR-7f6e07d7650ddce6
3. 未动态验证
4. 数据别名：甲、乙、丙用于区分本条测试对象；按前置条件准备并记录实际账号或记录 ID，不是固定业务名称。</x:v>
      </x:c>
    </x:row>
    <x:row r="264" ht="70" customHeight="1">
      <x:c r="A264" s="10" t="n">
        <x:v>263</x:v>
      </x:c>
      <x:c r="B264" s="10" t="str">
        <x:v>GUILD-03-0019</x:v>
      </x:c>
      <x:c r="C264" s="10" t="str">
        <x:v>运营工具</x:v>
      </x:c>
      <x:c r="D264" s="10" t="str">
        <x:v>选择主播（公会长视角）</x:v>
      </x:c>
      <x:c r="E264" s="10" t="str">
        <x:v>功能需求</x:v>
      </x:c>
      <x:c r="F264" s="10" t="str">
        <x:v>P2</x:v>
      </x:c>
      <x:c r="G264" s="9" t="str">
        <x:v>验证选择主播读取主播ID</x:v>
      </x:c>
      <x:c r="H264" s="9" t="str">
        <x:v>主播ID回显</x:v>
      </x:c>
      <x:c r="I264" s="9" t="str">
        <x:v>1. 执行角色为公会长
2. 当前公会可选择主播的主播ID为“100001”</x:v>
      </x:c>
      <x:c r="J264" s="9" t="str">
        <x:v>1. 进入选择主播
2. 查看主播ID</x:v>
      </x:c>
      <x:c r="K264" s="9" t="str">
        <x:v>主播ID显示“100001”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来源（当前证据）：liveshow-proto/MainBasis/统一需求文档.md；位置：行2266
2. 规则：BR-2291f8d37ec6753f
3. 未动态验证</x:v>
      </x:c>
    </x:row>
    <x:row r="265" ht="115" customHeight="1">
      <x:c r="A265" s="10" t="n">
        <x:v>264</x:v>
      </x:c>
      <x:c r="B265" s="10" t="str">
        <x:v>GUILD-03-0020</x:v>
      </x:c>
      <x:c r="C265" s="10" t="str">
        <x:v>运营工具</x:v>
      </x:c>
      <x:c r="D265" s="10" t="str">
        <x:v>选择主播（公会长视角）</x:v>
      </x:c>
      <x:c r="E265" s="10" t="str">
        <x:v>业务流程</x:v>
      </x:c>
      <x:c r="F265" s="10" t="str">
        <x:v>P1</x:v>
      </x:c>
      <x:c r="G265" s="9" t="str">
        <x:v>验证指定主播单选替换</x:v>
      </x:c>
      <x:c r="H265" s="9" t="str">
        <x:v>消息接收人单选</x:v>
      </x:c>
      <x:c r="I265" s="9" t="str">
        <x:v>1. 执行角色为公会长
2. 本公会主播甲乙均在会</x:v>
      </x:c>
      <x:c r="J265" s="9" t="str">
        <x:v>1. 进入选择主播
2. 选择甲
3. 选择乙
4. 点击完成</x:v>
      </x:c>
      <x:c r="K265" s="9" t="str">
        <x:v>发送对象只回填乙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来源（当前证据）：liveshow-proto/MainBasis/统一需求文档.md；位置：行2267
2. 规则：BR-6a2d06b550a4063c
3. 未动态验证
4. 数据别名：甲、乙、丙用于区分本条测试对象；按前置条件准备并记录实际账号或记录 ID，不是固定业务名称。</x:v>
      </x:c>
    </x:row>
    <x:row r="266" ht="70" customHeight="1">
      <x:c r="A266" s="10" t="n">
        <x:v>265</x:v>
      </x:c>
      <x:c r="B266" s="10" t="str">
        <x:v>GUILD-03-0021</x:v>
      </x:c>
      <x:c r="C266" s="10" t="str">
        <x:v>运营工具</x:v>
      </x:c>
      <x:c r="D266" s="10" t="str">
        <x:v>选择主播（公会长视角）</x:v>
      </x:c>
      <x:c r="E266" s="10" t="str">
        <x:v>业务流程</x:v>
      </x:c>
      <x:c r="F266" s="10" t="str">
        <x:v>P1</x:v>
      </x:c>
      <x:c r="G266" s="9" t="str">
        <x:v>验证未选择主播不能完成</x:v>
      </x:c>
      <x:c r="H266" s="9" t="str">
        <x:v>接收人非空校验</x:v>
      </x:c>
      <x:c r="I266" s="9" t="str">
        <x:v>1. 执行角色为公会长
2. 当前选择页没有选中主播</x:v>
      </x:c>
      <x:c r="J266" s="9" t="str">
        <x:v>1. 进入选择主播
2. 点击完成</x:v>
      </x:c>
      <x:c r="K266" s="9" t="str">
        <x:v>提示选择主播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来源（当前证据）：liveshow-proto/MainBasis/统一需求文档.md；位置：行2268
2. 规则：BR-61523d26351a5354
3. 未动态验证</x:v>
      </x:c>
    </x:row>
    <x:row r="267" ht="115" customHeight="1">
      <x:c r="A267" s="10" t="n">
        <x:v>266</x:v>
      </x:c>
      <x:c r="B267" s="10" t="str">
        <x:v>GUILD-03-0022</x:v>
      </x:c>
      <x:c r="C267" s="10" t="str">
        <x:v>运营工具</x:v>
      </x:c>
      <x:c r="D267" s="10" t="str">
        <x:v>运营消息详情（公会长视角）</x:v>
      </x:c>
      <x:c r="E267" s="10" t="str">
        <x:v>功能需求</x:v>
      </x:c>
      <x:c r="F267" s="10" t="str">
        <x:v>P2</x:v>
      </x:c>
      <x:c r="G267" s="9" t="str">
        <x:v>验证运营消息详情读取接收人名称</x:v>
      </x:c>
      <x:c r="H267" s="9" t="str">
        <x:v>接收人名称回显</x:v>
      </x:c>
      <x:c r="I267" s="9" t="str">
        <x:v>1. 执行角色为公会长
2. 所选运营消息发送时快照的接收人名称为“主播甲”</x:v>
      </x:c>
      <x:c r="J267" s="9" t="str">
        <x:v>1. 进入运营消息详情
2. 查看接收人名称</x:v>
      </x:c>
      <x:c r="K267" s="9" t="str">
        <x:v>接收人名称显示“主播甲”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来源（当前证据）：liveshow-proto/MainBasis/统一需求文档.md；位置：行2273
2. 规则：BR-19a6daff0afe0d51
3. 未动态验证
4. 数据别名：甲、乙、丙用于区分本条测试对象；按前置条件准备并记录实际账号或记录 ID，不是固定业务名称。</x:v>
      </x:c>
    </x:row>
    <x:row r="268" ht="115" customHeight="1">
      <x:c r="A268" s="10" t="n">
        <x:v>267</x:v>
      </x:c>
      <x:c r="B268" s="10" t="str">
        <x:v>GUILD-03-0023</x:v>
      </x:c>
      <x:c r="C268" s="10" t="str">
        <x:v>运营工具</x:v>
      </x:c>
      <x:c r="D268" s="10" t="str">
        <x:v>运营消息详情（公会长视角）</x:v>
      </x:c>
      <x:c r="E268" s="10" t="str">
        <x:v>功能需求</x:v>
      </x:c>
      <x:c r="F268" s="10" t="str">
        <x:v>P2</x:v>
      </x:c>
      <x:c r="G268" s="9" t="str">
        <x:v>验证运营消息详情读取发送人</x:v>
      </x:c>
      <x:c r="H268" s="9" t="str">
        <x:v>发送人回显</x:v>
      </x:c>
      <x:c r="I268" s="9" t="str">
        <x:v>1. 执行角色为公会长
2. 该消息实际发送公会长的发送人为“负责人甲”</x:v>
      </x:c>
      <x:c r="J268" s="9" t="str">
        <x:v>1. 进入运营消息详情
2. 查看发送人</x:v>
      </x:c>
      <x:c r="K268" s="9" t="str">
        <x:v>发送人显示“负责人甲”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来源（当前证据）：liveshow-proto/MainBasis/统一需求文档.md；位置：行2275
2. 规则：BR-1b03118724d51c40
3. 未动态验证
4. 数据别名：甲、乙、丙用于区分本条测试对象；按前置条件准备并记录实际账号或记录 ID，不是固定业务名称。</x:v>
      </x:c>
    </x:row>
    <x:row r="269" ht="70" customHeight="1">
      <x:c r="A269" s="10" t="n">
        <x:v>268</x:v>
      </x:c>
      <x:c r="B269" s="10" t="str">
        <x:v>GUILD-03-0024</x:v>
      </x:c>
      <x:c r="C269" s="10" t="str">
        <x:v>运营工具</x:v>
      </x:c>
      <x:c r="D269" s="10" t="str">
        <x:v>运营消息详情（公会长视角）</x:v>
      </x:c>
      <x:c r="E269" s="10" t="str">
        <x:v>功能需求</x:v>
      </x:c>
      <x:c r="F269" s="10" t="str">
        <x:v>P2</x:v>
      </x:c>
      <x:c r="G269" s="9" t="str">
        <x:v>验证运营消息详情读取正文</x:v>
      </x:c>
      <x:c r="H269" s="9" t="str">
        <x:v>正文回显</x:v>
      </x:c>
      <x:c r="I269" s="9" t="str">
        <x:v>1. 执行角色为公会长
2. 该消息发送时正文的正文为“今晚开播安排”</x:v>
      </x:c>
      <x:c r="J269" s="9" t="str">
        <x:v>1. 进入运营消息详情
2. 查看正文</x:v>
      </x:c>
      <x:c r="K269" s="9" t="str">
        <x:v>正文显示“今晚开播安排”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来源（当前证据）：liveshow-proto/MainBasis/统一需求文档.md；位置：行2276
2. 规则：BR-67ece7c2bd5740f8
3. 未动态验证</x:v>
      </x:c>
    </x:row>
    <x:row r="270" ht="115" customHeight="1">
      <x:c r="A270" s="10" t="n">
        <x:v>269</x:v>
      </x:c>
      <x:c r="B270" s="10" t="str">
        <x:v>GUILD-03-0025</x:v>
      </x:c>
      <x:c r="C270" s="10" t="str">
        <x:v>运营工具</x:v>
      </x:c>
      <x:c r="D270" s="10" t="str">
        <x:v>运营消息详情（公会长视角）</x:v>
      </x:c>
      <x:c r="E270" s="10" t="str">
        <x:v>功能需求</x:v>
      </x:c>
      <x:c r="F270" s="10" t="str">
        <x:v>P2</x:v>
      </x:c>
      <x:c r="G270" s="9" t="str">
        <x:v>验证无附图消息详情隐藏图片</x:v>
      </x:c>
      <x:c r="H270" s="9" t="str">
        <x:v>消息附件空态</x:v>
      </x:c>
      <x:c r="I270" s="9" t="str">
        <x:v>1. 执行角色为公会长
2. 已发送消息甲没有附件</x:v>
      </x:c>
      <x:c r="J270" s="9" t="str">
        <x:v>1. 进入甲消息详情</x:v>
      </x:c>
      <x:c r="K270" s="9" t="str">
        <x:v>不显示图片附件区域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来源（当前证据）：liveshow-proto/MainBasis/统一需求文档.md；位置：行2277
2. 规则：BR-6f1b74b1488a8857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GUILD-03-0026</x:v>
      </x:c>
      <x:c r="C271" s="10" t="str">
        <x:v>运营工具</x:v>
      </x:c>
      <x:c r="D271" s="10" t="str">
        <x:v>运营消息详情（公会长视角）</x:v>
      </x:c>
      <x:c r="E271" s="10" t="str">
        <x:v>业务流程</x:v>
      </x:c>
      <x:c r="F271" s="10" t="str">
        <x:v>P1</x:v>
      </x:c>
      <x:c r="G271" s="9" t="str">
        <x:v>验证接收人退会后历史记录不变</x:v>
      </x:c>
      <x:c r="H271" s="9" t="str">
        <x:v>通知收件快照</x:v>
      </x:c>
      <x:c r="I271" s="9" t="str">
        <x:v>1. 执行角色为公会长
2. 消息甲发送时接收人是主播乙；乙之后退会</x:v>
      </x:c>
      <x:c r="J271" s="9" t="str">
        <x:v>1. 进入消息甲详情</x:v>
      </x:c>
      <x:c r="K271" s="9" t="str">
        <x:v>历史接收人仍包含乙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来源（当前证据）：liveshow-proto/MainBasis/统一需求文档.md；位置：行2278
2. 规则：BR-9126f1f67ad3e159
3. 未动态验证
4. 数据别名：甲、乙、丙用于区分本条测试对象；按前置条件准备并记录实际账号或记录 ID，不是固定业务名称。</x:v>
      </x:c>
    </x:row>
    <x:row r="272" ht="130" customHeight="1">
      <x:c r="A272" s="10" t="n">
        <x:v>271</x:v>
      </x:c>
      <x:c r="B272" s="10" t="str">
        <x:v>GUILD-03-0027</x:v>
      </x:c>
      <x:c r="C272" s="10" t="str">
        <x:v>运营工具</x:v>
      </x:c>
      <x:c r="D272" s="10" t="str">
        <x:v>运营账号（公会长视角）</x:v>
      </x:c>
      <x:c r="E272" s="10" t="str">
        <x:v>功能需求</x:v>
      </x:c>
      <x:c r="F272" s="10" t="str">
        <x:v>P2</x:v>
      </x:c>
      <x:c r="G272" s="9" t="str">
        <x:v>验证运营账号按名称搜索</x:v>
      </x:c>
      <x:c r="H272" s="9" t="str">
        <x:v>运营账户检索</x:v>
      </x:c>
      <x:c r="I272" s="9" t="str">
        <x:v>1. 执行角色为公会长
2. 本会运营号甲昵称MusicA，乙昵称ChatB</x:v>
      </x:c>
      <x:c r="J272" s="9" t="str">
        <x:v>1. 进入运营账号列表
2. 输入MusicA</x:v>
      </x:c>
      <x:c r="K272" s="9" t="str">
        <x:v>结果包含甲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来源（当前证据）：liveshow-proto/MainBasis/统一需求文档.md；位置：行2282、行2294
2. 规则：BR-6e21bd624469ce30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GUILD-03-0028</x:v>
      </x:c>
      <x:c r="C273" s="10" t="str">
        <x:v>运营工具</x:v>
      </x:c>
      <x:c r="D273" s="10" t="str">
        <x:v>运营账号（公会长视角）</x:v>
      </x:c>
      <x:c r="E273" s="10" t="str">
        <x:v>功能需求</x:v>
      </x:c>
      <x:c r="F273" s="10" t="str">
        <x:v>P2</x:v>
      </x:c>
      <x:c r="G273" s="9" t="str">
        <x:v>验证运营账号读取账号ID</x:v>
      </x:c>
      <x:c r="H273" s="9" t="str">
        <x:v>账号ID回显</x:v>
      </x:c>
      <x:c r="I273" s="9" t="str">
        <x:v>1. 执行角色为公会长
2. 当前运营账号的账号ID为“300001”</x:v>
      </x:c>
      <x:c r="J273" s="9" t="str">
        <x:v>1. 进入运营账号
2. 查看账号ID</x:v>
      </x:c>
      <x:c r="K273" s="9" t="str">
        <x:v>账号ID显示“300001”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来源（当前证据）：liveshow-proto/MainBasis/统一需求文档.md；位置：行2283
2. 规则：BR-5fc0aae52381b8cd
3. 未动态验证</x:v>
      </x:c>
    </x:row>
    <x:row r="274" ht="115" customHeight="1">
      <x:c r="A274" s="10" t="n">
        <x:v>273</x:v>
      </x:c>
      <x:c r="B274" s="10" t="str">
        <x:v>GUILD-03-0029</x:v>
      </x:c>
      <x:c r="C274" s="10" t="str">
        <x:v>运营工具</x:v>
      </x:c>
      <x:c r="D274" s="10" t="str">
        <x:v>运营账号（公会长视角）</x:v>
      </x:c>
      <x:c r="E274" s="10" t="str">
        <x:v>功能需求</x:v>
      </x:c>
      <x:c r="F274" s="10" t="str">
        <x:v>P2</x:v>
      </x:c>
      <x:c r="G274" s="9" t="str">
        <x:v>验证运营账号读取名称</x:v>
      </x:c>
      <x:c r="H274" s="9" t="str">
        <x:v>名称回显</x:v>
      </x:c>
      <x:c r="I274" s="9" t="str">
        <x:v>1. 执行角色为公会长
2. 当前运营账号的名称为“运营甲”</x:v>
      </x:c>
      <x:c r="J274" s="9" t="str">
        <x:v>1. 进入运营账号
2. 查看名称</x:v>
      </x:c>
      <x:c r="K274" s="9" t="str">
        <x:v>名称显示“运营甲”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来源（当前证据）：liveshow-proto/MainBasis/统一需求文档.md；位置：行2283
2. 规则：BR-21334ccaebe69429
3. 未动态验证
4. 数据别名：甲、乙、丙用于区分本条测试对象；按前置条件准备并记录实际账号或记录 ID，不是固定业务名称。</x:v>
      </x:c>
    </x:row>
    <x:row r="275" ht="70" customHeight="1">
      <x:c r="A275" s="10" t="n">
        <x:v>274</x:v>
      </x:c>
      <x:c r="B275" s="10" t="str">
        <x:v>GUILD-03-0030</x:v>
      </x:c>
      <x:c r="C275" s="10" t="str">
        <x:v>运营工具</x:v>
      </x:c>
      <x:c r="D275" s="10" t="str">
        <x:v>运营账号（公会长视角）</x:v>
      </x:c>
      <x:c r="E275" s="10" t="str">
        <x:v>功能需求</x:v>
      </x:c>
      <x:c r="F275" s="10" t="str">
        <x:v>P2</x:v>
      </x:c>
      <x:c r="G275" s="9" t="str">
        <x:v>验证创建运营账号打开表单</x:v>
      </x:c>
      <x:c r="H275" s="9" t="str">
        <x:v>创建运营入口</x:v>
      </x:c>
      <x:c r="I275" s="9" t="str">
        <x:v>1. 执行角色为公会长
2. 公会管理权限未锁定</x:v>
      </x:c>
      <x:c r="J275" s="9" t="str">
        <x:v>1. 进入运营账号列表
2. 点击创建</x:v>
      </x:c>
      <x:c r="K275" s="9" t="str">
        <x:v>进入创建运营账号页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来源（当前证据）：liveshow-proto/MainBasis/统一需求文档.md；位置：行2286
2. 规则：BR-423fd4047dcf2c18
3. 未动态验证</x:v>
      </x:c>
    </x:row>
    <x:row r="276" ht="115" customHeight="1">
      <x:c r="A276" s="10" t="n">
        <x:v>275</x:v>
      </x:c>
      <x:c r="B276" s="10" t="str">
        <x:v>GUILD-03-0031</x:v>
      </x:c>
      <x:c r="C276" s="10" t="str">
        <x:v>运营工具</x:v>
      </x:c>
      <x:c r="D276" s="10" t="str">
        <x:v>运营账号（公会长视角）</x:v>
      </x:c>
      <x:c r="E276" s="10" t="str">
        <x:v>逻辑校验</x:v>
      </x:c>
      <x:c r="F276" s="10" t="str">
        <x:v>P1</x:v>
      </x:c>
      <x:c r="G276" s="9" t="str">
        <x:v>验证运营账号本月已发放按当前对象求和</x:v>
      </x:c>
      <x:c r="H276" s="9" t="str">
        <x:v>本月已发放计算范围</x:v>
      </x:c>
      <x:c r="I276" s="9" t="str">
        <x:v>1. 执行角色为公会长
2. 本月给本公会运营甲成功发放100、乙成功发放200；上月500不在本月</x:v>
      </x:c>
      <x:c r="J276" s="9" t="str">
        <x:v>1. 进入运营账号
2. 查看前置条件指定对象及范围的本月已发放</x:v>
      </x:c>
      <x:c r="K276" s="9" t="str">
        <x:v>本月已发放按100+200计算=300虚拟金币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来源（当前证据）：liveshow-proto/MainBasis/统一需求文档.md；位置：行2287
2. 规则：BR-9f4aa1943da6c691
3. 未动态验证
4. 数据别名：甲、乙、丙用于区分本条测试对象；按前置条件准备并记录实际账号或记录 ID，不是固定业务名称。</x:v>
      </x:c>
    </x:row>
    <x:row r="277" ht="70" customHeight="1">
      <x:c r="A277" s="10" t="n">
        <x:v>276</x:v>
      </x:c>
      <x:c r="B277" s="10" t="str">
        <x:v>GUILD-03-0032</x:v>
      </x:c>
      <x:c r="C277" s="10" t="str">
        <x:v>运营工具</x:v>
      </x:c>
      <x:c r="D277" s="10" t="str">
        <x:v>运营账号（公会长视角）</x:v>
      </x:c>
      <x:c r="E277" s="10" t="str">
        <x:v>逻辑校验</x:v>
      </x:c>
      <x:c r="F277" s="10" t="str">
        <x:v>P1</x:v>
      </x:c>
      <x:c r="G277" s="9" t="str">
        <x:v>验证公会剩余额度减累计成功发放</x:v>
      </x:c>
      <x:c r="H277" s="9" t="str">
        <x:v>公会月剩余额度</x:v>
      </x:c>
      <x:c r="I277" s="9" t="str">
        <x:v>1. 执行角色为公会长
2. 公会月上限1000虚拟金币，已成功发放600</x:v>
      </x:c>
      <x:c r="J277" s="9" t="str">
        <x:v>1. 进入运营账号列表</x:v>
      </x:c>
      <x:c r="K277" s="9" t="str">
        <x:v>本月剩余可发计算为max(1000-600,0)=400金币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来源（当前证据）：liveshow-proto/MainBasis/统一需求文档.md；位置：行2288
2. 规则：BR-44564d645dba907b
3. 未动态验证</x:v>
      </x:c>
    </x:row>
    <x:row r="278" ht="115" customHeight="1">
      <x:c r="A278" s="10" t="n">
        <x:v>277</x:v>
      </x:c>
      <x:c r="B278" s="10" t="str">
        <x:v>GUILD-03-0033</x:v>
      </x:c>
      <x:c r="C278" s="10" t="str">
        <x:v>运营工具</x:v>
      </x:c>
      <x:c r="D278" s="10" t="str">
        <x:v>运营账号（公会长视角）</x:v>
      </x:c>
      <x:c r="E278" s="10" t="str">
        <x:v>逻辑校验</x:v>
      </x:c>
      <x:c r="F278" s="10" t="str">
        <x:v>P1</x:v>
      </x:c>
      <x:c r="G278" s="9" t="str">
        <x:v>验证运营账号账户余额累计按当前对象求和</x:v>
      </x:c>
      <x:c r="H278" s="9" t="str">
        <x:v>账户余额累计计算范围</x:v>
      </x:c>
      <x:c r="I278" s="9" t="str">
        <x:v>1. 执行角色为公会长
2. 本公会仅运营甲乙，当前可用虚拟余额100、200；另一公会余额500不计入</x:v>
      </x:c>
      <x:c r="J278" s="9" t="str">
        <x:v>1. 进入运营账号
2. 查看前置条件指定对象及范围的账户余额累计</x:v>
      </x:c>
      <x:c r="K278" s="9" t="str">
        <x:v>账户余额累计按100+200计算=300虚拟金币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来源（当前证据）：liveshow-proto/MainBasis/统一需求文档.md；位置：行2289
2. 规则：BR-484870069e587091
3. 未动态验证
4. 数据别名：甲、乙、丙用于区分本条测试对象；按前置条件准备并记录实际账号或记录 ID，不是固定业务名称。</x:v>
      </x:c>
    </x:row>
    <x:row r="279" ht="115" customHeight="1">
      <x:c r="A279" s="10" t="n">
        <x:v>278</x:v>
      </x:c>
      <x:c r="B279" s="10" t="str">
        <x:v>GUILD-03-0034</x:v>
      </x:c>
      <x:c r="C279" s="10" t="str">
        <x:v>运营工具</x:v>
      </x:c>
      <x:c r="D279" s="10" t="str">
        <x:v>运营账号（公会长视角）</x:v>
      </x:c>
      <x:c r="E279" s="10" t="str">
        <x:v>逻辑校验</x:v>
      </x:c>
      <x:c r="F279" s="10" t="str">
        <x:v>P1</x:v>
      </x:c>
      <x:c r="G279" s="9" t="str">
        <x:v>验证运营账号本月累计消费按当前对象求和</x:v>
      </x:c>
      <x:c r="H279" s="9" t="str">
        <x:v>本月累计消费计算范围</x:v>
      </x:c>
      <x:c r="I279" s="9" t="str">
        <x:v>1. 执行角色为公会长
2. 本公会甲本月成功虚拟消费100、乙200；失败消费50未扣账</x:v>
      </x:c>
      <x:c r="J279" s="9" t="str">
        <x:v>1. 进入运营账号
2. 查看前置条件指定对象及范围的本月累计消费</x:v>
      </x:c>
      <x:c r="K279" s="9" t="str">
        <x:v>本月累计消费按100+200计算=300虚拟金币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来源（当前证据）：liveshow-proto/MainBasis/统一需求文档.md；位置：行2290
2. 规则：BR-94a086e93e22ec88
3. 未动态验证
4. 数据别名：甲、乙、丙用于区分本条测试对象；按前置条件准备并记录实际账号或记录 ID，不是固定业务名称。</x:v>
      </x:c>
    </x:row>
    <x:row r="280" ht="70" customHeight="1">
      <x:c r="A280" s="10" t="n">
        <x:v>279</x:v>
      </x:c>
      <x:c r="B280" s="10" t="str">
        <x:v>GUILD-03-0035</x:v>
      </x:c>
      <x:c r="C280" s="10" t="str">
        <x:v>运营工具</x:v>
      </x:c>
      <x:c r="D280" s="10" t="str">
        <x:v>创建运营账号（公会长视角）</x:v>
      </x:c>
      <x:c r="E280" s="10" t="str">
        <x:v>业务流程</x:v>
      </x:c>
      <x:c r="F280" s="10" t="str">
        <x:v>P1</x:v>
      </x:c>
      <x:c r="G280" s="9" t="str">
        <x:v>验证运营账号头像必填</x:v>
      </x:c>
      <x:c r="H280" s="9" t="str">
        <x:v>运营账号头像校验</x:v>
      </x:c>
      <x:c r="I280" s="9" t="str">
        <x:v>1. 执行角色为公会长
2. 已填写合法名称、唯一账号及至少6位密码</x:v>
      </x:c>
      <x:c r="J280" s="9" t="str">
        <x:v>1. 进入创建运营账号
2. 清空头像
3. 点击确认创建</x:v>
      </x:c>
      <x:c r="K280" s="9" t="str">
        <x:v>不能创建无头像运营账号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来源（当前证据）：liveshow-proto/MainBasis/统一需求文档.md；位置：行2298
2. 规则：BR-8e397b58f45cc071
3. 未动态验证</x:v>
      </x:c>
    </x:row>
    <x:row r="281" ht="70" customHeight="1">
      <x:c r="A281" s="10" t="n">
        <x:v>280</x:v>
      </x:c>
      <x:c r="B281" s="10" t="str">
        <x:v>GUILD-03-0036</x:v>
      </x:c>
      <x:c r="C281" s="10" t="str">
        <x:v>运营工具</x:v>
      </x:c>
      <x:c r="D281" s="10" t="str">
        <x:v>创建运营账号（公会长视角）</x:v>
      </x:c>
      <x:c r="E281" s="10" t="str">
        <x:v>功能需求</x:v>
      </x:c>
      <x:c r="F281" s="10" t="str">
        <x:v>P2</x:v>
      </x:c>
      <x:c r="G281" s="9" t="str">
        <x:v>验证运营账号名称空白不能创建</x:v>
      </x:c>
      <x:c r="H281" s="9" t="str">
        <x:v>运营名称必填</x:v>
      </x:c>
      <x:c r="I281" s="9" t="str">
        <x:v>1. 执行角色为公会长
2. 其他字段合法</x:v>
      </x:c>
      <x:c r="J281" s="9" t="str">
        <x:v>1. 进入创建运营账号
2. 清空名称
3. 点击确认创建</x:v>
      </x:c>
      <x:c r="K281" s="9" t="str">
        <x:v>不能创建无名称账号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来源（当前证据）：liveshow-proto/MainBasis/统一需求文档.md；位置：行2299
2. 规则：BR-c83aa1950d6e985a
3. 未动态验证</x:v>
      </x:c>
    </x:row>
    <x:row r="282" ht="70" customHeight="1">
      <x:c r="A282" s="10" t="n">
        <x:v>281</x:v>
      </x:c>
      <x:c r="B282" s="10" t="str">
        <x:v>GUILD-03-0037</x:v>
      </x:c>
      <x:c r="C282" s="10" t="str">
        <x:v>运营工具</x:v>
      </x:c>
      <x:c r="D282" s="10" t="str">
        <x:v>创建运营账号（公会长视角）</x:v>
      </x:c>
      <x:c r="E282" s="10" t="str">
        <x:v>功能需求</x:v>
      </x:c>
      <x:c r="F282" s="10" t="str">
        <x:v>P2</x:v>
      </x:c>
      <x:c r="G282" s="9" t="str">
        <x:v>验证运营账号名称超过30字符不能创建</x:v>
      </x:c>
      <x:c r="H282" s="9" t="str">
        <x:v>运营名称长度上界</x:v>
      </x:c>
      <x:c r="I282" s="9" t="str">
        <x:v>1. 执行角色为公会长
2. 其他字段合法</x:v>
      </x:c>
      <x:c r="J282" s="9" t="str">
        <x:v>1. 进入创建运营账号
2. 填写名称31个“名”
3. 点击确认创建</x:v>
      </x:c>
      <x:c r="K282" s="9" t="str">
        <x:v>不能创建超过30字符名称的账号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来源（当前证据）：liveshow-proto/MainBasis/统一需求文档.md；位置：行2299
2. 规则：BR-9c2e3bb97a8d801f
3. 未动态验证</x:v>
      </x:c>
    </x:row>
    <x:row r="283" ht="70" customHeight="1">
      <x:c r="A283" s="10" t="n">
        <x:v>282</x:v>
      </x:c>
      <x:c r="B283" s="10" t="str">
        <x:v>GUILD-03-0038</x:v>
      </x:c>
      <x:c r="C283" s="10" t="str">
        <x:v>运营工具</x:v>
      </x:c>
      <x:c r="D283" s="10" t="str">
        <x:v>创建运营账号（公会长视角）</x:v>
      </x:c>
      <x:c r="E283" s="10" t="str">
        <x:v>业务流程</x:v>
      </x:c>
      <x:c r="F283" s="10" t="str">
        <x:v>P1</x:v>
      </x:c>
      <x:c r="G283" s="9" t="str">
        <x:v>验证运营登录账号全平台唯一</x:v>
      </x:c>
      <x:c r="H283" s="9" t="str">
        <x:v>运营账号重复校验</x:v>
      </x:c>
      <x:c r="I283" s="9" t="str">
        <x:v>1. 执行角色为公会长
2. 另一公会已有账号operation-qa；本次其他必填项合法</x:v>
      </x:c>
      <x:c r="J283" s="9" t="str">
        <x:v>1. 进入创建运营账号
2. 填写账号operation-qa
3. 点击确认创建</x:v>
      </x:c>
      <x:c r="K283" s="9" t="str">
        <x:v>不能创建重复登录账号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来源（当前证据）：liveshow-proto/MainBasis/统一需求文档.md；位置：行2300
2. 规则：BR-8faceb1a27ddbfe9
3. 未动态验证</x:v>
      </x:c>
    </x:row>
    <x:row r="284" ht="70" customHeight="1">
      <x:c r="A284" s="10" t="n">
        <x:v>283</x:v>
      </x:c>
      <x:c r="B284" s="10" t="str">
        <x:v>GUILD-03-0039</x:v>
      </x:c>
      <x:c r="C284" s="10" t="str">
        <x:v>运营工具</x:v>
      </x:c>
      <x:c r="D284" s="10" t="str">
        <x:v>创建运营账号（公会长视角）</x:v>
      </x:c>
      <x:c r="E284" s="10" t="str">
        <x:v>业务流程</x:v>
      </x:c>
      <x:c r="F284" s="10" t="str">
        <x:v>P1</x:v>
      </x:c>
      <x:c r="G284" s="9" t="str">
        <x:v>验证运营账号初始密码5位</x:v>
      </x:c>
      <x:c r="H284" s="9" t="str">
        <x:v>初始密码长度下界外</x:v>
      </x:c>
      <x:c r="I284" s="9" t="str">
        <x:v>1. 执行角色为公会长
2. 其他必填项合法</x:v>
      </x:c>
      <x:c r="J284" s="9" t="str">
        <x:v>1. 进入创建运营账号
2. 输入初始密码12345
3. 点击确认创建</x:v>
      </x:c>
      <x:c r="K284" s="9" t="str">
        <x:v>不能创建密码不足6位的账号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来源（当前证据）：liveshow-proto/MainBasis/统一需求文档.md；位置：行2301
2. 规则：BR-7e03eef833fd16c9
3. 未动态验证</x:v>
      </x:c>
    </x:row>
    <x:row r="285" ht="70" customHeight="1">
      <x:c r="A285" s="10" t="n">
        <x:v>284</x:v>
      </x:c>
      <x:c r="B285" s="10" t="str">
        <x:v>GUILD-03-0040</x:v>
      </x:c>
      <x:c r="C285" s="10" t="str">
        <x:v>运营工具</x:v>
      </x:c>
      <x:c r="D285" s="10" t="str">
        <x:v>创建运营账号（公会长视角）</x:v>
      </x:c>
      <x:c r="E285" s="10" t="str">
        <x:v>业务流程</x:v>
      </x:c>
      <x:c r="F285" s="10" t="str">
        <x:v>P1</x:v>
      </x:c>
      <x:c r="G285" s="9" t="str">
        <x:v>验证运营新账号默认启用</x:v>
      </x:c>
      <x:c r="H285" s="9" t="str">
        <x:v>运营初始状态</x:v>
      </x:c>
      <x:c r="I285" s="9" t="str">
        <x:v>1. 执行角色为公会长
2. 公会具备账号创建权限</x:v>
      </x:c>
      <x:c r="J285" s="9" t="str">
        <x:v>1. 进入创建运营账号</x:v>
      </x:c>
      <x:c r="K285" s="9" t="str">
        <x:v>账号状态默认启用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来源（当前证据）：liveshow-proto/MainBasis/统一需求文档.md；位置：行2302
2. 规则：BR-d247fc8cf5df8529
3. 未动态验证</x:v>
      </x:c>
    </x:row>
    <x:row r="286" ht="70" customHeight="1">
      <x:c r="A286" s="10" t="n">
        <x:v>285</x:v>
      </x:c>
      <x:c r="B286" s="10" t="str">
        <x:v>GUILD-03-0041</x:v>
      </x:c>
      <x:c r="C286" s="10" t="str">
        <x:v>运营工具</x:v>
      </x:c>
      <x:c r="D286" s="10" t="str">
        <x:v>创建运营账号（公会长视角）</x:v>
      </x:c>
      <x:c r="E286" s="10" t="str">
        <x:v>业务流程</x:v>
      </x:c>
      <x:c r="F286" s="10" t="str">
        <x:v>P1</x:v>
      </x:c>
      <x:c r="G286" s="9" t="str">
        <x:v>验证运营初始金币默认0</x:v>
      </x:c>
      <x:c r="H286" s="9" t="str">
        <x:v>初始发放默认值</x:v>
      </x:c>
      <x:c r="I286" s="9" t="str">
        <x:v>1. 执行角色为公会长
2. 公会具备账号创建权限</x:v>
      </x:c>
      <x:c r="J286" s="9" t="str">
        <x:v>1. 进入创建运营账号</x:v>
      </x:c>
      <x:c r="K286" s="9" t="str">
        <x:v>初始发放金币为0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来源（当前证据）：liveshow-proto/MainBasis/统一需求文档.md；位置：行2303
2. 规则：BR-77a15efbdefffad1
3. 未动态验证</x:v>
      </x:c>
    </x:row>
    <x:row r="287" ht="70" customHeight="1">
      <x:c r="A287" s="10" t="n">
        <x:v>286</x:v>
      </x:c>
      <x:c r="B287" s="10" t="str">
        <x:v>GUILD-03-0042</x:v>
      </x:c>
      <x:c r="C287" s="10" t="str">
        <x:v>运营工具</x:v>
      </x:c>
      <x:c r="D287" s="10" t="str">
        <x:v>创建运营账号（公会长视角）</x:v>
      </x:c>
      <x:c r="E287" s="10" t="str">
        <x:v>业务流程</x:v>
      </x:c>
      <x:c r="F287" s="10" t="str">
        <x:v>P1</x:v>
      </x:c>
      <x:c r="G287" s="9" t="str">
        <x:v>验证初始发放不接受负数</x:v>
      </x:c>
      <x:c r="H287" s="9" t="str">
        <x:v>虚拟金币非负校验</x:v>
      </x:c>
      <x:c r="I287" s="9" t="str">
        <x:v>1. 执行角色为公会长
2. 其他创建字段合法；可发上限100</x:v>
      </x:c>
      <x:c r="J287" s="9" t="str">
        <x:v>1. 进入创建运营账号
2. 输入发放金币-1
3. 点击确认创建</x:v>
      </x:c>
      <x:c r="K287" s="9" t="str">
        <x:v>不能按负数发放创建账号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来源（当前证据）：liveshow-proto/MainBasis/统一需求文档.md；位置：行2303
2. 规则：BR-45f051f625cc981e
3. 未动态验证</x:v>
      </x:c>
    </x:row>
    <x:row r="288" ht="70" customHeight="1">
      <x:c r="A288" s="10" t="n">
        <x:v>287</x:v>
      </x:c>
      <x:c r="B288" s="10" t="str">
        <x:v>GUILD-03-0043</x:v>
      </x:c>
      <x:c r="C288" s="10" t="str">
        <x:v>运营工具</x:v>
      </x:c>
      <x:c r="D288" s="10" t="str">
        <x:v>创建运营账号（公会长视角）</x:v>
      </x:c>
      <x:c r="E288" s="10" t="str">
        <x:v>逻辑校验</x:v>
      </x:c>
      <x:c r="F288" s="10" t="str">
        <x:v>P1</x:v>
      </x:c>
      <x:c r="G288" s="9" t="str">
        <x:v>验证初始发放取两类剩余额度较小值</x:v>
      </x:c>
      <x:c r="H288" s="9" t="str">
        <x:v>初始发放额度</x:v>
      </x:c>
      <x:c r="I288" s="9" t="str">
        <x:v>1. 执行角色为公会长
2. 账号月剩余300，公会月剩余100</x:v>
      </x:c>
      <x:c r="J288" s="9" t="str">
        <x:v>1. 进入创建运营账号</x:v>
      </x:c>
      <x:c r="K288" s="9" t="str">
        <x:v>最多可发放计算为min(300,100)=100金币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来源（当前证据）：liveshow-proto/MainBasis/统一需求文档.md；位置：行2304
2. 规则：BR-21e13b19180d1037
3. 未动态验证</x:v>
      </x:c>
    </x:row>
    <x:row r="289" ht="85" customHeight="1">
      <x:c r="A289" s="10" t="n">
        <x:v>288</x:v>
      </x:c>
      <x:c r="B289" s="10" t="str">
        <x:v>GUILD-03-0044</x:v>
      </x:c>
      <x:c r="C289" s="10" t="str">
        <x:v>运营工具</x:v>
      </x:c>
      <x:c r="D289" s="10" t="str">
        <x:v>创建运营账号（公会长视角）</x:v>
      </x:c>
      <x:c r="E289" s="10" t="str">
        <x:v>功能需求</x:v>
      </x:c>
      <x:c r="F289" s="10" t="str">
        <x:v>P2</x:v>
      </x:c>
      <x:c r="G289" s="9" t="str">
        <x:v>验证创建运营账号成功返回列表</x:v>
      </x:c>
      <x:c r="H289" s="9" t="str">
        <x:v>运营账号创建去向</x:v>
      </x:c>
      <x:c r="I289" s="9" t="str">
        <x:v>1. 执行角色为公会长
2. 已准备平台允许的唯一登录账号、6位以上密码和有效头像；公会未锁定，初始金币0</x:v>
      </x:c>
      <x:c r="J289" s="9" t="str">
        <x:v>1. 进入创建运营账号
2. 填写名称QA运营
3. 填写准备的账号密码
4. 上传准备头像
5. 点击确认创建</x:v>
      </x:c>
      <x:c r="K289" s="9" t="str">
        <x:v>返回运营账号列表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来源（当前证据）：liveshow-proto/MainBasis/统一需求文档.md；位置：行2306
2. 规则：BR-0d9aa7557bae4aba
3. 未动态验证</x:v>
      </x:c>
    </x:row>
    <x:row r="290" ht="115" customHeight="1">
      <x:c r="A290" s="10" t="n">
        <x:v>289</x:v>
      </x:c>
      <x:c r="B290" s="10" t="str">
        <x:v>GUILD-03-0045</x:v>
      </x:c>
      <x:c r="C290" s="10" t="str">
        <x:v>运营工具</x:v>
      </x:c>
      <x:c r="D290" s="10" t="str">
        <x:v>运营账号主页（公会长视角）</x:v>
      </x:c>
      <x:c r="E290" s="10" t="str">
        <x:v>功能需求</x:v>
      </x:c>
      <x:c r="F290" s="10" t="str">
        <x:v>P2</x:v>
      </x:c>
      <x:c r="G290" s="9" t="str">
        <x:v>验证运营账号主页读取名称</x:v>
      </x:c>
      <x:c r="H290" s="9" t="str">
        <x:v>名称回显</x:v>
      </x:c>
      <x:c r="I290" s="9" t="str">
        <x:v>1. 执行角色为公会长
2. 当前运营账号资料的名称为“运营甲”</x:v>
      </x:c>
      <x:c r="J290" s="9" t="str">
        <x:v>1. 进入运营账号主页
2. 查看名称</x:v>
      </x:c>
      <x:c r="K290" s="9" t="str">
        <x:v>名称显示“运营甲”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来源（当前证据）：liveshow-proto/MainBasis/统一需求文档.md；位置：行2310
2. 规则：BR-a52f3e248073e286
3. 未动态验证
4. 数据别名：甲、乙、丙用于区分本条测试对象；按前置条件准备并记录实际账号或记录 ID，不是固定业务名称。</x:v>
      </x:c>
    </x:row>
    <x:row r="291" ht="70" customHeight="1">
      <x:c r="A291" s="10" t="n">
        <x:v>290</x:v>
      </x:c>
      <x:c r="B291" s="10" t="str">
        <x:v>GUILD-03-0046</x:v>
      </x:c>
      <x:c r="C291" s="10" t="str">
        <x:v>运营工具</x:v>
      </x:c>
      <x:c r="D291" s="10" t="str">
        <x:v>运营账号主页（公会长视角）</x:v>
      </x:c>
      <x:c r="E291" s="10" t="str">
        <x:v>功能需求</x:v>
      </x:c>
      <x:c r="F291" s="10" t="str">
        <x:v>P2</x:v>
      </x:c>
      <x:c r="G291" s="9" t="str">
        <x:v>验证运营账号主页读取账号ID</x:v>
      </x:c>
      <x:c r="H291" s="9" t="str">
        <x:v>账号ID回显</x:v>
      </x:c>
      <x:c r="I291" s="9" t="str">
        <x:v>1. 执行角色为公会长
2. 当前运营账号的账号ID为“300001”</x:v>
      </x:c>
      <x:c r="J291" s="9" t="str">
        <x:v>1. 进入运营账号主页
2. 查看账号ID</x:v>
      </x:c>
      <x:c r="K291" s="9" t="str">
        <x:v>账号ID显示“300001”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来源（当前证据）：liveshow-proto/MainBasis/统一需求文档.md；位置：行2310
2. 规则：BR-2ac1b9cd13fee984
3. 未动态验证</x:v>
      </x:c>
    </x:row>
    <x:row r="292" ht="70" customHeight="1">
      <x:c r="A292" s="10" t="n">
        <x:v>291</x:v>
      </x:c>
      <x:c r="B292" s="10" t="str">
        <x:v>GUILD-03-0047</x:v>
      </x:c>
      <x:c r="C292" s="10" t="str">
        <x:v>运营工具</x:v>
      </x:c>
      <x:c r="D292" s="10" t="str">
        <x:v>运营账号主页（公会长视角）</x:v>
      </x:c>
      <x:c r="E292" s="10" t="str">
        <x:v>功能需求</x:v>
      </x:c>
      <x:c r="F292" s="10" t="str">
        <x:v>P2</x:v>
      </x:c>
      <x:c r="G292" s="9" t="str">
        <x:v>验证运营账号主页读取启用状态</x:v>
      </x:c>
      <x:c r="H292" s="9" t="str">
        <x:v>启用状态回显</x:v>
      </x:c>
      <x:c r="I292" s="9" t="str">
        <x:v>1. 执行角色为公会长
2. 当前运营账号自身状态的启用状态为“禁用”</x:v>
      </x:c>
      <x:c r="J292" s="9" t="str">
        <x:v>1. 进入运营账号主页
2. 查看启用状态</x:v>
      </x:c>
      <x:c r="K292" s="9" t="str">
        <x:v>启用状态显示“禁用”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来源（当前证据）：liveshow-proto/MainBasis/统一需求文档.md；位置：行2311
2. 规则：BR-0b42a4fa14e89c29
3. 未动态验证</x:v>
      </x:c>
    </x:row>
    <x:row r="293" ht="130" customHeight="1">
      <x:c r="A293" s="10" t="n">
        <x:v>292</x:v>
      </x:c>
      <x:c r="B293" s="10" t="str">
        <x:v>GUILD-03-0048</x:v>
      </x:c>
      <x:c r="C293" s="10" t="str">
        <x:v>运营工具</x:v>
      </x:c>
      <x:c r="D293" s="10" t="str">
        <x:v>运营账号主页（公会长视角）</x:v>
      </x:c>
      <x:c r="E293" s="10" t="str">
        <x:v>业务流程</x:v>
      </x:c>
      <x:c r="F293" s="10" t="str">
        <x:v>P1</x:v>
      </x:c>
      <x:c r="G293" s="9" t="str">
        <x:v>验证平台锁定时不能发放金币</x:v>
      </x:c>
      <x:c r="H293" s="9" t="str">
        <x:v>虚拟金币管理锁定</x:v>
      </x:c>
      <x:c r="I293" s="9" t="str">
        <x:v>1. 执行角色为公会长
2. 账号甲启用，平台已锁定公会管理权限</x:v>
      </x:c>
      <x:c r="J293" s="9" t="str">
        <x:v>1. 进入运营账号甲主页</x:v>
      </x:c>
      <x:c r="K293" s="9" t="str">
        <x:v>不提供可执行的金币发放操作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来源（当前证据）：liveshow-proto/MainBasis/统一需求文档.md；位置：行2312、行2324
2. 规则：BR-c7eb6c53b8a0dd98
3. 未动态验证
4. 数据别名：甲、乙、丙用于区分本条测试对象；按前置条件准备并记录实际账号或记录 ID，不是固定业务名称。</x:v>
      </x:c>
    </x:row>
    <x:row r="294" ht="115" customHeight="1">
      <x:c r="A294" s="10" t="n">
        <x:v>293</x:v>
      </x:c>
      <x:c r="B294" s="10" t="str">
        <x:v>GUILD-03-0049</x:v>
      </x:c>
      <x:c r="C294" s="10" t="str">
        <x:v>运营工具</x:v>
      </x:c>
      <x:c r="D294" s="10" t="str">
        <x:v>运营账号主页（公会长视角）</x:v>
      </x:c>
      <x:c r="E294" s="10" t="str">
        <x:v>逻辑校验</x:v>
      </x:c>
      <x:c r="F294" s="10" t="str">
        <x:v>P1</x:v>
      </x:c>
      <x:c r="G294" s="9" t="str">
        <x:v>验证运营账号主页包含开始日记录</x:v>
      </x:c>
      <x:c r="H294" s="9" t="str">
        <x:v>开始日边界包含</x:v>
      </x:c>
      <x:c r="I294" s="9" t="str">
        <x:v>1. 执行角色为公会长
2. 准备本页有效记录甲，统计日期为2026年9月1日；记录乙在9月4日，其他筛选条件均满足</x:v>
      </x:c>
      <x:c r="J294" s="9" t="str">
        <x:v>1. 进入运营账号主页
2. 选择自定义日期2026年9月1日至3日
3. 查看结果</x:v>
      </x:c>
      <x:c r="K294" s="9" t="str">
        <x:v>结果包含甲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来源（当前证据）：liveshow-proto/MainBasis/统一需求文档.md；位置：行2313
2. 规则：BR-f98e95c708b3625e
3. 未动态验证
4. 数据别名：甲、乙、丙用于区分本条测试对象；按前置条件准备并记录实际账号或记录 ID，不是固定业务名称。</x:v>
      </x:c>
    </x:row>
    <x:row r="295" ht="115" customHeight="1">
      <x:c r="A295" s="10" t="n">
        <x:v>294</x:v>
      </x:c>
      <x:c r="B295" s="10" t="str">
        <x:v>GUILD-03-0050</x:v>
      </x:c>
      <x:c r="C295" s="10" t="str">
        <x:v>运营工具</x:v>
      </x:c>
      <x:c r="D295" s="10" t="str">
        <x:v>运营账号主页（公会长视角）</x:v>
      </x:c>
      <x:c r="E295" s="10" t="str">
        <x:v>逻辑校验</x:v>
      </x:c>
      <x:c r="F295" s="10" t="str">
        <x:v>P1</x:v>
      </x:c>
      <x:c r="G295" s="9" t="str">
        <x:v>验证运营账号主页包含结束日记录</x:v>
      </x:c>
      <x:c r="H295" s="9" t="str">
        <x:v>结束日边界包含</x:v>
      </x:c>
      <x:c r="I295" s="9" t="str">
        <x:v>1. 执行角色为公会长
2. 准备本页有效记录甲，统计日期为2026年9月3日；记录乙在9月4日，其他筛选条件均满足</x:v>
      </x:c>
      <x:c r="J295" s="9" t="str">
        <x:v>1. 进入运营账号主页
2. 选择自定义日期2026年9月1日至3日
3. 查看结果</x:v>
      </x:c>
      <x:c r="K295" s="9" t="str">
        <x:v>结果包含甲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来源（当前证据）：liveshow-proto/MainBasis/统一需求文档.md；位置：行2313
2. 规则：BR-2cfd8698e9047372
3. 未动态验证
4. 数据别名：甲、乙、丙用于区分本条测试对象；按前置条件准备并记录实际账号或记录 ID，不是固定业务名称。</x:v>
      </x:c>
    </x:row>
    <x:row r="296" ht="115" customHeight="1">
      <x:c r="A296" s="10" t="n">
        <x:v>295</x:v>
      </x:c>
      <x:c r="B296" s="10" t="str">
        <x:v>GUILD-03-0051</x:v>
      </x:c>
      <x:c r="C296" s="10" t="str">
        <x:v>运营工具</x:v>
      </x:c>
      <x:c r="D296" s="10" t="str">
        <x:v>运营账号主页（公会长视角）</x:v>
      </x:c>
      <x:c r="E296" s="10" t="str">
        <x:v>功能需求</x:v>
      </x:c>
      <x:c r="F296" s="10" t="str">
        <x:v>P2</x:v>
      </x:c>
      <x:c r="G296" s="9" t="str">
        <x:v>验证运营账号主页选择今日范围</x:v>
      </x:c>
      <x:c r="H296" s="9" t="str">
        <x:v>今日筛选切换</x:v>
      </x:c>
      <x:c r="I296" s="9" t="str">
        <x:v>1. 执行角色为公会长
2. 准备两笔记录：甲的本页统计时间在本次今日内；乙在范围外；主体均属于当前公会</x:v>
      </x:c>
      <x:c r="J296" s="9" t="str">
        <x:v>1. 进入运营账号主页
2. 选择今日
3. 查看列表</x:v>
      </x:c>
      <x:c r="K296" s="9" t="str">
        <x:v>列表包含甲且排除乙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来源（当前证据）：liveshow-proto/MainBasis/统一需求文档.md；位置：行2314
2. 规则：BR-0e8ae678d3370096
3. 未动态验证
4. 数据别名：甲、乙、丙用于区分本条测试对象；按前置条件准备并记录实际账号或记录 ID，不是固定业务名称。</x:v>
      </x:c>
    </x:row>
    <x:row r="297" ht="115" customHeight="1">
      <x:c r="A297" s="10" t="n">
        <x:v>296</x:v>
      </x:c>
      <x:c r="B297" s="10" t="str">
        <x:v>GUILD-03-0052</x:v>
      </x:c>
      <x:c r="C297" s="10" t="str">
        <x:v>运营工具</x:v>
      </x:c>
      <x:c r="D297" s="10" t="str">
        <x:v>运营账号主页（公会长视角）</x:v>
      </x:c>
      <x:c r="E297" s="10" t="str">
        <x:v>功能需求</x:v>
      </x:c>
      <x:c r="F297" s="10" t="str">
        <x:v>P2</x:v>
      </x:c>
      <x:c r="G297" s="9" t="str">
        <x:v>验证运营账号主页选择昨日范围</x:v>
      </x:c>
      <x:c r="H297" s="9" t="str">
        <x:v>昨日筛选切换</x:v>
      </x:c>
      <x:c r="I297" s="9" t="str">
        <x:v>1. 执行角色为公会长
2. 准备两笔记录：甲的本页统计时间在本次昨日内；乙在范围外；主体均属于当前公会</x:v>
      </x:c>
      <x:c r="J297" s="9" t="str">
        <x:v>1. 进入运营账号主页
2. 选择昨日
3. 查看列表</x:v>
      </x:c>
      <x:c r="K297" s="9" t="str">
        <x:v>列表包含甲且排除乙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来源（当前证据）：liveshow-proto/MainBasis/统一需求文档.md；位置：行2314
2. 规则：BR-709ed9235eee88f7
3. 未动态验证
4. 数据别名：甲、乙、丙用于区分本条测试对象；按前置条件准备并记录实际账号或记录 ID，不是固定业务名称。</x:v>
      </x:c>
    </x:row>
    <x:row r="298" ht="115" customHeight="1">
      <x:c r="A298" s="10" t="n">
        <x:v>297</x:v>
      </x:c>
      <x:c r="B298" s="10" t="str">
        <x:v>GUILD-03-0053</x:v>
      </x:c>
      <x:c r="C298" s="10" t="str">
        <x:v>运营工具</x:v>
      </x:c>
      <x:c r="D298" s="10" t="str">
        <x:v>运营账号主页（公会长视角）</x:v>
      </x:c>
      <x:c r="E298" s="10" t="str">
        <x:v>功能需求</x:v>
      </x:c>
      <x:c r="F298" s="10" t="str">
        <x:v>P2</x:v>
      </x:c>
      <x:c r="G298" s="9" t="str">
        <x:v>验证运营账号主页选择本周范围</x:v>
      </x:c>
      <x:c r="H298" s="9" t="str">
        <x:v>本周筛选切换</x:v>
      </x:c>
      <x:c r="I298" s="9" t="str">
        <x:v>1. 执行角色为公会长
2. 准备两笔记录：甲的本页统计时间在本次本周内；乙在范围外；主体均属于当前公会</x:v>
      </x:c>
      <x:c r="J298" s="9" t="str">
        <x:v>1. 进入运营账号主页
2. 选择本周
3. 查看列表</x:v>
      </x:c>
      <x:c r="K298" s="9" t="str">
        <x:v>列表包含甲且排除乙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来源（当前证据）：liveshow-proto/MainBasis/统一需求文档.md；位置：行2314
2. 规则：BR-c285ec0973b3cc29
3. 未动态验证
4. 数据别名：甲、乙、丙用于区分本条测试对象；按前置条件准备并记录实际账号或记录 ID，不是固定业务名称。</x:v>
      </x:c>
    </x:row>
    <x:row r="299" ht="115" customHeight="1">
      <x:c r="A299" s="10" t="n">
        <x:v>298</x:v>
      </x:c>
      <x:c r="B299" s="10" t="str">
        <x:v>GUILD-03-0054</x:v>
      </x:c>
      <x:c r="C299" s="10" t="str">
        <x:v>运营工具</x:v>
      </x:c>
      <x:c r="D299" s="10" t="str">
        <x:v>运营账号主页（公会长视角）</x:v>
      </x:c>
      <x:c r="E299" s="10" t="str">
        <x:v>功能需求</x:v>
      </x:c>
      <x:c r="F299" s="10" t="str">
        <x:v>P2</x:v>
      </x:c>
      <x:c r="G299" s="9" t="str">
        <x:v>验证运营账号主页选择上周范围</x:v>
      </x:c>
      <x:c r="H299" s="9" t="str">
        <x:v>上周筛选切换</x:v>
      </x:c>
      <x:c r="I299" s="9" t="str">
        <x:v>1. 执行角色为公会长
2. 准备两笔记录：甲的本页统计时间在本次上周内；乙在范围外；主体均属于当前公会</x:v>
      </x:c>
      <x:c r="J299" s="9" t="str">
        <x:v>1. 进入运营账号主页
2. 选择上周
3. 查看列表</x:v>
      </x:c>
      <x:c r="K299" s="9" t="str">
        <x:v>列表包含甲且排除乙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来源（当前证据）：liveshow-proto/MainBasis/统一需求文档.md；位置：行2314
2. 规则：BR-68558edd80fde9c9
3. 未动态验证
4. 数据别名：甲、乙、丙用于区分本条测试对象；按前置条件准备并记录实际账号或记录 ID，不是固定业务名称。</x:v>
      </x:c>
    </x:row>
    <x:row r="300" ht="115" customHeight="1">
      <x:c r="A300" s="10" t="n">
        <x:v>299</x:v>
      </x:c>
      <x:c r="B300" s="10" t="str">
        <x:v>GUILD-03-0055</x:v>
      </x:c>
      <x:c r="C300" s="10" t="str">
        <x:v>运营工具</x:v>
      </x:c>
      <x:c r="D300" s="10" t="str">
        <x:v>运营账号主页（公会长视角）</x:v>
      </x:c>
      <x:c r="E300" s="10" t="str">
        <x:v>功能需求</x:v>
      </x:c>
      <x:c r="F300" s="10" t="str">
        <x:v>P2</x:v>
      </x:c>
      <x:c r="G300" s="9" t="str">
        <x:v>验证运营账号主页选择本月范围</x:v>
      </x:c>
      <x:c r="H300" s="9" t="str">
        <x:v>本月筛选切换</x:v>
      </x:c>
      <x:c r="I300" s="9" t="str">
        <x:v>1. 执行角色为公会长
2. 准备两笔记录：甲的本页统计时间在本次本月内；乙在范围外；主体均属于当前公会</x:v>
      </x:c>
      <x:c r="J300" s="9" t="str">
        <x:v>1. 进入运营账号主页
2. 选择本月
3. 查看列表</x:v>
      </x:c>
      <x:c r="K300" s="9" t="str">
        <x:v>列表包含甲且排除乙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来源（当前证据）：liveshow-proto/MainBasis/统一需求文档.md；位置：行2314
2. 规则：BR-5466e15c4b3ac25c
3. 未动态验证
4. 数据别名：甲、乙、丙用于区分本条测试对象；按前置条件准备并记录实际账号或记录 ID，不是固定业务名称。</x:v>
      </x:c>
    </x:row>
    <x:row r="301" ht="115" customHeight="1">
      <x:c r="A301" s="10" t="n">
        <x:v>300</x:v>
      </x:c>
      <x:c r="B301" s="10" t="str">
        <x:v>GUILD-03-0056</x:v>
      </x:c>
      <x:c r="C301" s="10" t="str">
        <x:v>运营工具</x:v>
      </x:c>
      <x:c r="D301" s="10" t="str">
        <x:v>运营账号主页（公会长视角）</x:v>
      </x:c>
      <x:c r="E301" s="10" t="str">
        <x:v>功能需求</x:v>
      </x:c>
      <x:c r="F301" s="10" t="str">
        <x:v>P2</x:v>
      </x:c>
      <x:c r="G301" s="9" t="str">
        <x:v>验证运营账号主页选择上月范围</x:v>
      </x:c>
      <x:c r="H301" s="9" t="str">
        <x:v>上月筛选切换</x:v>
      </x:c>
      <x:c r="I301" s="9" t="str">
        <x:v>1. 执行角色为公会长
2. 准备两笔记录：甲的本页统计时间在本次上月内；乙在范围外；主体均属于当前公会</x:v>
      </x:c>
      <x:c r="J301" s="9" t="str">
        <x:v>1. 进入运营账号主页
2. 选择上月
3. 查看列表</x:v>
      </x:c>
      <x:c r="K301" s="9" t="str">
        <x:v>列表包含甲且排除乙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来源（当前证据）：liveshow-proto/MainBasis/统一需求文档.md；位置：行2314
2. 规则：BR-f26e6511cd46fc38
3. 未动态验证
4. 数据别名：甲、乙、丙用于区分本条测试对象；按前置条件准备并记录实际账号或记录 ID，不是固定业务名称。</x:v>
      </x:c>
    </x:row>
    <x:row r="302" ht="115" customHeight="1">
      <x:c r="A302" s="10" t="n">
        <x:v>301</x:v>
      </x:c>
      <x:c r="B302" s="10" t="str">
        <x:v>GUILD-03-0057</x:v>
      </x:c>
      <x:c r="C302" s="10" t="str">
        <x:v>运营工具</x:v>
      </x:c>
      <x:c r="D302" s="10" t="str">
        <x:v>运营账号主页（公会长视角）</x:v>
      </x:c>
      <x:c r="E302" s="10" t="str">
        <x:v>功能需求</x:v>
      </x:c>
      <x:c r="F302" s="10" t="str">
        <x:v>P2</x:v>
      </x:c>
      <x:c r="G302" s="9" t="str">
        <x:v>验证运营账号主页选择自定义范围</x:v>
      </x:c>
      <x:c r="H302" s="9" t="str">
        <x:v>自定义筛选切换</x:v>
      </x:c>
      <x:c r="I302" s="9" t="str">
        <x:v>1. 执行角色为公会长
2. 准备两笔记录：甲的本页统计时间在9月1日至9月3日内；乙在范围外；主体均属于当前公会</x:v>
      </x:c>
      <x:c r="J302" s="9" t="str">
        <x:v>1. 进入运营账号主页
2. 选择自定义9月1日至9月3日
3. 查看列表</x:v>
      </x:c>
      <x:c r="K302" s="9" t="str">
        <x:v>列表包含甲且排除乙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来源（当前证据）：liveshow-proto/MainBasis/统一需求文档.md；位置：行2314
2. 规则：BR-1bf6a43d4f86fc3b
3. 未动态验证
4. 数据别名：甲、乙、丙用于区分本条测试对象；按前置条件准备并记录实际账号或记录 ID，不是固定业务名称。</x:v>
      </x:c>
    </x:row>
    <x:row r="303" ht="115" customHeight="1">
      <x:c r="A303" s="10" t="n">
        <x:v>302</x:v>
      </x:c>
      <x:c r="B303" s="10" t="str">
        <x:v>GUILD-03-0058</x:v>
      </x:c>
      <x:c r="C303" s="10" t="str">
        <x:v>运营工具</x:v>
      </x:c>
      <x:c r="D303" s="10" t="str">
        <x:v>运营账号主页（公会长视角）</x:v>
      </x:c>
      <x:c r="E303" s="10" t="str">
        <x:v>功能需求</x:v>
      </x:c>
      <x:c r="F303" s="10" t="str">
        <x:v>P2</x:v>
      </x:c>
      <x:c r="G303" s="9" t="str">
        <x:v>验证运营日期行进入对应送礼记录</x:v>
      </x:c>
      <x:c r="H303" s="9" t="str">
        <x:v>运营日期参数传递</x:v>
      </x:c>
      <x:c r="I303" s="9" t="str">
        <x:v>1. 执行角色为公会长
2. 当前账号甲在9月1日和2日都有成功虚拟送礼</x:v>
      </x:c>
      <x:c r="J303" s="9" t="str">
        <x:v>1. 进入甲运营账号主页
2. 点击9月1日行</x:v>
      </x:c>
      <x:c r="K303" s="9" t="str">
        <x:v>送礼记录定位甲账号9月1日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来源（当前证据）：liveshow-proto/MainBasis/统一需求文档.md；位置：行2315
2. 规则：BR-59b8fc1c6fcc5d47
3. 未动态验证
4. 数据别名：甲、乙、丙用于区分本条测试对象；按前置条件准备并记录实际账号或记录 ID，不是固定业务名称。</x:v>
      </x:c>
    </x:row>
    <x:row r="304" ht="85" customHeight="1">
      <x:c r="A304" s="10" t="n">
        <x:v>303</x:v>
      </x:c>
      <x:c r="B304" s="10" t="str">
        <x:v>GUILD-03-0059</x:v>
      </x:c>
      <x:c r="C304" s="10" t="str">
        <x:v>运营工具</x:v>
      </x:c>
      <x:c r="D304" s="10" t="str">
        <x:v>运营账号主页（公会长视角）</x:v>
      </x:c>
      <x:c r="E304" s="10" t="str">
        <x:v>逻辑校验</x:v>
      </x:c>
      <x:c r="F304" s="10" t="str">
        <x:v>P1</x:v>
      </x:c>
      <x:c r="G304" s="9" t="str">
        <x:v>验证发放99金币与100上限</x:v>
      </x:c>
      <x:c r="H304" s="9" t="str">
        <x:v>单次虚拟金币发放上限</x:v>
      </x:c>
      <x:c r="I304" s="9" t="str">
        <x:v>1. 执行角色为公会长
2. 账号和公会剩余额度较小值为100；账号启用且未锁定；原余额0</x:v>
      </x:c>
      <x:c r="J304" s="9" t="str">
        <x:v>1. 进入运营账号主页
2. 输入发放数量99
3. 点击发放
4. 点击确认</x:v>
      </x:c>
      <x:c r="K304" s="9" t="str">
        <x:v>余额增加至99虚拟金币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来源（当前证据）：liveshow-proto/MainBasis/统一需求文档.md；位置：行2317、行2325、行2326
2. 规则：BR-d5fc657846a93249
3. 未动态验证</x:v>
      </x:c>
    </x:row>
    <x:row r="305" ht="115" customHeight="1">
      <x:c r="A305" s="10" t="n">
        <x:v>304</x:v>
      </x:c>
      <x:c r="B305" s="10" t="str">
        <x:v>GUILD-03-0060</x:v>
      </x:c>
      <x:c r="C305" s="10" t="str">
        <x:v>运营工具</x:v>
      </x:c>
      <x:c r="D305" s="10" t="str">
        <x:v>运营账号主页（公会长视角）</x:v>
      </x:c>
      <x:c r="E305" s="10" t="str">
        <x:v>逻辑校验</x:v>
      </x:c>
      <x:c r="F305" s="10" t="str">
        <x:v>P1</x:v>
      </x:c>
      <x:c r="G305" s="9" t="str">
        <x:v>验证发放100金币与100上限</x:v>
      </x:c>
      <x:c r="H305" s="9" t="str">
        <x:v>单次虚拟金币发放上限</x:v>
      </x:c>
      <x:c r="I305" s="9" t="str">
        <x:v>1. 执行角色为公会长
2. 账号和公会剩余额度较小值为100；账号启用且未锁定；原余额0</x:v>
      </x:c>
      <x:c r="J305" s="9" t="str">
        <x:v>1. 进入运营账号主页
2. 输入发放数量100
3. 点击发放
4. 点击确认</x:v>
      </x:c>
      <x:c r="K305" s="9" t="str">
        <x:v>余额增加至100虚拟金币</x:v>
      </x:c>
      <x:c r="L305" s="10" t="str">
        <x:v>FLOW-VIRTUAL-ISSUE</x:v>
      </x:c>
      <x:c r="M305" s="10" t="str">
        <x:v>未测</x:v>
      </x:c>
      <x:c r="N305" s="10" t="str"/>
      <x:c r="O305" s="9" t="str">
        <x:v>1. 来源（当前证据）：liveshow-proto/MainBasis/统一需求文档.md；位置：行2317、行2325、行2326
2. 规则：BR-e1fa557f81dea4eb
3. 未动态验证
4. 状态转换：ST-VIRTUAL-ISSUE；按同一业务对象的数据别名准备对应上下游记录</x:v>
      </x:c>
    </x:row>
    <x:row r="306" ht="85" customHeight="1">
      <x:c r="A306" s="10" t="n">
        <x:v>305</x:v>
      </x:c>
      <x:c r="B306" s="10" t="str">
        <x:v>GUILD-03-0061</x:v>
      </x:c>
      <x:c r="C306" s="10" t="str">
        <x:v>运营工具</x:v>
      </x:c>
      <x:c r="D306" s="10" t="str">
        <x:v>运营账号主页（公会长视角）</x:v>
      </x:c>
      <x:c r="E306" s="10" t="str">
        <x:v>逻辑校验</x:v>
      </x:c>
      <x:c r="F306" s="10" t="str">
        <x:v>P1</x:v>
      </x:c>
      <x:c r="G306" s="9" t="str">
        <x:v>验证发放101金币与100上限</x:v>
      </x:c>
      <x:c r="H306" s="9" t="str">
        <x:v>单次虚拟金币发放上限</x:v>
      </x:c>
      <x:c r="I306" s="9" t="str">
        <x:v>1. 执行角色为公会长
2. 账号和公会剩余额度较小值为100；账号启用且未锁定；原余额0</x:v>
      </x:c>
      <x:c r="J306" s="9" t="str">
        <x:v>1. 进入运营账号主页
2. 输入发放数量101
3. 点击发放
4. 点击确认</x:v>
      </x:c>
      <x:c r="K306" s="9" t="str">
        <x:v>不接受超过100金币上限的发放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来源（当前证据）：liveshow-proto/MainBasis/统一需求文档.md；位置：行2317、行2325、行2326
2. 规则：BR-f00a2c7409de87df
3. 未动态验证</x:v>
      </x:c>
    </x:row>
    <x:row r="307" ht="70" customHeight="1">
      <x:c r="A307" s="10" t="n">
        <x:v>306</x:v>
      </x:c>
      <x:c r="B307" s="10" t="str">
        <x:v>GUILD-03-0062</x:v>
      </x:c>
      <x:c r="C307" s="10" t="str">
        <x:v>运营工具</x:v>
      </x:c>
      <x:c r="D307" s="10" t="str">
        <x:v>运营账号主页（公会长视角）</x:v>
      </x:c>
      <x:c r="E307" s="10" t="str">
        <x:v>逻辑校验</x:v>
      </x:c>
      <x:c r="F307" s="10" t="str">
        <x:v>P1</x:v>
      </x:c>
      <x:c r="G307" s="9" t="str">
        <x:v>验证运营账号余额扣成功消费</x:v>
      </x:c>
      <x:c r="H307" s="9" t="str">
        <x:v>虚拟余额</x:v>
      </x:c>
      <x:c r="I307" s="9" t="str">
        <x:v>1. 执行角色为公会长
2. 历史成功发放1000虚拟金币；成功消费300；另有失败消费200未扣账</x:v>
      </x:c>
      <x:c r="J307" s="9" t="str">
        <x:v>1. 进入运营账号主页</x:v>
      </x:c>
      <x:c r="K307" s="9" t="str">
        <x:v>账户余额计算为1000-300=700金币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来源（当前证据）：liveshow-proto/MainBasis/统一需求文档.md；位置：行2318
2. 规则：BR-75e36f1e7e1ad2bf
3. 未动态验证</x:v>
      </x:c>
    </x:row>
    <x:row r="308" ht="70" customHeight="1">
      <x:c r="A308" s="10" t="n">
        <x:v>307</x:v>
      </x:c>
      <x:c r="B308" s="10" t="str">
        <x:v>GUILD-03-0063</x:v>
      </x:c>
      <x:c r="C308" s="10" t="str">
        <x:v>运营工具</x:v>
      </x:c>
      <x:c r="D308" s="10" t="str">
        <x:v>运营账号主页（公会长视角）</x:v>
      </x:c>
      <x:c r="E308" s="10" t="str">
        <x:v>逻辑校验</x:v>
      </x:c>
      <x:c r="F308" s="10" t="str">
        <x:v>P1</x:v>
      </x:c>
      <x:c r="G308" s="9" t="str">
        <x:v>验证运营账号主页累计消费按当前对象求和</x:v>
      </x:c>
      <x:c r="H308" s="9" t="str">
        <x:v>累计消费计算范围</x:v>
      </x:c>
      <x:c r="I308" s="9" t="str">
        <x:v>1. 执行角色为公会长
2. 当前运营账号上月成功消费100、本月200；其他账号500不计入</x:v>
      </x:c>
      <x:c r="J308" s="9" t="str">
        <x:v>1. 进入运营账号主页
2. 查看前置条件指定对象及范围的累计消费</x:v>
      </x:c>
      <x:c r="K308" s="9" t="str">
        <x:v>累计消费按100+200计算=300虚拟金币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来源（当前证据）：liveshow-proto/MainBasis/统一需求文档.md；位置：行2319
2. 规则：BR-661c6f2c9b502758
3. 未动态验证</x:v>
      </x:c>
    </x:row>
    <x:row r="309" ht="70" customHeight="1">
      <x:c r="A309" s="10" t="n">
        <x:v>308</x:v>
      </x:c>
      <x:c r="B309" s="10" t="str">
        <x:v>GUILD-03-0064</x:v>
      </x:c>
      <x:c r="C309" s="10" t="str">
        <x:v>运营工具</x:v>
      </x:c>
      <x:c r="D309" s="10" t="str">
        <x:v>运营账号主页（公会长视角）</x:v>
      </x:c>
      <x:c r="E309" s="10" t="str">
        <x:v>逻辑校验</x:v>
      </x:c>
      <x:c r="F309" s="10" t="str">
        <x:v>P1</x:v>
      </x:c>
      <x:c r="G309" s="9" t="str">
        <x:v>验证运营账号主页本月发放按当前对象求和</x:v>
      </x:c>
      <x:c r="H309" s="9" t="str">
        <x:v>本月发放计算范围</x:v>
      </x:c>
      <x:c r="I309" s="9" t="str">
        <x:v>1. 执行角色为公会长
2. 当前运营账号本月成功收到两笔发放100、200；上月500不计入</x:v>
      </x:c>
      <x:c r="J309" s="9" t="str">
        <x:v>1. 进入运营账号主页
2. 查看前置条件指定对象及范围的本月发放</x:v>
      </x:c>
      <x:c r="K309" s="9" t="str">
        <x:v>本月发放按100+200计算=300虚拟金币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来源（当前证据）：liveshow-proto/MainBasis/统一需求文档.md；位置：行2320
2. 规则：BR-54999943e4d90ef5
3. 未动态验证</x:v>
      </x:c>
    </x:row>
    <x:row r="310" ht="70" customHeight="1">
      <x:c r="A310" s="10" t="n">
        <x:v>309</x:v>
      </x:c>
      <x:c r="B310" s="10" t="str">
        <x:v>GUILD-03-0065</x:v>
      </x:c>
      <x:c r="C310" s="10" t="str">
        <x:v>运营工具</x:v>
      </x:c>
      <x:c r="D310" s="10" t="str">
        <x:v>运营账号主页（公会长视角）</x:v>
      </x:c>
      <x:c r="E310" s="10" t="str">
        <x:v>逻辑校验</x:v>
      </x:c>
      <x:c r="F310" s="10" t="str">
        <x:v>P1</x:v>
      </x:c>
      <x:c r="G310" s="9" t="str">
        <x:v>验证运营账号主页本月消费按当前对象求和</x:v>
      </x:c>
      <x:c r="H310" s="9" t="str">
        <x:v>本月消费计算范围</x:v>
      </x:c>
      <x:c r="I310" s="9" t="str">
        <x:v>1. 执行角色为公会长
2. 当前运营账号本月成功普通赠礼100、定制赠礼200；上月500不计入</x:v>
      </x:c>
      <x:c r="J310" s="9" t="str">
        <x:v>1. 进入运营账号主页
2. 查看前置条件指定对象及范围的本月消费</x:v>
      </x:c>
      <x:c r="K310" s="9" t="str">
        <x:v>本月消费按100+200计算=300虚拟金币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来源（当前证据）：liveshow-proto/MainBasis/统一需求文档.md；位置：行2321
2. 规则：BR-1ffc4d8132060ca8
3. 未动态验证</x:v>
      </x:c>
    </x:row>
    <x:row r="311" ht="145" customHeight="1">
      <x:c r="A311" s="10" t="n">
        <x:v>310</x:v>
      </x:c>
      <x:c r="B311" s="10" t="str">
        <x:v>GUILD-03-0066</x:v>
      </x:c>
      <x:c r="C311" s="10" t="str">
        <x:v>运营工具</x:v>
      </x:c>
      <x:c r="D311" s="10" t="str">
        <x:v>运营账号主页（公会长视角）</x:v>
      </x:c>
      <x:c r="E311" s="10" t="str">
        <x:v>业务流程</x:v>
      </x:c>
      <x:c r="F311" s="10" t="str">
        <x:v>P1</x:v>
      </x:c>
      <x:c r="G311" s="9" t="str">
        <x:v>验证禁用运营号保留余额</x:v>
      </x:c>
      <x:c r="H311" s="9" t="str">
        <x:v>运营停用资产保留</x:v>
      </x:c>
      <x:c r="I311" s="9" t="str">
        <x:v>1. 执行角色为公会长
2. 账号甲虚拟余额100，管理未锁定</x:v>
      </x:c>
      <x:c r="J311" s="9" t="str">
        <x:v>1. 进入运营账号甲主页
2. 禁用账号
3. 点击确认</x:v>
      </x:c>
      <x:c r="K311" s="9" t="str">
        <x:v>账号甲虚拟余额仍为100</x:v>
      </x:c>
      <x:c r="L311" s="10" t="str">
        <x:v>FLOW-OP-STOP</x:v>
      </x:c>
      <x:c r="M311" s="10" t="str">
        <x:v>未测</x:v>
      </x:c>
      <x:c r="N311" s="10" t="str"/>
      <x:c r="O311" s="9" t="str">
        <x:v>1. 来源（当前证据）：liveshow-proto/MainBasis/统一需求文档.md；位置：行2323
2. 规则：BR-90f4f2f3856bf51e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GUILD-03-0067</x:v>
      </x:c>
      <x:c r="C312" s="10" t="str">
        <x:v>运营工具</x:v>
      </x:c>
      <x:c r="D312" s="10" t="str">
        <x:v>运营账号主页（公会长视角）</x:v>
      </x:c>
      <x:c r="E312" s="10" t="str">
        <x:v>业务流程</x:v>
      </x:c>
      <x:c r="F312" s="10" t="str">
        <x:v>P1</x:v>
      </x:c>
      <x:c r="G312" s="9" t="str">
        <x:v>验证重新启用运营号</x:v>
      </x:c>
      <x:c r="H312" s="9" t="str">
        <x:v>运营账号重新启用</x:v>
      </x:c>
      <x:c r="I312" s="9" t="str">
        <x:v>1. 执行角色为公会长
2. 账号甲禁用；管理未锁定</x:v>
      </x:c>
      <x:c r="J312" s="9" t="str">
        <x:v>1. 进入运营账号甲主页
2. 启用账号
3. 点击确认</x:v>
      </x:c>
      <x:c r="K312" s="9" t="str">
        <x:v>账号甲状态为启用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来源（当前证据）：liveshow-proto/MainBasis/统一需求文档.md；位置：行2323
2. 规则：BR-8076e3397ec9a9c8
3. 未动态验证
4. 数据别名：甲、乙、丙用于区分本条测试对象；按前置条件准备并记录实际账号或记录 ID，不是固定业务名称。</x:v>
      </x:c>
    </x:row>
    <x:row r="313" ht="70" customHeight="1">
      <x:c r="A313" s="10" t="n">
        <x:v>312</x:v>
      </x:c>
      <x:c r="B313" s="10" t="str">
        <x:v>GUILD-03-0068</x:v>
      </x:c>
      <x:c r="C313" s="10" t="str">
        <x:v>运营工具</x:v>
      </x:c>
      <x:c r="D313" s="10" t="str">
        <x:v>运营账号主页（公会长视角）</x:v>
      </x:c>
      <x:c r="E313" s="10" t="str">
        <x:v>逻辑校验</x:v>
      </x:c>
      <x:c r="F313" s="10" t="str">
        <x:v>P1</x:v>
      </x:c>
      <x:c r="G313" s="9" t="str">
        <x:v>验证后续发放取账号较小额度</x:v>
      </x:c>
      <x:c r="H313" s="9" t="str">
        <x:v>后续发放上限</x:v>
      </x:c>
      <x:c r="I313" s="9" t="str">
        <x:v>1. 执行角色为公会长
2. 账号月剩余50，公会月剩余200</x:v>
      </x:c>
      <x:c r="J313" s="9" t="str">
        <x:v>1. 进入运营账号主页
2. 打开发放金币</x:v>
      </x:c>
      <x:c r="K313" s="9" t="str">
        <x:v>可发上限计算为min(50,200)=50金币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来源（当前证据）：liveshow-proto/MainBasis/统一需求文档.md；位置：行2325
2. 规则：BR-ec2c1dfdf42838e1
3. 未动态验证</x:v>
      </x:c>
    </x:row>
    <x:row r="314" ht="115" customHeight="1">
      <x:c r="A314" s="10" t="n">
        <x:v>313</x:v>
      </x:c>
      <x:c r="B314" s="10" t="str">
        <x:v>GUILD-03-0069</x:v>
      </x:c>
      <x:c r="C314" s="10" t="str">
        <x:v>运营工具</x:v>
      </x:c>
      <x:c r="D314" s="10" t="str">
        <x:v>运营账号主页（公会长视角）</x:v>
      </x:c>
      <x:c r="E314" s="10" t="str">
        <x:v>业务流程</x:v>
      </x:c>
      <x:c r="F314" s="10" t="str">
        <x:v>P1</x:v>
      </x:c>
      <x:c r="G314" s="9" t="str">
        <x:v>验证日期消费带入送礼记录</x:v>
      </x:c>
      <x:c r="H314" s="9" t="str">
        <x:v>运营明细查询传递</x:v>
      </x:c>
      <x:c r="I314" s="9" t="str">
        <x:v>1. 执行角色为公会长
2. 账号甲9月1日有送礼记录</x:v>
      </x:c>
      <x:c r="J314" s="9" t="str">
        <x:v>1. 进入运营账号甲主页
2. 点击9月1日消费</x:v>
      </x:c>
      <x:c r="K314" s="9" t="str">
        <x:v>送礼记录带入账号甲和9月1日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来源（当前证据）：liveshow-proto/MainBasis/统一需求文档.md；位置：行2326
2. 规则：BR-f3acdf0524d68ccf
3. 未动态验证
4. 数据别名：甲、乙、丙用于区分本条测试对象；按前置条件准备并记录实际账号或记录 ID，不是固定业务名称。</x:v>
      </x:c>
    </x:row>
    <x:row r="315" ht="70" customHeight="1">
      <x:c r="A315" s="10" t="n">
        <x:v>314</x:v>
      </x:c>
      <x:c r="B315" s="10" t="str">
        <x:v>GUILD-03-0070</x:v>
      </x:c>
      <x:c r="C315" s="10" t="str">
        <x:v>运营工具</x:v>
      </x:c>
      <x:c r="D315" s="10" t="str">
        <x:v>送礼记录（公会长视角）</x:v>
      </x:c>
      <x:c r="E315" s="10" t="str">
        <x:v>功能需求</x:v>
      </x:c>
      <x:c r="F315" s="10" t="str">
        <x:v>P2</x:v>
      </x:c>
      <x:c r="G315" s="9" t="str">
        <x:v>验证送礼记录读取礼物名称</x:v>
      </x:c>
      <x:c r="H315" s="9" t="str">
        <x:v>礼物名称回显</x:v>
      </x:c>
      <x:c r="I315" s="9" t="str">
        <x:v>1. 执行角色为公会长
2. 该笔成功虚拟赠送的商品快照的礼物名称为“玫瑰”</x:v>
      </x:c>
      <x:c r="J315" s="9" t="str">
        <x:v>1. 进入送礼记录
2. 查看礼物名称</x:v>
      </x:c>
      <x:c r="K315" s="9" t="str">
        <x:v>礼物名称显示“玫瑰”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来源（当前证据）：liveshow-proto/MainBasis/统一需求文档.md；位置：行2333
2. 规则：BR-850d5a54de932f37
3. 未动态验证</x:v>
      </x:c>
    </x:row>
    <x:row r="316" ht="70" customHeight="1">
      <x:c r="A316" s="10" t="n">
        <x:v>315</x:v>
      </x:c>
      <x:c r="B316" s="10" t="str">
        <x:v>GUILD-03-0071</x:v>
      </x:c>
      <x:c r="C316" s="10" t="str">
        <x:v>运营工具</x:v>
      </x:c>
      <x:c r="D316" s="10" t="str">
        <x:v>送礼记录（公会长视角）</x:v>
      </x:c>
      <x:c r="E316" s="10" t="str">
        <x:v>逻辑校验</x:v>
      </x:c>
      <x:c r="F316" s="10" t="str">
        <x:v>P1</x:v>
      </x:c>
      <x:c r="G316" s="9" t="str">
        <x:v>验证虚拟礼物消费按单价乘数量</x:v>
      </x:c>
      <x:c r="H316" s="9" t="str">
        <x:v>单笔虚拟消费</x:v>
      </x:c>
      <x:c r="I316" s="9" t="str">
        <x:v>1. 执行角色为公会长
2. 本笔成功赠送普通礼物单价20虚拟金币，数量3</x:v>
      </x:c>
      <x:c r="J316" s="9" t="str">
        <x:v>1. 进入送礼记录
2. 打开本笔详情</x:v>
      </x:c>
      <x:c r="K316" s="9" t="str">
        <x:v>消费金币计算为20×3=60金币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来源（当前证据）：liveshow-proto/MainBasis/统一需求文档.md；位置：行2334
2. 规则：BR-f9b08afe96f3e08e
3. 未动态验证</x:v>
      </x:c>
    </x:row>
    <x:row r="317" ht="70" customHeight="1">
      <x:c r="A317" s="10" t="n">
        <x:v>316</x:v>
      </x:c>
      <x:c r="B317" s="10" t="str">
        <x:v>GUILD-03-0072</x:v>
      </x:c>
      <x:c r="C317" s="10" t="str">
        <x:v>运营工具</x:v>
      </x:c>
      <x:c r="D317" s="10" t="str">
        <x:v>送礼记录（公会长视角）</x:v>
      </x:c>
      <x:c r="E317" s="10" t="str">
        <x:v>功能需求</x:v>
      </x:c>
      <x:c r="F317" s="10" t="str">
        <x:v>P2</x:v>
      </x:c>
      <x:c r="G317" s="9" t="str">
        <x:v>验证送礼记录读取礼物单价</x:v>
      </x:c>
      <x:c r="H317" s="9" t="str">
        <x:v>礼物单价回显</x:v>
      </x:c>
      <x:c r="I317" s="9" t="str">
        <x:v>1. 执行角色为公会长
2. 该笔成功虚拟赠送的成交快照的礼物单价为“20”</x:v>
      </x:c>
      <x:c r="J317" s="9" t="str">
        <x:v>1. 进入送礼记录
2. 查看礼物单价</x:v>
      </x:c>
      <x:c r="K317" s="9" t="str">
        <x:v>礼物单价显示“20”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来源（当前证据）：liveshow-proto/MainBasis/统一需求文档.md；位置：行2335
2. 规则：BR-ec479c40599c5889
3. 未动态验证</x:v>
      </x:c>
    </x:row>
    <x:row r="318" ht="70" customHeight="1">
      <x:c r="A318" s="10" t="n">
        <x:v>317</x:v>
      </x:c>
      <x:c r="B318" s="10" t="str">
        <x:v>GUILD-03-0073</x:v>
      </x:c>
      <x:c r="C318" s="10" t="str">
        <x:v>运营工具</x:v>
      </x:c>
      <x:c r="D318" s="10" t="str">
        <x:v>送礼记录（公会长视角）</x:v>
      </x:c>
      <x:c r="E318" s="10" t="str">
        <x:v>功能需求</x:v>
      </x:c>
      <x:c r="F318" s="10" t="str">
        <x:v>P2</x:v>
      </x:c>
      <x:c r="G318" s="9" t="str">
        <x:v>验证送礼记录读取礼物类型</x:v>
      </x:c>
      <x:c r="H318" s="9" t="str">
        <x:v>礼物类型回显</x:v>
      </x:c>
      <x:c r="I318" s="9" t="str">
        <x:v>1. 执行角色为公会长
2. 该笔成功虚拟赠送的类型快照的礼物类型为“普通”</x:v>
      </x:c>
      <x:c r="J318" s="9" t="str">
        <x:v>1. 进入送礼记录
2. 查看礼物类型</x:v>
      </x:c>
      <x:c r="K318" s="9" t="str">
        <x:v>礼物类型显示“普通”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来源（当前证据）：liveshow-proto/MainBasis/统一需求文档.md；位置：行2336
2. 规则：BR-b4ea6d6b0846307b
3. 未动态验证</x:v>
      </x:c>
    </x:row>
    <x:row r="319" ht="70" customHeight="1">
      <x:c r="A319" s="10" t="n">
        <x:v>318</x:v>
      </x:c>
      <x:c r="B319" s="10" t="str">
        <x:v>GUILD-03-0074</x:v>
      </x:c>
      <x:c r="C319" s="10" t="str">
        <x:v>运营工具</x:v>
      </x:c>
      <x:c r="D319" s="10" t="str">
        <x:v>送礼记录（公会长视角）</x:v>
      </x:c>
      <x:c r="E319" s="10" t="str">
        <x:v>功能需求</x:v>
      </x:c>
      <x:c r="F319" s="10" t="str">
        <x:v>P2</x:v>
      </x:c>
      <x:c r="G319" s="9" t="str">
        <x:v>验证送礼记录读取赠送数量</x:v>
      </x:c>
      <x:c r="H319" s="9" t="str">
        <x:v>赠送数量回显</x:v>
      </x:c>
      <x:c r="I319" s="9" t="str">
        <x:v>1. 执行角色为公会长
2. 该笔成功虚拟赠送的数量快照的赠送数量为“3”</x:v>
      </x:c>
      <x:c r="J319" s="9" t="str">
        <x:v>1. 进入送礼记录
2. 查看赠送数量</x:v>
      </x:c>
      <x:c r="K319" s="9" t="str">
        <x:v>赠送数量显示“3”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来源（当前证据）：liveshow-proto/MainBasis/统一需求文档.md；位置：行2337
2. 规则：BR-cdf2755eb71dd0bb
3. 未动态验证</x:v>
      </x:c>
    </x:row>
    <x:row r="320" ht="115" customHeight="1">
      <x:c r="A320" s="10" t="n">
        <x:v>319</x:v>
      </x:c>
      <x:c r="B320" s="10" t="str">
        <x:v>GUILD-03-0075</x:v>
      </x:c>
      <x:c r="C320" s="10" t="str">
        <x:v>运营工具</x:v>
      </x:c>
      <x:c r="D320" s="10" t="str">
        <x:v>送礼记录（公会长视角）</x:v>
      </x:c>
      <x:c r="E320" s="10" t="str">
        <x:v>功能需求</x:v>
      </x:c>
      <x:c r="F320" s="10" t="str">
        <x:v>P2</x:v>
      </x:c>
      <x:c r="G320" s="9" t="str">
        <x:v>验证送礼记录读取主播名称</x:v>
      </x:c>
      <x:c r="H320" s="9" t="str">
        <x:v>主播名称回显</x:v>
      </x:c>
      <x:c r="I320" s="9" t="str">
        <x:v>1. 执行角色为公会长
2. 该笔赠礼接收主播快照的主播名称为“主播甲”</x:v>
      </x:c>
      <x:c r="J320" s="9" t="str">
        <x:v>1. 进入送礼记录
2. 查看主播名称</x:v>
      </x:c>
      <x:c r="K320" s="9" t="str">
        <x:v>主播名称显示“主播甲”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来源（当前证据）：liveshow-proto/MainBasis/统一需求文档.md；位置：行2338
2. 规则：BR-5d2b703985da8891
3. 未动态验证
4. 数据别名：甲、乙、丙用于区分本条测试对象；按前置条件准备并记录实际账号或记录 ID，不是固定业务名称。</x:v>
      </x:c>
    </x:row>
    <x:row r="321" ht="70" customHeight="1">
      <x:c r="A321" s="10" t="n">
        <x:v>320</x:v>
      </x:c>
      <x:c r="B321" s="10" t="str">
        <x:v>GUILD-03-0076</x:v>
      </x:c>
      <x:c r="C321" s="10" t="str">
        <x:v>运营工具</x:v>
      </x:c>
      <x:c r="D321" s="10" t="str">
        <x:v>送礼记录（公会长视角）</x:v>
      </x:c>
      <x:c r="E321" s="10" t="str">
        <x:v>功能需求</x:v>
      </x:c>
      <x:c r="F321" s="10" t="str">
        <x:v>P2</x:v>
      </x:c>
      <x:c r="G321" s="9" t="str">
        <x:v>验证送礼记录读取主播ID</x:v>
      </x:c>
      <x:c r="H321" s="9" t="str">
        <x:v>主播ID回显</x:v>
      </x:c>
      <x:c r="I321" s="9" t="str">
        <x:v>1. 执行角色为公会长
2. 该笔赠礼接收主播快照的主播ID为“100001”</x:v>
      </x:c>
      <x:c r="J321" s="9" t="str">
        <x:v>1. 进入送礼记录
2. 查看主播ID</x:v>
      </x:c>
      <x:c r="K321" s="9" t="str">
        <x:v>主播ID显示“100001”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来源（当前证据）：liveshow-proto/MainBasis/统一需求文档.md；位置：行2338
2. 规则：BR-ae9471c809eb1c69
3. 未动态验证</x:v>
      </x:c>
    </x:row>
    <x:row r="322" ht="70" customHeight="1">
      <x:c r="A322" s="10" t="n">
        <x:v>321</x:v>
      </x:c>
      <x:c r="B322" s="10" t="str">
        <x:v>GUILD-03-0077</x:v>
      </x:c>
      <x:c r="C322" s="10" t="str">
        <x:v>运营工具</x:v>
      </x:c>
      <x:c r="D322" s="10" t="str">
        <x:v>送礼记录（公会长视角）</x:v>
      </x:c>
      <x:c r="E322" s="10" t="str">
        <x:v>业务流程</x:v>
      </x:c>
      <x:c r="F322" s="10" t="str">
        <x:v>P1</x:v>
      </x:c>
      <x:c r="G322" s="9" t="str">
        <x:v>验证运营送礼默认全部账号及今日</x:v>
      </x:c>
      <x:c r="H322" s="9" t="str">
        <x:v>送礼默认筛选</x:v>
      </x:c>
      <x:c r="I322" s="9" t="str">
        <x:v>1. 执行角色为公会长
2. 当前公会有两个运营账号</x:v>
      </x:c>
      <x:c r="J322" s="9" t="str">
        <x:v>1. 进入送礼记录</x:v>
      </x:c>
      <x:c r="K322" s="9" t="str">
        <x:v>筛选条件为全部运营账号和今日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来源（当前证据）：liveshow-proto/MainBasis/统一需求文档.md；位置：行2339
2. 规则：BR-3f3d86d1364821ae
3. 未动态验证</x:v>
      </x:c>
    </x:row>
    <x:row r="323" ht="115" customHeight="1">
      <x:c r="A323" s="10" t="n">
        <x:v>322</x:v>
      </x:c>
      <x:c r="B323" s="10" t="str">
        <x:v>GUILD-03-0078</x:v>
      </x:c>
      <x:c r="C323" s="10" t="str">
        <x:v>运营工具</x:v>
      </x:c>
      <x:c r="D323" s="10" t="str">
        <x:v>送礼记录（公会长视角）</x:v>
      </x:c>
      <x:c r="E323" s="10" t="str">
        <x:v>功能需求</x:v>
      </x:c>
      <x:c r="F323" s="10" t="str">
        <x:v>P2</x:v>
      </x:c>
      <x:c r="G323" s="9" t="str">
        <x:v>验证运营送礼记录选择今日范围</x:v>
      </x:c>
      <x:c r="H323" s="9" t="str">
        <x:v>今日筛选切换</x:v>
      </x:c>
      <x:c r="I323" s="9" t="str">
        <x:v>1. 执行角色为公会长
2. 准备两笔记录：甲的本页统计时间在本次今日内；乙在范围外；主体均属于当前公会</x:v>
      </x:c>
      <x:c r="J323" s="9" t="str">
        <x:v>1. 进入运营送礼记录
2. 选择今日
3. 查看列表</x:v>
      </x:c>
      <x:c r="K323" s="9" t="str">
        <x:v>列表包含甲且排除乙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来源（当前证据）：liveshow-proto/MainBasis/统一需求文档.md；位置：行2339
2. 规则：BR-9432526ec90598f4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GUILD-03-0079</x:v>
      </x:c>
      <x:c r="C324" s="10" t="str">
        <x:v>运营工具</x:v>
      </x:c>
      <x:c r="D324" s="10" t="str">
        <x:v>送礼记录（公会长视角）</x:v>
      </x:c>
      <x:c r="E324" s="10" t="str">
        <x:v>功能需求</x:v>
      </x:c>
      <x:c r="F324" s="10" t="str">
        <x:v>P2</x:v>
      </x:c>
      <x:c r="G324" s="9" t="str">
        <x:v>验证运营送礼记录选择昨日范围</x:v>
      </x:c>
      <x:c r="H324" s="9" t="str">
        <x:v>昨日筛选切换</x:v>
      </x:c>
      <x:c r="I324" s="9" t="str">
        <x:v>1. 执行角色为公会长
2. 准备两笔记录：甲的本页统计时间在本次昨日内；乙在范围外；主体均属于当前公会</x:v>
      </x:c>
      <x:c r="J324" s="9" t="str">
        <x:v>1. 进入运营送礼记录
2. 选择昨日
3. 查看列表</x:v>
      </x:c>
      <x:c r="K324" s="9" t="str">
        <x:v>列表包含甲且排除乙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来源（当前证据）：liveshow-proto/MainBasis/统一需求文档.md；位置：行2339
2. 规则：BR-0c67fe2c80b1a31a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GUILD-03-0080</x:v>
      </x:c>
      <x:c r="C325" s="10" t="str">
        <x:v>运营工具</x:v>
      </x:c>
      <x:c r="D325" s="10" t="str">
        <x:v>送礼记录（公会长视角）</x:v>
      </x:c>
      <x:c r="E325" s="10" t="str">
        <x:v>功能需求</x:v>
      </x:c>
      <x:c r="F325" s="10" t="str">
        <x:v>P2</x:v>
      </x:c>
      <x:c r="G325" s="9" t="str">
        <x:v>验证运营送礼记录选择本周范围</x:v>
      </x:c>
      <x:c r="H325" s="9" t="str">
        <x:v>本周筛选切换</x:v>
      </x:c>
      <x:c r="I325" s="9" t="str">
        <x:v>1. 执行角色为公会长
2. 准备两笔记录：甲的本页统计时间在本次本周内；乙在范围外；主体均属于当前公会</x:v>
      </x:c>
      <x:c r="J325" s="9" t="str">
        <x:v>1. 进入运营送礼记录
2. 选择本周
3. 查看列表</x:v>
      </x:c>
      <x:c r="K325" s="9" t="str">
        <x:v>列表包含甲且排除乙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来源（当前证据）：liveshow-proto/MainBasis/统一需求文档.md；位置：行2339
2. 规则：BR-69e2de97a200196d
3. 未动态验证
4. 数据别名：甲、乙、丙用于区分本条测试对象；按前置条件准备并记录实际账号或记录 ID，不是固定业务名称。</x:v>
      </x:c>
    </x:row>
    <x:row r="326" ht="115" customHeight="1">
      <x:c r="A326" s="10" t="n">
        <x:v>325</x:v>
      </x:c>
      <x:c r="B326" s="10" t="str">
        <x:v>GUILD-03-0081</x:v>
      </x:c>
      <x:c r="C326" s="10" t="str">
        <x:v>运营工具</x:v>
      </x:c>
      <x:c r="D326" s="10" t="str">
        <x:v>送礼记录（公会长视角）</x:v>
      </x:c>
      <x:c r="E326" s="10" t="str">
        <x:v>功能需求</x:v>
      </x:c>
      <x:c r="F326" s="10" t="str">
        <x:v>P2</x:v>
      </x:c>
      <x:c r="G326" s="9" t="str">
        <x:v>验证运营送礼记录选择上周范围</x:v>
      </x:c>
      <x:c r="H326" s="9" t="str">
        <x:v>上周筛选切换</x:v>
      </x:c>
      <x:c r="I326" s="9" t="str">
        <x:v>1. 执行角色为公会长
2. 准备两笔记录：甲的本页统计时间在本次上周内；乙在范围外；主体均属于当前公会</x:v>
      </x:c>
      <x:c r="J326" s="9" t="str">
        <x:v>1. 进入运营送礼记录
2. 选择上周
3. 查看列表</x:v>
      </x:c>
      <x:c r="K326" s="9" t="str">
        <x:v>列表包含甲且排除乙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来源（当前证据）：liveshow-proto/MainBasis/统一需求文档.md；位置：行2339
2. 规则：BR-d16f2c4e845e06ee
3. 未动态验证
4. 数据别名：甲、乙、丙用于区分本条测试对象；按前置条件准备并记录实际账号或记录 ID，不是固定业务名称。</x:v>
      </x:c>
    </x:row>
    <x:row r="327" ht="115" customHeight="1">
      <x:c r="A327" s="10" t="n">
        <x:v>326</x:v>
      </x:c>
      <x:c r="B327" s="10" t="str">
        <x:v>GUILD-03-0082</x:v>
      </x:c>
      <x:c r="C327" s="10" t="str">
        <x:v>运营工具</x:v>
      </x:c>
      <x:c r="D327" s="10" t="str">
        <x:v>送礼记录（公会长视角）</x:v>
      </x:c>
      <x:c r="E327" s="10" t="str">
        <x:v>功能需求</x:v>
      </x:c>
      <x:c r="F327" s="10" t="str">
        <x:v>P2</x:v>
      </x:c>
      <x:c r="G327" s="9" t="str">
        <x:v>验证运营送礼记录选择本月范围</x:v>
      </x:c>
      <x:c r="H327" s="9" t="str">
        <x:v>本月筛选切换</x:v>
      </x:c>
      <x:c r="I327" s="9" t="str">
        <x:v>1. 执行角色为公会长
2. 准备两笔记录：甲的本页统计时间在本次本月内；乙在范围外；主体均属于当前公会</x:v>
      </x:c>
      <x:c r="J327" s="9" t="str">
        <x:v>1. 进入运营送礼记录
2. 选择本月
3. 查看列表</x:v>
      </x:c>
      <x:c r="K327" s="9" t="str">
        <x:v>列表包含甲且排除乙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来源（当前证据）：liveshow-proto/MainBasis/统一需求文档.md；位置：行2339
2. 规则：BR-18d2f815f0353a67
3. 未动态验证
4. 数据别名：甲、乙、丙用于区分本条测试对象；按前置条件准备并记录实际账号或记录 ID，不是固定业务名称。</x:v>
      </x:c>
    </x:row>
    <x:row r="328" ht="115" customHeight="1">
      <x:c r="A328" s="10" t="n">
        <x:v>327</x:v>
      </x:c>
      <x:c r="B328" s="10" t="str">
        <x:v>GUILD-03-0083</x:v>
      </x:c>
      <x:c r="C328" s="10" t="str">
        <x:v>运营工具</x:v>
      </x:c>
      <x:c r="D328" s="10" t="str">
        <x:v>送礼记录（公会长视角）</x:v>
      </x:c>
      <x:c r="E328" s="10" t="str">
        <x:v>功能需求</x:v>
      </x:c>
      <x:c r="F328" s="10" t="str">
        <x:v>P2</x:v>
      </x:c>
      <x:c r="G328" s="9" t="str">
        <x:v>验证运营送礼记录选择上月范围</x:v>
      </x:c>
      <x:c r="H328" s="9" t="str">
        <x:v>上月筛选切换</x:v>
      </x:c>
      <x:c r="I328" s="9" t="str">
        <x:v>1. 执行角色为公会长
2. 准备两笔记录：甲的本页统计时间在本次上月内；乙在范围外；主体均属于当前公会</x:v>
      </x:c>
      <x:c r="J328" s="9" t="str">
        <x:v>1. 进入运营送礼记录
2. 选择上月
3. 查看列表</x:v>
      </x:c>
      <x:c r="K328" s="9" t="str">
        <x:v>列表包含甲且排除乙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来源（当前证据）：liveshow-proto/MainBasis/统一需求文档.md；位置：行2339
2. 规则：BR-1ca872b885f9719c
3. 未动态验证
4. 数据别名：甲、乙、丙用于区分本条测试对象；按前置条件准备并记录实际账号或记录 ID，不是固定业务名称。</x:v>
      </x:c>
    </x:row>
    <x:row r="329" ht="115" customHeight="1">
      <x:c r="A329" s="10" t="n">
        <x:v>328</x:v>
      </x:c>
      <x:c r="B329" s="10" t="str">
        <x:v>GUILD-03-0084</x:v>
      </x:c>
      <x:c r="C329" s="10" t="str">
        <x:v>运营工具</x:v>
      </x:c>
      <x:c r="D329" s="10" t="str">
        <x:v>送礼记录（公会长视角）</x:v>
      </x:c>
      <x:c r="E329" s="10" t="str">
        <x:v>功能需求</x:v>
      </x:c>
      <x:c r="F329" s="10" t="str">
        <x:v>P2</x:v>
      </x:c>
      <x:c r="G329" s="9" t="str">
        <x:v>验证运营送礼记录选择自定义范围</x:v>
      </x:c>
      <x:c r="H329" s="9" t="str">
        <x:v>自定义筛选切换</x:v>
      </x:c>
      <x:c r="I329" s="9" t="str">
        <x:v>1. 执行角色为公会长
2. 准备两笔记录：甲的本页统计时间在9月1日至9月3日内；乙在范围外；主体均属于当前公会</x:v>
      </x:c>
      <x:c r="J329" s="9" t="str">
        <x:v>1. 进入运营送礼记录
2. 选择自定义9月1日至9月3日
3. 查看列表</x:v>
      </x:c>
      <x:c r="K329" s="9" t="str">
        <x:v>列表包含甲且排除乙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来源（当前证据）：liveshow-proto/MainBasis/统一需求文档.md；位置：行2339
2. 规则：BR-b4a4966fdbb04381
3. 未动态验证
4. 数据别名：甲、乙、丙用于区分本条测试对象；按前置条件准备并记录实际账号或记录 ID，不是固定业务名称。</x:v>
      </x:c>
    </x:row>
    <x:row r="330" ht="70" customHeight="1">
      <x:c r="A330" s="10" t="n">
        <x:v>329</x:v>
      </x:c>
      <x:c r="B330" s="10" t="str">
        <x:v>GUILD-03-0085</x:v>
      </x:c>
      <x:c r="C330" s="10" t="str">
        <x:v>运营工具</x:v>
      </x:c>
      <x:c r="D330" s="10" t="str">
        <x:v>送礼记录（公会长视角）</x:v>
      </x:c>
      <x:c r="E330" s="10" t="str">
        <x:v>逻辑校验</x:v>
      </x:c>
      <x:c r="F330" s="10" t="str">
        <x:v>P1</x:v>
      </x:c>
      <x:c r="G330" s="9" t="str">
        <x:v>验证送礼次数计算记录不是礼物件数</x:v>
      </x:c>
      <x:c r="H330" s="9" t="str">
        <x:v>送礼成功次数</x:v>
      </x:c>
      <x:c r="I330" s="9" t="str">
        <x:v>1. 执行角色为公会长
2. 筛选范围内有两笔成功记录，分别送礼3件和5件；另有失败记录1笔</x:v>
      </x:c>
      <x:c r="J330" s="9" t="str">
        <x:v>1. 进入送礼记录
2. 选择该范围</x:v>
      </x:c>
      <x:c r="K330" s="9" t="str">
        <x:v>总送礼次数计算为1+1=2次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来源（当前证据）：liveshow-proto/MainBasis/统一需求文档.md；位置：行2340
2. 规则：BR-91a20c41a8d87207
3. 未动态验证</x:v>
      </x:c>
    </x:row>
    <x:row r="331" ht="70" customHeight="1">
      <x:c r="A331" s="10" t="n">
        <x:v>330</x:v>
      </x:c>
      <x:c r="B331" s="10" t="str">
        <x:v>GUILD-03-0086</x:v>
      </x:c>
      <x:c r="C331" s="10" t="str">
        <x:v>运营工具</x:v>
      </x:c>
      <x:c r="D331" s="10" t="str">
        <x:v>送礼记录（公会长视角）</x:v>
      </x:c>
      <x:c r="E331" s="10" t="str">
        <x:v>逻辑校验</x:v>
      </x:c>
      <x:c r="F331" s="10" t="str">
        <x:v>P1</x:v>
      </x:c>
      <x:c r="G331" s="9" t="str">
        <x:v>验证送礼记录总消费金币按当前对象求和</x:v>
      </x:c>
      <x:c r="H331" s="9" t="str">
        <x:v>总消费金币计算范围</x:v>
      </x:c>
      <x:c r="I331" s="9" t="str">
        <x:v>1. 执行角色为公会长
2. 当前筛选两笔虚拟赠礼：单价10数量10、单价20数量10；另有范围外500金币</x:v>
      </x:c>
      <x:c r="J331" s="9" t="str">
        <x:v>1. 进入送礼记录
2. 查看前置条件指定对象及范围的总消费金币</x:v>
      </x:c>
      <x:c r="K331" s="9" t="str">
        <x:v>总消费金币按100+200计算=300虚拟金币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来源（当前证据）：liveshow-proto/MainBasis/统一需求文档.md；位置：行2341
2. 规则：BR-64047c7907400fb5
3. 未动态验证</x:v>
      </x:c>
    </x:row>
    <x:row r="332" ht="115" customHeight="1">
      <x:c r="A332" s="10" t="n">
        <x:v>331</x:v>
      </x:c>
      <x:c r="B332" s="10" t="str">
        <x:v>GUILD-03-0087</x:v>
      </x:c>
      <x:c r="C332" s="10" t="str">
        <x:v>运营工具</x:v>
      </x:c>
      <x:c r="D332" s="10" t="str">
        <x:v>送礼记录（公会长视角）</x:v>
      </x:c>
      <x:c r="E332" s="10" t="str">
        <x:v>功能需求</x:v>
      </x:c>
      <x:c r="F332" s="10" t="str">
        <x:v>P2</x:v>
      </x:c>
      <x:c r="G332" s="9" t="str">
        <x:v>验证送礼记录点击定位本笔详情</x:v>
      </x:c>
      <x:c r="H332" s="9" t="str">
        <x:v>虚拟赠礼详情导航</x:v>
      </x:c>
      <x:c r="I332" s="9" t="str">
        <x:v>1. 执行角色为公会长
2. 本会账号甲有两笔不同礼物成功记录</x:v>
      </x:c>
      <x:c r="J332" s="9" t="str">
        <x:v>1. 进入送礼记录
2. 点击第一笔</x:v>
      </x:c>
      <x:c r="K332" s="9" t="str">
        <x:v>打开第一笔对应送礼详情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来源（当前证据）：liveshow-proto/MainBasis/统一需求文档.md；位置：行2343
2. 规则：BR-71ed53282fe2ecdf
3. 未动态验证
4. 数据别名：甲、乙、丙用于区分本条测试对象；按前置条件准备并记录实际账号或记录 ID，不是固定业务名称。</x:v>
      </x:c>
    </x:row>
    <x:row r="333" ht="70" customHeight="1">
      <x:c r="A333" s="10" t="n">
        <x:v>332</x:v>
      </x:c>
      <x:c r="B333" s="10" t="str">
        <x:v>GUILD-03-0088</x:v>
      </x:c>
      <x:c r="C333" s="10" t="str">
        <x:v>运营工具</x:v>
      </x:c>
      <x:c r="D333" s="10" t="str">
        <x:v>选择运营账号（公会长视角）</x:v>
      </x:c>
      <x:c r="E333" s="10" t="str">
        <x:v>功能需求</x:v>
      </x:c>
      <x:c r="F333" s="10" t="str">
        <x:v>P2</x:v>
      </x:c>
      <x:c r="G333" s="9" t="str">
        <x:v>验证运营选择按登录账号模糊匹配</x:v>
      </x:c>
      <x:c r="H333" s="9" t="str">
        <x:v>运营收件人检索</x:v>
      </x:c>
      <x:c r="I333" s="9" t="str">
        <x:v>1. 执行角色为公会长
2. 两个运营账号登录账号分别含qa001和qa002，均已创建成功</x:v>
      </x:c>
      <x:c r="J333" s="9" t="str">
        <x:v>1. 进入选择运营账号
2. 输入qa001</x:v>
      </x:c>
      <x:c r="K333" s="9" t="str">
        <x:v>只显示第一个账号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来源（当前证据）：liveshow-proto/MainBasis/统一需求文档.md；位置：行2347
2. 规则：BR-1e9da0c43536b2df
3. 未动态验证</x:v>
      </x:c>
    </x:row>
    <x:row r="334" ht="70" customHeight="1">
      <x:c r="A334" s="10" t="n">
        <x:v>333</x:v>
      </x:c>
      <x:c r="B334" s="10" t="str">
        <x:v>GUILD-03-0089</x:v>
      </x:c>
      <x:c r="C334" s="10" t="str">
        <x:v>运营工具</x:v>
      </x:c>
      <x:c r="D334" s="10" t="str">
        <x:v>选择运营账号（公会长视角）</x:v>
      </x:c>
      <x:c r="E334" s="10" t="str">
        <x:v>功能需求</x:v>
      </x:c>
      <x:c r="F334" s="10" t="str">
        <x:v>P2</x:v>
      </x:c>
      <x:c r="G334" s="9" t="str">
        <x:v>验证选择运营账号读取登录账号</x:v>
      </x:c>
      <x:c r="H334" s="9" t="str">
        <x:v>登录账号回显</x:v>
      </x:c>
      <x:c r="I334" s="9" t="str">
        <x:v>1. 执行角色为公会长
2. 当前选择页运营账号资料的登录账号为“operation@example.com”</x:v>
      </x:c>
      <x:c r="J334" s="9" t="str">
        <x:v>1. 进入选择运营账号
2. 查看登录账号</x:v>
      </x:c>
      <x:c r="K334" s="9" t="str">
        <x:v>登录账号显示“operation@example.com”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来源（当前证据）：liveshow-proto/MainBasis/统一需求文档.md；位置：行2348
2. 规则：BR-8802f74659ee75a7
3. 未动态验证</x:v>
      </x:c>
    </x:row>
    <x:row r="335" ht="115" customHeight="1">
      <x:c r="A335" s="10" t="n">
        <x:v>334</x:v>
      </x:c>
      <x:c r="B335" s="10" t="str">
        <x:v>GUILD-03-0090</x:v>
      </x:c>
      <x:c r="C335" s="10" t="str">
        <x:v>运营工具</x:v>
      </x:c>
      <x:c r="D335" s="10" t="str">
        <x:v>选择运营账号（公会长视角）</x:v>
      </x:c>
      <x:c r="E335" s="10" t="str">
        <x:v>功能需求</x:v>
      </x:c>
      <x:c r="F335" s="10" t="str">
        <x:v>P2</x:v>
      </x:c>
      <x:c r="G335" s="9" t="str">
        <x:v>验证运营号搜索数量不替代已选数量</x:v>
      </x:c>
      <x:c r="H335" s="9" t="str">
        <x:v>运营号选择计数</x:v>
      </x:c>
      <x:c r="I335" s="9" t="str">
        <x:v>1. 执行角色为公会长
2. 已选甲乙两人，当前搜索仅命中丙</x:v>
      </x:c>
      <x:c r="J335" s="9" t="str">
        <x:v>1. 进入选择运营账号</x:v>
      </x:c>
      <x:c r="K335" s="9" t="str">
        <x:v>已选数量仍为2人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来源（当前证据）：liveshow-proto/MainBasis/统一需求文档.md；位置：行2349
2. 规则：BR-7fd6268c4c2548c9
3. 未动态验证
4. 数据别名：甲、乙、丙用于区分本条测试对象；按前置条件准备并记录实际账号或记录 ID，不是固定业务名称。</x:v>
      </x:c>
    </x:row>
    <x:row r="336" ht="115" customHeight="1">
      <x:c r="A336" s="10" t="n">
        <x:v>335</x:v>
      </x:c>
      <x:c r="B336" s="10" t="str">
        <x:v>GUILD-03-0091</x:v>
      </x:c>
      <x:c r="C336" s="10" t="str">
        <x:v>运营工具</x:v>
      </x:c>
      <x:c r="D336" s="10" t="str">
        <x:v>选择运营账号（公会长视角）</x:v>
      </x:c>
      <x:c r="E336" s="10" t="str">
        <x:v>业务流程</x:v>
      </x:c>
      <x:c r="F336" s="10" t="str">
        <x:v>P1</x:v>
      </x:c>
      <x:c r="G336" s="9" t="str">
        <x:v>验证筛选中全选作用于全部账号</x:v>
      </x:c>
      <x:c r="H336" s="9" t="str">
        <x:v>运营账号全选范围</x:v>
      </x:c>
      <x:c r="I336" s="9" t="str">
        <x:v>1. 执行角色为公会长
2. 公会共3个运营账号；当前搜索仅命中甲</x:v>
      </x:c>
      <x:c r="J336" s="9" t="str">
        <x:v>1. 进入选择运营账号
2. 输入甲
3. 点击全选</x:v>
      </x:c>
      <x:c r="K336" s="9" t="str">
        <x:v>已选数量为3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来源（当前证据）：liveshow-proto/MainBasis/统一需求文档.md；位置：行2350
2. 规则：BR-3bdf3bdc0771f48c
3. 未动态验证
4. 数据别名：甲、乙、丙用于区分本条测试对象；按前置条件准备并记录实际账号或记录 ID，不是固定业务名称。</x:v>
      </x:c>
    </x:row>
    <x:row r="337" ht="70" customHeight="1">
      <x:c r="A337" s="10" t="n">
        <x:v>336</x:v>
      </x:c>
      <x:c r="B337" s="10" t="str">
        <x:v>GUILD-03-0092</x:v>
      </x:c>
      <x:c r="C337" s="10" t="str">
        <x:v>运营工具</x:v>
      </x:c>
      <x:c r="D337" s="10" t="str">
        <x:v>选择运营账号（公会长视角）</x:v>
      </x:c>
      <x:c r="E337" s="10" t="str">
        <x:v>业务流程</x:v>
      </x:c>
      <x:c r="F337" s="10" t="str">
        <x:v>P1</x:v>
      </x:c>
      <x:c r="G337" s="9" t="str">
        <x:v>验证取消全选清空运营选择</x:v>
      </x:c>
      <x:c r="H337" s="9" t="str">
        <x:v>运营账号取消全选</x:v>
      </x:c>
      <x:c r="I337" s="9" t="str">
        <x:v>1. 执行角色为公会长
2. 公会3个运营账号均已选</x:v>
      </x:c>
      <x:c r="J337" s="9" t="str">
        <x:v>1. 进入选择运营账号
2. 点击取消全选</x:v>
      </x:c>
      <x:c r="K337" s="9" t="str">
        <x:v>已选数量为0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来源（当前证据）：liveshow-proto/MainBasis/统一需求文档.md；位置：行2350
2. 规则：BR-a8e69b7d5b1ee032
3. 未动态验证</x:v>
      </x:c>
    </x:row>
    <x:row r="338" ht="70" customHeight="1">
      <x:c r="A338" s="10" t="n">
        <x:v>337</x:v>
      </x:c>
      <x:c r="B338" s="10" t="str">
        <x:v>GUILD-03-0093</x:v>
      </x:c>
      <x:c r="C338" s="10" t="str">
        <x:v>运营工具</x:v>
      </x:c>
      <x:c r="D338" s="10" t="str">
        <x:v>选择运营账号（公会长视角）</x:v>
      </x:c>
      <x:c r="E338" s="10" t="str">
        <x:v>业务流程</x:v>
      </x:c>
      <x:c r="F338" s="10" t="str">
        <x:v>P1</x:v>
      </x:c>
      <x:c r="G338" s="9" t="str">
        <x:v>验证完成账号选择保留日期</x:v>
      </x:c>
      <x:c r="H338" s="9" t="str">
        <x:v>运营筛选组合保留</x:v>
      </x:c>
      <x:c r="I338" s="9" t="str">
        <x:v>1. 执行角色为公会长
2. 送礼记录日期为9月1日至9月3日</x:v>
      </x:c>
      <x:c r="J338" s="9" t="str">
        <x:v>1. 进入选择运营账号
2. 选择甲
3. 点击完成</x:v>
      </x:c>
      <x:c r="K338" s="9" t="str">
        <x:v>返回后日期仍为9月1日至9月3日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来源（当前证据）：liveshow-proto/MainBasis/统一需求文档.md；位置：行2351
2. 规则：BR-48ee391fc60d58ba
3. 未动态验证</x:v>
      </x:c>
    </x:row>
    <x:row r="339" ht="70" customHeight="1">
      <x:c r="A339" s="10" t="n">
        <x:v>338</x:v>
      </x:c>
      <x:c r="B339" s="10" t="str">
        <x:v>GUILD-04-0001</x:v>
      </x:c>
      <x:c r="C339" s="10" t="str">
        <x:v>公会管理</x:v>
      </x:c>
      <x:c r="D339" s="10" t="str">
        <x:v>公会资料（公会长视角）</x:v>
      </x:c>
      <x:c r="E339" s="10" t="str">
        <x:v>业务流程</x:v>
      </x:c>
      <x:c r="F339" s="10" t="str">
        <x:v>P1</x:v>
      </x:c>
      <x:c r="G339" s="9" t="str">
        <x:v>验证公会ID不能编辑</x:v>
      </x:c>
      <x:c r="H339" s="9" t="str">
        <x:v>公会唯一标识只读</x:v>
      </x:c>
      <x:c r="I339" s="9" t="str">
        <x:v>1. 执行角色为公会长
2. 当前公会ID200001</x:v>
      </x:c>
      <x:c r="J339" s="9" t="str">
        <x:v>1. 进入公会资料
2. 点击公会ID</x:v>
      </x:c>
      <x:c r="K339" s="9" t="str">
        <x:v>公会ID不可编辑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来源（当前证据）：liveshow-proto/MainBasis/统一需求文档.md；位置：行2355
2. 规则：BR-3a7fe2e23e50c844
3. 未动态验证</x:v>
      </x:c>
    </x:row>
    <x:row r="340" ht="70" customHeight="1">
      <x:c r="A340" s="10" t="n">
        <x:v>339</x:v>
      </x:c>
      <x:c r="B340" s="10" t="str">
        <x:v>GUILD-04-0002</x:v>
      </x:c>
      <x:c r="C340" s="10" t="str">
        <x:v>公会管理</x:v>
      </x:c>
      <x:c r="D340" s="10" t="str">
        <x:v>公会资料（公会长视角）</x:v>
      </x:c>
      <x:c r="E340" s="10" t="str">
        <x:v>业务流程</x:v>
      </x:c>
      <x:c r="F340" s="10" t="str">
        <x:v>P1</x:v>
      </x:c>
      <x:c r="G340" s="9" t="str">
        <x:v>验证公会名称去空白后为空</x:v>
      </x:c>
      <x:c r="H340" s="9" t="str">
        <x:v>公会名称必填</x:v>
      </x:c>
      <x:c r="I340" s="9" t="str">
        <x:v>1. 执行角色为公会长
2. 有公会资料编辑权限</x:v>
      </x:c>
      <x:c r="J340" s="9" t="str">
        <x:v>1. 进入公会资料
2. 填写名称三个空格
3. 点击保存</x:v>
      </x:c>
      <x:c r="K340" s="9" t="str">
        <x:v>不能保存空白公会名称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来源（当前证据）：liveshow-proto/MainBasis/统一需求文档.md；位置：行2357
2. 规则：BR-f99c1670a8142915
3. 未动态验证</x:v>
      </x:c>
    </x:row>
    <x:row r="341" ht="70" customHeight="1">
      <x:c r="A341" s="10" t="n">
        <x:v>340</x:v>
      </x:c>
      <x:c r="B341" s="10" t="str">
        <x:v>GUILD-04-0003</x:v>
      </x:c>
      <x:c r="C341" s="10" t="str">
        <x:v>公会管理</x:v>
      </x:c>
      <x:c r="D341" s="10" t="str">
        <x:v>公会资料（公会长视角）</x:v>
      </x:c>
      <x:c r="E341" s="10" t="str">
        <x:v>业务流程</x:v>
      </x:c>
      <x:c r="F341" s="10" t="str">
        <x:v>P1</x:v>
      </x:c>
      <x:c r="G341" s="9" t="str">
        <x:v>验证公会名称41字符</x:v>
      </x:c>
      <x:c r="H341" s="9" t="str">
        <x:v>公会名称长度上限外</x:v>
      </x:c>
      <x:c r="I341" s="9" t="str">
        <x:v>1. 执行角色为公会长
2. 其他字段合法</x:v>
      </x:c>
      <x:c r="J341" s="9" t="str">
        <x:v>1. 进入公会资料
2. 填写41个“会”
3. 点击保存</x:v>
      </x:c>
      <x:c r="K341" s="9" t="str">
        <x:v>不能保存超过40字符的公会名称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来源（当前证据）：liveshow-proto/MainBasis/统一需求文档.md；位置：行2357
2. 规则：BR-48d6194930247558
3. 未动态验证</x:v>
      </x:c>
    </x:row>
    <x:row r="342" ht="70" customHeight="1">
      <x:c r="A342" s="10" t="n">
        <x:v>341</x:v>
      </x:c>
      <x:c r="B342" s="10" t="str">
        <x:v>GUILD-04-0004</x:v>
      </x:c>
      <x:c r="C342" s="10" t="str">
        <x:v>公会管理</x:v>
      </x:c>
      <x:c r="D342" s="10" t="str">
        <x:v>公会资料（公会长视角）</x:v>
      </x:c>
      <x:c r="E342" s="10" t="str">
        <x:v>业务流程</x:v>
      </x:c>
      <x:c r="F342" s="10" t="str">
        <x:v>P1</x:v>
      </x:c>
      <x:c r="G342" s="9" t="str">
        <x:v>验证公会简介201字符</x:v>
      </x:c>
      <x:c r="H342" s="9" t="str">
        <x:v>公会简介长度上限外</x:v>
      </x:c>
      <x:c r="I342" s="9" t="str">
        <x:v>1. 执行角色为公会长
2. 公会名称合法</x:v>
      </x:c>
      <x:c r="J342" s="9" t="str">
        <x:v>1. 进入公会资料
2. 填写201个“介”
3. 点击保存</x:v>
      </x:c>
      <x:c r="K342" s="9" t="str">
        <x:v>不能保存超过200字符的公会简介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来源（当前证据）：liveshow-proto/MainBasis/统一需求文档.md；位置：行2358
2. 规则：BR-18b2d02bd6d4165d
3. 未动态验证</x:v>
      </x:c>
    </x:row>
    <x:row r="343" ht="115" customHeight="1">
      <x:c r="A343" s="10" t="n">
        <x:v>342</x:v>
      </x:c>
      <x:c r="B343" s="10" t="str">
        <x:v>GUILD-04-0005</x:v>
      </x:c>
      <x:c r="C343" s="10" t="str">
        <x:v>公会管理</x:v>
      </x:c>
      <x:c r="D343" s="10" t="str">
        <x:v>公会资料（公会长视角）</x:v>
      </x:c>
      <x:c r="E343" s="10" t="str">
        <x:v>功能需求</x:v>
      </x:c>
      <x:c r="F343" s="10" t="str">
        <x:v>P2</x:v>
      </x:c>
      <x:c r="G343" s="9" t="str">
        <x:v>验证修改公会资料不改变关系</x:v>
      </x:c>
      <x:c r="H343" s="9" t="str">
        <x:v>公会资料与成员独立</x:v>
      </x:c>
      <x:c r="I343" s="9" t="str">
        <x:v>1. 执行角色为公会长
2. 公会甲有在会主播乙，资料编辑权限正常</x:v>
      </x:c>
      <x:c r="J343" s="9" t="str">
        <x:v>1. 进入公会资料
2. 填写公会名称QA公会
3. 点击保存
4. 进入主播列表</x:v>
      </x:c>
      <x:c r="K343" s="9" t="str">
        <x:v>乙仍在当前公会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来源（当前证据）：liveshow-proto/MainBasis/统一需求文档.md；位置：行2359
2. 规则：BR-c2d01d35ba0170f8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GUILD-04-0006</x:v>
      </x:c>
      <x:c r="C344" s="10" t="str">
        <x:v>公会管理</x:v>
      </x:c>
      <x:c r="D344" s="10" t="str">
        <x:v>账号设置（公会长视角）</x:v>
      </x:c>
      <x:c r="E344" s="10" t="str">
        <x:v>功能需求</x:v>
      </x:c>
      <x:c r="F344" s="10" t="str">
        <x:v>P2</x:v>
      </x:c>
      <x:c r="G344" s="9" t="str">
        <x:v>验证账号设置读取公会长名称</x:v>
      </x:c>
      <x:c r="H344" s="9" t="str">
        <x:v>公会长名称回显</x:v>
      </x:c>
      <x:c r="I344" s="9" t="str">
        <x:v>1. 执行角色为公会长
2. 当前登录公会长资料的公会长名称为“负责人甲”</x:v>
      </x:c>
      <x:c r="J344" s="9" t="str">
        <x:v>1. 进入账号设置
2. 查看公会长名称</x:v>
      </x:c>
      <x:c r="K344" s="9" t="str">
        <x:v>公会长名称显示“负责人甲”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来源（当前证据）：liveshow-proto/MainBasis/统一需求文档.md；位置：行2363
2. 规则：BR-23788147b3932f0e
3. 未动态验证
4. 数据别名：甲、乙、丙用于区分本条测试对象；按前置条件准备并记录实际账号或记录 ID，不是固定业务名称。</x:v>
      </x:c>
    </x:row>
    <x:row r="345" ht="70" customHeight="1">
      <x:c r="A345" s="10" t="n">
        <x:v>344</x:v>
      </x:c>
      <x:c r="B345" s="10" t="str">
        <x:v>GUILD-04-0007</x:v>
      </x:c>
      <x:c r="C345" s="10" t="str">
        <x:v>公会管理</x:v>
      </x:c>
      <x:c r="D345" s="10" t="str">
        <x:v>账号设置（公会长视角）</x:v>
      </x:c>
      <x:c r="E345" s="10" t="str">
        <x:v>功能需求</x:v>
      </x:c>
      <x:c r="F345" s="10" t="str">
        <x:v>P2</x:v>
      </x:c>
      <x:c r="G345" s="9" t="str">
        <x:v>验证账号设置读取公会ID</x:v>
      </x:c>
      <x:c r="H345" s="9" t="str">
        <x:v>公会ID回显</x:v>
      </x:c>
      <x:c r="I345" s="9" t="str">
        <x:v>1. 执行角色为公会长
2. 当前管理的公会的公会ID为“200001”</x:v>
      </x:c>
      <x:c r="J345" s="9" t="str">
        <x:v>1. 进入账号设置
2. 查看公会ID</x:v>
      </x:c>
      <x:c r="K345" s="9" t="str">
        <x:v>公会ID显示“200001”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来源（当前证据）：liveshow-proto/MainBasis/统一需求文档.md；位置：行2364
2. 规则：BR-38138eeaee882e9a
3. 未动态验证</x:v>
      </x:c>
    </x:row>
    <x:row r="346" ht="85" customHeight="1">
      <x:c r="A346" s="10" t="n">
        <x:v>345</x:v>
      </x:c>
      <x:c r="B346" s="10" t="str">
        <x:v>GUILD-04-0008</x:v>
      </x:c>
      <x:c r="C346" s="10" t="str">
        <x:v>公会管理</x:v>
      </x:c>
      <x:c r="D346" s="10" t="str">
        <x:v>账号设置（公会长视角）</x:v>
      </x:c>
      <x:c r="E346" s="10" t="str">
        <x:v>功能需求</x:v>
      </x:c>
      <x:c r="F346" s="10" t="str">
        <x:v>P2</x:v>
      </x:c>
      <x:c r="G346" s="9" t="str">
        <x:v>验证公会端选择中文</x:v>
      </x:c>
      <x:c r="H346" s="9" t="str">
        <x:v>公会账号语言</x:v>
      </x:c>
      <x:c r="I346" s="9" t="str">
        <x:v>1. 执行角色为公会长
2. 当前公会长已登录</x:v>
      </x:c>
      <x:c r="J346" s="9" t="str">
        <x:v>1. 进入账号设置
2. 点击语言
3. 选择中文</x:v>
      </x:c>
      <x:c r="K346" s="9" t="str">
        <x:v>当前公会端界面语言切换为中文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来源（当前证据）：liveshow-proto/MainBasis/统一需求文档.md；位置：行2365、行2368
2. 规则：BR-e88be17b4da3364c
3. 未动态验证</x:v>
      </x:c>
    </x:row>
    <x:row r="347" ht="85" customHeight="1">
      <x:c r="A347" s="10" t="n">
        <x:v>346</x:v>
      </x:c>
      <x:c r="B347" s="10" t="str">
        <x:v>GUILD-04-0009</x:v>
      </x:c>
      <x:c r="C347" s="10" t="str">
        <x:v>公会管理</x:v>
      </x:c>
      <x:c r="D347" s="10" t="str">
        <x:v>账号设置（公会长视角）</x:v>
      </x:c>
      <x:c r="E347" s="10" t="str">
        <x:v>功能需求</x:v>
      </x:c>
      <x:c r="F347" s="10" t="str">
        <x:v>P2</x:v>
      </x:c>
      <x:c r="G347" s="9" t="str">
        <x:v>验证公会端选择English</x:v>
      </x:c>
      <x:c r="H347" s="9" t="str">
        <x:v>公会账号语言</x:v>
      </x:c>
      <x:c r="I347" s="9" t="str">
        <x:v>1. 执行角色为公会长
2. 当前公会长已登录</x:v>
      </x:c>
      <x:c r="J347" s="9" t="str">
        <x:v>1. 进入账号设置
2. 点击语言
3. 选择English</x:v>
      </x:c>
      <x:c r="K347" s="9" t="str">
        <x:v>当前公会端界面语言切换为English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来源（当前证据）：liveshow-proto/MainBasis/统一需求文档.md；位置：行2365、行2368
2. 规则：BR-a7500f2481a00bc6
3. 未动态验证</x:v>
      </x:c>
    </x:row>
    <x:row r="348" ht="85" customHeight="1">
      <x:c r="A348" s="10" t="n">
        <x:v>347</x:v>
      </x:c>
      <x:c r="B348" s="10" t="str">
        <x:v>GUILD-04-0010</x:v>
      </x:c>
      <x:c r="C348" s="10" t="str">
        <x:v>公会管理</x:v>
      </x:c>
      <x:c r="D348" s="10" t="str">
        <x:v>账号设置（公会长视角）</x:v>
      </x:c>
      <x:c r="E348" s="10" t="str">
        <x:v>功能需求</x:v>
      </x:c>
      <x:c r="F348" s="10" t="str">
        <x:v>P2</x:v>
      </x:c>
      <x:c r="G348" s="9" t="str">
        <x:v>验证公会端选择Bahasa Indonesia</x:v>
      </x:c>
      <x:c r="H348" s="9" t="str">
        <x:v>公会账号语言</x:v>
      </x:c>
      <x:c r="I348" s="9" t="str">
        <x:v>1. 执行角色为公会长
2. 当前公会长已登录</x:v>
      </x:c>
      <x:c r="J348" s="9" t="str">
        <x:v>1. 进入账号设置
2. 点击语言
3. 选择Bahasa Indonesia</x:v>
      </x:c>
      <x:c r="K348" s="9" t="str">
        <x:v>当前公会端界面语言切换为Bahasa Indonesia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来源（当前证据）：liveshow-proto/MainBasis/统一需求文档.md；位置：行2365、行2368
2. 规则：BR-7e34931ac96aed28
3. 未动态验证</x:v>
      </x:c>
    </x:row>
    <x:row r="349" ht="85" customHeight="1">
      <x:c r="A349" s="10" t="n">
        <x:v>348</x:v>
      </x:c>
      <x:c r="B349" s="10" t="str">
        <x:v>GUILD-04-0011</x:v>
      </x:c>
      <x:c r="C349" s="10" t="str">
        <x:v>公会管理</x:v>
      </x:c>
      <x:c r="D349" s="10" t="str">
        <x:v>账号设置（公会长视角）</x:v>
      </x:c>
      <x:c r="E349" s="10" t="str">
        <x:v>功能需求</x:v>
      </x:c>
      <x:c r="F349" s="10" t="str">
        <x:v>P2</x:v>
      </x:c>
      <x:c r="G349" s="9" t="str">
        <x:v>验证公会端选择Bahasa Melayu</x:v>
      </x:c>
      <x:c r="H349" s="9" t="str">
        <x:v>公会账号语言</x:v>
      </x:c>
      <x:c r="I349" s="9" t="str">
        <x:v>1. 执行角色为公会长
2. 当前公会长已登录</x:v>
      </x:c>
      <x:c r="J349" s="9" t="str">
        <x:v>1. 进入账号设置
2. 点击语言
3. 选择Bahasa Melayu</x:v>
      </x:c>
      <x:c r="K349" s="9" t="str">
        <x:v>当前公会端界面语言切换为Bahasa Melayu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来源（当前证据）：liveshow-proto/MainBasis/统一需求文档.md；位置：行2365、行2368
2. 规则：BR-a3d0dc162ef20565
3. 未动态验证</x:v>
      </x:c>
    </x:row>
    <x:row r="350" ht="70" customHeight="1">
      <x:c r="A350" s="10" t="n">
        <x:v>349</x:v>
      </x:c>
      <x:c r="B350" s="10" t="str">
        <x:v>GUILD-04-0012</x:v>
      </x:c>
      <x:c r="C350" s="10" t="str">
        <x:v>公会管理</x:v>
      </x:c>
      <x:c r="D350" s="10" t="str">
        <x:v>账号设置（公会长视角）</x:v>
      </x:c>
      <x:c r="E350" s="10" t="str">
        <x:v>功能需求</x:v>
      </x:c>
      <x:c r="F350" s="10" t="str">
        <x:v>P2</x:v>
      </x:c>
      <x:c r="G350" s="9" t="str">
        <x:v>验证公会账号设置进入改密</x:v>
      </x:c>
      <x:c r="H350" s="9" t="str">
        <x:v>公会改密入口</x:v>
      </x:c>
      <x:c r="I350" s="9" t="str">
        <x:v>1. 执行角色为公会长
2. 当前公会长已登录</x:v>
      </x:c>
      <x:c r="J350" s="9" t="str">
        <x:v>1. 进入账号设置
2. 点击修改密码</x:v>
      </x:c>
      <x:c r="K350" s="9" t="str">
        <x:v>进入修改密码页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来源（当前证据）：liveshow-proto/MainBasis/统一需求文档.md；位置：行2366
2. 规则：BR-2290bee894a4604f
3. 未动态验证</x:v>
      </x:c>
    </x:row>
    <x:row r="351" ht="70" customHeight="1">
      <x:c r="A351" s="10" t="n">
        <x:v>350</x:v>
      </x:c>
      <x:c r="B351" s="10" t="str">
        <x:v>GUILD-04-0013</x:v>
      </x:c>
      <x:c r="C351" s="10" t="str">
        <x:v>公会管理</x:v>
      </x:c>
      <x:c r="D351" s="10" t="str">
        <x:v>账号设置（公会长视角）</x:v>
      </x:c>
      <x:c r="E351" s="10" t="str">
        <x:v>业务流程</x:v>
      </x:c>
      <x:c r="F351" s="10" t="str">
        <x:v>P1</x:v>
      </x:c>
      <x:c r="G351" s="9" t="str">
        <x:v>验证确认退出公会端</x:v>
      </x:c>
      <x:c r="H351" s="9" t="str">
        <x:v>公会端注销会话</x:v>
      </x:c>
      <x:c r="I351" s="9" t="str">
        <x:v>1. 执行角色为公会长
2. 当前公会长已登录</x:v>
      </x:c>
      <x:c r="J351" s="9" t="str">
        <x:v>1. 进入账号设置
2. 点击退出登录
3. 点击确认</x:v>
      </x:c>
      <x:c r="K351" s="9" t="str">
        <x:v>返回公会登录页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来源（当前证据）：liveshow-proto/MainBasis/统一需求文档.md；位置：行2367
2. 规则：BR-2299b65b607bcfeb
3. 未动态验证</x:v>
      </x:c>
    </x:row>
    <x:row r="352" ht="70" customHeight="1">
      <x:c r="A352" s="10" t="n">
        <x:v>351</x:v>
      </x:c>
      <x:c r="B352" s="10" t="str">
        <x:v>GUILD-04-0014</x:v>
      </x:c>
      <x:c r="C352" s="10" t="str">
        <x:v>公会管理</x:v>
      </x:c>
      <x:c r="D352" s="10" t="str">
        <x:v>账号设置（公会长视角）</x:v>
      </x:c>
      <x:c r="E352" s="10" t="str">
        <x:v>功能需求</x:v>
      </x:c>
      <x:c r="F352" s="10" t="str">
        <x:v>P2</x:v>
      </x:c>
      <x:c r="G352" s="9" t="str">
        <x:v>验证取消退出公会端保留会话</x:v>
      </x:c>
      <x:c r="H352" s="9" t="str">
        <x:v>公会登出取消</x:v>
      </x:c>
      <x:c r="I352" s="9" t="str">
        <x:v>1. 执行角色为公会长
2. 当前公会长已登录</x:v>
      </x:c>
      <x:c r="J352" s="9" t="str">
        <x:v>1. 进入账号设置
2. 点击退出登录
3. 点击取消</x:v>
      </x:c>
      <x:c r="K352" s="9" t="str">
        <x:v>保留当前登录会话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来源（当前证据）：liveshow-proto/MainBasis/统一需求文档.md；位置：行2369
2. 规则：BR-afc66f49bb25eddc
3. 未动态验证</x:v>
      </x:c>
    </x:row>
    <x:row r="353" ht="85" customHeight="1">
      <x:c r="A353" s="10" t="n">
        <x:v>352</x:v>
      </x:c>
      <x:c r="B353" s="10" t="str">
        <x:v>GUILD-04-0015</x:v>
      </x:c>
      <x:c r="C353" s="10" t="str">
        <x:v>公会管理</x:v>
      </x:c>
      <x:c r="D353" s="10" t="str">
        <x:v>修改密码（公会长视角）</x:v>
      </x:c>
      <x:c r="E353" s="10" t="str">
        <x:v>功能需求</x:v>
      </x:c>
      <x:c r="F353" s="10" t="str">
        <x:v>P2</x:v>
      </x:c>
      <x:c r="G353" s="9" t="str">
        <x:v>验证公会改密旧密码不符</x:v>
      </x:c>
      <x:c r="H353" s="9" t="str">
        <x:v>公会旧密码校验</x:v>
      </x:c>
      <x:c r="I353" s="9" t="str">
        <x:v>1. 执行角色为公会长
2. 当前密码OwnerPass8</x:v>
      </x:c>
      <x:c r="J353" s="9" t="str">
        <x:v>1. 进入修改密码
2. 输入当前密码WrongPass8
3. 输入新密码NewOwner8
4. 输入确认密码NewOwner8
5. 点击保存</x:v>
      </x:c>
      <x:c r="K353" s="9" t="str">
        <x:v>不修改当前密码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来源（当前证据）：liveshow-proto/MainBasis/统一需求文档.md；位置：行2373
2. 规则：BR-6108dd6a1bf9adc7
3. 未动态验证</x:v>
      </x:c>
    </x:row>
    <x:row r="354" ht="85" customHeight="1">
      <x:c r="A354" s="10" t="n">
        <x:v>353</x:v>
      </x:c>
      <x:c r="B354" s="10" t="str">
        <x:v>GUILD-04-0016</x:v>
      </x:c>
      <x:c r="C354" s="10" t="str">
        <x:v>公会管理</x:v>
      </x:c>
      <x:c r="D354" s="10" t="str">
        <x:v>修改密码（公会长视角）</x:v>
      </x:c>
      <x:c r="E354" s="10" t="str">
        <x:v>功能需求</x:v>
      </x:c>
      <x:c r="F354" s="10" t="str">
        <x:v>P2</x:v>
      </x:c>
      <x:c r="G354" s="9" t="str">
        <x:v>验证公会改密新密码7位</x:v>
      </x:c>
      <x:c r="H354" s="9" t="str">
        <x:v>公会新密码下界外</x:v>
      </x:c>
      <x:c r="I354" s="9" t="str">
        <x:v>1. 执行角色为公会长
2. 当前密码OwnerPass8</x:v>
      </x:c>
      <x:c r="J354" s="9" t="str">
        <x:v>1. 进入修改密码
2. 输入当前密码OwnerPass8
3. 输入新密码NewPwd7
4. 输入确认密码NewPwd7
5. 点击保存</x:v>
      </x:c>
      <x:c r="K354" s="9" t="str">
        <x:v>不能保存7位新密码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来源（当前证据）：liveshow-proto/MainBasis/统一需求文档.md；位置：行2374
2. 规则：BR-15105662a9a11ab2
3. 未动态验证</x:v>
      </x:c>
    </x:row>
    <x:row r="355" ht="85" customHeight="1">
      <x:c r="A355" s="10" t="n">
        <x:v>354</x:v>
      </x:c>
      <x:c r="B355" s="10" t="str">
        <x:v>GUILD-04-0017</x:v>
      </x:c>
      <x:c r="C355" s="10" t="str">
        <x:v>公会管理</x:v>
      </x:c>
      <x:c r="D355" s="10" t="str">
        <x:v>修改密码（公会长视角）</x:v>
      </x:c>
      <x:c r="E355" s="10" t="str">
        <x:v>功能需求</x:v>
      </x:c>
      <x:c r="F355" s="10" t="str">
        <x:v>P2</x:v>
      </x:c>
      <x:c r="G355" s="9" t="str">
        <x:v>验证公会改密不能与旧密码相同</x:v>
      </x:c>
      <x:c r="H355" s="9" t="str">
        <x:v>公会密码更新差异</x:v>
      </x:c>
      <x:c r="I355" s="9" t="str">
        <x:v>1. 执行角色为公会长
2. 当前密码OwnerPass8</x:v>
      </x:c>
      <x:c r="J355" s="9" t="str">
        <x:v>1. 进入修改密码
2. 输入当前密码OwnerPass8
3. 输入新密码OwnerPass8
4. 输入确认密码OwnerPass8
5. 点击保存</x:v>
      </x:c>
      <x:c r="K355" s="9" t="str">
        <x:v>不能保存与当前相同的新密码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来源（当前证据）：liveshow-proto/MainBasis/统一需求文档.md；位置：行2374
2. 规则：BR-b713a7de3520c4e6
3. 未动态验证</x:v>
      </x:c>
    </x:row>
    <x:row r="356" ht="85" customHeight="1">
      <x:c r="A356" s="10" t="n">
        <x:v>355</x:v>
      </x:c>
      <x:c r="B356" s="10" t="str">
        <x:v>GUILD-04-0018</x:v>
      </x:c>
      <x:c r="C356" s="10" t="str">
        <x:v>公会管理</x:v>
      </x:c>
      <x:c r="D356" s="10" t="str">
        <x:v>修改密码（公会长视角）</x:v>
      </x:c>
      <x:c r="E356" s="10" t="str">
        <x:v>功能需求</x:v>
      </x:c>
      <x:c r="F356" s="10" t="str">
        <x:v>P2</x:v>
      </x:c>
      <x:c r="G356" s="9" t="str">
        <x:v>验证公会两次新密码不一致</x:v>
      </x:c>
      <x:c r="H356" s="9" t="str">
        <x:v>公会确认密码匹配</x:v>
      </x:c>
      <x:c r="I356" s="9" t="str">
        <x:v>1. 执行角色为公会长
2. 当前密码OwnerPass8</x:v>
      </x:c>
      <x:c r="J356" s="9" t="str">
        <x:v>1. 进入修改密码
2. 输入当前密码OwnerPass8
3. 输入新密码NewOwner8
4. 输入确认密码NewOwner9
5. 点击保存</x:v>
      </x:c>
      <x:c r="K356" s="9" t="str">
        <x:v>不修改当前密码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来源（当前证据）：liveshow-proto/MainBasis/统一需求文档.md；位置：行2375
2. 规则：BR-0d166b1e0edfba2a
3. 未动态验证</x:v>
      </x:c>
    </x:row>
    <x:row r="357" ht="85" customHeight="1">
      <x:c r="A357" s="10" t="n">
        <x:v>356</x:v>
      </x:c>
      <x:c r="B357" s="10" t="str">
        <x:v>GUILD-04-0019</x:v>
      </x:c>
      <x:c r="C357" s="10" t="str">
        <x:v>公会管理</x:v>
      </x:c>
      <x:c r="D357" s="10" t="str">
        <x:v>修改密码（公会长视角）</x:v>
      </x:c>
      <x:c r="E357" s="10" t="str">
        <x:v>业务流程</x:v>
      </x:c>
      <x:c r="F357" s="10" t="str">
        <x:v>P1</x:v>
      </x:c>
      <x:c r="G357" s="9" t="str">
        <x:v>验证公会长旧密码错误</x:v>
      </x:c>
      <x:c r="H357" s="9" t="str">
        <x:v>公会改密原凭证校验</x:v>
      </x:c>
      <x:c r="I357" s="9" t="str">
        <x:v>1. 执行角色为公会长
2. 正确旧密码OldPass8</x:v>
      </x:c>
      <x:c r="J357" s="9" t="str">
        <x:v>1. 进入修改密码
2. 填写当前密码WrongPass8
3. 填写新密码NewPass8
4. 填写确认新密码NewPass8
5. 点击保存</x:v>
      </x:c>
      <x:c r="K357" s="9" t="str">
        <x:v>提示“当前密码错误”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来源（当前证据）：liveshow-proto/MainBasis/统一需求文档.md；位置：行2376
2. 规则：BR-2d27bb173e7b2a58
3. 未动态验证</x:v>
      </x:c>
    </x:row>
    <x:row r="358" ht="85" customHeight="1">
      <x:c r="A358" s="10" t="n">
        <x:v>357</x:v>
      </x:c>
      <x:c r="B358" s="10" t="str">
        <x:v>GUILD-04-0020</x:v>
      </x:c>
      <x:c r="C358" s="10" t="str">
        <x:v>公会管理</x:v>
      </x:c>
      <x:c r="D358" s="10" t="str">
        <x:v>修改密码（公会长视角）</x:v>
      </x:c>
      <x:c r="E358" s="10" t="str">
        <x:v>业务流程</x:v>
      </x:c>
      <x:c r="F358" s="10" t="str">
        <x:v>P1</x:v>
      </x:c>
      <x:c r="G358" s="9" t="str">
        <x:v>验证公会长新旧密码相同</x:v>
      </x:c>
      <x:c r="H358" s="9" t="str">
        <x:v>公会改密差异校验</x:v>
      </x:c>
      <x:c r="I358" s="9" t="str">
        <x:v>1. 执行角色为公会长
2. 当前密码OldPass8</x:v>
      </x:c>
      <x:c r="J358" s="9" t="str">
        <x:v>1. 进入修改密码
2. 填写当前密码OldPass8
3. 填写新密码OldPass8
4. 填写确认新密码OldPass8
5. 点击保存</x:v>
      </x:c>
      <x:c r="K358" s="9" t="str">
        <x:v>提示“新密码不能和旧密码一样”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来源（当前证据）：liveshow-proto/MainBasis/统一需求文档.md；位置：行2376
2. 规则：BR-54f3f09bfed4af88
3. 未动态验证</x:v>
      </x:c>
    </x:row>
    <x:row r="359" ht="145" customHeight="1">
      <x:c r="A359" s="10" t="n">
        <x:v>358</x:v>
      </x:c>
      <x:c r="B359" s="10" t="str">
        <x:v>GUILD-04-0021</x:v>
      </x:c>
      <x:c r="C359" s="10" t="str">
        <x:v>公会管理</x:v>
      </x:c>
      <x:c r="D359" s="10" t="str">
        <x:v>修改密码（公会长视角）</x:v>
      </x:c>
      <x:c r="E359" s="10" t="str">
        <x:v>业务流程</x:v>
      </x:c>
      <x:c r="F359" s="10" t="str">
        <x:v>P1</x:v>
      </x:c>
      <x:c r="G359" s="9" t="str">
        <x:v>验证公会改密请求失败</x:v>
      </x:c>
      <x:c r="H359" s="9" t="str">
        <x:v>公会改密失败提示</x:v>
      </x:c>
      <x:c r="I359" s="9" t="str">
        <x:v>1. 执行角色为公会长
2. 输入凭证合法；环境准备要求：需保存请求失败响应，当前待准备
3. 环境准备要求：技术提供仅作用于本条测试账号、本次目标请求的可控响应或测试适配器，在提交前启用本条指定故障；故障注入和验证账号尚待准备</x:v>
      </x:c>
      <x:c r="J359" s="9" t="str">
        <x:v>1. 进入修改密码
2. 填写当前密码OldPass8
3. 填写新密码NewPass8
4. 填写确认新密码NewPass8
5. 点击保存</x:v>
      </x:c>
      <x:c r="K359" s="9" t="str">
        <x:v>提示“保存失败”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来源（当前证据）：liveshow-proto/MainBasis/统一需求文档.md；位置：行2376
2. 规则：BR-4b6423a1970b351e
3. 未动态验证
4. 环境恢复：完成本条后移除本次响应覆盖或故障开关，恢复正常请求；本条未执行。</x:v>
      </x:c>
    </x:row>
    <x:row r="360" ht="85" customHeight="1">
      <x:c r="A360" s="10" t="n">
        <x:v>359</x:v>
      </x:c>
      <x:c r="B360" s="10" t="str">
        <x:v>GUILD-04-0022</x:v>
      </x:c>
      <x:c r="C360" s="10" t="str">
        <x:v>公会管理</x:v>
      </x:c>
      <x:c r="D360" s="10" t="str">
        <x:v>修改密码（公会长视角）</x:v>
      </x:c>
      <x:c r="E360" s="10" t="str">
        <x:v>业务流程</x:v>
      </x:c>
      <x:c r="F360" s="10" t="str">
        <x:v>P1</x:v>
      </x:c>
      <x:c r="G360" s="9" t="str">
        <x:v>验证公会长改密成功返回</x:v>
      </x:c>
      <x:c r="H360" s="9" t="str">
        <x:v>公会改密完成去向</x:v>
      </x:c>
      <x:c r="I360" s="9" t="str">
        <x:v>1. 执行角色为公会长
2. 当前密码OldPass8</x:v>
      </x:c>
      <x:c r="J360" s="9" t="str">
        <x:v>1. 进入修改密码
2. 填写当前密码OldPass8
3. 填写新密码NewPass8
4. 填写确认新密码NewPass8
5. 点击保存</x:v>
      </x:c>
      <x:c r="K360" s="9" t="str">
        <x:v>返回账号设置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来源（当前证据）：liveshow-proto/MainBasis/统一需求文档.md；位置：行2376
2. 规则：BR-85a579c7f6805fe2
3. 未动态验证</x:v>
      </x:c>
    </x:row>
    <x:row r="361" ht="115" customHeight="1">
      <x:c r="A361" s="10" t="n">
        <x:v>360</x:v>
      </x:c>
      <x:c r="B361" s="10" t="str">
        <x:v>GUILD-05-0001</x:v>
      </x:c>
      <x:c r="C361" s="10" t="str">
        <x:v>数据与收益</x:v>
      </x:c>
      <x:c r="D361" s="10" t="str">
        <x:v>公会业绩（公会长视角）</x:v>
      </x:c>
      <x:c r="E361" s="10" t="str">
        <x:v>功能需求</x:v>
      </x:c>
      <x:c r="F361" s="10" t="str">
        <x:v>P2</x:v>
      </x:c>
      <x:c r="G361" s="9" t="str">
        <x:v>验证公会业绩月粒度按月展示</x:v>
      </x:c>
      <x:c r="H361" s="9" t="str">
        <x:v>公会报表粒度</x:v>
      </x:c>
      <x:c r="I361" s="9" t="str">
        <x:v>1. 执行角色为公会长
2. 公会甲8月和9月都有记录</x:v>
      </x:c>
      <x:c r="J361" s="9" t="str">
        <x:v>1. 进入公会业绩
2. 选择月数据</x:v>
      </x:c>
      <x:c r="K361" s="9" t="str">
        <x:v>列表月份集合为【8月、9月】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来源（当前证据）：liveshow-proto/MainBasis/统一需求文档.md；位置：行2436
2. 规则：BR-37c6e0a64a618963
3. 未动态验证
4. 数据别名：甲、乙、丙用于区分本条测试对象；按前置条件准备并记录实际账号或记录 ID，不是固定业务名称。</x:v>
      </x:c>
    </x:row>
    <x:row r="362" ht="70" customHeight="1">
      <x:c r="A362" s="10" t="n">
        <x:v>361</x:v>
      </x:c>
      <x:c r="B362" s="10" t="str">
        <x:v>GUILD-05-0002</x:v>
      </x:c>
      <x:c r="C362" s="10" t="str">
        <x:v>数据与收益</x:v>
      </x:c>
      <x:c r="D362" s="10" t="str">
        <x:v>公会业绩（公会长视角）</x:v>
      </x:c>
      <x:c r="E362" s="10" t="str">
        <x:v>业务流程</x:v>
      </x:c>
      <x:c r="F362" s="10" t="str">
        <x:v>P1</x:v>
      </x:c>
      <x:c r="G362" s="9" t="str">
        <x:v>验证公会业绩日数据默认本月</x:v>
      </x:c>
      <x:c r="H362" s="9" t="str">
        <x:v>业绩日默认范围</x:v>
      </x:c>
      <x:c r="I362" s="9" t="str">
        <x:v>1. 执行角色为公会长
2. 当前为2026年9月</x:v>
      </x:c>
      <x:c r="J362" s="9" t="str">
        <x:v>1. 进入公会业绩
2. 选择日数据</x:v>
      </x:c>
      <x:c r="K362" s="9" t="str">
        <x:v>日范围为本月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来源（当前证据）：liveshow-proto/MainBasis/统一需求文档.md；位置：行2437
2. 规则：BR-7fa396fe72a30d61
3. 未动态验证</x:v>
      </x:c>
    </x:row>
    <x:row r="363" ht="70" customHeight="1">
      <x:c r="A363" s="10" t="n">
        <x:v>362</x:v>
      </x:c>
      <x:c r="B363" s="10" t="str">
        <x:v>GUILD-05-0003</x:v>
      </x:c>
      <x:c r="C363" s="10" t="str">
        <x:v>数据与收益</x:v>
      </x:c>
      <x:c r="D363" s="10" t="str">
        <x:v>公会业绩（公会长视角）</x:v>
      </x:c>
      <x:c r="E363" s="10" t="str">
        <x:v>业务流程</x:v>
      </x:c>
      <x:c r="F363" s="10" t="str">
        <x:v>P1</x:v>
      </x:c>
      <x:c r="G363" s="9" t="str">
        <x:v>验证公会业绩月数据默认近半年</x:v>
      </x:c>
      <x:c r="H363" s="9" t="str">
        <x:v>业绩月默认范围</x:v>
      </x:c>
      <x:c r="I363" s="9" t="str">
        <x:v>1. 执行角色为公会长
2. 当前为2026年9月</x:v>
      </x:c>
      <x:c r="J363" s="9" t="str">
        <x:v>1. 进入公会业绩
2. 选择月数据</x:v>
      </x:c>
      <x:c r="K363" s="9" t="str">
        <x:v>月范围为近半年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来源（当前证据）：liveshow-proto/MainBasis/统一需求文档.md；位置：行2438
2. 规则：BR-a9adcbdf554907fd
3. 未动态验证</x:v>
      </x:c>
    </x:row>
    <x:row r="364" ht="115" customHeight="1">
      <x:c r="A364" s="10" t="n">
        <x:v>363</x:v>
      </x:c>
      <x:c r="B364" s="10" t="str">
        <x:v>GUILD-05-0004</x:v>
      </x:c>
      <x:c r="C364" s="10" t="str">
        <x:v>数据与收益</x:v>
      </x:c>
      <x:c r="D364" s="10" t="str">
        <x:v>公会业绩（公会长视角）</x:v>
      </x:c>
      <x:c r="E364" s="10" t="str">
        <x:v>逻辑校验</x:v>
      </x:c>
      <x:c r="F364" s="10" t="str">
        <x:v>P1</x:v>
      </x:c>
      <x:c r="G364" s="9" t="str">
        <x:v>验证公会业绩直播场次按当前对象求和</x:v>
      </x:c>
      <x:c r="H364" s="9" t="str">
        <x:v>直播场次计算范围</x:v>
      </x:c>
      <x:c r="I364" s="9" t="str">
        <x:v>1. 执行角色为公会长
2. 当前自然日主播甲创建2场、乙创建1场；无其他主播场次</x:v>
      </x:c>
      <x:c r="J364" s="9" t="str">
        <x:v>1. 进入公会业绩
2. 查看前置条件指定对象及范围的直播场次</x:v>
      </x:c>
      <x:c r="K364" s="9" t="str">
        <x:v>直播场次按2+1计算=3场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来源（当前证据）：liveshow-proto/MainBasis/统一需求文档.md；位置：行2440
2. 规则：BR-1ad7e93fe894c13a
3. 未动态验证
4. 数据别名：甲、乙、丙用于区分本条测试对象；按前置条件准备并记录实际账号或记录 ID，不是固定业务名称。</x:v>
      </x:c>
    </x:row>
    <x:row r="365" ht="115" customHeight="1">
      <x:c r="A365" s="10" t="n">
        <x:v>364</x:v>
      </x:c>
      <x:c r="B365" s="10" t="str">
        <x:v>GUILD-05-0005</x:v>
      </x:c>
      <x:c r="C365" s="10" t="str">
        <x:v>数据与收益</x:v>
      </x:c>
      <x:c r="D365" s="10" t="str">
        <x:v>公会业绩（公会长视角）</x:v>
      </x:c>
      <x:c r="E365" s="10" t="str">
        <x:v>功能需求</x:v>
      </x:c>
      <x:c r="F365" s="10" t="str">
        <x:v>P2</x:v>
      </x:c>
      <x:c r="G365" s="9" t="str">
        <x:v>验证公会业绩达标主播按业务对象去重</x:v>
      </x:c>
      <x:c r="H365" s="9" t="str">
        <x:v>达标主播去重范围</x:v>
      </x:c>
      <x:c r="I365" s="9" t="str">
        <x:v>1. 执行角色为公会长
2. 当前日甲有效180分钟、乙179分钟、丙181分钟</x:v>
      </x:c>
      <x:c r="J365" s="9" t="str">
        <x:v>1. 进入公会业绩
2. 查看准备范围的达标主播</x:v>
      </x:c>
      <x:c r="K365" s="9" t="str">
        <x:v>达标主播为2人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来源（当前证据）：liveshow-proto/MainBasis/统一需求文档.md；位置：行2441
2. 规则：BR-57858ea0c8f592d2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GUILD-05-0006</x:v>
      </x:c>
      <x:c r="C366" s="10" t="str">
        <x:v>数据与收益</x:v>
      </x:c>
      <x:c r="D366" s="10" t="str">
        <x:v>公会业绩（公会长视角）</x:v>
      </x:c>
      <x:c r="E366" s="10" t="str">
        <x:v>逻辑校验</x:v>
      </x:c>
      <x:c r="F366" s="10" t="str">
        <x:v>P1</x:v>
      </x:c>
      <x:c r="G366" s="9" t="str">
        <x:v>验证公会业绩日收益按当前对象求和</x:v>
      </x:c>
      <x:c r="H366" s="9" t="str">
        <x:v>日收益计算范围</x:v>
      </x:c>
      <x:c r="I366" s="9" t="str">
        <x:v>1. 执行角色为公会长
2. 本公会所选日主播甲收益100、乙200；无其他收入</x:v>
      </x:c>
      <x:c r="J366" s="9" t="str">
        <x:v>1. 进入公会业绩
2. 查看前置条件指定对象及范围的日收益</x:v>
      </x:c>
      <x:c r="K366" s="9" t="str">
        <x:v>日收益按100+200计算=300金币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来源（当前证据）：liveshow-proto/MainBasis/统一需求文档.md；位置：行2442
2. 规则：BR-c9c5440ba2769059
3. 未动态验证
4. 数据别名：甲、乙、丙用于区分本条测试对象；按前置条件准备并记录实际账号或记录 ID，不是固定业务名称。</x:v>
      </x:c>
    </x:row>
    <x:row r="367" ht="70" customHeight="1">
      <x:c r="A367" s="10" t="n">
        <x:v>366</x:v>
      </x:c>
      <x:c r="B367" s="10" t="str">
        <x:v>GUILD-05-0007</x:v>
      </x:c>
      <x:c r="C367" s="10" t="str">
        <x:v>数据与收益</x:v>
      </x:c>
      <x:c r="D367" s="10" t="str">
        <x:v>公会业绩（公会长视角）</x:v>
      </x:c>
      <x:c r="E367" s="10" t="str">
        <x:v>逻辑校验</x:v>
      </x:c>
      <x:c r="F367" s="10" t="str">
        <x:v>P1</x:v>
      </x:c>
      <x:c r="G367" s="9" t="str">
        <x:v>验证公会业绩月收益按当前对象求和</x:v>
      </x:c>
      <x:c r="H367" s="9" t="str">
        <x:v>月收益计算范围</x:v>
      </x:c>
      <x:c r="I367" s="9" t="str">
        <x:v>1. 执行角色为公会长
2. 本公会所选月有两天收益100、200，其余日期为0</x:v>
      </x:c>
      <x:c r="J367" s="9" t="str">
        <x:v>1. 进入公会业绩
2. 查看前置条件指定对象及范围的月收益</x:v>
      </x:c>
      <x:c r="K367" s="9" t="str">
        <x:v>月收益按100+200计算=300金币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来源（当前证据）：liveshow-proto/MainBasis/统一需求文档.md；位置：行2444
2. 规则：BR-c794df489057c70e
3. 未动态验证</x:v>
      </x:c>
    </x:row>
    <x:row r="368" ht="115" customHeight="1">
      <x:c r="A368" s="10" t="n">
        <x:v>367</x:v>
      </x:c>
      <x:c r="B368" s="10" t="str">
        <x:v>GUILD-05-0008</x:v>
      </x:c>
      <x:c r="C368" s="10" t="str">
        <x:v>数据与收益</x:v>
      </x:c>
      <x:c r="D368" s="10" t="str">
        <x:v>公会业绩（公会长视角）</x:v>
      </x:c>
      <x:c r="E368" s="10" t="str">
        <x:v>功能需求</x:v>
      </x:c>
      <x:c r="F368" s="10" t="str">
        <x:v>P2</x:v>
      </x:c>
      <x:c r="G368" s="9" t="str">
        <x:v>验证公会业绩月开播人数按业务对象去重</x:v>
      </x:c>
      <x:c r="H368" s="9" t="str">
        <x:v>月开播人数去重范围</x:v>
      </x:c>
      <x:c r="I368" s="9" t="str">
        <x:v>1. 执行角色为公会长
2. 同一月甲在两个日期成功开播，乙成功开播一次，其他主播未开播</x:v>
      </x:c>
      <x:c r="J368" s="9" t="str">
        <x:v>1. 进入公会业绩
2. 查看准备范围的月开播人数</x:v>
      </x:c>
      <x:c r="K368" s="9" t="str">
        <x:v>开播人数为2人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来源（当前证据）：liveshow-proto/MainBasis/统一需求文档.md；位置：行2445
2. 规则：BR-c9fdf39f5613d814
3. 未动态验证
4. 数据别名：甲、乙、丙用于区分本条测试对象；按前置条件准备并记录实际账号或记录 ID，不是固定业务名称。</x:v>
      </x:c>
    </x:row>
    <x:row r="369" ht="70" customHeight="1">
      <x:c r="A369" s="10" t="n">
        <x:v>368</x:v>
      </x:c>
      <x:c r="B369" s="10" t="str">
        <x:v>GUILD-05-0009</x:v>
      </x:c>
      <x:c r="C369" s="10" t="str">
        <x:v>数据与收益</x:v>
      </x:c>
      <x:c r="D369" s="10" t="str">
        <x:v>公会业绩（公会长视角）</x:v>
      </x:c>
      <x:c r="E369" s="10" t="str">
        <x:v>逻辑校验</x:v>
      </x:c>
      <x:c r="F369" s="10" t="str">
        <x:v>P1</x:v>
      </x:c>
      <x:c r="G369" s="9" t="str">
        <x:v>验证公会业绩日范围公会收益按当前对象求和</x:v>
      </x:c>
      <x:c r="H369" s="9" t="str">
        <x:v>日范围公会收益计算范围</x:v>
      </x:c>
      <x:c r="I369" s="9" t="str">
        <x:v>1. 执行角色为公会长
2. 所选两天本公会有效礼物收益100、200，其余无收益</x:v>
      </x:c>
      <x:c r="J369" s="9" t="str">
        <x:v>1. 进入公会业绩
2. 查看前置条件指定对象及范围的日范围公会收益</x:v>
      </x:c>
      <x:c r="K369" s="9" t="str">
        <x:v>日范围公会收益按100+200计算=300金币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来源（当前证据）：liveshow-proto/MainBasis/统一需求文档.md；位置：行2446
2. 规则：BR-c9f8064eadb4f3db
3. 未动态验证</x:v>
      </x:c>
    </x:row>
    <x:row r="370" ht="70" customHeight="1">
      <x:c r="A370" s="10" t="n">
        <x:v>369</x:v>
      </x:c>
      <x:c r="B370" s="10" t="str">
        <x:v>GUILD-05-0010</x:v>
      </x:c>
      <x:c r="C370" s="10" t="str">
        <x:v>数据与收益</x:v>
      </x:c>
      <x:c r="D370" s="10" t="str">
        <x:v>公会业绩（公会长视角）</x:v>
      </x:c>
      <x:c r="E370" s="10" t="str">
        <x:v>逻辑校验</x:v>
      </x:c>
      <x:c r="F370" s="10" t="str">
        <x:v>P1</x:v>
      </x:c>
      <x:c r="G370" s="9" t="str">
        <x:v>验证公会业绩日范围直播场次按当前对象求和</x:v>
      </x:c>
      <x:c r="H370" s="9" t="str">
        <x:v>日范围直播场次计算范围</x:v>
      </x:c>
      <x:c r="I370" s="9" t="str">
        <x:v>1. 执行角色为公会长
2. 所选两天本公会分别创建2场、3场，其中1场尚在播</x:v>
      </x:c>
      <x:c r="J370" s="9" t="str">
        <x:v>1. 进入公会业绩
2. 查看前置条件指定对象及范围的日范围直播场次</x:v>
      </x:c>
      <x:c r="K370" s="9" t="str">
        <x:v>日范围直播场次按2+3计算=5场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来源（当前证据）：liveshow-proto/MainBasis/统一需求文档.md；位置：行2447
2. 规则：BR-7bc6d4296afc2974
3. 未动态验证</x:v>
      </x:c>
    </x:row>
    <x:row r="371" ht="115" customHeight="1">
      <x:c r="A371" s="10" t="n">
        <x:v>370</x:v>
      </x:c>
      <x:c r="B371" s="10" t="str">
        <x:v>GUILD-05-0011</x:v>
      </x:c>
      <x:c r="C371" s="10" t="str">
        <x:v>数据与收益</x:v>
      </x:c>
      <x:c r="D371" s="10" t="str">
        <x:v>公会业绩（公会长视角）</x:v>
      </x:c>
      <x:c r="E371" s="10" t="str">
        <x:v>功能需求</x:v>
      </x:c>
      <x:c r="F371" s="10" t="str">
        <x:v>P2</x:v>
      </x:c>
      <x:c r="G371" s="9" t="str">
        <x:v>验证公会业绩日范围开播人数按业务对象去重</x:v>
      </x:c>
      <x:c r="H371" s="9" t="str">
        <x:v>日范围开播人数去重范围</x:v>
      </x:c>
      <x:c r="I371" s="9" t="str">
        <x:v>1. 执行角色为公会长
2. 所选两日甲均完成直播，乙仅一天完成，丙只有进行中场次</x:v>
      </x:c>
      <x:c r="J371" s="9" t="str">
        <x:v>1. 进入公会业绩
2. 查看准备范围的日范围开播人数</x:v>
      </x:c>
      <x:c r="K371" s="9" t="str">
        <x:v>开播人数为2人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来源（当前证据）：liveshow-proto/MainBasis/统一需求文档.md；位置：行2448
2. 规则：BR-c9ae628d9a9c8670
3. 未动态验证
4. 数据别名：甲、乙、丙用于区分本条测试对象；按前置条件准备并记录实际账号或记录 ID，不是固定业务名称。</x:v>
      </x:c>
    </x:row>
    <x:row r="372" ht="115" customHeight="1">
      <x:c r="A372" s="10" t="n">
        <x:v>371</x:v>
      </x:c>
      <x:c r="B372" s="10" t="str">
        <x:v>GUILD-05-0012</x:v>
      </x:c>
      <x:c r="C372" s="10" t="str">
        <x:v>数据与收益</x:v>
      </x:c>
      <x:c r="D372" s="10" t="str">
        <x:v>公会业绩（公会长视角）</x:v>
      </x:c>
      <x:c r="E372" s="10" t="str">
        <x:v>逻辑校验</x:v>
      </x:c>
      <x:c r="F372" s="10" t="str">
        <x:v>P1</x:v>
      </x:c>
      <x:c r="G372" s="9" t="str">
        <x:v>验证周期有效天累加主播日达标次数</x:v>
      </x:c>
      <x:c r="H372" s="9" t="str">
        <x:v>有效天合计</x:v>
      </x:c>
      <x:c r="I372" s="9" t="str">
        <x:v>1. 执行角色为公会长
2. 甲9月1日及2日均满3小时，乙9月2日满3小时，其余未达标</x:v>
      </x:c>
      <x:c r="J372" s="9" t="str">
        <x:v>1. 进入公会业绩
2. 选择9月1日至9月2日</x:v>
      </x:c>
      <x:c r="K372" s="9" t="str">
        <x:v>达成有效天计算为2+1=3天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来源（当前证据）：liveshow-proto/MainBasis/统一需求文档.md；位置：行2449
2. 规则：BR-ec64f18c66c26aaa
3. 未动态验证
4. 数据别名：甲、乙、丙用于区分本条测试对象；按前置条件准备并记录实际账号或记录 ID，不是固定业务名称。</x:v>
      </x:c>
    </x:row>
    <x:row r="373" ht="70" customHeight="1">
      <x:c r="A373" s="10" t="n">
        <x:v>372</x:v>
      </x:c>
      <x:c r="B373" s="10" t="str">
        <x:v>GUILD-05-0013</x:v>
      </x:c>
      <x:c r="C373" s="10" t="str">
        <x:v>数据与收益</x:v>
      </x:c>
      <x:c r="D373" s="10" t="str">
        <x:v>公会业绩（公会长视角）</x:v>
      </x:c>
      <x:c r="E373" s="10" t="str">
        <x:v>逻辑校验</x:v>
      </x:c>
      <x:c r="F373" s="10" t="str">
        <x:v>P1</x:v>
      </x:c>
      <x:c r="G373" s="9" t="str">
        <x:v>验证公会业绩月范围公会收益按当前对象求和</x:v>
      </x:c>
      <x:c r="H373" s="9" t="str">
        <x:v>月范围公会收益计算范围</x:v>
      </x:c>
      <x:c r="I373" s="9" t="str">
        <x:v>1. 执行角色为公会长
2. 所选两个月本公会有效礼物收益100、200，无其他收益</x:v>
      </x:c>
      <x:c r="J373" s="9" t="str">
        <x:v>1. 进入公会业绩
2. 查看前置条件指定对象及范围的月范围公会收益</x:v>
      </x:c>
      <x:c r="K373" s="9" t="str">
        <x:v>月范围公会收益按100+200计算=300金币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来源（当前证据）：liveshow-proto/MainBasis/统一需求文档.md；位置：行2450
2. 规则：BR-4676a9cd59721603
3. 未动态验证</x:v>
      </x:c>
    </x:row>
    <x:row r="374" ht="70" customHeight="1">
      <x:c r="A374" s="10" t="n">
        <x:v>373</x:v>
      </x:c>
      <x:c r="B374" s="10" t="str">
        <x:v>GUILD-05-0014</x:v>
      </x:c>
      <x:c r="C374" s="10" t="str">
        <x:v>数据与收益</x:v>
      </x:c>
      <x:c r="D374" s="10" t="str">
        <x:v>公会业绩（公会长视角）</x:v>
      </x:c>
      <x:c r="E374" s="10" t="str">
        <x:v>逻辑校验</x:v>
      </x:c>
      <x:c r="F374" s="10" t="str">
        <x:v>P1</x:v>
      </x:c>
      <x:c r="G374" s="9" t="str">
        <x:v>验证公会业绩月范围直播场次按当前对象求和</x:v>
      </x:c>
      <x:c r="H374" s="9" t="str">
        <x:v>月范围直播场次计算范围</x:v>
      </x:c>
      <x:c r="I374" s="9" t="str">
        <x:v>1. 执行角色为公会长
2. 所选两个月分别新建2场、3场，其他月份场次不计入</x:v>
      </x:c>
      <x:c r="J374" s="9" t="str">
        <x:v>1. 进入公会业绩
2. 查看前置条件指定对象及范围的月范围直播场次</x:v>
      </x:c>
      <x:c r="K374" s="9" t="str">
        <x:v>月范围直播场次按2+3计算=5场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来源（当前证据）：liveshow-proto/MainBasis/统一需求文档.md；位置：行2451
2. 规则：BR-8a247b2c06e685ec
3. 未动态验证</x:v>
      </x:c>
    </x:row>
    <x:row r="375" ht="115" customHeight="1">
      <x:c r="A375" s="10" t="n">
        <x:v>374</x:v>
      </x:c>
      <x:c r="B375" s="10" t="str">
        <x:v>GUILD-05-0015</x:v>
      </x:c>
      <x:c r="C375" s="10" t="str">
        <x:v>数据与收益</x:v>
      </x:c>
      <x:c r="D375" s="10" t="str">
        <x:v>公会业绩（公会长视角）</x:v>
      </x:c>
      <x:c r="E375" s="10" t="str">
        <x:v>功能需求</x:v>
      </x:c>
      <x:c r="F375" s="10" t="str">
        <x:v>P2</x:v>
      </x:c>
      <x:c r="G375" s="9" t="str">
        <x:v>验证公会业绩月范围开播人数按业务对象去重</x:v>
      </x:c>
      <x:c r="H375" s="9" t="str">
        <x:v>月范围开播人数去重范围</x:v>
      </x:c>
      <x:c r="I375" s="9" t="str">
        <x:v>1. 执行角色为公会长
2. 所选两个月甲每月均完成直播，乙仅一月完成，丙只有进行中场次</x:v>
      </x:c>
      <x:c r="J375" s="9" t="str">
        <x:v>1. 进入公会业绩
2. 查看准备范围的月范围开播人数</x:v>
      </x:c>
      <x:c r="K375" s="9" t="str">
        <x:v>开播人数为2人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来源（当前证据）：liveshow-proto/MainBasis/统一需求文档.md；位置：行2452
2. 规则：BR-fb238e7556c59fea
3. 未动态验证
4. 数据别名：甲、乙、丙用于区分本条测试对象；按前置条件准备并记录实际账号或记录 ID，不是固定业务名称。</x:v>
      </x:c>
    </x:row>
    <x:row r="376" ht="70" customHeight="1">
      <x:c r="A376" s="10" t="n">
        <x:v>375</x:v>
      </x:c>
      <x:c r="B376" s="10" t="str">
        <x:v>GUILD-05-0016</x:v>
      </x:c>
      <x:c r="C376" s="10" t="str">
        <x:v>数据与收益</x:v>
      </x:c>
      <x:c r="D376" s="10" t="str">
        <x:v>公会业绩（公会长视角）</x:v>
      </x:c>
      <x:c r="E376" s="10" t="str">
        <x:v>逻辑校验</x:v>
      </x:c>
      <x:c r="F376" s="10" t="str">
        <x:v>P1</x:v>
      </x:c>
      <x:c r="G376" s="9" t="str">
        <x:v>验证公会业绩月范围有效天按当前对象求和</x:v>
      </x:c>
      <x:c r="H376" s="9" t="str">
        <x:v>月范围有效天计算范围</x:v>
      </x:c>
      <x:c r="I376" s="9" t="str">
        <x:v>1. 执行角色为公会长
2. 所选两个月的有效天数分别2、3，均由单个主播单个自然日达标记录组成</x:v>
      </x:c>
      <x:c r="J376" s="9" t="str">
        <x:v>1. 进入公会业绩
2. 查看前置条件指定对象及范围的月范围有效天</x:v>
      </x:c>
      <x:c r="K376" s="9" t="str">
        <x:v>月范围有效天按2+3计算=5天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来源（当前证据）：liveshow-proto/MainBasis/统一需求文档.md；位置：行2453
2. 规则：BR-49414172c260d8b6
3. 未动态验证</x:v>
      </x:c>
    </x:row>
    <x:row r="377" ht="70" customHeight="1">
      <x:c r="A377" s="10" t="n">
        <x:v>376</x:v>
      </x:c>
      <x:c r="B377" s="10" t="str">
        <x:v>GUILD-05-0017</x:v>
      </x:c>
      <x:c r="C377" s="10" t="str">
        <x:v>数据与收益</x:v>
      </x:c>
      <x:c r="D377" s="10" t="str">
        <x:v>公会业绩（公会长视角）</x:v>
      </x:c>
      <x:c r="E377" s="10" t="str">
        <x:v>功能需求</x:v>
      </x:c>
      <x:c r="F377" s="10" t="str">
        <x:v>P2</x:v>
      </x:c>
      <x:c r="G377" s="9" t="str">
        <x:v>验证切换场次指标同步趋势</x:v>
      </x:c>
      <x:c r="H377" s="9" t="str">
        <x:v>公会图表指标切换</x:v>
      </x:c>
      <x:c r="I377" s="9" t="str">
        <x:v>1. 执行角色为公会长
2. 范围两日直播场次分别2和3，收益为100和200金币</x:v>
      </x:c>
      <x:c r="J377" s="9" t="str">
        <x:v>1. 进入公会业绩
2. 点击直播场次指标</x:v>
      </x:c>
      <x:c r="K377" s="9" t="str">
        <x:v>两日趋势数值分别为2场和3场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来源（当前证据）：liveshow-proto/MainBasis/统一需求文档.md；位置：行2454
2. 规则：BR-70e89e11f6a5f690
3. 未动态验证</x:v>
      </x:c>
    </x:row>
    <x:row r="378" ht="70" customHeight="1">
      <x:c r="A378" s="10" t="n">
        <x:v>377</x:v>
      </x:c>
      <x:c r="B378" s="10" t="str">
        <x:v>GUILD-05-0018</x:v>
      </x:c>
      <x:c r="C378" s="10" t="str">
        <x:v>数据与收益</x:v>
      </x:c>
      <x:c r="D378" s="10" t="str">
        <x:v>公会业绩（公会长视角）</x:v>
      </x:c>
      <x:c r="E378" s="10" t="str">
        <x:v>业务流程</x:v>
      </x:c>
      <x:c r="F378" s="10" t="str">
        <x:v>P1</x:v>
      </x:c>
      <x:c r="G378" s="9" t="str">
        <x:v>验证月数据进入主播业绩带入月份</x:v>
      </x:c>
      <x:c r="H378" s="9" t="str">
        <x:v>业绩月份参数传递</x:v>
      </x:c>
      <x:c r="I378" s="9" t="str">
        <x:v>1. 执行角色为公会长
2. 公会8月有业绩</x:v>
      </x:c>
      <x:c r="J378" s="9" t="str">
        <x:v>1. 进入公会业绩
2. 选择月数据
3. 点击2026年8月</x:v>
      </x:c>
      <x:c r="K378" s="9" t="str">
        <x:v>主播业绩带入2026年8月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来源（当前证据）：liveshow-proto/MainBasis/统一需求文档.md；位置：行2455
2. 规则：BR-b26d95827b3ef6d4
3. 未动态验证</x:v>
      </x:c>
    </x:row>
    <x:row r="379" ht="115" customHeight="1">
      <x:c r="A379" s="10" t="n">
        <x:v>378</x:v>
      </x:c>
      <x:c r="B379" s="10" t="str">
        <x:v>GUILD-05-0019</x:v>
      </x:c>
      <x:c r="C379" s="10" t="str">
        <x:v>数据与收益</x:v>
      </x:c>
      <x:c r="D379" s="10" t="str">
        <x:v>公会业绩（公会长视角）</x:v>
      </x:c>
      <x:c r="E379" s="10" t="str">
        <x:v>逻辑校验</x:v>
      </x:c>
      <x:c r="F379" s="10" t="str">
        <x:v>P1</x:v>
      </x:c>
      <x:c r="G379" s="9" t="str">
        <x:v>验证跨日开播人数不能累加每日人数</x:v>
      </x:c>
      <x:c r="H379" s="9" t="str">
        <x:v>周期主播去重</x:v>
      </x:c>
      <x:c r="I379" s="9" t="str">
        <x:v>1. 执行角色为公会长
2. 甲9月1日及2日都完成直播；乙仅1日；丙仅2日，三名主播均属于本公会</x:v>
      </x:c>
      <x:c r="J379" s="9" t="str">
        <x:v>1. 进入公会业绩
2. 选择9月1日至9月2日</x:v>
      </x:c>
      <x:c r="K379" s="9" t="str">
        <x:v>开播人数按甲乙丙去重计算=3人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来源（当前证据）：liveshow-proto/MainBasis/统一需求文档.md；位置：行2456
2. 规则：BR-91003e35c197ef2b
3. 未动态验证
4. 数据别名：甲、乙、丙用于区分本条测试对象；按前置条件准备并记录实际账号或记录 ID，不是固定业务名称。</x:v>
      </x:c>
    </x:row>
    <x:row r="380" ht="70" customHeight="1">
      <x:c r="A380" s="10" t="n">
        <x:v>379</x:v>
      </x:c>
      <x:c r="B380" s="10" t="str">
        <x:v>GUILD-05-0020</x:v>
      </x:c>
      <x:c r="C380" s="10" t="str">
        <x:v>数据与收益</x:v>
      </x:c>
      <x:c r="D380" s="10" t="str">
        <x:v>每日（公会长视角）</x:v>
      </x:c>
      <x:c r="E380" s="10" t="str">
        <x:v>业务流程</x:v>
      </x:c>
      <x:c r="F380" s="10" t="str">
        <x:v>P1</x:v>
      </x:c>
      <x:c r="G380" s="9" t="str">
        <x:v>验证查看非今日显示历史标记</x:v>
      </x:c>
      <x:c r="H380" s="9" t="str">
        <x:v>每日数据历史状态</x:v>
      </x:c>
      <x:c r="I380" s="9" t="str">
        <x:v>1. 执行角色为公会长
2. 当前9月15日，有9月1日数据</x:v>
      </x:c>
      <x:c r="J380" s="9" t="str">
        <x:v>1. 进入9月1日每日详情</x:v>
      </x:c>
      <x:c r="K380" s="9" t="str">
        <x:v>显示历史标记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来源（当前证据）：liveshow-proto/MainBasis/统一需求文档.md；位置：行2460
2. 规则：BR-7b1e52a54778f5d5
3. 未动态验证</x:v>
      </x:c>
    </x:row>
    <x:row r="381" ht="115" customHeight="1">
      <x:c r="A381" s="10" t="n">
        <x:v>380</x:v>
      </x:c>
      <x:c r="B381" s="10" t="str">
        <x:v>GUILD-05-0021</x:v>
      </x:c>
      <x:c r="C381" s="10" t="str">
        <x:v>数据与收益</x:v>
      </x:c>
      <x:c r="D381" s="10" t="str">
        <x:v>每日（公会长视角）</x:v>
      </x:c>
      <x:c r="E381" s="10" t="str">
        <x:v>业务流程</x:v>
      </x:c>
      <x:c r="F381" s="10" t="str">
        <x:v>P1</x:v>
      </x:c>
      <x:c r="G381" s="9" t="str">
        <x:v>验证未开播主播不展示业绩</x:v>
      </x:c>
      <x:c r="H381" s="9" t="str">
        <x:v>每日未开播范围</x:v>
      </x:c>
      <x:c r="I381" s="9" t="str">
        <x:v>1. 执行角色为公会长
2. 主播甲当日未开播</x:v>
      </x:c>
      <x:c r="J381" s="9" t="str">
        <x:v>1. 进入当日每日详情
2. 选择未开播</x:v>
      </x:c>
      <x:c r="K381" s="9" t="str">
        <x:v>主播甲条目不显示直播业绩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来源（当前证据）：liveshow-proto/MainBasis/统一需求文档.md；位置：行2461
2. 规则：BR-24560110f1a121da
3. 未动态验证
4. 数据别名：甲、乙、丙用于区分本条测试对象；按前置条件准备并记录实际账号或记录 ID，不是固定业务名称。</x:v>
      </x:c>
    </x:row>
    <x:row r="382" ht="115" customHeight="1">
      <x:c r="A382" s="10" t="n">
        <x:v>381</x:v>
      </x:c>
      <x:c r="B382" s="10" t="str">
        <x:v>GUILD-05-0022</x:v>
      </x:c>
      <x:c r="C382" s="10" t="str">
        <x:v>数据与收益</x:v>
      </x:c>
      <x:c r="D382" s="10" t="str">
        <x:v>每日（公会长视角）</x:v>
      </x:c>
      <x:c r="E382" s="10" t="str">
        <x:v>功能需求</x:v>
      </x:c>
      <x:c r="F382" s="10" t="str">
        <x:v>P2</x:v>
      </x:c>
      <x:c r="G382" s="9" t="str">
        <x:v>验证每日读取名称</x:v>
      </x:c>
      <x:c r="H382" s="9" t="str">
        <x:v>名称回显</x:v>
      </x:c>
      <x:c r="I382" s="9" t="str">
        <x:v>1. 执行角色为公会长
2. 每日经营详情中的主播资料的名称为“主播甲”</x:v>
      </x:c>
      <x:c r="J382" s="9" t="str">
        <x:v>1. 进入每日
2. 查看名称</x:v>
      </x:c>
      <x:c r="K382" s="9" t="str">
        <x:v>名称显示“主播甲”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来源（当前证据）：liveshow-proto/MainBasis/统一需求文档.md；位置：行2462
2. 规则：BR-1fa55e3bb2e7b2cc
3. 未动态验证
4. 数据别名：甲、乙、丙用于区分本条测试对象；按前置条件准备并记录实际账号或记录 ID，不是固定业务名称。</x:v>
      </x:c>
    </x:row>
    <x:row r="383" ht="70" customHeight="1">
      <x:c r="A383" s="10" t="n">
        <x:v>382</x:v>
      </x:c>
      <x:c r="B383" s="10" t="str">
        <x:v>GUILD-05-0023</x:v>
      </x:c>
      <x:c r="C383" s="10" t="str">
        <x:v>数据与收益</x:v>
      </x:c>
      <x:c r="D383" s="10" t="str">
        <x:v>每日（公会长视角）</x:v>
      </x:c>
      <x:c r="E383" s="10" t="str">
        <x:v>功能需求</x:v>
      </x:c>
      <x:c r="F383" s="10" t="str">
        <x:v>P2</x:v>
      </x:c>
      <x:c r="G383" s="9" t="str">
        <x:v>验证每日读取主播ID</x:v>
      </x:c>
      <x:c r="H383" s="9" t="str">
        <x:v>主播ID回显</x:v>
      </x:c>
      <x:c r="I383" s="9" t="str">
        <x:v>1. 执行角色为公会长
2. 每日经营详情中的主播资料的主播ID为“100001”</x:v>
      </x:c>
      <x:c r="J383" s="9" t="str">
        <x:v>1. 进入每日
2. 查看主播ID</x:v>
      </x:c>
      <x:c r="K383" s="9" t="str">
        <x:v>主播ID显示“100001”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来源（当前证据）：liveshow-proto/MainBasis/统一需求文档.md；位置：行2463
2. 规则：BR-a2746519a80ca2c2
3. 未动态验证</x:v>
      </x:c>
    </x:row>
    <x:row r="384" ht="70" customHeight="1">
      <x:c r="A384" s="10" t="n">
        <x:v>383</x:v>
      </x:c>
      <x:c r="B384" s="10" t="str">
        <x:v>GUILD-05-0024</x:v>
      </x:c>
      <x:c r="C384" s="10" t="str">
        <x:v>数据与收益</x:v>
      </x:c>
      <x:c r="D384" s="10" t="str">
        <x:v>每日（公会长视角）</x:v>
      </x:c>
      <x:c r="E384" s="10" t="str">
        <x:v>逻辑校验</x:v>
      </x:c>
      <x:c r="F384" s="10" t="str">
        <x:v>P1</x:v>
      </x:c>
      <x:c r="G384" s="9" t="str">
        <x:v>验证每日主播当日收益按当前对象求和</x:v>
      </x:c>
      <x:c r="H384" s="9" t="str">
        <x:v>主播当日收益计算范围</x:v>
      </x:c>
      <x:c r="I384" s="9" t="str">
        <x:v>1. 执行角色为公会长
2. 当天本主播普通真实赠礼100、定制真实赠礼200；无其他收入</x:v>
      </x:c>
      <x:c r="J384" s="9" t="str">
        <x:v>1. 进入每日
2. 查看前置条件指定对象及范围的主播当日收益</x:v>
      </x:c>
      <x:c r="K384" s="9" t="str">
        <x:v>主播当日收益按100+200计算=300金币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来源（当前证据）：liveshow-proto/MainBasis/统一需求文档.md；位置：行2465
2. 规则：BR-a05f301c7f8409ea
3. 未动态验证</x:v>
      </x:c>
    </x:row>
    <x:row r="385" ht="115" customHeight="1">
      <x:c r="A385" s="10" t="n">
        <x:v>384</x:v>
      </x:c>
      <x:c r="B385" s="10" t="str">
        <x:v>GUILD-05-0025</x:v>
      </x:c>
      <x:c r="C385" s="10" t="str">
        <x:v>数据与收益</x:v>
      </x:c>
      <x:c r="D385" s="10" t="str">
        <x:v>每日（公会长视角）</x:v>
      </x:c>
      <x:c r="E385" s="10" t="str">
        <x:v>功能需求</x:v>
      </x:c>
      <x:c r="F385" s="10" t="str">
        <x:v>P2</x:v>
      </x:c>
      <x:c r="G385" s="9" t="str">
        <x:v>验证未开播主播不展示时长业绩</x:v>
      </x:c>
      <x:c r="H385" s="9" t="str">
        <x:v>未开播业绩空态</x:v>
      </x:c>
      <x:c r="I385" s="9" t="str">
        <x:v>1. 执行角色为公会长
2. 甲当日没有任何直播场次</x:v>
      </x:c>
      <x:c r="J385" s="9" t="str">
        <x:v>1. 进入当日经营详情
2. 选择未开播</x:v>
      </x:c>
      <x:c r="K385" s="9" t="str">
        <x:v>甲不展示当日直播时长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来源（当前证据）：liveshow-proto/MainBasis/统一需求文档.md；位置：行2466
2. 规则：BR-a93252c82050a86e
3. 未动态验证
4. 数据别名：甲、乙、丙用于区分本条测试对象；按前置条件准备并记录实际账号或记录 ID，不是固定业务名称。</x:v>
      </x:c>
    </x:row>
    <x:row r="386" ht="115" customHeight="1">
      <x:c r="A386" s="10" t="n">
        <x:v>385</x:v>
      </x:c>
      <x:c r="B386" s="10" t="str">
        <x:v>GUILD-05-0026</x:v>
      </x:c>
      <x:c r="C386" s="10" t="str">
        <x:v>数据与收益</x:v>
      </x:c>
      <x:c r="D386" s="10" t="str">
        <x:v>每日（公会长视角）</x:v>
      </x:c>
      <x:c r="E386" s="10" t="str">
        <x:v>逻辑校验</x:v>
      </x:c>
      <x:c r="F386" s="10" t="str">
        <x:v>P1</x:v>
      </x:c>
      <x:c r="G386" s="9" t="str">
        <x:v>验证每日全部主播当日收益按当前对象求和</x:v>
      </x:c>
      <x:c r="H386" s="9" t="str">
        <x:v>全部主播当日收益计算范围</x:v>
      </x:c>
      <x:c r="I386" s="9" t="str">
        <x:v>1. 执行角色为公会长
2. 当天本公会甲主播有效收益100、乙200；无其他收入</x:v>
      </x:c>
      <x:c r="J386" s="9" t="str">
        <x:v>1. 进入每日
2. 查看前置条件指定对象及范围的全部主播当日收益</x:v>
      </x:c>
      <x:c r="K386" s="9" t="str">
        <x:v>全部主播当日收益按100+200计算=300金币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来源（当前证据）：liveshow-proto/MainBasis/统一需求文档.md；位置：行2467
2. 规则：BR-9371e38067415a5c
3. 未动态验证
4. 数据别名：甲、乙、丙用于区分本条测试对象；按前置条件准备并记录实际账号或记录 ID，不是固定业务名称。</x:v>
      </x:c>
    </x:row>
    <x:row r="387" ht="115" customHeight="1">
      <x:c r="A387" s="10" t="n">
        <x:v>386</x:v>
      </x:c>
      <x:c r="B387" s="10" t="str">
        <x:v>GUILD-05-0027</x:v>
      </x:c>
      <x:c r="C387" s="10" t="str">
        <x:v>数据与收益</x:v>
      </x:c>
      <x:c r="D387" s="10" t="str">
        <x:v>每日（公会长视角）</x:v>
      </x:c>
      <x:c r="E387" s="10" t="str">
        <x:v>功能需求</x:v>
      </x:c>
      <x:c r="F387" s="10" t="str">
        <x:v>P2</x:v>
      </x:c>
      <x:c r="G387" s="9" t="str">
        <x:v>验证历史日直播中改按当日开播人数</x:v>
      </x:c>
      <x:c r="H387" s="9" t="str">
        <x:v>经营历史人数口径</x:v>
      </x:c>
      <x:c r="I387" s="9" t="str">
        <x:v>1. 执行角色为公会长
2. 9月1日甲乙均开播，甲两场乙一场，当前都未开播</x:v>
      </x:c>
      <x:c r="J387" s="9" t="str">
        <x:v>1. 进入当日经营详情
2. 选择9月1日</x:v>
      </x:c>
      <x:c r="K387" s="9" t="str">
        <x:v>直播中指标按当日开播人数显示2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来源（当前证据）：liveshow-proto/MainBasis/统一需求文档.md；位置：行2468
2. 规则：BR-c9868b306af0f811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GUILD-05-0028</x:v>
      </x:c>
      <x:c r="C388" s="10" t="str">
        <x:v>数据与收益</x:v>
      </x:c>
      <x:c r="D388" s="10" t="str">
        <x:v>每日（公会长视角）</x:v>
      </x:c>
      <x:c r="E388" s="10" t="str">
        <x:v>功能需求</x:v>
      </x:c>
      <x:c r="F388" s="10" t="str">
        <x:v>P2</x:v>
      </x:c>
      <x:c r="G388" s="9" t="str">
        <x:v>验证每日达成有效天按业务对象去重</x:v>
      </x:c>
      <x:c r="H388" s="9" t="str">
        <x:v>达成有效天去重范围</x:v>
      </x:c>
      <x:c r="I388" s="9" t="str">
        <x:v>1. 执行角色为公会长
2. 当日甲累计有效180分钟、乙179分钟、丙181分钟，均无跨日</x:v>
      </x:c>
      <x:c r="J388" s="9" t="str">
        <x:v>1. 进入每日
2. 查看准备范围的达成有效天</x:v>
      </x:c>
      <x:c r="K388" s="9" t="str">
        <x:v>达成有效天为2人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来源（当前证据）：liveshow-proto/MainBasis/统一需求文档.md；位置：行2469
2. 规则：BR-02d4d23f7bc9a957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GUILD-05-0029</x:v>
      </x:c>
      <x:c r="C389" s="10" t="str">
        <x:v>数据与收益</x:v>
      </x:c>
      <x:c r="D389" s="10" t="str">
        <x:v>每日（公会长视角）</x:v>
      </x:c>
      <x:c r="E389" s="10" t="str">
        <x:v>功能需求</x:v>
      </x:c>
      <x:c r="F389" s="10" t="str">
        <x:v>P2</x:v>
      </x:c>
      <x:c r="G389" s="9" t="str">
        <x:v>验证经营详情带日期进入主播数据</x:v>
      </x:c>
      <x:c r="H389" s="9" t="str">
        <x:v>经营日期传递</x:v>
      </x:c>
      <x:c r="I389" s="9" t="str">
        <x:v>1. 执行角色为公会长
2. 当前经营日期9月1日，主播甲在列表</x:v>
      </x:c>
      <x:c r="J389" s="9" t="str">
        <x:v>1. 点击甲</x:v>
      </x:c>
      <x:c r="K389" s="9" t="str">
        <x:v>甲主播数据带入9月1日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来源（当前证据）：liveshow-proto/MainBasis/统一需求文档.md；位置：行2470
2. 规则：BR-9158fb1c8b403559
3. 未动态验证
4. 数据别名：甲、乙、丙用于区分本条测试对象；按前置条件准备并记录实际账号或记录 ID，不是固定业务名称。</x:v>
      </x:c>
    </x:row>
    <x:row r="390" ht="70" customHeight="1">
      <x:c r="A390" s="10" t="n">
        <x:v>389</x:v>
      </x:c>
      <x:c r="B390" s="10" t="str">
        <x:v>GUILD-05-0030</x:v>
      </x:c>
      <x:c r="C390" s="10" t="str">
        <x:v>数据与收益</x:v>
      </x:c>
      <x:c r="D390" s="10" t="str">
        <x:v>直播记录（公会长视角）</x:v>
      </x:c>
      <x:c r="E390" s="10" t="str">
        <x:v>功能需求</x:v>
      </x:c>
      <x:c r="F390" s="10" t="str">
        <x:v>P2</x:v>
      </x:c>
      <x:c r="G390" s="9" t="str">
        <x:v>验证直播记录选主播保留日期</x:v>
      </x:c>
      <x:c r="H390" s="9" t="str">
        <x:v>直播记录组合条件</x:v>
      </x:c>
      <x:c r="I390" s="9" t="str">
        <x:v>1. 执行角色为公会长
2. 当前日期9月1日至9月3日，默认全部主播</x:v>
      </x:c>
      <x:c r="J390" s="9" t="str">
        <x:v>1. 进入选择主播
2. 选择甲
3. 点击完成</x:v>
      </x:c>
      <x:c r="K390" s="9" t="str">
        <x:v>日期仍为9月1日至9月3日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来源（当前证据）：liveshow-proto/MainBasis/统一需求文档.md；位置：行2380
2. 规则：BR-e8d9db4c719f36e3
3. 未动态验证</x:v>
      </x:c>
    </x:row>
    <x:row r="391" ht="115" customHeight="1">
      <x:c r="A391" s="10" t="n">
        <x:v>390</x:v>
      </x:c>
      <x:c r="B391" s="10" t="str">
        <x:v>GUILD-05-0031</x:v>
      </x:c>
      <x:c r="C391" s="10" t="str">
        <x:v>数据与收益</x:v>
      </x:c>
      <x:c r="D391" s="10" t="str">
        <x:v>直播记录（公会长视角）</x:v>
      </x:c>
      <x:c r="E391" s="10" t="str">
        <x:v>逻辑校验</x:v>
      </x:c>
      <x:c r="F391" s="10" t="str">
        <x:v>P1</x:v>
      </x:c>
      <x:c r="G391" s="9" t="str">
        <x:v>验证公会直播记录包含开始日记录</x:v>
      </x:c>
      <x:c r="H391" s="9" t="str">
        <x:v>开始日边界包含</x:v>
      </x:c>
      <x:c r="I391" s="9" t="str">
        <x:v>1. 执行角色为公会长
2. 准备本页有效记录甲，统计日期为2026年9月1日；记录乙在9月4日，其他筛选条件均满足</x:v>
      </x:c>
      <x:c r="J391" s="9" t="str">
        <x:v>1. 进入公会直播记录
2. 选择自定义日期2026年9月1日至3日
3. 查看结果</x:v>
      </x:c>
      <x:c r="K391" s="9" t="str">
        <x:v>结果包含甲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来源（当前证据）：liveshow-proto/MainBasis/统一需求文档.md；位置：行2381
2. 规则：BR-85eff29d6dc28755
3. 未动态验证
4. 数据别名：甲、乙、丙用于区分本条测试对象；按前置条件准备并记录实际账号或记录 ID，不是固定业务名称。</x:v>
      </x:c>
    </x:row>
    <x:row r="392" ht="115" customHeight="1">
      <x:c r="A392" s="10" t="n">
        <x:v>391</x:v>
      </x:c>
      <x:c r="B392" s="10" t="str">
        <x:v>GUILD-05-0032</x:v>
      </x:c>
      <x:c r="C392" s="10" t="str">
        <x:v>数据与收益</x:v>
      </x:c>
      <x:c r="D392" s="10" t="str">
        <x:v>直播记录（公会长视角）</x:v>
      </x:c>
      <x:c r="E392" s="10" t="str">
        <x:v>逻辑校验</x:v>
      </x:c>
      <x:c r="F392" s="10" t="str">
        <x:v>P1</x:v>
      </x:c>
      <x:c r="G392" s="9" t="str">
        <x:v>验证公会直播记录包含结束日记录</x:v>
      </x:c>
      <x:c r="H392" s="9" t="str">
        <x:v>结束日边界包含</x:v>
      </x:c>
      <x:c r="I392" s="9" t="str">
        <x:v>1. 执行角色为公会长
2. 准备本页有效记录甲，统计日期为2026年9月3日；记录乙在9月4日，其他筛选条件均满足</x:v>
      </x:c>
      <x:c r="J392" s="9" t="str">
        <x:v>1. 进入公会直播记录
2. 选择自定义日期2026年9月1日至3日
3. 查看结果</x:v>
      </x:c>
      <x:c r="K392" s="9" t="str">
        <x:v>结果包含甲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来源（当前证据）：liveshow-proto/MainBasis/统一需求文档.md；位置：行2381
2. 规则：BR-7f4ee5a496da1d17
3. 未动态验证
4. 数据别名：甲、乙、丙用于区分本条测试对象；按前置条件准备并记录实际账号或记录 ID，不是固定业务名称。</x:v>
      </x:c>
    </x:row>
    <x:row r="393" ht="115" customHeight="1">
      <x:c r="A393" s="10" t="n">
        <x:v>392</x:v>
      </x:c>
      <x:c r="B393" s="10" t="str">
        <x:v>GUILD-05-0033</x:v>
      </x:c>
      <x:c r="C393" s="10" t="str">
        <x:v>数据与收益</x:v>
      </x:c>
      <x:c r="D393" s="10" t="str">
        <x:v>直播记录（公会长视角）</x:v>
      </x:c>
      <x:c r="E393" s="10" t="str">
        <x:v>功能需求</x:v>
      </x:c>
      <x:c r="F393" s="10" t="str">
        <x:v>P2</x:v>
      </x:c>
      <x:c r="G393" s="9" t="str">
        <x:v>验证公会直播记录选择今日范围</x:v>
      </x:c>
      <x:c r="H393" s="9" t="str">
        <x:v>今日筛选切换</x:v>
      </x:c>
      <x:c r="I393" s="9" t="str">
        <x:v>1. 执行角色为公会长
2. 准备两笔记录：甲的本页统计时间在本次今日内；乙在范围外；主体均属于当前公会</x:v>
      </x:c>
      <x:c r="J393" s="9" t="str">
        <x:v>1. 进入公会直播记录
2. 选择今日
3. 查看列表</x:v>
      </x:c>
      <x:c r="K393" s="9" t="str">
        <x:v>列表包含甲且排除乙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来源（当前证据）：liveshow-proto/MainBasis/统一需求文档.md；位置：行2382
2. 规则：BR-915b6474ed375d5e
3. 未动态验证
4. 数据别名：甲、乙、丙用于区分本条测试对象；按前置条件准备并记录实际账号或记录 ID，不是固定业务名称。</x:v>
      </x:c>
    </x:row>
    <x:row r="394" ht="115" customHeight="1">
      <x:c r="A394" s="10" t="n">
        <x:v>393</x:v>
      </x:c>
      <x:c r="B394" s="10" t="str">
        <x:v>GUILD-05-0034</x:v>
      </x:c>
      <x:c r="C394" s="10" t="str">
        <x:v>数据与收益</x:v>
      </x:c>
      <x:c r="D394" s="10" t="str">
        <x:v>直播记录（公会长视角）</x:v>
      </x:c>
      <x:c r="E394" s="10" t="str">
        <x:v>功能需求</x:v>
      </x:c>
      <x:c r="F394" s="10" t="str">
        <x:v>P2</x:v>
      </x:c>
      <x:c r="G394" s="9" t="str">
        <x:v>验证公会直播记录选择昨日范围</x:v>
      </x:c>
      <x:c r="H394" s="9" t="str">
        <x:v>昨日筛选切换</x:v>
      </x:c>
      <x:c r="I394" s="9" t="str">
        <x:v>1. 执行角色为公会长
2. 准备两笔记录：甲的本页统计时间在本次昨日内；乙在范围外；主体均属于当前公会</x:v>
      </x:c>
      <x:c r="J394" s="9" t="str">
        <x:v>1. 进入公会直播记录
2. 选择昨日
3. 查看列表</x:v>
      </x:c>
      <x:c r="K394" s="9" t="str">
        <x:v>列表包含甲且排除乙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来源（当前证据）：liveshow-proto/MainBasis/统一需求文档.md；位置：行2382
2. 规则：BR-577f2e1e79249965
3. 未动态验证
4. 数据别名：甲、乙、丙用于区分本条测试对象；按前置条件准备并记录实际账号或记录 ID，不是固定业务名称。</x:v>
      </x:c>
    </x:row>
    <x:row r="395" ht="115" customHeight="1">
      <x:c r="A395" s="10" t="n">
        <x:v>394</x:v>
      </x:c>
      <x:c r="B395" s="10" t="str">
        <x:v>GUILD-05-0035</x:v>
      </x:c>
      <x:c r="C395" s="10" t="str">
        <x:v>数据与收益</x:v>
      </x:c>
      <x:c r="D395" s="10" t="str">
        <x:v>直播记录（公会长视角）</x:v>
      </x:c>
      <x:c r="E395" s="10" t="str">
        <x:v>功能需求</x:v>
      </x:c>
      <x:c r="F395" s="10" t="str">
        <x:v>P2</x:v>
      </x:c>
      <x:c r="G395" s="9" t="str">
        <x:v>验证公会直播记录选择本周范围</x:v>
      </x:c>
      <x:c r="H395" s="9" t="str">
        <x:v>本周筛选切换</x:v>
      </x:c>
      <x:c r="I395" s="9" t="str">
        <x:v>1. 执行角色为公会长
2. 准备两笔记录：甲的本页统计时间在本次本周内；乙在范围外；主体均属于当前公会</x:v>
      </x:c>
      <x:c r="J395" s="9" t="str">
        <x:v>1. 进入公会直播记录
2. 选择本周
3. 查看列表</x:v>
      </x:c>
      <x:c r="K395" s="9" t="str">
        <x:v>列表包含甲且排除乙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来源（当前证据）：liveshow-proto/MainBasis/统一需求文档.md；位置：行2382
2. 规则：BR-80d83b602aa981fc
3. 未动态验证
4. 数据别名：甲、乙、丙用于区分本条测试对象；按前置条件准备并记录实际账号或记录 ID，不是固定业务名称。</x:v>
      </x:c>
    </x:row>
    <x:row r="396" ht="115" customHeight="1">
      <x:c r="A396" s="10" t="n">
        <x:v>395</x:v>
      </x:c>
      <x:c r="B396" s="10" t="str">
        <x:v>GUILD-05-0036</x:v>
      </x:c>
      <x:c r="C396" s="10" t="str">
        <x:v>数据与收益</x:v>
      </x:c>
      <x:c r="D396" s="10" t="str">
        <x:v>直播记录（公会长视角）</x:v>
      </x:c>
      <x:c r="E396" s="10" t="str">
        <x:v>功能需求</x:v>
      </x:c>
      <x:c r="F396" s="10" t="str">
        <x:v>P2</x:v>
      </x:c>
      <x:c r="G396" s="9" t="str">
        <x:v>验证公会直播记录选择上周范围</x:v>
      </x:c>
      <x:c r="H396" s="9" t="str">
        <x:v>上周筛选切换</x:v>
      </x:c>
      <x:c r="I396" s="9" t="str">
        <x:v>1. 执行角色为公会长
2. 准备两笔记录：甲的本页统计时间在本次上周内；乙在范围外；主体均属于当前公会</x:v>
      </x:c>
      <x:c r="J396" s="9" t="str">
        <x:v>1. 进入公会直播记录
2. 选择上周
3. 查看列表</x:v>
      </x:c>
      <x:c r="K396" s="9" t="str">
        <x:v>列表包含甲且排除乙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来源（当前证据）：liveshow-proto/MainBasis/统一需求文档.md；位置：行2382
2. 规则：BR-0b793e09e0976115
3. 未动态验证
4. 数据别名：甲、乙、丙用于区分本条测试对象；按前置条件准备并记录实际账号或记录 ID，不是固定业务名称。</x:v>
      </x:c>
    </x:row>
    <x:row r="397" ht="115" customHeight="1">
      <x:c r="A397" s="10" t="n">
        <x:v>396</x:v>
      </x:c>
      <x:c r="B397" s="10" t="str">
        <x:v>GUILD-05-0037</x:v>
      </x:c>
      <x:c r="C397" s="10" t="str">
        <x:v>数据与收益</x:v>
      </x:c>
      <x:c r="D397" s="10" t="str">
        <x:v>直播记录（公会长视角）</x:v>
      </x:c>
      <x:c r="E397" s="10" t="str">
        <x:v>功能需求</x:v>
      </x:c>
      <x:c r="F397" s="10" t="str">
        <x:v>P2</x:v>
      </x:c>
      <x:c r="G397" s="9" t="str">
        <x:v>验证公会直播记录选择本月范围</x:v>
      </x:c>
      <x:c r="H397" s="9" t="str">
        <x:v>本月筛选切换</x:v>
      </x:c>
      <x:c r="I397" s="9" t="str">
        <x:v>1. 执行角色为公会长
2. 准备两笔记录：甲的本页统计时间在本次本月内；乙在范围外；主体均属于当前公会</x:v>
      </x:c>
      <x:c r="J397" s="9" t="str">
        <x:v>1. 进入公会直播记录
2. 选择本月
3. 查看列表</x:v>
      </x:c>
      <x:c r="K397" s="9" t="str">
        <x:v>列表包含甲且排除乙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来源（当前证据）：liveshow-proto/MainBasis/统一需求文档.md；位置：行2382
2. 规则：BR-1166408e20a40d4e
3. 未动态验证
4. 数据别名：甲、乙、丙用于区分本条测试对象；按前置条件准备并记录实际账号或记录 ID，不是固定业务名称。</x:v>
      </x:c>
    </x:row>
    <x:row r="398" ht="115" customHeight="1">
      <x:c r="A398" s="10" t="n">
        <x:v>397</x:v>
      </x:c>
      <x:c r="B398" s="10" t="str">
        <x:v>GUILD-05-0038</x:v>
      </x:c>
      <x:c r="C398" s="10" t="str">
        <x:v>数据与收益</x:v>
      </x:c>
      <x:c r="D398" s="10" t="str">
        <x:v>直播记录（公会长视角）</x:v>
      </x:c>
      <x:c r="E398" s="10" t="str">
        <x:v>功能需求</x:v>
      </x:c>
      <x:c r="F398" s="10" t="str">
        <x:v>P2</x:v>
      </x:c>
      <x:c r="G398" s="9" t="str">
        <x:v>验证公会直播记录选择上月范围</x:v>
      </x:c>
      <x:c r="H398" s="9" t="str">
        <x:v>上月筛选切换</x:v>
      </x:c>
      <x:c r="I398" s="9" t="str">
        <x:v>1. 执行角色为公会长
2. 准备两笔记录：甲的本页统计时间在本次上月内；乙在范围外；主体均属于当前公会</x:v>
      </x:c>
      <x:c r="J398" s="9" t="str">
        <x:v>1. 进入公会直播记录
2. 选择上月
3. 查看列表</x:v>
      </x:c>
      <x:c r="K398" s="9" t="str">
        <x:v>列表包含甲且排除乙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来源（当前证据）：liveshow-proto/MainBasis/统一需求文档.md；位置：行2382
2. 规则：BR-098706c9f452e99b
3. 未动态验证
4. 数据别名：甲、乙、丙用于区分本条测试对象；按前置条件准备并记录实际账号或记录 ID，不是固定业务名称。</x:v>
      </x:c>
    </x:row>
    <x:row r="399" ht="115" customHeight="1">
      <x:c r="A399" s="10" t="n">
        <x:v>398</x:v>
      </x:c>
      <x:c r="B399" s="10" t="str">
        <x:v>GUILD-05-0039</x:v>
      </x:c>
      <x:c r="C399" s="10" t="str">
        <x:v>数据与收益</x:v>
      </x:c>
      <x:c r="D399" s="10" t="str">
        <x:v>直播记录（公会长视角）</x:v>
      </x:c>
      <x:c r="E399" s="10" t="str">
        <x:v>功能需求</x:v>
      </x:c>
      <x:c r="F399" s="10" t="str">
        <x:v>P2</x:v>
      </x:c>
      <x:c r="G399" s="9" t="str">
        <x:v>验证公会直播记录选择自定义范围</x:v>
      </x:c>
      <x:c r="H399" s="9" t="str">
        <x:v>自定义筛选切换</x:v>
      </x:c>
      <x:c r="I399" s="9" t="str">
        <x:v>1. 执行角色为公会长
2. 准备两笔记录：甲的本页统计时间在9月1日至9月3日内；乙在范围外；主体均属于当前公会</x:v>
      </x:c>
      <x:c r="J399" s="9" t="str">
        <x:v>1. 进入公会直播记录
2. 选择自定义9月1日至9月3日
3. 查看列表</x:v>
      </x:c>
      <x:c r="K399" s="9" t="str">
        <x:v>列表包含甲且排除乙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来源（当前证据）：liveshow-proto/MainBasis/统一需求文档.md；位置：行2382
2. 规则：BR-08f67596ec96d4ed
3. 未动态验证
4. 数据别名：甲、乙、丙用于区分本条测试对象；按前置条件准备并记录实际账号或记录 ID，不是固定业务名称。</x:v>
      </x:c>
    </x:row>
    <x:row r="400" ht="70" customHeight="1">
      <x:c r="A400" s="10" t="n">
        <x:v>399</x:v>
      </x:c>
      <x:c r="B400" s="10" t="str">
        <x:v>GUILD-05-0040</x:v>
      </x:c>
      <x:c r="C400" s="10" t="str">
        <x:v>数据与收益</x:v>
      </x:c>
      <x:c r="D400" s="10" t="str">
        <x:v>直播记录（公会长视角）</x:v>
      </x:c>
      <x:c r="E400" s="10" t="str">
        <x:v>功能需求</x:v>
      </x:c>
      <x:c r="F400" s="10" t="str">
        <x:v>P2</x:v>
      </x:c>
      <x:c r="G400" s="9" t="str">
        <x:v>验证直播记录读取直播主题</x:v>
      </x:c>
      <x:c r="H400" s="9" t="str">
        <x:v>直播主题回显</x:v>
      </x:c>
      <x:c r="I400" s="9" t="str">
        <x:v>1. 执行角色为公会长
2. 该场直播开始时主题快照的直播主题为“午间歌唱”</x:v>
      </x:c>
      <x:c r="J400" s="9" t="str">
        <x:v>1. 进入直播记录
2. 查看直播主题</x:v>
      </x:c>
      <x:c r="K400" s="9" t="str">
        <x:v>直播主题显示“午间歌唱”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来源（当前证据）：liveshow-proto/MainBasis/统一需求文档.md；位置：行2383
2. 规则：BR-1f5c728aa21aabf7
3. 未动态验证</x:v>
      </x:c>
    </x:row>
    <x:row r="401" ht="70" customHeight="1">
      <x:c r="A401" s="10" t="n">
        <x:v>400</x:v>
      </x:c>
      <x:c r="B401" s="10" t="str">
        <x:v>GUILD-05-0041</x:v>
      </x:c>
      <x:c r="C401" s="10" t="str">
        <x:v>数据与收益</x:v>
      </x:c>
      <x:c r="D401" s="10" t="str">
        <x:v>直播记录（公会长视角）</x:v>
      </x:c>
      <x:c r="E401" s="10" t="str">
        <x:v>功能需求</x:v>
      </x:c>
      <x:c r="F401" s="10" t="str">
        <x:v>P2</x:v>
      </x:c>
      <x:c r="G401" s="9" t="str">
        <x:v>验证直播记录读取主播ID</x:v>
      </x:c>
      <x:c r="H401" s="9" t="str">
        <x:v>主播ID回显</x:v>
      </x:c>
      <x:c r="I401" s="9" t="str">
        <x:v>1. 执行角色为公会长
2. 多主播查询范围内该场所属主播的主播ID为“100001”</x:v>
      </x:c>
      <x:c r="J401" s="9" t="str">
        <x:v>1. 进入直播记录
2. 查看主播ID</x:v>
      </x:c>
      <x:c r="K401" s="9" t="str">
        <x:v>主播ID显示“100001”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来源（当前证据）：liveshow-proto/MainBasis/统一需求文档.md；位置：行2385
2. 规则：BR-c993fae13e7b7b18
3. 未动态验证</x:v>
      </x:c>
    </x:row>
    <x:row r="402" ht="115" customHeight="1">
      <x:c r="A402" s="10" t="n">
        <x:v>401</x:v>
      </x:c>
      <x:c r="B402" s="10" t="str">
        <x:v>GUILD-05-0042</x:v>
      </x:c>
      <x:c r="C402" s="10" t="str">
        <x:v>数据与收益</x:v>
      </x:c>
      <x:c r="D402" s="10" t="str">
        <x:v>直播记录（公会长视角）</x:v>
      </x:c>
      <x:c r="E402" s="10" t="str">
        <x:v>功能需求</x:v>
      </x:c>
      <x:c r="F402" s="10" t="str">
        <x:v>P2</x:v>
      </x:c>
      <x:c r="G402" s="9" t="str">
        <x:v>验证公会直播记录按开播时间从新到旧</x:v>
      </x:c>
      <x:c r="H402" s="9" t="str">
        <x:v>开播时间倒序</x:v>
      </x:c>
      <x:c r="I402" s="9" t="str">
        <x:v>1. 执行角色为公会长
2. 三条符合本页范围的记录甲乙丙，开播时间依次为同一天10:00、11:00、12:00</x:v>
      </x:c>
      <x:c r="J402" s="9" t="str">
        <x:v>1. 进入公会直播记录
2. 查看记录顺序</x:v>
      </x:c>
      <x:c r="K402" s="9" t="str">
        <x:v>记录顺序为丙、乙、甲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来源（当前证据）：liveshow-proto/MainBasis/统一需求文档.md；位置：行2386
2. 规则：BR-1c0a4643d9ffcb3e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GUILD-05-0043</x:v>
      </x:c>
      <x:c r="C403" s="10" t="str">
        <x:v>数据与收益</x:v>
      </x:c>
      <x:c r="D403" s="10" t="str">
        <x:v>直播记录（公会长视角）</x:v>
      </x:c>
      <x:c r="E403" s="10" t="str">
        <x:v>逻辑校验</x:v>
      </x:c>
      <x:c r="F403" s="10" t="str">
        <x:v>P1</x:v>
      </x:c>
      <x:c r="G403" s="9" t="str">
        <x:v>验证直播记录本场收益按当前对象求和</x:v>
      </x:c>
      <x:c r="H403" s="9" t="str">
        <x:v>本场收益计算范围</x:v>
      </x:c>
      <x:c r="I403" s="9" t="str">
        <x:v>1. 执行角色为公会长
2. 本场普通真实赠礼100、定制真实赠礼200；其他场次500不计入</x:v>
      </x:c>
      <x:c r="J403" s="9" t="str">
        <x:v>1. 进入直播记录
2. 查看前置条件指定对象及范围的本场收益</x:v>
      </x:c>
      <x:c r="K403" s="9" t="str">
        <x:v>本场收益按100+200计算=300金币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来源（当前证据）：liveshow-proto/MainBasis/统一需求文档.md；位置：行2388
2. 规则：BR-3dbc897931d9e41c
3. 未动态验证</x:v>
      </x:c>
    </x:row>
    <x:row r="404" ht="115" customHeight="1">
      <x:c r="A404" s="10" t="n">
        <x:v>403</x:v>
      </x:c>
      <x:c r="B404" s="10" t="str">
        <x:v>GUILD-05-0044</x:v>
      </x:c>
      <x:c r="C404" s="10" t="str">
        <x:v>数据与收益</x:v>
      </x:c>
      <x:c r="D404" s="10" t="str">
        <x:v>直播记录（公会长视角）</x:v>
      </x:c>
      <x:c r="E404" s="10" t="str">
        <x:v>业务流程</x:v>
      </x:c>
      <x:c r="F404" s="10" t="str">
        <x:v>P1</x:v>
      </x:c>
      <x:c r="G404" s="9" t="str">
        <x:v>验证同一观众反复进入只算1人</x:v>
      </x:c>
      <x:c r="H404" s="9" t="str">
        <x:v>场次观众去重</x:v>
      </x:c>
      <x:c r="I404" s="9" t="str">
        <x:v>1. 执行角色为公会长
2. 场次甲只有用户乙成功进入3次，无其他观众</x:v>
      </x:c>
      <x:c r="J404" s="9" t="str">
        <x:v>1. 进入直播记录
2. 打开场次甲</x:v>
      </x:c>
      <x:c r="K404" s="9" t="str">
        <x:v>观众显示1人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来源（当前证据）：liveshow-proto/MainBasis/统一需求文档.md；位置：行2389
2. 规则：BR-1a30d42349c033f4
3. 未动态验证
4. 数据别名：甲、乙、丙用于区分本条测试对象；按前置条件准备并记录实际账号或记录 ID，不是固定业务名称。</x:v>
      </x:c>
    </x:row>
    <x:row r="405" ht="70" customHeight="1">
      <x:c r="A405" s="10" t="n">
        <x:v>404</x:v>
      </x:c>
      <x:c r="B405" s="10" t="str">
        <x:v>GUILD-05-0045</x:v>
      </x:c>
      <x:c r="C405" s="10" t="str">
        <x:v>数据与收益</x:v>
      </x:c>
      <x:c r="D405" s="10" t="str">
        <x:v>直播记录（公会长视角）</x:v>
      </x:c>
      <x:c r="E405" s="10" t="str">
        <x:v>逻辑校验</x:v>
      </x:c>
      <x:c r="F405" s="10" t="str">
        <x:v>P1</x:v>
      </x:c>
      <x:c r="G405" s="9" t="str">
        <x:v>验证直播记录收礼数量按当前对象求和</x:v>
      </x:c>
      <x:c r="H405" s="9" t="str">
        <x:v>收礼数量计算范围</x:v>
      </x:c>
      <x:c r="I405" s="9" t="str">
        <x:v>1. 执行角色为公会长
2. 本场两笔成功礼物3件和5件，由同一人赠送；没有其他成功赠礼</x:v>
      </x:c>
      <x:c r="J405" s="9" t="str">
        <x:v>1. 进入直播记录
2. 查看前置条件指定对象及范围的收礼数量</x:v>
      </x:c>
      <x:c r="K405" s="9" t="str">
        <x:v>收礼数量按3+5计算=8件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来源（当前证据）：liveshow-proto/MainBasis/统一需求文档.md；位置：行2390
2. 规则：BR-1c6e1353da9110b3
3. 未动态验证</x:v>
      </x:c>
    </x:row>
    <x:row r="406" ht="70" customHeight="1">
      <x:c r="A406" s="10" t="n">
        <x:v>405</x:v>
      </x:c>
      <x:c r="B406" s="10" t="str">
        <x:v>GUILD-05-0046</x:v>
      </x:c>
      <x:c r="C406" s="10" t="str">
        <x:v>数据与收益</x:v>
      </x:c>
      <x:c r="D406" s="10" t="str">
        <x:v>直播记录（公会长视角）</x:v>
      </x:c>
      <x:c r="E406" s="10" t="str">
        <x:v>逻辑校验</x:v>
      </x:c>
      <x:c r="F406" s="10" t="str">
        <x:v>P1</x:v>
      </x:c>
      <x:c r="G406" s="9" t="str">
        <x:v>验证直播记录收益汇总按当前对象求和</x:v>
      </x:c>
      <x:c r="H406" s="9" t="str">
        <x:v>收益汇总计算范围</x:v>
      </x:c>
      <x:c r="I406" s="9" t="str">
        <x:v>1. 执行角色为公会长
2. 所选主播和日期内两场礼物收益100、200；范围外500不计入</x:v>
      </x:c>
      <x:c r="J406" s="9" t="str">
        <x:v>1. 进入直播记录
2. 查看前置条件指定对象及范围的收益汇总</x:v>
      </x:c>
      <x:c r="K406" s="9" t="str">
        <x:v>收益汇总按100+200计算=300金币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来源（当前证据）：liveshow-proto/MainBasis/统一需求文档.md；位置：行2391
2. 规则：BR-3bd88e4b86586e2b
3. 未动态验证</x:v>
      </x:c>
    </x:row>
    <x:row r="407" ht="115" customHeight="1">
      <x:c r="A407" s="10" t="n">
        <x:v>406</x:v>
      </x:c>
      <x:c r="B407" s="10" t="str">
        <x:v>GUILD-05-0047</x:v>
      </x:c>
      <x:c r="C407" s="10" t="str">
        <x:v>数据与收益</x:v>
      </x:c>
      <x:c r="D407" s="10" t="str">
        <x:v>直播记录（公会长视角）</x:v>
      </x:c>
      <x:c r="E407" s="10" t="str">
        <x:v>功能需求</x:v>
      </x:c>
      <x:c r="F407" s="10" t="str">
        <x:v>P2</x:v>
      </x:c>
      <x:c r="G407" s="9" t="str">
        <x:v>验证直播记录开播人数按业务对象去重</x:v>
      </x:c>
      <x:c r="H407" s="9" t="str">
        <x:v>开播人数去重范围</x:v>
      </x:c>
      <x:c r="I407" s="9" t="str">
        <x:v>1. 执行角色为公会长
2. 所选范围甲完成两场，乙完成一场，丙只有进行中场次</x:v>
      </x:c>
      <x:c r="J407" s="9" t="str">
        <x:v>1. 进入直播记录
2. 查看准备范围的开播人数</x:v>
      </x:c>
      <x:c r="K407" s="9" t="str">
        <x:v>开播人数为2人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来源（当前证据）：liveshow-proto/MainBasis/统一需求文档.md；位置：行2392
2. 规则：BR-d4173e86975d70b3
3. 未动态验证
4. 数据别名：甲、乙、丙用于区分本条测试对象；按前置条件准备并记录实际账号或记录 ID，不是固定业务名称。</x:v>
      </x:c>
    </x:row>
    <x:row r="408" ht="115" customHeight="1">
      <x:c r="A408" s="10" t="n">
        <x:v>407</x:v>
      </x:c>
      <x:c r="B408" s="10" t="str">
        <x:v>GUILD-05-0048</x:v>
      </x:c>
      <x:c r="C408" s="10" t="str">
        <x:v>数据与收益</x:v>
      </x:c>
      <x:c r="D408" s="10" t="str">
        <x:v>直播记录（公会长视角）</x:v>
      </x:c>
      <x:c r="E408" s="10" t="str">
        <x:v>功能需求</x:v>
      </x:c>
      <x:c r="F408" s="10" t="str">
        <x:v>P2</x:v>
      </x:c>
      <x:c r="G408" s="9" t="str">
        <x:v>验证直播记录直播场次按业务对象去重</x:v>
      </x:c>
      <x:c r="H408" s="9" t="str">
        <x:v>直播场次去重范围</x:v>
      </x:c>
      <x:c r="I408" s="9" t="str">
        <x:v>1. 执行角色为公会长
2. 所选范围甲创建2场、乙创建1场，其中1场尚在播</x:v>
      </x:c>
      <x:c r="J408" s="9" t="str">
        <x:v>1. 进入直播记录
2. 查看准备范围的直播场次</x:v>
      </x:c>
      <x:c r="K408" s="9" t="str">
        <x:v>直播场次为3场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来源（当前证据）：liveshow-proto/MainBasis/统一需求文档.md；位置：行2393
2. 规则：BR-9ecc33ca65055f93
3. 未动态验证
4. 数据别名：甲、乙、丙用于区分本条测试对象；按前置条件准备并记录实际账号或记录 ID，不是固定业务名称。</x:v>
      </x:c>
    </x:row>
    <x:row r="409" ht="145" customHeight="1">
      <x:c r="A409" s="10" t="n">
        <x:v>408</x:v>
      </x:c>
      <x:c r="B409" s="10" t="str">
        <x:v>GUILD-05-0049</x:v>
      </x:c>
      <x:c r="C409" s="10" t="str">
        <x:v>数据与收益</x:v>
      </x:c>
      <x:c r="D409" s="10" t="str">
        <x:v>直播记录（公会长视角）</x:v>
      </x:c>
      <x:c r="E409" s="10" t="str">
        <x:v>业务流程</x:v>
      </x:c>
      <x:c r="F409" s="10" t="str">
        <x:v>P1</x:v>
      </x:c>
      <x:c r="G409" s="9" t="str">
        <x:v>验证新开播在公会记录形成新场次</x:v>
      </x:c>
      <x:c r="H409" s="9" t="str">
        <x:v>开播公会记录</x:v>
      </x:c>
      <x:c r="I409" s="9" t="str">
        <x:v>1. 执行角色为公会长
2. 本会主播甲旧场结束，刚成功新开场次乙</x:v>
      </x:c>
      <x:c r="J409" s="9" t="str">
        <x:v>1. 进入公会直播记录
2. 查询甲</x:v>
      </x:c>
      <x:c r="K409" s="9" t="str">
        <x:v>存在新的场次乙</x:v>
      </x:c>
      <x:c r="L409" s="10" t="str">
        <x:v>FLOW-LIVE-START</x:v>
      </x:c>
      <x:c r="M409" s="10" t="str">
        <x:v>未测</x:v>
      </x:c>
      <x:c r="N409" s="10" t="str"/>
      <x:c r="O409" s="9" t="str">
        <x:v>1. 来源（当前证据）：liveshow-proto/MainBasis/统一需求文档.md；位置：行2394
2. 规则：BR-fbeb605de9d2519a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410" ht="145" customHeight="1">
      <x:c r="A410" s="10" t="n">
        <x:v>409</x:v>
      </x:c>
      <x:c r="B410" s="10" t="str">
        <x:v>GUILD-05-0050</x:v>
      </x:c>
      <x:c r="C410" s="10" t="str">
        <x:v>数据与收益</x:v>
      </x:c>
      <x:c r="D410" s="10" t="str">
        <x:v>直播记录（公会长视角）</x:v>
      </x:c>
      <x:c r="E410" s="10" t="str">
        <x:v>业务流程</x:v>
      </x:c>
      <x:c r="F410" s="10" t="str">
        <x:v>P1</x:v>
      </x:c>
      <x:c r="G410" s="9" t="str">
        <x:v>验证主播结束后公会场次关闭</x:v>
      </x:c>
      <x:c r="H410" s="9" t="str">
        <x:v>结束直播公会投影</x:v>
      </x:c>
      <x:c r="I410" s="9" t="str">
        <x:v>1. 执行角色为公会长
2. 本会主播甲刚主动结束场次乙</x:v>
      </x:c>
      <x:c r="J410" s="9" t="str">
        <x:v>1. 进入公会直播记录
2. 打开场次乙</x:v>
      </x:c>
      <x:c r="K410" s="9" t="str">
        <x:v>场次乙为已结束</x:v>
      </x:c>
      <x:c r="L410" s="10" t="str">
        <x:v>FLOW-LIVE-END</x:v>
      </x:c>
      <x:c r="M410" s="10" t="str">
        <x:v>未测</x:v>
      </x:c>
      <x:c r="N410" s="10" t="str"/>
      <x:c r="O410" s="9" t="str">
        <x:v>1. 来源（当前证据）：liveshow-proto/MainBasis/统一需求文档.md；位置：行2394
2. 规则：BR-ad5da6d9d59a091a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GUILD-05-0051</x:v>
      </x:c>
      <x:c r="C411" s="10" t="str">
        <x:v>数据与收益</x:v>
      </x:c>
      <x:c r="D411" s="10" t="str">
        <x:v>直播记录（公会长视角）</x:v>
      </x:c>
      <x:c r="E411" s="10" t="str">
        <x:v>业务流程</x:v>
      </x:c>
      <x:c r="F411" s="10" t="str">
        <x:v>P1</x:v>
      </x:c>
      <x:c r="G411" s="9" t="str">
        <x:v>验证从场次进入详情保持正确ID</x:v>
      </x:c>
      <x:c r="H411" s="9" t="str">
        <x:v>场次详情归属</x:v>
      </x:c>
      <x:c r="I411" s="9" t="str">
        <x:v>1. 执行角色为公会长
2. 同一主播有场次甲、场次乙</x:v>
      </x:c>
      <x:c r="J411" s="9" t="str">
        <x:v>1. 进入直播记录
2. 点击场次甲</x:v>
      </x:c>
      <x:c r="K411" s="9" t="str">
        <x:v>详情显示场次甲的ID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来源（当前证据）：liveshow-proto/MainBasis/统一需求文档.md；位置：行2395
2. 规则：BR-fd4d4635b180657c
3. 未动态验证
4. 数据别名：甲、乙、丙用于区分本条测试对象；按前置条件准备并记录实际账号或记录 ID，不是固定业务名称。</x:v>
      </x:c>
    </x:row>
    <x:row r="412" ht="70" customHeight="1">
      <x:c r="A412" s="10" t="n">
        <x:v>411</x:v>
      </x:c>
      <x:c r="B412" s="10" t="str">
        <x:v>GUILD-05-0052</x:v>
      </x:c>
      <x:c r="C412" s="10" t="str">
        <x:v>数据与收益</x:v>
      </x:c>
      <x:c r="D412" s="10" t="str">
        <x:v>直播场次详情（公会长视角）</x:v>
      </x:c>
      <x:c r="E412" s="10" t="str">
        <x:v>功能需求</x:v>
      </x:c>
      <x:c r="F412" s="10" t="str">
        <x:v>P2</x:v>
      </x:c>
      <x:c r="G412" s="9" t="str">
        <x:v>验证直播场次详情读取场次ID</x:v>
      </x:c>
      <x:c r="H412" s="9" t="str">
        <x:v>场次ID回显</x:v>
      </x:c>
      <x:c r="I412" s="9" t="str">
        <x:v>1. 执行角色为公会长
2. 当前所选直播场次的场次ID为“400001”</x:v>
      </x:c>
      <x:c r="J412" s="9" t="str">
        <x:v>1. 进入直播场次详情
2. 查看场次ID</x:v>
      </x:c>
      <x:c r="K412" s="9" t="str">
        <x:v>场次ID显示“400001”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来源（当前证据）：liveshow-proto/MainBasis/统一需求文档.md；位置：行2400
2. 规则：BR-fd0d680935d16b0a
3. 未动态验证</x:v>
      </x:c>
    </x:row>
    <x:row r="413" ht="70" customHeight="1">
      <x:c r="A413" s="10" t="n">
        <x:v>412</x:v>
      </x:c>
      <x:c r="B413" s="10" t="str">
        <x:v>GUILD-05-0053</x:v>
      </x:c>
      <x:c r="C413" s="10" t="str">
        <x:v>数据与收益</x:v>
      </x:c>
      <x:c r="D413" s="10" t="str">
        <x:v>直播场次详情（公会长视角）</x:v>
      </x:c>
      <x:c r="E413" s="10" t="str">
        <x:v>功能需求</x:v>
      </x:c>
      <x:c r="F413" s="10" t="str">
        <x:v>P2</x:v>
      </x:c>
      <x:c r="G413" s="9" t="str">
        <x:v>验证直播场次详情读取直播主题</x:v>
      </x:c>
      <x:c r="H413" s="9" t="str">
        <x:v>直播主题回显</x:v>
      </x:c>
      <x:c r="I413" s="9" t="str">
        <x:v>1. 执行角色为公会长
2. 当前所选直播场次快照的直播主题为“午间歌唱”</x:v>
      </x:c>
      <x:c r="J413" s="9" t="str">
        <x:v>1. 进入直播场次详情
2. 查看直播主题</x:v>
      </x:c>
      <x:c r="K413" s="9" t="str">
        <x:v>直播主题显示“午间歌唱”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来源（当前证据）：liveshow-proto/MainBasis/统一需求文档.md；位置：行2400
2. 规则：BR-5354d402f3a5e701
3. 未动态验证</x:v>
      </x:c>
    </x:row>
    <x:row r="414" ht="115" customHeight="1">
      <x:c r="A414" s="10" t="n">
        <x:v>413</x:v>
      </x:c>
      <x:c r="B414" s="10" t="str">
        <x:v>GUILD-05-0054</x:v>
      </x:c>
      <x:c r="C414" s="10" t="str">
        <x:v>数据与收益</x:v>
      </x:c>
      <x:c r="D414" s="10" t="str">
        <x:v>直播场次详情（公会长视角）</x:v>
      </x:c>
      <x:c r="E414" s="10" t="str">
        <x:v>功能需求</x:v>
      </x:c>
      <x:c r="F414" s="10" t="str">
        <x:v>P2</x:v>
      </x:c>
      <x:c r="G414" s="9" t="str">
        <x:v>验证直播场次详情读取主播名称</x:v>
      </x:c>
      <x:c r="H414" s="9" t="str">
        <x:v>主播名称回显</x:v>
      </x:c>
      <x:c r="I414" s="9" t="str">
        <x:v>1. 执行角色为公会长
2. 该场所属主播的主播名称为“主播甲”</x:v>
      </x:c>
      <x:c r="J414" s="9" t="str">
        <x:v>1. 进入直播场次详情
2. 查看主播名称</x:v>
      </x:c>
      <x:c r="K414" s="9" t="str">
        <x:v>主播名称显示“主播甲”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来源（当前证据）：liveshow-proto/MainBasis/统一需求文档.md；位置：行2401
2. 规则：BR-6c778e29a41e705a
3. 未动态验证
4. 数据别名：甲、乙、丙用于区分本条测试对象；按前置条件准备并记录实际账号或记录 ID，不是固定业务名称。</x:v>
      </x:c>
    </x:row>
    <x:row r="415" ht="70" customHeight="1">
      <x:c r="A415" s="10" t="n">
        <x:v>414</x:v>
      </x:c>
      <x:c r="B415" s="10" t="str">
        <x:v>GUILD-05-0055</x:v>
      </x:c>
      <x:c r="C415" s="10" t="str">
        <x:v>数据与收益</x:v>
      </x:c>
      <x:c r="D415" s="10" t="str">
        <x:v>直播场次详情（公会长视角）</x:v>
      </x:c>
      <x:c r="E415" s="10" t="str">
        <x:v>功能需求</x:v>
      </x:c>
      <x:c r="F415" s="10" t="str">
        <x:v>P2</x:v>
      </x:c>
      <x:c r="G415" s="9" t="str">
        <x:v>验证直播场次详情读取主播ID</x:v>
      </x:c>
      <x:c r="H415" s="9" t="str">
        <x:v>主播ID回显</x:v>
      </x:c>
      <x:c r="I415" s="9" t="str">
        <x:v>1. 执行角色为公会长
2. 该场所属主播的主播ID为“100001”</x:v>
      </x:c>
      <x:c r="J415" s="9" t="str">
        <x:v>1. 进入直播场次详情
2. 查看主播ID</x:v>
      </x:c>
      <x:c r="K415" s="9" t="str">
        <x:v>主播ID显示“100001”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来源（当前证据）：liveshow-proto/MainBasis/统一需求文档.md；位置：行2401
2. 规则：BR-67d1daaa854c2d4f
3. 未动态验证</x:v>
      </x:c>
    </x:row>
    <x:row r="416" ht="70" customHeight="1">
      <x:c r="A416" s="10" t="n">
        <x:v>415</x:v>
      </x:c>
      <x:c r="B416" s="10" t="str">
        <x:v>GUILD-05-0056</x:v>
      </x:c>
      <x:c r="C416" s="10" t="str">
        <x:v>数据与收益</x:v>
      </x:c>
      <x:c r="D416" s="10" t="str">
        <x:v>直播场次详情（公会长视角）</x:v>
      </x:c>
      <x:c r="E416" s="10" t="str">
        <x:v>逻辑校验</x:v>
      </x:c>
      <x:c r="F416" s="10" t="str">
        <x:v>P1</x:v>
      </x:c>
      <x:c r="G416" s="9" t="str">
        <x:v>验证直播场次详情直播时长按当前对象求和</x:v>
      </x:c>
      <x:c r="H416" s="9" t="str">
        <x:v>直播时长计算范围</x:v>
      </x:c>
      <x:c r="I416" s="9" t="str">
        <x:v>1. 执行角色为公会长
2. 本场已结束，开始10:00、结束12:30，持续正常直播共150分钟</x:v>
      </x:c>
      <x:c r="J416" s="9" t="str">
        <x:v>1. 进入直播场次详情
2. 查看前置条件指定对象及范围的直播时长</x:v>
      </x:c>
      <x:c r="K416" s="9" t="str">
        <x:v>直播时长按150计算=150分钟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来源（当前证据）：liveshow-proto/MainBasis/统一需求文档.md；位置：行2403
2. 规则：BR-31da6075a3041c2e
3. 未动态验证</x:v>
      </x:c>
    </x:row>
    <x:row r="417" ht="70" customHeight="1">
      <x:c r="A417" s="10" t="n">
        <x:v>416</x:v>
      </x:c>
      <x:c r="B417" s="10" t="str">
        <x:v>GUILD-05-0057</x:v>
      </x:c>
      <x:c r="C417" s="10" t="str">
        <x:v>数据与收益</x:v>
      </x:c>
      <x:c r="D417" s="10" t="str">
        <x:v>直播场次详情（公会长视角）</x:v>
      </x:c>
      <x:c r="E417" s="10" t="str">
        <x:v>功能需求</x:v>
      </x:c>
      <x:c r="F417" s="10" t="str">
        <x:v>P2</x:v>
      </x:c>
      <x:c r="G417" s="9" t="str">
        <x:v>验证直播场次详情读取礼物名称</x:v>
      </x:c>
      <x:c r="H417" s="9" t="str">
        <x:v>礼物名称回显</x:v>
      </x:c>
      <x:c r="I417" s="9" t="str">
        <x:v>1. 执行角色为公会长
2. 该笔真实成功消费快照的礼物名称为“玫瑰”</x:v>
      </x:c>
      <x:c r="J417" s="9" t="str">
        <x:v>1. 进入直播场次详情
2. 查看礼物名称</x:v>
      </x:c>
      <x:c r="K417" s="9" t="str">
        <x:v>礼物名称显示“玫瑰”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来源（当前证据）：liveshow-proto/MainBasis/统一需求文档.md；位置：行2407
2. 规则：BR-002172d1fac8e405
3. 未动态验证</x:v>
      </x:c>
    </x:row>
    <x:row r="418" ht="70" customHeight="1">
      <x:c r="A418" s="10" t="n">
        <x:v>417</x:v>
      </x:c>
      <x:c r="B418" s="10" t="str">
        <x:v>GUILD-05-0058</x:v>
      </x:c>
      <x:c r="C418" s="10" t="str">
        <x:v>数据与收益</x:v>
      </x:c>
      <x:c r="D418" s="10" t="str">
        <x:v>直播场次详情（公会长视角）</x:v>
      </x:c>
      <x:c r="E418" s="10" t="str">
        <x:v>功能需求</x:v>
      </x:c>
      <x:c r="F418" s="10" t="str">
        <x:v>P2</x:v>
      </x:c>
      <x:c r="G418" s="9" t="str">
        <x:v>验证直播场次详情读取礼物单价</x:v>
      </x:c>
      <x:c r="H418" s="9" t="str">
        <x:v>礼物单价回显</x:v>
      </x:c>
      <x:c r="I418" s="9" t="str">
        <x:v>1. 执行角色为公会长
2. 该笔真实成功消费快照的礼物单价为“100”</x:v>
      </x:c>
      <x:c r="J418" s="9" t="str">
        <x:v>1. 进入直播场次详情
2. 查看礼物单价</x:v>
      </x:c>
      <x:c r="K418" s="9" t="str">
        <x:v>礼物单价显示“100”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来源（当前证据）：liveshow-proto/MainBasis/统一需求文档.md；位置：行2409
2. 规则：BR-ace3f760061f1ef3
3. 未动态验证</x:v>
      </x:c>
    </x:row>
    <x:row r="419" ht="70" customHeight="1">
      <x:c r="A419" s="10" t="n">
        <x:v>418</x:v>
      </x:c>
      <x:c r="B419" s="10" t="str">
        <x:v>GUILD-05-0059</x:v>
      </x:c>
      <x:c r="C419" s="10" t="str">
        <x:v>数据与收益</x:v>
      </x:c>
      <x:c r="D419" s="10" t="str">
        <x:v>直播场次详情（公会长视角）</x:v>
      </x:c>
      <x:c r="E419" s="10" t="str">
        <x:v>功能需求</x:v>
      </x:c>
      <x:c r="F419" s="10" t="str">
        <x:v>P2</x:v>
      </x:c>
      <x:c r="G419" s="9" t="str">
        <x:v>验证直播场次详情读取礼物类型</x:v>
      </x:c>
      <x:c r="H419" s="9" t="str">
        <x:v>礼物类型回显</x:v>
      </x:c>
      <x:c r="I419" s="9" t="str">
        <x:v>1. 执行角色为公会长
2. 该笔真实成功消费快照的礼物类型为“普通”</x:v>
      </x:c>
      <x:c r="J419" s="9" t="str">
        <x:v>1. 进入直播场次详情
2. 查看礼物类型</x:v>
      </x:c>
      <x:c r="K419" s="9" t="str">
        <x:v>礼物类型显示“普通”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来源（当前证据）：liveshow-proto/MainBasis/统一需求文档.md；位置：行2410
2. 规则：BR-3e8b2fd667dd04a0
3. 未动态验证</x:v>
      </x:c>
    </x:row>
    <x:row r="420" ht="70" customHeight="1">
      <x:c r="A420" s="10" t="n">
        <x:v>419</x:v>
      </x:c>
      <x:c r="B420" s="10" t="str">
        <x:v>GUILD-05-0060</x:v>
      </x:c>
      <x:c r="C420" s="10" t="str">
        <x:v>数据与收益</x:v>
      </x:c>
      <x:c r="D420" s="10" t="str">
        <x:v>直播场次详情（公会长视角）</x:v>
      </x:c>
      <x:c r="E420" s="10" t="str">
        <x:v>功能需求</x:v>
      </x:c>
      <x:c r="F420" s="10" t="str">
        <x:v>P2</x:v>
      </x:c>
      <x:c r="G420" s="9" t="str">
        <x:v>验证直播场次详情读取赠送数量</x:v>
      </x:c>
      <x:c r="H420" s="9" t="str">
        <x:v>赠送数量回显</x:v>
      </x:c>
      <x:c r="I420" s="9" t="str">
        <x:v>1. 执行角色为公会长
2. 该笔真实成功消费快照的赠送数量为“3”</x:v>
      </x:c>
      <x:c r="J420" s="9" t="str">
        <x:v>1. 进入直播场次详情
2. 查看赠送数量</x:v>
      </x:c>
      <x:c r="K420" s="9" t="str">
        <x:v>赠送数量显示“3”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来源（当前证据）：liveshow-proto/MainBasis/统一需求文档.md；位置：行2411
2. 规则：BR-880cddfec46a665e
3. 未动态验证</x:v>
      </x:c>
    </x:row>
    <x:row r="421" ht="115" customHeight="1">
      <x:c r="A421" s="10" t="n">
        <x:v>420</x:v>
      </x:c>
      <x:c r="B421" s="10" t="str">
        <x:v>GUILD-05-0061</x:v>
      </x:c>
      <x:c r="C421" s="10" t="str">
        <x:v>数据与收益</x:v>
      </x:c>
      <x:c r="D421" s="10" t="str">
        <x:v>直播场次详情（公会长视角）</x:v>
      </x:c>
      <x:c r="E421" s="10" t="str">
        <x:v>业务流程</x:v>
      </x:c>
      <x:c r="F421" s="10" t="str">
        <x:v>P1</x:v>
      </x:c>
      <x:c r="G421" s="9" t="str">
        <x:v>验证公会送礼用户资料不补等级</x:v>
      </x:c>
      <x:c r="H421" s="9" t="str">
        <x:v>送礼详情字段边界</x:v>
      </x:c>
      <x:c r="I421" s="9" t="str">
        <x:v>1. 执行角色为公会长
2. 本场有真实用户乙成功赠礼</x:v>
      </x:c>
      <x:c r="J421" s="9" t="str">
        <x:v>1. 进入直播场次详情
2. 打开乙赠礼详情</x:v>
      </x:c>
      <x:c r="K421" s="9" t="str">
        <x:v>不显示赠礼用户等级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来源（当前证据）：liveshow-proto/MainBasis/统一需求文档.md；位置：行2412
2. 规则：BR-d3c32a17cd6fbe1e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GUILD-05-0062</x:v>
      </x:c>
      <x:c r="C422" s="10" t="str">
        <x:v>数据与收益</x:v>
      </x:c>
      <x:c r="D422" s="10" t="str">
        <x:v>直播场次详情（公会长视角）</x:v>
      </x:c>
      <x:c r="E422" s="10" t="str">
        <x:v>功能需求</x:v>
      </x:c>
      <x:c r="F422" s="10" t="str">
        <x:v>P2</x:v>
      </x:c>
      <x:c r="G422" s="9" t="str">
        <x:v>验证直播场次详情读取用户名称</x:v>
      </x:c>
      <x:c r="H422" s="9" t="str">
        <x:v>用户名称回显</x:v>
      </x:c>
      <x:c r="I422" s="9" t="str">
        <x:v>1. 执行角色为公会长
2. 该笔赠礼用户资料的用户名称为“观众甲”</x:v>
      </x:c>
      <x:c r="J422" s="9" t="str">
        <x:v>1. 进入直播场次详情
2. 查看用户名称</x:v>
      </x:c>
      <x:c r="K422" s="9" t="str">
        <x:v>用户名称显示“观众甲”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来源（当前证据）：liveshow-proto/MainBasis/统一需求文档.md；位置：行2412
2. 规则：BR-8dd6cc6c77546350
3. 未动态验证
4. 数据别名：甲、乙、丙用于区分本条测试对象；按前置条件准备并记录实际账号或记录 ID，不是固定业务名称。</x:v>
      </x:c>
    </x:row>
    <x:row r="423" ht="70" customHeight="1">
      <x:c r="A423" s="10" t="n">
        <x:v>422</x:v>
      </x:c>
      <x:c r="B423" s="10" t="str">
        <x:v>GUILD-05-0063</x:v>
      </x:c>
      <x:c r="C423" s="10" t="str">
        <x:v>数据与收益</x:v>
      </x:c>
      <x:c r="D423" s="10" t="str">
        <x:v>直播场次详情（公会长视角）</x:v>
      </x:c>
      <x:c r="E423" s="10" t="str">
        <x:v>功能需求</x:v>
      </x:c>
      <x:c r="F423" s="10" t="str">
        <x:v>P2</x:v>
      </x:c>
      <x:c r="G423" s="9" t="str">
        <x:v>验证直播场次详情读取用户ID</x:v>
      </x:c>
      <x:c r="H423" s="9" t="str">
        <x:v>用户ID回显</x:v>
      </x:c>
      <x:c r="I423" s="9" t="str">
        <x:v>1. 执行角色为公会长
2. 该笔赠礼用户资料的用户ID为“100002”</x:v>
      </x:c>
      <x:c r="J423" s="9" t="str">
        <x:v>1. 进入直播场次详情
2. 查看用户ID</x:v>
      </x:c>
      <x:c r="K423" s="9" t="str">
        <x:v>用户ID显示“100002”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来源（当前证据）：liveshow-proto/MainBasis/统一需求文档.md；位置：行2412
2. 规则：BR-5a27e83783f21360
3. 未动态验证</x:v>
      </x:c>
    </x:row>
    <x:row r="424" ht="115" customHeight="1">
      <x:c r="A424" s="10" t="n">
        <x:v>423</x:v>
      </x:c>
      <x:c r="B424" s="10" t="str">
        <x:v>GUILD-05-0064</x:v>
      </x:c>
      <x:c r="C424" s="10" t="str">
        <x:v>数据与收益</x:v>
      </x:c>
      <x:c r="D424" s="10" t="str">
        <x:v>直播场次详情（公会长视角）</x:v>
      </x:c>
      <x:c r="E424" s="10" t="str">
        <x:v>功能需求</x:v>
      </x:c>
      <x:c r="F424" s="10" t="str">
        <x:v>P2</x:v>
      </x:c>
      <x:c r="G424" s="9" t="str">
        <x:v>验证场次观众按账号去重</x:v>
      </x:c>
      <x:c r="H424" s="9" t="str">
        <x:v>公会场次观众口径</x:v>
      </x:c>
      <x:c r="I424" s="9" t="str">
        <x:v>1. 执行角色为公会长
2. 甲同场进入3次，乙进入1次，无其他观众</x:v>
      </x:c>
      <x:c r="J424" s="9" t="str">
        <x:v>1. 进入该场次详情</x:v>
      </x:c>
      <x:c r="K424" s="9" t="str">
        <x:v>观众数量为2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来源（当前证据）：liveshow-proto/MainBasis/统一需求文档.md；位置：行2413
2. 规则：BR-b16456ca60950838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GUILD-05-0065</x:v>
      </x:c>
      <x:c r="C425" s="10" t="str">
        <x:v>数据与收益</x:v>
      </x:c>
      <x:c r="D425" s="10" t="str">
        <x:v>直播场次详情（公会长视角）</x:v>
      </x:c>
      <x:c r="E425" s="10" t="str">
        <x:v>逻辑校验</x:v>
      </x:c>
      <x:c r="F425" s="10" t="str">
        <x:v>P1</x:v>
      </x:c>
      <x:c r="G425" s="9" t="str">
        <x:v>验证送礼观众按成功账号去重</x:v>
      </x:c>
      <x:c r="H425" s="9" t="str">
        <x:v>成功赠礼人数</x:v>
      </x:c>
      <x:c r="I425" s="9" t="str">
        <x:v>1. 执行角色为公会长
2. 同一场用户甲成功赠礼两笔、乙一笔、丙只失败一笔</x:v>
      </x:c>
      <x:c r="J425" s="9" t="str">
        <x:v>1. 进入该直播场次详情</x:v>
      </x:c>
      <x:c r="K425" s="9" t="str">
        <x:v>送礼观众按账号计数=2人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来源（当前证据）：liveshow-proto/MainBasis/统一需求文档.md；位置：行2414
2. 规则：BR-b564a97c89782721
3. 未动态验证
4. 数据别名：甲、乙、丙用于区分本条测试对象；按前置条件准备并记录实际账号或记录 ID，不是固定业务名称。</x:v>
      </x:c>
    </x:row>
    <x:row r="426" ht="70" customHeight="1">
      <x:c r="A426" s="10" t="n">
        <x:v>425</x:v>
      </x:c>
      <x:c r="B426" s="10" t="str">
        <x:v>GUILD-05-0066</x:v>
      </x:c>
      <x:c r="C426" s="10" t="str">
        <x:v>数据与收益</x:v>
      </x:c>
      <x:c r="D426" s="10" t="str">
        <x:v>直播场次详情（公会长视角）</x:v>
      </x:c>
      <x:c r="E426" s="10" t="str">
        <x:v>逻辑校验</x:v>
      </x:c>
      <x:c r="F426" s="10" t="str">
        <x:v>P1</x:v>
      </x:c>
      <x:c r="G426" s="9" t="str">
        <x:v>验证场次礼物数量累加成功件数</x:v>
      </x:c>
      <x:c r="H426" s="9" t="str">
        <x:v>成功礼物件数</x:v>
      </x:c>
      <x:c r="I426" s="9" t="str">
        <x:v>1. 执行角色为公会长
2. 本场两笔成功礼物分别3件和5件；失败2件</x:v>
      </x:c>
      <x:c r="J426" s="9" t="str">
        <x:v>1. 进入该直播场次详情</x:v>
      </x:c>
      <x:c r="K426" s="9" t="str">
        <x:v>礼物数量计算为3+5=8件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来源（当前证据）：liveshow-proto/MainBasis/统一需求文档.md；位置：行2415
2. 规则：BR-95e6162dbf758c1c
3. 未动态验证</x:v>
      </x:c>
    </x:row>
    <x:row r="427" ht="70" customHeight="1">
      <x:c r="A427" s="10" t="n">
        <x:v>426</x:v>
      </x:c>
      <x:c r="B427" s="10" t="str">
        <x:v>GUILD-05-0067</x:v>
      </x:c>
      <x:c r="C427" s="10" t="str">
        <x:v>数据与收益</x:v>
      </x:c>
      <x:c r="D427" s="10" t="str">
        <x:v>直播场次详情（公会长视角）</x:v>
      </x:c>
      <x:c r="E427" s="10" t="str">
        <x:v>逻辑校验</x:v>
      </x:c>
      <x:c r="F427" s="10" t="str">
        <x:v>P1</x:v>
      </x:c>
      <x:c r="G427" s="9" t="str">
        <x:v>验证直播场次详情礼物收益按当前对象求和</x:v>
      </x:c>
      <x:c r="H427" s="9" t="str">
        <x:v>礼物收益计算范围</x:v>
      </x:c>
      <x:c r="I427" s="9" t="str">
        <x:v>1. 执行角色为公会长
2. 本场普通真实赠礼100、定制真实赠礼200；虚拟赠礼500不计收益</x:v>
      </x:c>
      <x:c r="J427" s="9" t="str">
        <x:v>1. 进入直播场次详情
2. 查看前置条件指定对象及范围的礼物收益</x:v>
      </x:c>
      <x:c r="K427" s="9" t="str">
        <x:v>礼物收益按100+200计算=300金币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来源（当前证据）：liveshow-proto/MainBasis/统一需求文档.md；位置：行2416
2. 规则：BR-de837da5bcd2fc71
3. 未动态验证</x:v>
      </x:c>
    </x:row>
    <x:row r="428" ht="70" customHeight="1">
      <x:c r="A428" s="10" t="n">
        <x:v>427</x:v>
      </x:c>
      <x:c r="B428" s="10" t="str">
        <x:v>GUILD-05-0068</x:v>
      </x:c>
      <x:c r="C428" s="10" t="str">
        <x:v>数据与收益</x:v>
      </x:c>
      <x:c r="D428" s="10" t="str">
        <x:v>直播场次详情（公会长视角）</x:v>
      </x:c>
      <x:c r="E428" s="10" t="str">
        <x:v>逻辑校验</x:v>
      </x:c>
      <x:c r="F428" s="10" t="str">
        <x:v>P1</x:v>
      </x:c>
      <x:c r="G428" s="9" t="str">
        <x:v>验证幸运礼物收益不扣中奖金币</x:v>
      </x:c>
      <x:c r="H428" s="9" t="str">
        <x:v>幸运礼物主播收益</x:v>
      </x:c>
      <x:c r="I428" s="9" t="str">
        <x:v>1. 执行角色为公会长
2. 幸运礼物单价10金币，100件，主播比例1%，用户另获返奖500金币</x:v>
      </x:c>
      <x:c r="J428" s="9" t="str">
        <x:v>1. 进入该直播场次详情</x:v>
      </x:c>
      <x:c r="K428" s="9" t="str">
        <x:v>礼物收益计算为10×100×1%=10金币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来源（当前证据）：liveshow-proto/MainBasis/统一需求文档.md；位置：行2417
2. 规则：BR-b71b17c00e1ffe89
3. 未动态验证</x:v>
      </x:c>
    </x:row>
    <x:row r="429" ht="145" customHeight="1">
      <x:c r="A429" s="10" t="n">
        <x:v>428</x:v>
      </x:c>
      <x:c r="B429" s="10" t="str">
        <x:v>GUILD-05-0069</x:v>
      </x:c>
      <x:c r="C429" s="10" t="str">
        <x:v>数据与收益</x:v>
      </x:c>
      <x:c r="D429" s="10" t="str">
        <x:v>直播场次详情（公会长视角）</x:v>
      </x:c>
      <x:c r="E429" s="10" t="str">
        <x:v>业务流程</x:v>
      </x:c>
      <x:c r="F429" s="10" t="str">
        <x:v>P1</x:v>
      </x:c>
      <x:c r="G429" s="9" t="str">
        <x:v>验证真实普通赠礼进入公会主播收益</x:v>
      </x:c>
      <x:c r="H429" s="9" t="str">
        <x:v>赠礼公会投影</x:v>
      </x:c>
      <x:c r="I429" s="9" t="str">
        <x:v>1. 执行角色为公会长
2. 本会主播甲仅收到本场1件单价100金币普通礼物，已成功，无其他收入</x:v>
      </x:c>
      <x:c r="J429" s="9" t="str">
        <x:v>1. 进入本场直播详情</x:v>
      </x:c>
      <x:c r="K429" s="9" t="str">
        <x:v>主播礼物收益为100金币</x:v>
      </x:c>
      <x:c r="L429" s="10" t="str">
        <x:v>FLOW-GIFT</x:v>
      </x:c>
      <x:c r="M429" s="10" t="str">
        <x:v>未测</x:v>
      </x:c>
      <x:c r="N429" s="10" t="str"/>
      <x:c r="O429" s="9" t="str">
        <x:v>1. 来源（当前证据）：liveshow-proto/MainBasis/统一需求文档.md；位置：行2417
2. 规则：BR-299fd9e45e68abc2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430" ht="70" customHeight="1">
      <x:c r="A430" s="10" t="n">
        <x:v>429</x:v>
      </x:c>
      <x:c r="B430" s="10" t="str">
        <x:v>GUILD-05-0070</x:v>
      </x:c>
      <x:c r="C430" s="10" t="str">
        <x:v>数据与收益</x:v>
      </x:c>
      <x:c r="D430" s="10" t="str">
        <x:v>直播场次详情（公会长视角）</x:v>
      </x:c>
      <x:c r="E430" s="10" t="str">
        <x:v>功能需求</x:v>
      </x:c>
      <x:c r="F430" s="10" t="str">
        <x:v>P2</x:v>
      </x:c>
      <x:c r="G430" s="9" t="str">
        <x:v>验证运营赠礼不产生公会主播收益</x:v>
      </x:c>
      <x:c r="H430" s="9" t="str">
        <x:v>虚拟收益隔离</x:v>
      </x:c>
      <x:c r="I430" s="9" t="str">
        <x:v>1. 执行角色为公会长
2. 当前场次仅运营号成功赠送100虚拟金币</x:v>
      </x:c>
      <x:c r="J430" s="9" t="str">
        <x:v>1. 进入该场次详情</x:v>
      </x:c>
      <x:c r="K430" s="9" t="str">
        <x:v>主播礼物收益为0金币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来源（当前证据）：liveshow-proto/MainBasis/统一需求文档.md；位置：行2418
2. 规则：BR-394c39866ed29ccc
3. 未动态验证</x:v>
      </x:c>
    </x:row>
    <x:row r="431" ht="115" customHeight="1">
      <x:c r="A431" s="10" t="n">
        <x:v>430</x:v>
      </x:c>
      <x:c r="B431" s="10" t="str">
        <x:v>GUILD-05-0071</x:v>
      </x:c>
      <x:c r="C431" s="10" t="str">
        <x:v>数据与收益</x:v>
      </x:c>
      <x:c r="D431" s="10" t="str">
        <x:v>直播场次详情（公会长视角）</x:v>
      </x:c>
      <x:c r="E431" s="10" t="str">
        <x:v>业务流程</x:v>
      </x:c>
      <x:c r="F431" s="10" t="str">
        <x:v>P1</x:v>
      </x:c>
      <x:c r="G431" s="9" t="str">
        <x:v>验证直播详情返回保留筛选</x:v>
      </x:c>
      <x:c r="H431" s="9" t="str">
        <x:v>直播列表条件保留</x:v>
      </x:c>
      <x:c r="I431" s="9" t="str">
        <x:v>1. 执行角色为公会长
2. 列表当前选择主播甲及9月1日至9月3日</x:v>
      </x:c>
      <x:c r="J431" s="9" t="str">
        <x:v>1. 进入场次甲详情
2. 点击返回</x:v>
      </x:c>
      <x:c r="K431" s="9" t="str">
        <x:v>列表仍保留主播甲及9月1日至9月3日条件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来源（当前证据）：liveshow-proto/MainBasis/统一需求文档.md；位置：行2419
2. 规则：BR-47c3c602822c041d
3. 未动态验证
4. 数据别名：甲、乙、丙用于区分本条测试对象；按前置条件准备并记录实际账号或记录 ID，不是固定业务名称。</x:v>
      </x:c>
    </x:row>
    <x:row r="432" ht="115" customHeight="1">
      <x:c r="A432" s="10" t="n">
        <x:v>431</x:v>
      </x:c>
      <x:c r="B432" s="10" t="str">
        <x:v>GUILD-05-0072</x:v>
      </x:c>
      <x:c r="C432" s="10" t="str">
        <x:v>数据与收益</x:v>
      </x:c>
      <x:c r="D432" s="10" t="str">
        <x:v>违规记录（公会长视角）</x:v>
      </x:c>
      <x:c r="E432" s="10" t="str">
        <x:v>功能需求</x:v>
      </x:c>
      <x:c r="F432" s="10" t="str">
        <x:v>P2</x:v>
      </x:c>
      <x:c r="G432" s="9" t="str">
        <x:v>验证违规范围切换不混合类型</x:v>
      </x:c>
      <x:c r="H432" s="9" t="str">
        <x:v>违规类型筛选</x:v>
      </x:c>
      <x:c r="I432" s="9" t="str">
        <x:v>1. 执行角色为公会长
2. 当前所选主播同时有账号违规甲和直播间违规乙</x:v>
      </x:c>
      <x:c r="J432" s="9" t="str">
        <x:v>1. 进入违规记录
2. 选择账号违规</x:v>
      </x:c>
      <x:c r="K432" s="9" t="str">
        <x:v>结果不包含直播间违规乙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来源（当前证据）：liveshow-proto/MainBasis/统一需求文档.md；位置：行2423
2. 规则：BR-7fff58dd0b97f8db
3. 未动态验证
4. 数据别名：甲、乙、丙用于区分本条测试对象；按前置条件准备并记录实际账号或记录 ID，不是固定业务名称。</x:v>
      </x:c>
    </x:row>
    <x:row r="433" ht="70" customHeight="1">
      <x:c r="A433" s="10" t="n">
        <x:v>432</x:v>
      </x:c>
      <x:c r="B433" s="10" t="str">
        <x:v>GUILD-05-0073</x:v>
      </x:c>
      <x:c r="C433" s="10" t="str">
        <x:v>数据与收益</x:v>
      </x:c>
      <x:c r="D433" s="10" t="str">
        <x:v>违规记录（公会长视角）</x:v>
      </x:c>
      <x:c r="E433" s="10" t="str">
        <x:v>业务流程</x:v>
      </x:c>
      <x:c r="F433" s="10" t="str">
        <x:v>P1</x:v>
      </x:c>
      <x:c r="G433" s="9" t="str">
        <x:v>验证违规查询未选择主播</x:v>
      </x:c>
      <x:c r="H433" s="9" t="str">
        <x:v>违规主播范围非空</x:v>
      </x:c>
      <x:c r="I433" s="9" t="str">
        <x:v>1. 执行角色为公会长
2. 当前未选任何主播</x:v>
      </x:c>
      <x:c r="J433" s="9" t="str">
        <x:v>1. 进入违规记录
2. 点击查询</x:v>
      </x:c>
      <x:c r="K433" s="9" t="str">
        <x:v>提示选择主播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来源（当前证据）：liveshow-proto/MainBasis/统一需求文档.md；位置：行2424
2. 规则：BR-ba24c825ca2d7709
3. 未动态验证</x:v>
      </x:c>
    </x:row>
    <x:row r="434" ht="115" customHeight="1">
      <x:c r="A434" s="10" t="n">
        <x:v>433</x:v>
      </x:c>
      <x:c r="B434" s="10" t="str">
        <x:v>GUILD-05-0074</x:v>
      </x:c>
      <x:c r="C434" s="10" t="str">
        <x:v>数据与收益</x:v>
      </x:c>
      <x:c r="D434" s="10" t="str">
        <x:v>违规记录（公会长视角）</x:v>
      </x:c>
      <x:c r="E434" s="10" t="str">
        <x:v>逻辑校验</x:v>
      </x:c>
      <x:c r="F434" s="10" t="str">
        <x:v>P1</x:v>
      </x:c>
      <x:c r="G434" s="9" t="str">
        <x:v>验证违规记录包含开始日记录</x:v>
      </x:c>
      <x:c r="H434" s="9" t="str">
        <x:v>开始日边界包含</x:v>
      </x:c>
      <x:c r="I434" s="9" t="str">
        <x:v>1. 执行角色为公会长
2. 准备本页有效记录甲，统计日期为2026年9月1日；记录乙在9月4日，其他筛选条件均满足</x:v>
      </x:c>
      <x:c r="J434" s="9" t="str">
        <x:v>1. 进入违规记录
2. 选择自定义日期2026年9月1日至3日
3. 查看结果</x:v>
      </x:c>
      <x:c r="K434" s="9" t="str">
        <x:v>结果包含甲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来源（当前证据）：liveshow-proto/MainBasis/统一需求文档.md；位置：行2425
2. 规则：BR-826c52fb1a912b77
3. 未动态验证
4. 数据别名：甲、乙、丙用于区分本条测试对象；按前置条件准备并记录实际账号或记录 ID，不是固定业务名称。</x:v>
      </x:c>
    </x:row>
    <x:row r="435" ht="115" customHeight="1">
      <x:c r="A435" s="10" t="n">
        <x:v>434</x:v>
      </x:c>
      <x:c r="B435" s="10" t="str">
        <x:v>GUILD-05-0075</x:v>
      </x:c>
      <x:c r="C435" s="10" t="str">
        <x:v>数据与收益</x:v>
      </x:c>
      <x:c r="D435" s="10" t="str">
        <x:v>违规记录（公会长视角）</x:v>
      </x:c>
      <x:c r="E435" s="10" t="str">
        <x:v>逻辑校验</x:v>
      </x:c>
      <x:c r="F435" s="10" t="str">
        <x:v>P1</x:v>
      </x:c>
      <x:c r="G435" s="9" t="str">
        <x:v>验证违规记录包含结束日记录</x:v>
      </x:c>
      <x:c r="H435" s="9" t="str">
        <x:v>结束日边界包含</x:v>
      </x:c>
      <x:c r="I435" s="9" t="str">
        <x:v>1. 执行角色为公会长
2. 准备本页有效记录甲，统计日期为2026年9月3日；记录乙在9月4日，其他筛选条件均满足</x:v>
      </x:c>
      <x:c r="J435" s="9" t="str">
        <x:v>1. 进入违规记录
2. 选择自定义日期2026年9月1日至3日
3. 查看结果</x:v>
      </x:c>
      <x:c r="K435" s="9" t="str">
        <x:v>结果包含甲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来源（当前证据）：liveshow-proto/MainBasis/统一需求文档.md；位置：行2425
2. 规则：BR-2fd8692c6e026a02
3. 未动态验证
4. 数据别名：甲、乙、丙用于区分本条测试对象；按前置条件准备并记录实际账号或记录 ID，不是固定业务名称。</x:v>
      </x:c>
    </x:row>
    <x:row r="436" ht="115" customHeight="1">
      <x:c r="A436" s="10" t="n">
        <x:v>435</x:v>
      </x:c>
      <x:c r="B436" s="10" t="str">
        <x:v>GUILD-05-0076</x:v>
      </x:c>
      <x:c r="C436" s="10" t="str">
        <x:v>数据与收益</x:v>
      </x:c>
      <x:c r="D436" s="10" t="str">
        <x:v>违规记录（公会长视角）</x:v>
      </x:c>
      <x:c r="E436" s="10" t="str">
        <x:v>功能需求</x:v>
      </x:c>
      <x:c r="F436" s="10" t="str">
        <x:v>P2</x:v>
      </x:c>
      <x:c r="G436" s="9" t="str">
        <x:v>验证违规记录读取违规账号名称</x:v>
      </x:c>
      <x:c r="H436" s="9" t="str">
        <x:v>违规账号名称回显</x:v>
      </x:c>
      <x:c r="I436" s="9" t="str">
        <x:v>1. 执行角色为公会长
2. 该笔已确认账号违规对象的违规账号名称为“主播甲”</x:v>
      </x:c>
      <x:c r="J436" s="9" t="str">
        <x:v>1. 进入违规记录
2. 查看违规账号名称</x:v>
      </x:c>
      <x:c r="K436" s="9" t="str">
        <x:v>违规账号名称显示“主播甲”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来源（当前证据）：liveshow-proto/MainBasis/统一需求文档.md；位置：行2426
2. 规则：BR-b50d8509f6f35abb
3. 未动态验证
4. 数据别名：甲、乙、丙用于区分本条测试对象；按前置条件准备并记录实际账号或记录 ID，不是固定业务名称。</x:v>
      </x:c>
    </x:row>
    <x:row r="437" ht="70" customHeight="1">
      <x:c r="A437" s="10" t="n">
        <x:v>436</x:v>
      </x:c>
      <x:c r="B437" s="10" t="str">
        <x:v>GUILD-05-0077</x:v>
      </x:c>
      <x:c r="C437" s="10" t="str">
        <x:v>数据与收益</x:v>
      </x:c>
      <x:c r="D437" s="10" t="str">
        <x:v>违规记录（公会长视角）</x:v>
      </x:c>
      <x:c r="E437" s="10" t="str">
        <x:v>功能需求</x:v>
      </x:c>
      <x:c r="F437" s="10" t="str">
        <x:v>P2</x:v>
      </x:c>
      <x:c r="G437" s="9" t="str">
        <x:v>验证违规记录读取账号ID</x:v>
      </x:c>
      <x:c r="H437" s="9" t="str">
        <x:v>账号ID回显</x:v>
      </x:c>
      <x:c r="I437" s="9" t="str">
        <x:v>1. 执行角色为公会长
2. 该笔已确认账号违规对象的账号ID为“100001”</x:v>
      </x:c>
      <x:c r="J437" s="9" t="str">
        <x:v>1. 进入违规记录
2. 查看账号ID</x:v>
      </x:c>
      <x:c r="K437" s="9" t="str">
        <x:v>账号ID显示“100001”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来源（当前证据）：liveshow-proto/MainBasis/统一需求文档.md；位置：行2426
2. 规则：BR-ed7d01be39e76209
3. 未动态验证</x:v>
      </x:c>
    </x:row>
    <x:row r="438" ht="70" customHeight="1">
      <x:c r="A438" s="10" t="n">
        <x:v>437</x:v>
      </x:c>
      <x:c r="B438" s="10" t="str">
        <x:v>GUILD-05-0078</x:v>
      </x:c>
      <x:c r="C438" s="10" t="str">
        <x:v>数据与收益</x:v>
      </x:c>
      <x:c r="D438" s="10" t="str">
        <x:v>违规记录（公会长视角）</x:v>
      </x:c>
      <x:c r="E438" s="10" t="str">
        <x:v>功能需求</x:v>
      </x:c>
      <x:c r="F438" s="10" t="str">
        <x:v>P2</x:v>
      </x:c>
      <x:c r="G438" s="9" t="str">
        <x:v>验证违规记录读取违规类型</x:v>
      </x:c>
      <x:c r="H438" s="9" t="str">
        <x:v>违规类型回显</x:v>
      </x:c>
      <x:c r="I438" s="9" t="str">
        <x:v>1. 执行角色为公会长
2. 该笔违规关联类型配置的违规类型为“其他”</x:v>
      </x:c>
      <x:c r="J438" s="9" t="str">
        <x:v>1. 进入违规记录
2. 查看违规类型</x:v>
      </x:c>
      <x:c r="K438" s="9" t="str">
        <x:v>违规类型显示“其他”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来源（当前证据）：liveshow-proto/MainBasis/统一需求文档.md；位置：行2427
2. 规则：BR-39e1c421cead5fdb
3. 未动态验证</x:v>
      </x:c>
    </x:row>
    <x:row r="439" ht="115" customHeight="1">
      <x:c r="A439" s="10" t="n">
        <x:v>438</x:v>
      </x:c>
      <x:c r="B439" s="10" t="str">
        <x:v>GUILD-05-0079</x:v>
      </x:c>
      <x:c r="C439" s="10" t="str">
        <x:v>数据与收益</x:v>
      </x:c>
      <x:c r="D439" s="10" t="str">
        <x:v>违规记录（公会长视角）</x:v>
      </x:c>
      <x:c r="E439" s="10" t="str">
        <x:v>功能需求</x:v>
      </x:c>
      <x:c r="F439" s="10" t="str">
        <x:v>P2</x:v>
      </x:c>
      <x:c r="G439" s="9" t="str">
        <x:v>验证违规记录按账号违规发生时间从新到旧</x:v>
      </x:c>
      <x:c r="H439" s="9" t="str">
        <x:v>账号违规发生时间倒序</x:v>
      </x:c>
      <x:c r="I439" s="9" t="str">
        <x:v>1. 执行角色为公会长
2. 三条符合本页范围的记录甲乙丙，账号违规发生时间依次为同一天10:00、11:00、12:00</x:v>
      </x:c>
      <x:c r="J439" s="9" t="str">
        <x:v>1. 进入违规记录
2. 查看记录顺序</x:v>
      </x:c>
      <x:c r="K439" s="9" t="str">
        <x:v>记录顺序为丙、乙、甲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来源（当前证据）：liveshow-proto/MainBasis/统一需求文档.md；位置：行2428
2. 规则：BR-2210b627dea4a7a9
3. 未动态验证
4. 数据别名：甲、乙、丙用于区分本条测试对象；按前置条件准备并记录实际账号或记录 ID，不是固定业务名称。</x:v>
      </x:c>
    </x:row>
    <x:row r="440" ht="70" customHeight="1">
      <x:c r="A440" s="10" t="n">
        <x:v>439</x:v>
      </x:c>
      <x:c r="B440" s="10" t="str">
        <x:v>GUILD-05-0080</x:v>
      </x:c>
      <x:c r="C440" s="10" t="str">
        <x:v>数据与收益</x:v>
      </x:c>
      <x:c r="D440" s="10" t="str">
        <x:v>违规记录（公会长视角）</x:v>
      </x:c>
      <x:c r="E440" s="10" t="str">
        <x:v>功能需求</x:v>
      </x:c>
      <x:c r="F440" s="10" t="str">
        <x:v>P2</x:v>
      </x:c>
      <x:c r="G440" s="9" t="str">
        <x:v>验证违规记录读取处理结果</x:v>
      </x:c>
      <x:c r="H440" s="9" t="str">
        <x:v>处理结果回显</x:v>
      </x:c>
      <x:c r="I440" s="9" t="str">
        <x:v>1. 执行角色为公会长
2. 该筆已完成处置的处理结果为“警告”</x:v>
      </x:c>
      <x:c r="J440" s="9" t="str">
        <x:v>1. 进入违规记录
2. 查看处理结果</x:v>
      </x:c>
      <x:c r="K440" s="9" t="str">
        <x:v>处理结果显示“警告”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来源（当前证据）：liveshow-proto/MainBasis/统一需求文档.md；位置：行2429
2. 规则：BR-343a2f55b9ed15e1
3. 未动态验证</x:v>
      </x:c>
    </x:row>
    <x:row r="441" ht="145" customHeight="1">
      <x:c r="A441" s="10" t="n">
        <x:v>440</x:v>
      </x:c>
      <x:c r="B441" s="10" t="str">
        <x:v>GUILD-05-0081</x:v>
      </x:c>
      <x:c r="C441" s="10" t="str">
        <x:v>数据与收益</x:v>
      </x:c>
      <x:c r="D441" s="10" t="str">
        <x:v>违规记录（公会长视角）</x:v>
      </x:c>
      <x:c r="E441" s="10" t="str">
        <x:v>业务流程</x:v>
      </x:c>
      <x:c r="F441" s="10" t="str">
        <x:v>P1</x:v>
      </x:c>
      <x:c r="G441" s="9" t="str">
        <x:v>验证直播举报处罚进入公会违规记录</x:v>
      </x:c>
      <x:c r="H441" s="9" t="str">
        <x:v>举报处罚公会投影</x:v>
      </x:c>
      <x:c r="I441" s="9" t="str">
        <x:v>1. 执行角色为公会长
2. 本会主播甲被平台确认直播举报并执行处罚</x:v>
      </x:c>
      <x:c r="J441" s="9" t="str">
        <x:v>1. 进入违规记录
2. 选择直播间违规</x:v>
      </x:c>
      <x:c r="K441" s="9" t="str">
        <x:v>存在甲该场次对应违规记录</x:v>
      </x:c>
      <x:c r="L441" s="10" t="str">
        <x:v>FLOW-REPORT-RESOLVE</x:v>
      </x:c>
      <x:c r="M441" s="10" t="str">
        <x:v>未测</x:v>
      </x:c>
      <x:c r="N441" s="10" t="str"/>
      <x:c r="O441" s="9" t="str">
        <x:v>1. 来源（当前证据）：liveshow-proto/MainBasis/统一需求文档.md；位置：行2429
2. 规则：BR-9df6a7f97e617bdc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GUILD-05-0082</x:v>
      </x:c>
      <x:c r="C442" s="10" t="str">
        <x:v>数据与收益</x:v>
      </x:c>
      <x:c r="D442" s="10" t="str">
        <x:v>违规记录（公会长视角）</x:v>
      </x:c>
      <x:c r="E442" s="10" t="str">
        <x:v>业务流程</x:v>
      </x:c>
      <x:c r="F442" s="10" t="str">
        <x:v>P1</x:v>
      </x:c>
      <x:c r="G442" s="9" t="str">
        <x:v>验证警告记录不等同于关播</x:v>
      </x:c>
      <x:c r="H442" s="9" t="str">
        <x:v>警告处理范围</x:v>
      </x:c>
      <x:c r="I442" s="9" t="str">
        <x:v>1. 执行角色为公会长
2. 平台已对当前在播场次甲执行警告，未另行关播</x:v>
      </x:c>
      <x:c r="J442" s="9" t="str">
        <x:v>1. 进入违规记录
2. 打开场次甲关联主播
3. 进入直播记录</x:v>
      </x:c>
      <x:c r="K442" s="9" t="str">
        <x:v>场次甲仍在直播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来源（当前证据）：liveshow-proto/MainBasis/统一需求文档.md；位置：行2430
2. 规则：BR-a324274eebf47054
3. 未动态验证
4. 数据别名：甲、乙、丙用于区分本条测试对象；按前置条件准备并记录实际账号或记录 ID，不是固定业务名称。</x:v>
      </x:c>
    </x:row>
    <x:row r="443" ht="145" customHeight="1">
      <x:c r="A443" s="10" t="n">
        <x:v>442</x:v>
      </x:c>
      <x:c r="B443" s="10" t="str">
        <x:v>GUILD-05-0083</x:v>
      </x:c>
      <x:c r="C443" s="10" t="str">
        <x:v>数据与收益</x:v>
      </x:c>
      <x:c r="D443" s="10" t="str">
        <x:v>违规记录（公会长视角）</x:v>
      </x:c>
      <x:c r="E443" s="10" t="str">
        <x:v>业务流程</x:v>
      </x:c>
      <x:c r="F443" s="10" t="str">
        <x:v>P1</x:v>
      </x:c>
      <x:c r="G443" s="9" t="str">
        <x:v>验证封禁主播关联场次结束</x:v>
      </x:c>
      <x:c r="H443" s="9" t="str">
        <x:v>账号封禁观察</x:v>
      </x:c>
      <x:c r="I443" s="9" t="str">
        <x:v>1. 执行角色为公会长
2. 平台已封禁正在场次甲直播的本公会主播</x:v>
      </x:c>
      <x:c r="J443" s="9" t="str">
        <x:v>1. 进入直播记录
2. 打开场次甲</x:v>
      </x:c>
      <x:c r="K443" s="9" t="str">
        <x:v>场次甲已结束</x:v>
      </x:c>
      <x:c r="L443" s="10" t="str">
        <x:v>FLOW-ACCOUNT</x:v>
      </x:c>
      <x:c r="M443" s="10" t="str">
        <x:v>未测</x:v>
      </x:c>
      <x:c r="N443" s="10" t="str"/>
      <x:c r="O443" s="9" t="str">
        <x:v>1. 来源（当前证据）：liveshow-proto/MainBasis/统一需求文档.md；位置：行2431
2. 规则：BR-d0f2fa0fe031e09c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GUILD-05-0084</x:v>
      </x:c>
      <x:c r="C444" s="10" t="str">
        <x:v>数据与收益</x:v>
      </x:c>
      <x:c r="D444" s="10" t="str">
        <x:v>违规记录（公会长视角）</x:v>
      </x:c>
      <x:c r="E444" s="10" t="str">
        <x:v>功能需求</x:v>
      </x:c>
      <x:c r="F444" s="10" t="str">
        <x:v>P2</x:v>
      </x:c>
      <x:c r="G444" s="9" t="str">
        <x:v>验证违规记录进入对应主播</x:v>
      </x:c>
      <x:c r="H444" s="9" t="str">
        <x:v>违规主体导航</x:v>
      </x:c>
      <x:c r="I444" s="9" t="str">
        <x:v>1. 执行角色为公会长
2. 当前违规记录归属主播甲</x:v>
      </x:c>
      <x:c r="J444" s="9" t="str">
        <x:v>1. 进入违规记录
2. 点击甲</x:v>
      </x:c>
      <x:c r="K444" s="9" t="str">
        <x:v>进入甲主播详情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来源（当前证据）：liveshow-proto/MainBasis/统一需求文档.md；位置：行2432
2. 规则：BR-0084b02a5407bff3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GUILD-05-0085</x:v>
      </x:c>
      <x:c r="C445" s="10" t="str">
        <x:v>数据与收益</x:v>
      </x:c>
      <x:c r="D445" s="10" t="str">
        <x:v>主播分成记录（公会长视角）</x:v>
      </x:c>
      <x:c r="E445" s="10" t="str">
        <x:v>功能需求</x:v>
      </x:c>
      <x:c r="F445" s="10" t="str">
        <x:v>P2</x:v>
      </x:c>
      <x:c r="G445" s="9" t="str">
        <x:v>验证分成切主播保留日期</x:v>
      </x:c>
      <x:c r="H445" s="9" t="str">
        <x:v>分成组合筛选</x:v>
      </x:c>
      <x:c r="I445" s="9" t="str">
        <x:v>1. 执行角色为公会长
2. 分成记录日期9月1日至3日</x:v>
      </x:c>
      <x:c r="J445" s="9" t="str">
        <x:v>1. 进入选择主播
2. 选择甲
3. 点击完成</x:v>
      </x:c>
      <x:c r="K445" s="9" t="str">
        <x:v>日期范围仍为9月1日至3日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来源（当前证据）：liveshow-proto/MainBasis/统一需求文档.md；位置：行2474
2. 规则：BR-72245cc91f1604e9
3. 未动态验证</x:v>
      </x:c>
    </x:row>
    <x:row r="446" ht="115" customHeight="1">
      <x:c r="A446" s="10" t="n">
        <x:v>445</x:v>
      </x:c>
      <x:c r="B446" s="10" t="str">
        <x:v>GUILD-05-0086</x:v>
      </x:c>
      <x:c r="C446" s="10" t="str">
        <x:v>数据与收益</x:v>
      </x:c>
      <x:c r="D446" s="10" t="str">
        <x:v>主播分成记录（公会长视角）</x:v>
      </x:c>
      <x:c r="E446" s="10" t="str">
        <x:v>逻辑校验</x:v>
      </x:c>
      <x:c r="F446" s="10" t="str">
        <x:v>P1</x:v>
      </x:c>
      <x:c r="G446" s="9" t="str">
        <x:v>验证主播分成记录包含开始日记录</x:v>
      </x:c>
      <x:c r="H446" s="9" t="str">
        <x:v>开始日边界包含</x:v>
      </x:c>
      <x:c r="I446" s="9" t="str">
        <x:v>1. 执行角色为公会长
2. 准备本页有效记录甲，统计日期为2026年9月1日；记录乙在9月4日，其他筛选条件均满足</x:v>
      </x:c>
      <x:c r="J446" s="9" t="str">
        <x:v>1. 进入主播分成记录
2. 选择自定义日期2026年9月1日至3日
3. 查看结果</x:v>
      </x:c>
      <x:c r="K446" s="9" t="str">
        <x:v>结果包含甲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来源（当前证据）：liveshow-proto/MainBasis/统一需求文档.md；位置：行2475
2. 规则：BR-f4e69b763a4a832b
3. 未动态验证
4. 数据别名：甲、乙、丙用于区分本条测试对象；按前置条件准备并记录实际账号或记录 ID，不是固定业务名称。</x:v>
      </x:c>
    </x:row>
    <x:row r="447" ht="115" customHeight="1">
      <x:c r="A447" s="10" t="n">
        <x:v>446</x:v>
      </x:c>
      <x:c r="B447" s="10" t="str">
        <x:v>GUILD-05-0087</x:v>
      </x:c>
      <x:c r="C447" s="10" t="str">
        <x:v>数据与收益</x:v>
      </x:c>
      <x:c r="D447" s="10" t="str">
        <x:v>主播分成记录（公会长视角）</x:v>
      </x:c>
      <x:c r="E447" s="10" t="str">
        <x:v>逻辑校验</x:v>
      </x:c>
      <x:c r="F447" s="10" t="str">
        <x:v>P1</x:v>
      </x:c>
      <x:c r="G447" s="9" t="str">
        <x:v>验证主播分成记录包含结束日记录</x:v>
      </x:c>
      <x:c r="H447" s="9" t="str">
        <x:v>结束日边界包含</x:v>
      </x:c>
      <x:c r="I447" s="9" t="str">
        <x:v>1. 执行角色为公会长
2. 准备本页有效记录甲，统计日期为2026年9月3日；记录乙在9月4日，其他筛选条件均满足</x:v>
      </x:c>
      <x:c r="J447" s="9" t="str">
        <x:v>1. 进入主播分成记录
2. 选择自定义日期2026年9月1日至3日
3. 查看结果</x:v>
      </x:c>
      <x:c r="K447" s="9" t="str">
        <x:v>结果包含甲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来源（当前证据）：liveshow-proto/MainBasis/统一需求文档.md；位置：行2475
2. 规则：BR-040ade38a1838b48
3. 未动态验证
4. 数据别名：甲、乙、丙用于区分本条测试对象；按前置条件准备并记录实际账号或记录 ID，不是固定业务名称。</x:v>
      </x:c>
    </x:row>
    <x:row r="448" ht="115" customHeight="1">
      <x:c r="A448" s="10" t="n">
        <x:v>447</x:v>
      </x:c>
      <x:c r="B448" s="10" t="str">
        <x:v>GUILD-05-0088</x:v>
      </x:c>
      <x:c r="C448" s="10" t="str">
        <x:v>数据与收益</x:v>
      </x:c>
      <x:c r="D448" s="10" t="str">
        <x:v>主播分成记录（公会长视角）</x:v>
      </x:c>
      <x:c r="E448" s="10" t="str">
        <x:v>功能需求</x:v>
      </x:c>
      <x:c r="F448" s="10" t="str">
        <x:v>P2</x:v>
      </x:c>
      <x:c r="G448" s="9" t="str">
        <x:v>验证主播分成记录选择今日范围</x:v>
      </x:c>
      <x:c r="H448" s="9" t="str">
        <x:v>今日筛选切换</x:v>
      </x:c>
      <x:c r="I448" s="9" t="str">
        <x:v>1. 执行角色为公会长
2. 准备两笔记录：甲的本页统计时间在本次今日内；乙在范围外；主体均属于当前公会</x:v>
      </x:c>
      <x:c r="J448" s="9" t="str">
        <x:v>1. 进入主播分成记录
2. 选择今日
3. 查看列表</x:v>
      </x:c>
      <x:c r="K448" s="9" t="str">
        <x:v>列表包含甲且排除乙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来源（当前证据）：liveshow-proto/MainBasis/统一需求文档.md；位置：行2476
2. 规则：BR-4c58131da4e895f0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GUILD-05-0089</x:v>
      </x:c>
      <x:c r="C449" s="10" t="str">
        <x:v>数据与收益</x:v>
      </x:c>
      <x:c r="D449" s="10" t="str">
        <x:v>主播分成记录（公会长视角）</x:v>
      </x:c>
      <x:c r="E449" s="10" t="str">
        <x:v>功能需求</x:v>
      </x:c>
      <x:c r="F449" s="10" t="str">
        <x:v>P2</x:v>
      </x:c>
      <x:c r="G449" s="9" t="str">
        <x:v>验证主播分成记录选择昨日范围</x:v>
      </x:c>
      <x:c r="H449" s="9" t="str">
        <x:v>昨日筛选切换</x:v>
      </x:c>
      <x:c r="I449" s="9" t="str">
        <x:v>1. 执行角色为公会长
2. 准备两笔记录：甲的本页统计时间在本次昨日内；乙在范围外；主体均属于当前公会</x:v>
      </x:c>
      <x:c r="J449" s="9" t="str">
        <x:v>1. 进入主播分成记录
2. 选择昨日
3. 查看列表</x:v>
      </x:c>
      <x:c r="K449" s="9" t="str">
        <x:v>列表包含甲且排除乙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来源（当前证据）：liveshow-proto/MainBasis/统一需求文档.md；位置：行2476
2. 规则：BR-ed93a823a702f00a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GUILD-05-0090</x:v>
      </x:c>
      <x:c r="C450" s="10" t="str">
        <x:v>数据与收益</x:v>
      </x:c>
      <x:c r="D450" s="10" t="str">
        <x:v>主播分成记录（公会长视角）</x:v>
      </x:c>
      <x:c r="E450" s="10" t="str">
        <x:v>功能需求</x:v>
      </x:c>
      <x:c r="F450" s="10" t="str">
        <x:v>P2</x:v>
      </x:c>
      <x:c r="G450" s="9" t="str">
        <x:v>验证主播分成记录选择本周范围</x:v>
      </x:c>
      <x:c r="H450" s="9" t="str">
        <x:v>本周筛选切换</x:v>
      </x:c>
      <x:c r="I450" s="9" t="str">
        <x:v>1. 执行角色为公会长
2. 准备两笔记录：甲的本页统计时间在本次本周内；乙在范围外；主体均属于当前公会</x:v>
      </x:c>
      <x:c r="J450" s="9" t="str">
        <x:v>1. 进入主播分成记录
2. 选择本周
3. 查看列表</x:v>
      </x:c>
      <x:c r="K450" s="9" t="str">
        <x:v>列表包含甲且排除乙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来源（当前证据）：liveshow-proto/MainBasis/统一需求文档.md；位置：行2476
2. 规则：BR-9dfe752cf6a12f82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GUILD-05-0091</x:v>
      </x:c>
      <x:c r="C451" s="10" t="str">
        <x:v>数据与收益</x:v>
      </x:c>
      <x:c r="D451" s="10" t="str">
        <x:v>主播分成记录（公会长视角）</x:v>
      </x:c>
      <x:c r="E451" s="10" t="str">
        <x:v>功能需求</x:v>
      </x:c>
      <x:c r="F451" s="10" t="str">
        <x:v>P2</x:v>
      </x:c>
      <x:c r="G451" s="9" t="str">
        <x:v>验证主播分成记录选择上周范围</x:v>
      </x:c>
      <x:c r="H451" s="9" t="str">
        <x:v>上周筛选切换</x:v>
      </x:c>
      <x:c r="I451" s="9" t="str">
        <x:v>1. 执行角色为公会长
2. 准备两笔记录：甲的本页统计时间在本次上周内；乙在范围外；主体均属于当前公会</x:v>
      </x:c>
      <x:c r="J451" s="9" t="str">
        <x:v>1. 进入主播分成记录
2. 选择上周
3. 查看列表</x:v>
      </x:c>
      <x:c r="K451" s="9" t="str">
        <x:v>列表包含甲且排除乙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来源（当前证据）：liveshow-proto/MainBasis/统一需求文档.md；位置：行2476
2. 规则：BR-719831a6cb54af54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GUILD-05-0092</x:v>
      </x:c>
      <x:c r="C452" s="10" t="str">
        <x:v>数据与收益</x:v>
      </x:c>
      <x:c r="D452" s="10" t="str">
        <x:v>主播分成记录（公会长视角）</x:v>
      </x:c>
      <x:c r="E452" s="10" t="str">
        <x:v>功能需求</x:v>
      </x:c>
      <x:c r="F452" s="10" t="str">
        <x:v>P2</x:v>
      </x:c>
      <x:c r="G452" s="9" t="str">
        <x:v>验证主播分成记录选择本月范围</x:v>
      </x:c>
      <x:c r="H452" s="9" t="str">
        <x:v>本月筛选切换</x:v>
      </x:c>
      <x:c r="I452" s="9" t="str">
        <x:v>1. 执行角色为公会长
2. 准备两笔记录：甲的本页统计时间在本次本月内；乙在范围外；主体均属于当前公会</x:v>
      </x:c>
      <x:c r="J452" s="9" t="str">
        <x:v>1. 进入主播分成记录
2. 选择本月
3. 查看列表</x:v>
      </x:c>
      <x:c r="K452" s="9" t="str">
        <x:v>列表包含甲且排除乙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来源（当前证据）：liveshow-proto/MainBasis/统一需求文档.md；位置：行2476
2. 规则：BR-e59bc02d6509acfd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GUILD-05-0093</x:v>
      </x:c>
      <x:c r="C453" s="10" t="str">
        <x:v>数据与收益</x:v>
      </x:c>
      <x:c r="D453" s="10" t="str">
        <x:v>主播分成记录（公会长视角）</x:v>
      </x:c>
      <x:c r="E453" s="10" t="str">
        <x:v>功能需求</x:v>
      </x:c>
      <x:c r="F453" s="10" t="str">
        <x:v>P2</x:v>
      </x:c>
      <x:c r="G453" s="9" t="str">
        <x:v>验证主播分成记录选择上月范围</x:v>
      </x:c>
      <x:c r="H453" s="9" t="str">
        <x:v>上月筛选切换</x:v>
      </x:c>
      <x:c r="I453" s="9" t="str">
        <x:v>1. 执行角色为公会长
2. 准备两笔记录：甲的本页统计时间在本次上月内；乙在范围外；主体均属于当前公会</x:v>
      </x:c>
      <x:c r="J453" s="9" t="str">
        <x:v>1. 进入主播分成记录
2. 选择上月
3. 查看列表</x:v>
      </x:c>
      <x:c r="K453" s="9" t="str">
        <x:v>列表包含甲且排除乙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来源（当前证据）：liveshow-proto/MainBasis/统一需求文档.md；位置：行2476
2. 规则：BR-d3e504b6538b3d0f
3. 未动态验证
4. 数据别名：甲、乙、丙用于区分本条测试对象；按前置条件准备并记录实际账号或记录 ID，不是固定业务名称。</x:v>
      </x:c>
    </x:row>
    <x:row r="454" ht="115" customHeight="1">
      <x:c r="A454" s="10" t="n">
        <x:v>453</x:v>
      </x:c>
      <x:c r="B454" s="10" t="str">
        <x:v>GUILD-05-0094</x:v>
      </x:c>
      <x:c r="C454" s="10" t="str">
        <x:v>数据与收益</x:v>
      </x:c>
      <x:c r="D454" s="10" t="str">
        <x:v>主播分成记录（公会长视角）</x:v>
      </x:c>
      <x:c r="E454" s="10" t="str">
        <x:v>功能需求</x:v>
      </x:c>
      <x:c r="F454" s="10" t="str">
        <x:v>P2</x:v>
      </x:c>
      <x:c r="G454" s="9" t="str">
        <x:v>验证主播分成记录选择自定义范围</x:v>
      </x:c>
      <x:c r="H454" s="9" t="str">
        <x:v>自定义筛选切换</x:v>
      </x:c>
      <x:c r="I454" s="9" t="str">
        <x:v>1. 执行角色为公会长
2. 准备两笔记录：甲的本页统计时间在9月1日至9月3日内；乙在范围外；主体均属于当前公会</x:v>
      </x:c>
      <x:c r="J454" s="9" t="str">
        <x:v>1. 进入主播分成记录
2. 选择自定义9月1日至9月3日
3. 查看列表</x:v>
      </x:c>
      <x:c r="K454" s="9" t="str">
        <x:v>列表包含甲且排除乙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来源（当前证据）：liveshow-proto/MainBasis/统一需求文档.md；位置：行2476
2. 规则：BR-849b08410fd82a23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GUILD-05-0095</x:v>
      </x:c>
      <x:c r="C455" s="10" t="str">
        <x:v>数据与收益</x:v>
      </x:c>
      <x:c r="D455" s="10" t="str">
        <x:v>主播分成记录（公会长视角）</x:v>
      </x:c>
      <x:c r="E455" s="10" t="str">
        <x:v>功能需求</x:v>
      </x:c>
      <x:c r="F455" s="10" t="str">
        <x:v>P2</x:v>
      </x:c>
      <x:c r="G455" s="9" t="str">
        <x:v>验证主播分成记录读取主播名称</x:v>
      </x:c>
      <x:c r="H455" s="9" t="str">
        <x:v>主播名称回显</x:v>
      </x:c>
      <x:c r="I455" s="9" t="str">
        <x:v>1. 执行角色为公会长
2. 该笔财务上传结果对应主播的主播名称为“主播甲”</x:v>
      </x:c>
      <x:c r="J455" s="9" t="str">
        <x:v>1. 进入主播分成记录
2. 查看主播名称</x:v>
      </x:c>
      <x:c r="K455" s="9" t="str">
        <x:v>主播名称显示“主播甲”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来源（当前证据）：liveshow-proto/MainBasis/统一需求文档.md；位置：行2477
2. 规则：BR-f9e16c38a4c2311d
3. 未动态验证
4. 数据别名：甲、乙、丙用于区分本条测试对象；按前置条件准备并记录实际账号或记录 ID，不是固定业务名称。</x:v>
      </x:c>
    </x:row>
    <x:row r="456" ht="70" customHeight="1">
      <x:c r="A456" s="10" t="n">
        <x:v>455</x:v>
      </x:c>
      <x:c r="B456" s="10" t="str">
        <x:v>GUILD-05-0096</x:v>
      </x:c>
      <x:c r="C456" s="10" t="str">
        <x:v>数据与收益</x:v>
      </x:c>
      <x:c r="D456" s="10" t="str">
        <x:v>主播分成记录（公会长视角）</x:v>
      </x:c>
      <x:c r="E456" s="10" t="str">
        <x:v>功能需求</x:v>
      </x:c>
      <x:c r="F456" s="10" t="str">
        <x:v>P2</x:v>
      </x:c>
      <x:c r="G456" s="9" t="str">
        <x:v>验证主播分成记录读取主播ID</x:v>
      </x:c>
      <x:c r="H456" s="9" t="str">
        <x:v>主播ID回显</x:v>
      </x:c>
      <x:c r="I456" s="9" t="str">
        <x:v>1. 执行角色为公会长
2. 该笔财务上传结果对应主播的主播ID为“100001”</x:v>
      </x:c>
      <x:c r="J456" s="9" t="str">
        <x:v>1. 进入主播分成记录
2. 查看主播ID</x:v>
      </x:c>
      <x:c r="K456" s="9" t="str">
        <x:v>主播ID显示“100001”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来源（当前证据）：liveshow-proto/MainBasis/统一需求文档.md；位置：行2477
2. 规则：BR-65c3a843542af518
3. 未动态验证</x:v>
      </x:c>
    </x:row>
    <x:row r="457" ht="70" customHeight="1">
      <x:c r="A457" s="10" t="n">
        <x:v>456</x:v>
      </x:c>
      <x:c r="B457" s="10" t="str">
        <x:v>GUILD-05-0097</x:v>
      </x:c>
      <x:c r="C457" s="10" t="str">
        <x:v>数据与收益</x:v>
      </x:c>
      <x:c r="D457" s="10" t="str">
        <x:v>主播分成记录（公会长视角）</x:v>
      </x:c>
      <x:c r="E457" s="10" t="str">
        <x:v>功能需求</x:v>
      </x:c>
      <x:c r="F457" s="10" t="str">
        <x:v>P2</x:v>
      </x:c>
      <x:c r="G457" s="9" t="str">
        <x:v>验证主播负分成保留符号两位小数</x:v>
      </x:c>
      <x:c r="H457" s="9" t="str">
        <x:v>主播分成负值格式</x:v>
      </x:c>
      <x:c r="I457" s="9" t="str">
        <x:v>1. 执行角色为公会长
2. 上传当前公会主播分成-12.50USD</x:v>
      </x:c>
      <x:c r="J457" s="9" t="str">
        <x:v>1. 进入主播分成记录</x:v>
      </x:c>
      <x:c r="K457" s="9" t="str">
        <x:v>显示负12.50USD对应本地化金额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来源（当前证据）：liveshow-proto/MainBasis/统一需求文档.md；位置：行2479
2. 规则：BR-b4824b5468c4128c
3. 未动态验证</x:v>
      </x:c>
    </x:row>
    <x:row r="458" ht="70" customHeight="1">
      <x:c r="A458" s="10" t="n">
        <x:v>457</x:v>
      </x:c>
      <x:c r="B458" s="10" t="str">
        <x:v>GUILD-05-0098</x:v>
      </x:c>
      <x:c r="C458" s="10" t="str">
        <x:v>数据与收益</x:v>
      </x:c>
      <x:c r="D458" s="10" t="str">
        <x:v>主播分成记录（公会长视角）</x:v>
      </x:c>
      <x:c r="E458" s="10" t="str">
        <x:v>业务流程</x:v>
      </x:c>
      <x:c r="F458" s="10" t="str">
        <x:v>P1</x:v>
      </x:c>
      <x:c r="G458" s="9" t="str">
        <x:v>验证公会端只读取财务上传结果</x:v>
      </x:c>
      <x:c r="H458" s="9" t="str">
        <x:v>主播分成只读边界</x:v>
      </x:c>
      <x:c r="I458" s="9" t="str">
        <x:v>1. 执行角色为公会长
2. 当前公会有上传完成的主播分成记录</x:v>
      </x:c>
      <x:c r="J458" s="9" t="str">
        <x:v>1. 进入主播分成记录</x:v>
      </x:c>
      <x:c r="K458" s="9" t="str">
        <x:v>不提供在线分成计算或审批操作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来源（当前证据）：liveshow-proto/MainBasis/统一需求文档.md；位置：行2480
2. 规则：BR-6185a12f2940d4a1
3. 未动态验证</x:v>
      </x:c>
    </x:row>
    <x:row r="459" ht="145" customHeight="1">
      <x:c r="A459" s="10" t="n">
        <x:v>458</x:v>
      </x:c>
      <x:c r="B459" s="10" t="str">
        <x:v>GUILD-05-0099</x:v>
      </x:c>
      <x:c r="C459" s="10" t="str">
        <x:v>数据与收益</x:v>
      </x:c>
      <x:c r="D459" s="10" t="str">
        <x:v>主播分成记录（公会长视角）</x:v>
      </x:c>
      <x:c r="E459" s="10" t="str">
        <x:v>业务流程</x:v>
      </x:c>
      <x:c r="F459" s="10" t="str">
        <x:v>P1</x:v>
      </x:c>
      <x:c r="G459" s="9" t="str">
        <x:v>验证新导入主播分成在公会可见</x:v>
      </x:c>
      <x:c r="H459" s="9" t="str">
        <x:v>主播分成导入公会投影</x:v>
      </x:c>
      <x:c r="I459" s="9" t="str">
        <x:v>1. 执行角色为公会长
2. 财务刚完成当前公会主播甲12.50USD分成导入</x:v>
      </x:c>
      <x:c r="J459" s="9" t="str">
        <x:v>1. 进入主播分成记录
2. 选择甲</x:v>
      </x:c>
      <x:c r="K459" s="9" t="str">
        <x:v>显示甲本次12.50USD分成记录</x:v>
      </x:c>
      <x:c r="L459" s="10" t="str">
        <x:v>FLOW-SETTLEMENT-IMPORT</x:v>
      </x:c>
      <x:c r="M459" s="10" t="str">
        <x:v>未测</x:v>
      </x:c>
      <x:c r="N459" s="10" t="str"/>
      <x:c r="O459" s="9" t="str">
        <x:v>1. 来源（当前证据）：liveshow-proto/MainBasis/统一需求文档.md；位置：行2480
2. 规则：BR-df9e8e2aa1d78ec0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60" ht="115" customHeight="1">
      <x:c r="A460" s="10" t="n">
        <x:v>459</x:v>
      </x:c>
      <x:c r="B460" s="10" t="str">
        <x:v>GUILD-05-0100</x:v>
      </x:c>
      <x:c r="C460" s="10" t="str">
        <x:v>数据与收益</x:v>
      </x:c>
      <x:c r="D460" s="10" t="str">
        <x:v>主播分成记录（公会长视角）</x:v>
      </x:c>
      <x:c r="E460" s="10" t="str">
        <x:v>业务流程</x:v>
      </x:c>
      <x:c r="F460" s="10" t="str">
        <x:v>P1</x:v>
      </x:c>
      <x:c r="G460" s="9" t="str">
        <x:v>验证主播分成按入账时间筛选</x:v>
      </x:c>
      <x:c r="H460" s="9" t="str">
        <x:v>分成时间和业绩周期区分</x:v>
      </x:c>
      <x:c r="I460" s="9" t="str">
        <x:v>1. 执行角色为公会长
2. 主播甲8月业绩的分成9月2日入账；无其他记录</x:v>
      </x:c>
      <x:c r="J460" s="9" t="str">
        <x:v>1. 进入主播分成记录
2. 选择9月1日至9月3日</x:v>
      </x:c>
      <x:c r="K460" s="9" t="str">
        <x:v>列表包含该笔8月业绩的分成结果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来源（当前证据）：liveshow-proto/MainBasis/统一需求文档.md；位置：行2481
2. 规则：BR-eeb6da0f71dbaefa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GUILD-05-0101</x:v>
      </x:c>
      <x:c r="C461" s="10" t="str">
        <x:v>数据与收益</x:v>
      </x:c>
      <x:c r="D461" s="10" t="str">
        <x:v>主播分成记录（公会长视角）</x:v>
      </x:c>
      <x:c r="E461" s="10" t="str">
        <x:v>功能需求</x:v>
      </x:c>
      <x:c r="F461" s="10" t="str">
        <x:v>P2</x:v>
      </x:c>
      <x:c r="G461" s="9" t="str">
        <x:v>验证主播分成记录按分成时间从新到旧</x:v>
      </x:c>
      <x:c r="H461" s="9" t="str">
        <x:v>分成时间倒序</x:v>
      </x:c>
      <x:c r="I461" s="9" t="str">
        <x:v>1. 执行角色为公会长
2. 三条符合本页范围的记录甲乙丙，分成时间依次为同一天10:00、11:00、12:00</x:v>
      </x:c>
      <x:c r="J461" s="9" t="str">
        <x:v>1. 进入主播分成记录
2. 查看记录顺序</x:v>
      </x:c>
      <x:c r="K461" s="9" t="str">
        <x:v>记录顺序为丙、乙、甲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来源（当前证据）：liveshow-proto/MainBasis/统一需求文档.md；位置：行2481
2. 规则：BR-8bbb96349ecf0697
3. 未动态验证
4. 数据别名：甲、乙、丙用于区分本条测试对象；按前置条件准备并记录实际账号或记录 ID，不是固定业务名称。</x:v>
      </x:c>
    </x:row>
    <x:row r="462" ht="70" customHeight="1">
      <x:c r="A462" s="10" t="n">
        <x:v>461</x:v>
      </x:c>
      <x:c r="B462" s="10" t="str">
        <x:v>GUILD-05-0102</x:v>
      </x:c>
      <x:c r="C462" s="10" t="str">
        <x:v>数据与收益</x:v>
      </x:c>
      <x:c r="D462" s="10" t="str">
        <x:v>公会分成记录（公会长视角）</x:v>
      </x:c>
      <x:c r="E462" s="10" t="str">
        <x:v>功能需求</x:v>
      </x:c>
      <x:c r="F462" s="10" t="str">
        <x:v>P2</x:v>
      </x:c>
      <x:c r="G462" s="9" t="str">
        <x:v>验证公会负分成不转正</x:v>
      </x:c>
      <x:c r="H462" s="9" t="str">
        <x:v>公会冲正金额</x:v>
      </x:c>
      <x:c r="I462" s="9" t="str">
        <x:v>1. 执行角色为公会长
2. 上传当前公会分成-12.50USD</x:v>
      </x:c>
      <x:c r="J462" s="9" t="str">
        <x:v>1. 进入公会分成记录</x:v>
      </x:c>
      <x:c r="K462" s="9" t="str">
        <x:v>显示负12.50USD对应本地化金额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来源（当前证据）：liveshow-proto/MainBasis/统一需求文档.md；位置：行2486
2. 规则：BR-aa0aa9d02e3b7ce2
3. 未动态验证</x:v>
      </x:c>
    </x:row>
    <x:row r="463" ht="70" customHeight="1">
      <x:c r="A463" s="10" t="n">
        <x:v>462</x:v>
      </x:c>
      <x:c r="B463" s="10" t="str">
        <x:v>GUILD-05-0103</x:v>
      </x:c>
      <x:c r="C463" s="10" t="str">
        <x:v>数据与收益</x:v>
      </x:c>
      <x:c r="D463" s="10" t="str">
        <x:v>公会分成记录（公会长视角）</x:v>
      </x:c>
      <x:c r="E463" s="10" t="str">
        <x:v>业务流程</x:v>
      </x:c>
      <x:c r="F463" s="10" t="str">
        <x:v>P1</x:v>
      </x:c>
      <x:c r="G463" s="9" t="str">
        <x:v>验证公会分成不提供日期筛选</x:v>
      </x:c>
      <x:c r="H463" s="9" t="str">
        <x:v>公会分成控件边界</x:v>
      </x:c>
      <x:c r="I463" s="9" t="str">
        <x:v>1. 执行角色为公会长
2. 当前公会有历史分成结果</x:v>
      </x:c>
      <x:c r="J463" s="9" t="str">
        <x:v>1. 进入公会分成记录</x:v>
      </x:c>
      <x:c r="K463" s="9" t="str">
        <x:v>不显示日期筛选控件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来源（当前证据）：liveshow-proto/MainBasis/统一需求文档.md；位置：行2487
2. 规则：BR-b1b7222593f8c0ec
3. 未动态验证</x:v>
      </x:c>
    </x:row>
    <x:row r="464" ht="115" customHeight="1">
      <x:c r="A464" s="10" t="n">
        <x:v>463</x:v>
      </x:c>
      <x:c r="B464" s="10" t="str">
        <x:v>GUILD-05-0104</x:v>
      </x:c>
      <x:c r="C464" s="10" t="str">
        <x:v>数据与收益</x:v>
      </x:c>
      <x:c r="D464" s="10" t="str">
        <x:v>公会分成记录（公会长视角）</x:v>
      </x:c>
      <x:c r="E464" s="10" t="str">
        <x:v>业务流程</x:v>
      </x:c>
      <x:c r="F464" s="10" t="str">
        <x:v>P1</x:v>
      </x:c>
      <x:c r="G464" s="9" t="str">
        <x:v>验证公会分成隔离其他公会</x:v>
      </x:c>
      <x:c r="H464" s="9" t="str">
        <x:v>公会分成范围</x:v>
      </x:c>
      <x:c r="I464" s="9" t="str">
        <x:v>1. 执行角色为公会长
2. 甲和乙均有财务上传结果；当前选择甲</x:v>
      </x:c>
      <x:c r="J464" s="9" t="str">
        <x:v>1. 进入公会分成记录</x:v>
      </x:c>
      <x:c r="K464" s="9" t="str">
        <x:v>仅包含公会甲的结果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来源（当前证据）：liveshow-proto/MainBasis/统一需求文档.md；位置：行2487
2. 规则：BR-dd6f3bb5721d5106
3. 未动态验证
4. 数据别名：甲、乙、丙用于区分本条测试对象；按前置条件准备并记录实际账号或记录 ID，不是固定业务名称。</x:v>
      </x:c>
    </x:row>
    <x:row r="465" ht="115" customHeight="1">
      <x:c r="A465" s="10" t="n">
        <x:v>464</x:v>
      </x:c>
      <x:c r="B465" s="10" t="str">
        <x:v>GUILD-05-0105</x:v>
      </x:c>
      <x:c r="C465" s="10" t="str">
        <x:v>数据与收益</x:v>
      </x:c>
      <x:c r="D465" s="10" t="str">
        <x:v>公会分成记录（公会长视角）</x:v>
      </x:c>
      <x:c r="E465" s="10" t="str">
        <x:v>业务流程</x:v>
      </x:c>
      <x:c r="F465" s="10" t="str">
        <x:v>P1</x:v>
      </x:c>
      <x:c r="G465" s="9" t="str">
        <x:v>验证新导入公会分成在公会可见</x:v>
      </x:c>
      <x:c r="H465" s="9" t="str">
        <x:v>公会分成导入公会投影</x:v>
      </x:c>
      <x:c r="I465" s="9" t="str">
        <x:v>1. 执行角色为公会长
2. 财务刚完成当前公会12.50USD分成导入</x:v>
      </x:c>
      <x:c r="J465" s="9" t="str">
        <x:v>1. 进入公会分成记录</x:v>
      </x:c>
      <x:c r="K465" s="9" t="str">
        <x:v>显示本次12.50USD公会分成记录</x:v>
      </x:c>
      <x:c r="L465" s="10" t="str">
        <x:v>FLOW-GUILD</x:v>
      </x:c>
      <x:c r="M465" s="10" t="str">
        <x:v>未测</x:v>
      </x:c>
      <x:c r="N465" s="10" t="str"/>
      <x:c r="O465" s="9" t="str">
        <x:v>1. 来源（当前证据）：liveshow-proto/MainBasis/统一需求文档.md；位置：行2487
2. 规则：BR-add36ea697b43bc3
3. 未动态验证
4. 状态转换：ST-GUILD-SETTLEMENT-IMPORT；按同一业务对象的数据别名准备对应上下游记录</x:v>
      </x:c>
    </x:row>
    <x:row r="466" ht="115" customHeight="1">
      <x:c r="A466" s="10" t="n">
        <x:v>465</x:v>
      </x:c>
      <x:c r="B466" s="10" t="str">
        <x:v>GUILD-05-0106</x:v>
      </x:c>
      <x:c r="C466" s="10" t="str">
        <x:v>数据与收益</x:v>
      </x:c>
      <x:c r="D466" s="10" t="str">
        <x:v>公会分成记录（公会长视角）</x:v>
      </x:c>
      <x:c r="E466" s="10" t="str">
        <x:v>功能需求</x:v>
      </x:c>
      <x:c r="F466" s="10" t="str">
        <x:v>P2</x:v>
      </x:c>
      <x:c r="G466" s="9" t="str">
        <x:v>验证公会分成记录按分成时间从新到旧</x:v>
      </x:c>
      <x:c r="H466" s="9" t="str">
        <x:v>分成时间倒序</x:v>
      </x:c>
      <x:c r="I466" s="9" t="str">
        <x:v>1. 执行角色为公会长
2. 三条符合本页范围的记录甲乙丙，分成时间依次为同一天10:00、11:00、12:00</x:v>
      </x:c>
      <x:c r="J466" s="9" t="str">
        <x:v>1. 进入公会分成记录
2. 查看记录顺序</x:v>
      </x:c>
      <x:c r="K466" s="9" t="str">
        <x:v>记录顺序为丙、乙、甲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来源（当前证据）：liveshow-proto/MainBasis/统一需求文档.md；位置：行2488
2. 规则：BR-bd5abafa40d1e37f
3. 未动态验证
4. 数据别名：甲、乙、丙用于区分本条测试对象；按前置条件准备并记录实际账号或记录 ID，不是固定业务名称。</x:v>
      </x:c>
    </x:row>
    <x:row r="467" ht="115" customHeight="1">
      <x:c r="A467" s="10" t="n">
        <x:v>466</x:v>
      </x:c>
      <x:c r="B467" s="10" t="str">
        <x:v>GUILD-05-0107</x:v>
      </x:c>
      <x:c r="C467" s="10" t="str">
        <x:v>数据与收益</x:v>
      </x:c>
      <x:c r="D467" s="10" t="str">
        <x:v>选择主播（公会长视角）</x:v>
      </x:c>
      <x:c r="E467" s="10" t="str">
        <x:v>功能需求</x:v>
      </x:c>
      <x:c r="F467" s="10" t="str">
        <x:v>P2</x:v>
      </x:c>
      <x:c r="G467" s="9" t="str">
        <x:v>验证选择主播读取违规主播名称</x:v>
      </x:c>
      <x:c r="H467" s="9" t="str">
        <x:v>违规主播名称回显</x:v>
      </x:c>
      <x:c r="I467" s="9" t="str">
        <x:v>1. 执行角色为公会长
2. 当前可选主播资料的违规主播名称为“主播甲”</x:v>
      </x:c>
      <x:c r="J467" s="9" t="str">
        <x:v>1. 进入选择主播
2. 查看违规主播名称</x:v>
      </x:c>
      <x:c r="K467" s="9" t="str">
        <x:v>违规主播名称显示“主播甲”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来源（当前证据）：liveshow-proto/MainBasis/统一需求文档.md；位置：行2493
2. 规则：BR-3f4cceb42b7acc21
3. 未动态验证
4. 数据别名：甲、乙、丙用于区分本条测试对象；按前置条件准备并记录实际账号或记录 ID，不是固定业务名称。</x:v>
      </x:c>
    </x:row>
    <x:row r="468" ht="70" customHeight="1">
      <x:c r="A468" s="10" t="n">
        <x:v>467</x:v>
      </x:c>
      <x:c r="B468" s="10" t="str">
        <x:v>GUILD-05-0108</x:v>
      </x:c>
      <x:c r="C468" s="10" t="str">
        <x:v>数据与收益</x:v>
      </x:c>
      <x:c r="D468" s="10" t="str">
        <x:v>选择主播（公会长视角）</x:v>
      </x:c>
      <x:c r="E468" s="10" t="str">
        <x:v>功能需求</x:v>
      </x:c>
      <x:c r="F468" s="10" t="str">
        <x:v>P2</x:v>
      </x:c>
      <x:c r="G468" s="9" t="str">
        <x:v>验证选择主播读取违规主播ID</x:v>
      </x:c>
      <x:c r="H468" s="9" t="str">
        <x:v>违规主播ID回显</x:v>
      </x:c>
      <x:c r="I468" s="9" t="str">
        <x:v>1. 执行角色为公会长
2. 当前可选主播资料的违规主播ID为“100001”</x:v>
      </x:c>
      <x:c r="J468" s="9" t="str">
        <x:v>1. 进入选择主播
2. 查看违规主播ID</x:v>
      </x:c>
      <x:c r="K468" s="9" t="str">
        <x:v>违规主播ID显示“100001”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来源（当前证据）：liveshow-proto/MainBasis/统一需求文档.md；位置：行2494
2. 规则：BR-a153fd07a3b3cd54
3. 未动态验证</x:v>
      </x:c>
    </x:row>
    <x:row r="469" ht="115" customHeight="1">
      <x:c r="A469" s="10" t="n">
        <x:v>468</x:v>
      </x:c>
      <x:c r="B469" s="10" t="str">
        <x:v>GUILD-05-0109</x:v>
      </x:c>
      <x:c r="C469" s="10" t="str">
        <x:v>数据与收益</x:v>
      </x:c>
      <x:c r="D469" s="10" t="str">
        <x:v>选择主播（公会长视角）</x:v>
      </x:c>
      <x:c r="E469" s="10" t="str">
        <x:v>功能需求</x:v>
      </x:c>
      <x:c r="F469" s="10" t="str">
        <x:v>P2</x:v>
      </x:c>
      <x:c r="G469" s="9" t="str">
        <x:v>验证违规主播搜索数量不替代已选数量</x:v>
      </x:c>
      <x:c r="H469" s="9" t="str">
        <x:v>违规选择计数</x:v>
      </x:c>
      <x:c r="I469" s="9" t="str">
        <x:v>1. 执行角色为公会长
2. 已选本会主播甲乙，当前搜索只命中丙</x:v>
      </x:c>
      <x:c r="J469" s="9" t="str">
        <x:v>1. 进入选择主播</x:v>
      </x:c>
      <x:c r="K469" s="9" t="str">
        <x:v>已选人数仍为2人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来源（当前证据）：liveshow-proto/MainBasis/统一需求文档.md；位置：行2495
2. 规则：BR-04750a366a67f9f0
3. 未动态验证
4. 数据别名：甲、乙、丙用于区分本条测试对象；按前置条件准备并记录实际账号或记录 ID，不是固定业务名称。</x:v>
      </x:c>
    </x:row>
    <x:row r="470" ht="115" customHeight="1">
      <x:c r="A470" s="10" t="n">
        <x:v>469</x:v>
      </x:c>
      <x:c r="B470" s="10" t="str">
        <x:v>GUILD-05-0110</x:v>
      </x:c>
      <x:c r="C470" s="10" t="str">
        <x:v>数据与收益</x:v>
      </x:c>
      <x:c r="D470" s="10" t="str">
        <x:v>选择主播（公会长视角）</x:v>
      </x:c>
      <x:c r="E470" s="10" t="str">
        <x:v>业务流程</x:v>
      </x:c>
      <x:c r="F470" s="10" t="str">
        <x:v>P1</x:v>
      </x:c>
      <x:c r="G470" s="9" t="str">
        <x:v>验证主播多选全选全部对象</x:v>
      </x:c>
      <x:c r="H470" s="9" t="str">
        <x:v>主播全选范围</x:v>
      </x:c>
      <x:c r="I470" s="9" t="str">
        <x:v>1. 执行角色为公会长
2. 当前公会有甲乙丙3名可选主播；搜索只命中甲</x:v>
      </x:c>
      <x:c r="J470" s="9" t="str">
        <x:v>1. 进入选择主播
2. 输入甲
3. 点击全选</x:v>
      </x:c>
      <x:c r="K470" s="9" t="str">
        <x:v>已选人数为3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来源（当前证据）：liveshow-proto/MainBasis/统一需求文档.md；位置：行2496
2. 规则：BR-04433b90a91d7b66
3. 未动态验证
4. 数据别名：甲、乙、丙用于区分本条测试对象；按前置条件准备并记录实际账号或记录 ID，不是固定业务名称。</x:v>
      </x:c>
    </x:row>
    <x:row r="471" ht="70" customHeight="1">
      <x:c r="A471" s="10" t="n">
        <x:v>470</x:v>
      </x:c>
      <x:c r="B471" s="10" t="str">
        <x:v>GUILD-05-0111</x:v>
      </x:c>
      <x:c r="C471" s="10" t="str">
        <x:v>数据与收益</x:v>
      </x:c>
      <x:c r="D471" s="10" t="str">
        <x:v>选择主播（公会长视角）</x:v>
      </x:c>
      <x:c r="E471" s="10" t="str">
        <x:v>业务流程</x:v>
      </x:c>
      <x:c r="F471" s="10" t="str">
        <x:v>P1</x:v>
      </x:c>
      <x:c r="G471" s="9" t="str">
        <x:v>验证主播选择后保留违规范围日期</x:v>
      </x:c>
      <x:c r="H471" s="9" t="str">
        <x:v>违规筛选组合保留</x:v>
      </x:c>
      <x:c r="I471" s="9" t="str">
        <x:v>1. 执行角色为公会长
2. 违规记录当前为账号违规及9月1日至9月3日</x:v>
      </x:c>
      <x:c r="J471" s="9" t="str">
        <x:v>1. 进入选择主播
2. 选择甲
3. 点击完成</x:v>
      </x:c>
      <x:c r="K471" s="9" t="str">
        <x:v>违规记录仍为账号违规及9月1日至9月3日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来源（当前证据）：liveshow-proto/MainBasis/统一需求文档.md；位置：行2497
2. 规则：BR-86b29d2b698a43d1
3. 未动态验证</x:v>
      </x:c>
    </x:row>
  </x:sheetData>
  <x:dataValidations count="3">
    <x:dataValidation type="list" sqref="E2:E471">
      <x:formula1>"功能需求,业务流程,逻辑校验,异常用例"</x:formula1>
    </x:dataValidation>
    <x:dataValidation type="list" sqref="F2:F471">
      <x:formula1>"P0,P1,P2,P3"</x:formula1>
    </x:dataValidation>
    <x:dataValidation type="list" sqref="M2:M47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451e2ef0974f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PENDING-virtual-board</x:v>
      </x:c>
      <x:c r="B2" s="10" t="str">
        <x:v>PENDING-virtual-board</x:v>
      </x:c>
      <x:c r="C2" s="10" t="str"/>
      <x:c r="D2" s="10" t="str"/>
      <x:c r="E2" s="10" t="str">
        <x:v>部分阻塞</x:v>
      </x:c>
      <x:c r="F2" s="10" t="str">
        <x:v>运营工具、数据与收益</x:v>
      </x:c>
      <x:c r="G2" s="9" t="str">
        <x:v>虚拟金币榜单范围</x:v>
      </x:c>
      <x:c r="H2" s="9" t="str">
        <x:v>业务规则</x:v>
      </x:c>
      <x:c r="I2" s="9" t="str">
        <x:v>虚拟金币榜单范围：系统概要允许虚拟赠礼计入榜单展示，具体适用于哪些榜单？</x:v>
      </x:c>
      <x:c r="J2" s="9" t="str">
        <x:v>A. 仅本场氛围榜
B. 本场榜及平台双榜
C. 由后台逐榜配置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2" s="9" t="str">
        <x:v>1. 用户App
2. 公会App
3. 管理后台</x:v>
      </x:c>
      <x:c r="P2" s="9" t="str"/>
      <x:c r="Q2" s="9" t="str">
        <x:v>1. 虚拟金币榜单范围：按确认结论补齐相关分支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PENDING-guild-notice-sort</x:v>
      </x:c>
      <x:c r="B3" s="10" t="str">
        <x:v>PENDING-guild-notice-sort</x:v>
      </x:c>
      <x:c r="C3" s="10" t="str"/>
      <x:c r="D3" s="10" t="str"/>
      <x:c r="E3" s="10" t="str">
        <x:v>部分阻塞</x:v>
      </x:c>
      <x:c r="F3" s="10" t="str">
        <x:v>登录与首页、运营工具</x:v>
      </x:c>
      <x:c r="G3" s="9" t="str">
        <x:v>公会通知顺序</x:v>
      </x:c>
      <x:c r="H3" s="9" t="str">
        <x:v>业务规则</x:v>
      </x:c>
      <x:c r="I3" s="9" t="str">
        <x:v>公会通知顺序：主播端公会通知列表如何排序？</x:v>
      </x:c>
      <x:c r="J3" s="9" t="str">
        <x:v>A. 生成时间倒序
B. 未读优先再按生成时间倒序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3" s="9" t="str">
        <x:v>1. 用户App
2. 公会App</x:v>
      </x:c>
      <x:c r="P3" s="9" t="str"/>
      <x:c r="Q3" s="9" t="str">
        <x:v>1. 公会通知顺序：按确认结论补齐相关分支</x:v>
      </x:c>
      <x:c r="R3" s="9" t="str">
        <x:v>产品</x:v>
      </x:c>
      <x:c r="S3" s="9" t="str"/>
      <x:c r="T3" s="9" t="str">
        <x:v>待确认</x:v>
      </x:c>
    </x:row>
    <x:row r="4" ht="160" customHeight="1">
      <x:c r="A4" s="10" t="str">
        <x:v>PENDING-operation-login-format</x:v>
      </x:c>
      <x:c r="B4" s="10" t="str">
        <x:v>PENDING-operation-login-format</x:v>
      </x:c>
      <x:c r="C4" s="10" t="str"/>
      <x:c r="D4" s="10" t="str"/>
      <x:c r="E4" s="10" t="str">
        <x:v>部分阻塞</x:v>
      </x:c>
      <x:c r="F4" s="10" t="str">
        <x:v>运营工具</x:v>
      </x:c>
      <x:c r="G4" s="9" t="str">
        <x:v>运营账号登录格式</x:v>
      </x:c>
      <x:c r="H4" s="9" t="str">
        <x:v>业务规则</x:v>
      </x:c>
      <x:c r="I4" s="9" t="str">
        <x:v>运营账号登录格式：运营账号必须是可接收验证码的邮箱，还是允许普通登录名？</x:v>
      </x:c>
      <x:c r="J4" s="9" t="str">
        <x:v>A. 必须为有效邮箱地址
B. 允许普通登录名并使用密码登录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4" s="9" t="str">
        <x:v>1. 用户App
2. 公会App
3. 管理后台</x:v>
      </x:c>
      <x:c r="P4" s="9" t="str"/>
      <x:c r="Q4" s="9" t="str">
        <x:v>1. 运营账号登录格式：按确认结论补齐相关分支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PENDING-business-zone</x:v>
      </x:c>
      <x:c r="B5" s="10" t="str">
        <x:v>PENDING-business-zone</x:v>
      </x:c>
      <x:c r="C5" s="10" t="str"/>
      <x:c r="D5" s="10" t="str"/>
      <x:c r="E5" s="10" t="str">
        <x:v>部分阻塞</x:v>
      </x:c>
      <x:c r="F5" s="10" t="str">
        <x:v>数据与收益、主播管理</x:v>
      </x:c>
      <x:c r="G5" s="9" t="str">
        <x:v>业务日和周界限</x:v>
      </x:c>
      <x:c r="H5" s="9" t="str">
        <x:v>计算与统计口径</x:v>
      </x:c>
      <x:c r="I5" s="9" t="str">
        <x:v>业务日和周界限：签到、任务、榜单、直播有效天和报表分别采用什么业务时区；任务周是否统一从周一开始？</x:v>
      </x:c>
      <x:c r="J5" s="9" t="str">
        <x:v>A. 全端统一指定业务时区且周一开始
B. 按业务分别指定时区和周起始日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5" s="9" t="str">
        <x:v>1. 用户App
2. 公会App
3. 管理后台</x:v>
      </x:c>
      <x:c r="P5" s="9" t="str"/>
      <x:c r="Q5" s="9" t="str">
        <x:v>1. 业务日和周界限：按确认结论补齐相关分支</x:v>
      </x:c>
      <x:c r="R5" s="9" t="str">
        <x:v>产品</x:v>
      </x:c>
      <x:c r="S5" s="9" t="str"/>
      <x:c r="T5" s="9" t="str">
        <x:v>待确认</x:v>
      </x:c>
    </x:row>
    <x:row r="6" ht="145" customHeight="1">
      <x:c r="A6" s="10" t="str">
        <x:v>PENDING-effective-duration</x:v>
      </x:c>
      <x:c r="B6" s="10" t="str">
        <x:v>PENDING-effective-duration</x:v>
      </x:c>
      <x:c r="C6" s="10" t="str"/>
      <x:c r="D6" s="10" t="str"/>
      <x:c r="E6" s="10" t="str">
        <x:v>部分阻塞</x:v>
      </x:c>
      <x:c r="F6" s="10" t="str">
        <x:v>主播管理、数据与收益</x:v>
      </x:c>
      <x:c r="G6" s="9" t="str">
        <x:v>有效时长排除条件</x:v>
      </x:c>
      <x:c r="H6" s="9" t="str">
        <x:v>计算与统计口径</x:v>
      </x:c>
      <x:c r="I6" s="9" t="str">
        <x:v>有效时长排除条件：断流、后台挂起和暂停期间哪些时长计入每日 3 小时门槛？</x:v>
      </x:c>
      <x:c r="J6" s="9" t="str">
        <x:v>A. 仅连续成功推流时长
B. 会话持续时长扣除配置的无效区间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6" s="9" t="str">
        <x:v>1. 用户App
2. 公会App
3. 管理后台</x:v>
      </x:c>
      <x:c r="P6" s="9" t="str"/>
      <x:c r="Q6" s="9" t="str">
        <x:v>1. 有效时长排除条件：按确认结论补齐相关分支</x:v>
      </x:c>
      <x:c r="R6" s="9" t="str">
        <x:v>产品</x:v>
      </x:c>
      <x:c r="S6" s="9" t="str"/>
      <x:c r="T6" s="9" t="str">
        <x:v>待确认</x:v>
      </x:c>
    </x:row>
    <x:row r="7" ht="145" customHeight="1">
      <x:c r="A7" s="10" t="str">
        <x:v>PENDING-cross-day-live</x:v>
      </x:c>
      <x:c r="B7" s="10" t="str">
        <x:v>PENDING-cross-day-live</x:v>
      </x:c>
      <x:c r="C7" s="10" t="str"/>
      <x:c r="D7" s="10" t="str"/>
      <x:c r="E7" s="10" t="str">
        <x:v>部分阻塞</x:v>
      </x:c>
      <x:c r="F7" s="10" t="str">
        <x:v>主播管理、数据与收益</x:v>
      </x:c>
      <x:c r="G7" s="9" t="str">
        <x:v>跨日直播时长分配</x:v>
      </x:c>
      <x:c r="H7" s="9" t="str">
        <x:v>计算与统计口径</x:v>
      </x:c>
      <x:c r="I7" s="9" t="str">
        <x:v>跨日直播时长分配：跨自然日的一场直播如何分配每天的有效时长及收益？</x:v>
      </x:c>
      <x:c r="J7" s="9" t="str">
        <x:v>A. 按事件发生时间切分到各日
B. 全部归入开播日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7" s="9" t="str">
        <x:v>1. 用户App
2. 公会App
3. 管理后台</x:v>
      </x:c>
      <x:c r="P7" s="9" t="str"/>
      <x:c r="Q7" s="9" t="str">
        <x:v>1. 跨日直播时长分配：按确认结论补齐相关分支</x:v>
      </x:c>
      <x:c r="R7" s="9" t="str">
        <x:v>产品</x:v>
      </x:c>
      <x:c r="S7" s="9" t="str"/>
      <x:c r="T7" s="9" t="str">
        <x:v>待确认</x:v>
      </x:c>
    </x:row>
    <x:row r="8" ht="145" customHeight="1">
      <x:c r="A8" s="10" t="str">
        <x:v>PENDING-metric-latency</x:v>
      </x:c>
      <x:c r="B8" s="10" t="str">
        <x:v>PENDING-metric-latency</x:v>
      </x:c>
      <x:c r="C8" s="10" t="str"/>
      <x:c r="D8" s="10" t="str"/>
      <x:c r="E8" s="10" t="str">
        <x:v>部分阻塞</x:v>
      </x:c>
      <x:c r="F8" s="10" t="str">
        <x:v>主播管理、数据与收益</x:v>
      </x:c>
      <x:c r="G8" s="9" t="str">
        <x:v>指标刷新时效</x:v>
      </x:c>
      <x:c r="H8" s="9" t="str">
        <x:v>计算与统计口径</x:v>
      </x:c>
      <x:c r="I8" s="9" t="str">
        <x:v>指标刷新时效：直播、收益和等级变动后，各端指标最迟何时应更新？</x:v>
      </x:c>
      <x:c r="J8" s="9" t="str">
        <x:v>A. 实时更新并指定秒级上限
B. 按固定汇总周期更新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8" s="9" t="str">
        <x:v>1. 用户App
2. 公会App
3. 管理后台</x:v>
      </x:c>
      <x:c r="P8" s="9" t="str"/>
      <x:c r="Q8" s="9" t="str">
        <x:v>1. 指标刷新时效：按确认结论补齐相关分支</x:v>
      </x:c>
      <x:c r="R8" s="9" t="str">
        <x:v>产品</x:v>
      </x:c>
      <x:c r="S8" s="9" t="str"/>
      <x:c r="T8" s="9" t="str">
        <x:v>待确认</x:v>
      </x:c>
    </x:row>
    <x:row r="9" ht="160" customHeight="1">
      <x:c r="A9" s="10" t="str">
        <x:v>PENDING-coin-precision</x:v>
      </x:c>
      <x:c r="B9" s="10" t="str">
        <x:v>PENDING-coin-precision</x:v>
      </x:c>
      <x:c r="C9" s="10" t="str"/>
      <x:c r="D9" s="10" t="str"/>
      <x:c r="E9" s="10" t="str">
        <x:v>部分阻塞</x:v>
      </x:c>
      <x:c r="F9" s="10" t="str">
        <x:v>主播管理、数据与收益</x:v>
      </x:c>
      <x:c r="G9" s="9" t="str">
        <x:v>金币和收益精度</x:v>
      </x:c>
      <x:c r="H9" s="9" t="str">
        <x:v>计算与统计口径</x:v>
      </x:c>
      <x:c r="I9" s="9" t="str">
        <x:v>金币和收益精度：幸运礼物收益出现不足 1 金币的小数时如何存储、累计和展示？</x:v>
      </x:c>
      <x:c r="J9" s="9" t="str">
        <x:v>A. 每笔截断为整数
B. 保留小数累计后统一展示
C. 按明确精度四舍五入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9" s="9" t="str">
        <x:v>1. 用户App
2. 公会App
3. 管理后台</x:v>
      </x:c>
      <x:c r="P9" s="9" t="str"/>
      <x:c r="Q9" s="9" t="str">
        <x:v>1. 金币和收益精度：按确认结论补齐相关分支</x:v>
      </x:c>
      <x:c r="R9" s="9" t="str">
        <x:v>产品</x:v>
      </x:c>
      <x:c r="S9" s="9" t="str"/>
      <x:c r="T9" s="9" t="str">
        <x:v>待确认</x:v>
      </x:c>
    </x:row>
    <x:row r="10" ht="130" customHeight="1">
      <x:c r="A10" s="10" t="str">
        <x:v>PENDING-level-history</x:v>
      </x:c>
      <x:c r="B10" s="10" t="str">
        <x:v>PENDING-level-history</x:v>
      </x:c>
      <x:c r="C10" s="10" t="str"/>
      <x:c r="D10" s="10" t="str"/>
      <x:c r="E10" s="10" t="str">
        <x:v>部分阻塞</x:v>
      </x:c>
      <x:c r="F10" s="10" t="str">
        <x:v>主播管理、数据与收益</x:v>
      </x:c>
      <x:c r="G10" s="9" t="str">
        <x:v>历史等级快照</x:v>
      </x:c>
      <x:c r="H10" s="9" t="str">
        <x:v>计算与统计口径</x:v>
      </x:c>
      <x:c r="I10" s="9" t="str">
        <x:v>历史等级快照：调整等级阈值后历史记录展示原等级还是重算等级？</x:v>
      </x:c>
      <x:c r="J10" s="9" t="str">
        <x:v>A. 保留事件发生时等级
B. 显示当前重算等级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10" s="9" t="str">
        <x:v>1. 用户App
2. 公会App
3. 管理后台</x:v>
      </x:c>
      <x:c r="P10" s="9" t="str"/>
      <x:c r="Q10" s="9" t="str">
        <x:v>1. 历史等级快照：按确认结论补齐相关分支</x:v>
      </x:c>
      <x:c r="R10" s="9" t="str">
        <x:v>产品</x:v>
      </x:c>
      <x:c r="S10" s="9" t="str"/>
      <x:c r="T10" s="9" t="str">
        <x:v>待确认</x:v>
      </x:c>
    </x:row>
  </x:sheetData>
  <x:dataValidations count="5">
    <x:dataValidation type="list" sqref="E2:E10">
      <x:formula1>"阻塞测试,部分阻塞,不阻塞"</x:formula1>
    </x:dataValidation>
    <x:dataValidation type="list" sqref="H2:H1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0">
      <x:formula1>"A,B,C,D,其他"</x:formula1>
    </x:dataValidation>
    <x:dataValidation type="list" sqref="R2:R10">
      <x:formula1>"产品,交互,技术,多方确认"</x:formula1>
    </x:dataValidation>
    <x:dataValidation type="list" sqref="T2:T1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d78436617b460d"/>
  </x:tableParts>
</x:worksheet>
</file>