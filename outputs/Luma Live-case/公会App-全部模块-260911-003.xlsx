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ffb6849c594383" /></Relationships>
</file>

<file path=xl/workbook.xml><?xml version="1.0" encoding="utf-8"?>
<x:workbook xmlns:x="http://schemas.openxmlformats.org/spreadsheetml/2006/main">
  <x:sheets>
    <x:sheet xmlns:r="http://schemas.openxmlformats.org/officeDocument/2006/relationships" name="产品决策概览" sheetId="1" r:id="R9d3e6bf6818643e6"/>
    <x:sheet xmlns:r="http://schemas.openxmlformats.org/officeDocument/2006/relationships" name="功能测试用例" sheetId="2" r:id="R631c35b224624f25"/>
    <x:sheet xmlns:r="http://schemas.openxmlformats.org/officeDocument/2006/relationships" name="需求待确认" sheetId="3" r:id="Raf79424861ca449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rial"/>
    </x:font>
    <x:font>
      <x:b/>
      <x:sz val="10"/>
      <x:color rgb="FFFFFFFF"/>
      <x:name val="Arial"/>
    </x:font>
    <x:font>
      <x:b/>
      <x:sz val="15"/>
      <x:color rgb="FF111827"/>
      <x:name val="Arial"/>
    </x:font>
    <x:font>
      <x:i/>
      <x:sz val="10"/>
      <x:color rgb="FF64748B"/>
      <x:name val="Arial"/>
    </x:font>
  </x:fonts>
  <x:fills count="4">
    <x:fill>
      <x:patternFill patternType="none"/>
    </x:fill>
    <x:fill>
      <x:patternFill patternType="gray125"/>
    </x:fill>
    <x:fill>
      <x:patternFill patternType="solid">
        <x:fgColor rgb="FF243447"/>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f1cf36d5914fcb" /><Relationship Type="http://schemas.openxmlformats.org/officeDocument/2006/relationships/theme" Target="/xl/theme/theme1.xml" Id="R6320a06d7364409a" /><Relationship Type="http://schemas.openxmlformats.org/officeDocument/2006/relationships/sharedStrings" Target="/xl/sharedStrings.xml" Id="R0ca4569ff7714bb4" /><Relationship Type="http://schemas.openxmlformats.org/officeDocument/2006/relationships/worksheet" Target="/xl/worksheets/sheet1.xml" Id="R9d3e6bf6818643e6" /><Relationship Type="http://schemas.openxmlformats.org/officeDocument/2006/relationships/worksheet" Target="/xl/worksheets/sheet2.xml" Id="R631c35b224624f25" /><Relationship Type="http://schemas.openxmlformats.org/officeDocument/2006/relationships/worksheet" Target="/xl/worksheets/sheet3.xml" Id="Raf79424861ca449d" /></Relationships>
</file>

<file path=xl/tables/table1.xml><?xml version="1.0" encoding="utf-8"?>
<x:table xmlns:x="http://schemas.openxmlformats.org/spreadsheetml/2006/main" id="1" name="GuildAllCases" displayName="GuildAllCases" ref="A1:O71" headerRowCount="1" totalsRowCount="0" totalsRowShown="0">
  <x:autoFilter ref="A1:O71"/>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GuildAllPending" displayName="GuildAllPending" ref="A1:T53" headerRowCount="1" totalsRowCount="0" totalsRowShown="0">
  <x:autoFilter ref="A1:T5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033d91a9bb4c6d" /></Relationships>
</file>

<file path=xl/worksheets/_rels/sheet3.xml.rels>&#65279;<?xml version="1.0" encoding="utf-8"?><Relationships xmlns="http://schemas.openxmlformats.org/package/2006/relationships"><Relationship Type="http://schemas.openxmlformats.org/officeDocument/2006/relationships/table" Target="/xl/tables/table2.xml" Id="Re160d87d352f427c"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0" t="str">
        <x:v>公会App-全部模块 产品决策概览</x:v>
      </x:c>
      <x:c r="B1" s="9"/>
      <x:c r="C1" s="9"/>
      <x:c r="D1" s="9"/>
      <x:c r="E1" s="9"/>
      <x:c r="F1" s="9"/>
      <x:c r="G1" s="9"/>
      <x:c r="H1" s="9"/>
    </x:row>
    <x:row r="2">
      <x:c r="A2" s="11" t="str">
        <x:v>MainBasis 需求基准；用例未执行；问题数量由明细实时汇总</x:v>
      </x:c>
      <x:c r="B2" s="9"/>
      <x:c r="C2" s="9"/>
      <x:c r="D2" s="9"/>
      <x:c r="E2" s="9"/>
      <x:c r="F2" s="9"/>
      <x:c r="G2" s="9"/>
      <x:c r="H2" s="9"/>
    </x:row>
    <x:row r="3">
      <x:c r="A3" s="9"/>
      <x:c r="B3" s="9"/>
      <x:c r="C3" s="9"/>
      <x:c r="D3" s="9"/>
      <x:c r="E3" s="9"/>
      <x:c r="F3" s="9"/>
      <x:c r="G3" s="9"/>
      <x:c r="H3" s="9"/>
    </x:row>
    <x:row r="4">
      <x:c r="A4" s="7" t="str">
        <x:v>状态</x:v>
      </x:c>
      <x:c r="B4" s="7" t="str">
        <x:v>数量</x:v>
      </x:c>
      <x:c r="C4" s="9"/>
      <x:c r="D4" s="7" t="str">
        <x:v>阻塞等级</x:v>
      </x:c>
      <x:c r="E4" s="7" t="str">
        <x:v>当前待确认</x:v>
      </x:c>
      <x:c r="F4" s="9"/>
      <x:c r="G4" s="7" t="str">
        <x:v>负责人</x:v>
      </x:c>
      <x:c r="H4" s="7" t="str">
        <x:v>当前待确认</x:v>
      </x:c>
    </x:row>
    <x:row r="5">
      <x:c r="A5" s="12" t="str">
        <x:v>问题总数</x:v>
      </x:c>
      <x:c r="B5" s="12" t="n">
        <x:f>COUNTA('需求待确认'!$A$2:$A$53)</x:f>
        <x:v>52</x:v>
      </x:c>
      <x:c r="C5" s="9"/>
      <x:c r="D5" s="12" t="str">
        <x:v>阻塞测试</x:v>
      </x:c>
      <x:c r="E5" s="12" t="n">
        <x:f>COUNTIFS('需求待确认'!$E$2:$E$53,"阻塞测试",'需求待确认'!$T$2:$T$53,"待确认")</x:f>
        <x:v>12</x:v>
      </x:c>
      <x:c r="F5" s="9"/>
      <x:c r="G5" s="12" t="str">
        <x:v>产品</x:v>
      </x:c>
      <x:c r="H5" s="12" t="n">
        <x:f>COUNTIFS('需求待确认'!$R$2:$R$53,"产品",'需求待确认'!$T$2:$T$53,"待确认")</x:f>
        <x:v>47</x:v>
      </x:c>
    </x:row>
    <x:row r="6">
      <x:c r="A6" s="12" t="str">
        <x:v>当前可回答</x:v>
      </x:c>
      <x:c r="B6" s="12" t="n">
        <x:f>COUNTIF('需求待确认'!$T$2:$T$53,"待确认")</x:f>
        <x:v>52</x:v>
      </x:c>
      <x:c r="C6" s="9"/>
      <x:c r="D6" s="12" t="str">
        <x:v>部分阻塞</x:v>
      </x:c>
      <x:c r="E6" s="12" t="n">
        <x:f>COUNTIFS('需求待确认'!$E$2:$E$53,"部分阻塞",'需求待确认'!$T$2:$T$53,"待确认")</x:f>
        <x:v>40</x:v>
      </x:c>
      <x:c r="F6" s="9"/>
      <x:c r="G6" s="12" t="str">
        <x:v>交互</x:v>
      </x:c>
      <x:c r="H6" s="12" t="n">
        <x:f>COUNTIFS('需求待确认'!$R$2:$R$53,"交互",'需求待确认'!$T$2:$T$53,"待确认")</x:f>
        <x:v>1</x:v>
      </x:c>
    </x:row>
    <x:row r="7">
      <x:c r="A7" s="12" t="str">
        <x:v>待前置结论</x:v>
      </x:c>
      <x:c r="B7" s="12" t="n">
        <x:f>COUNTIF('需求待确认'!$T$2:$T$53,"待前置结论")</x:f>
        <x:v>0</x:v>
      </x:c>
      <x:c r="C7" s="9"/>
      <x:c r="D7" s="12" t="str">
        <x:v>不阻塞</x:v>
      </x:c>
      <x:c r="E7" s="12" t="n">
        <x:f>COUNTIFS('需求待确认'!$E$2:$E$53,"不阻塞",'需求待确认'!$T$2:$T$53,"待确认")</x:f>
        <x:v>0</x:v>
      </x:c>
      <x:c r="F7" s="9"/>
      <x:c r="G7" s="12" t="str">
        <x:v>技术</x:v>
      </x:c>
      <x:c r="H7" s="12" t="n">
        <x:f>COUNTIFS('需求待确认'!$R$2:$R$53,"技术",'需求待确认'!$T$2:$T$53,"待确认")</x:f>
        <x:v>1</x:v>
      </x:c>
    </x:row>
    <x:row r="8">
      <x:c r="A8" s="12" t="str">
        <x:v>确认中</x:v>
      </x:c>
      <x:c r="B8" s="12" t="n">
        <x:f>COUNTIF('需求待确认'!$T$2:$T$53,"确认中")</x:f>
        <x:v>0</x:v>
      </x:c>
      <x:c r="C8" s="9"/>
      <x:c r="D8" s="9"/>
      <x:c r="E8" s="9"/>
      <x:c r="F8" s="9"/>
      <x:c r="G8" s="12" t="str">
        <x:v>多方确认</x:v>
      </x:c>
      <x:c r="H8" s="12" t="n">
        <x:f>COUNTIFS('需求待确认'!$R$2:$R$53,"多方确认",'需求待确认'!$T$2:$T$53,"待确认")</x:f>
        <x:v>3</x:v>
      </x:c>
    </x:row>
    <x:row r="9">
      <x:c r="A9" s="12" t="str">
        <x:v>已确认</x:v>
      </x:c>
      <x:c r="B9" s="12" t="n">
        <x:f>COUNTIF('需求待确认'!$T$2:$T$53,"已确认")</x:f>
        <x:v>0</x:v>
      </x:c>
      <x:c r="C9" s="9"/>
      <x:c r="D9" s="9"/>
      <x:c r="E9" s="9"/>
      <x:c r="F9" s="9"/>
      <x:c r="G9" s="9"/>
      <x:c r="H9" s="9"/>
    </x:row>
    <x:row r="10">
      <x:c r="A10" s="12" t="str">
        <x:v>无需处理</x:v>
      </x:c>
      <x:c r="B10" s="12" t="n">
        <x:f>COUNTIF('需求待确认'!$T$2:$T$53,"无需处理")</x:f>
        <x:v>0</x:v>
      </x:c>
      <x:c r="C10" s="9"/>
      <x:c r="D10" s="9"/>
      <x:c r="E10" s="9"/>
      <x:c r="F10" s="9"/>
      <x:c r="G10" s="9"/>
      <x:c r="H10"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138" customHeight="1">
      <x:c r="A2" s="4" t="n">
        <x:v>1</x:v>
      </x:c>
      <x:c r="B2" s="4" t="str">
        <x:v>GMB-0001</x:v>
      </x:c>
      <x:c r="C2" s="4" t="str">
        <x:v>M01 账号·登录·资料与设置</x:v>
      </x:c>
      <x:c r="D2" s="4" t="str">
        <x:v>公会登录（公会长视角）</x:v>
      </x:c>
      <x:c r="E2" s="4" t="str">
        <x:v>业务流程</x:v>
      </x:c>
      <x:c r="F2" s="4" t="str">
        <x:v>P1</x:v>
      </x:c>
      <x:c r="G2" s="4" t="str">
        <x:v>验证公会长在公会登录的停用公会登录限制</x:v>
      </x:c>
      <x:c r="H2" s="4" t="str">
        <x:v>停用公会登录限制</x:v>
      </x:c>
      <x:c r="I2" s="4" t="str">
        <x:v>1. 执行身份为公会长
2. 公会已被平台停用
3. 公会长账号自身仍为正常状态
4. 当前尚未建立登录会话</x:v>
      </x:c>
      <x:c r="J2" s="4" t="str">
        <x:v>1. 进入公会登录页
2. 输入该账号有效凭证
3. 点击登录</x:v>
      </x:c>
      <x:c r="K2" s="4" t="str">
        <x:v>不能登录已停用公会</x:v>
      </x:c>
      <x:c r="L2" s="4" t="str">
        <x:v>MBF-BBDF5E6E</x:v>
      </x:c>
      <x:c r="M2" s="4" t="str">
        <x:v>未测</x:v>
      </x:c>
      <x:c r="N2" s="4" t="str"/>
      <x:c r="O2" s="4" t="str">
        <x:v>1. 来源（当前证据）：MainBasis/统一需求文档.md；位置：D-SYS-066，第396行、G-guild-switch-003，第1868行、G-guild-login-001，第1826行
2. 规则：BR-MB-4C09D9F8BC8C0E
3. 未动态验证
4. 共同对象：公会状态；阶段：停用公会登录限制
5. 状态转换：MBT-DB7D56D54045；启用→停用</x:v>
      </x:c>
    </x:row>
    <x:row r="3" ht="124" customHeight="1">
      <x:c r="A3" s="4" t="n">
        <x:v>2</x:v>
      </x:c>
      <x:c r="B3" s="4" t="str">
        <x:v>GMB-0002</x:v>
      </x:c>
      <x:c r="C3" s="4" t="str">
        <x:v>M01 账号·登录·资料与设置</x:v>
      </x:c>
      <x:c r="D3" s="4" t="str">
        <x:v>公会登录（公会长视角）</x:v>
      </x:c>
      <x:c r="E3" s="4" t="str">
        <x:v>业务流程</x:v>
      </x:c>
      <x:c r="F3" s="4" t="str">
        <x:v>P1</x:v>
      </x:c>
      <x:c r="G3" s="4" t="str">
        <x:v>验证公会长在公会登录的停用公会长登录限制</x:v>
      </x:c>
      <x:c r="H3" s="4" t="str">
        <x:v>停用公会长登录限制</x:v>
      </x:c>
      <x:c r="I3" s="4" t="str">
        <x:v>1. 执行身份为公会长
2. 公会启用但该公会长账号已停用
3. 当前尚未建立登录会话</x:v>
      </x:c>
      <x:c r="J3" s="4" t="str">
        <x:v>1. 进入公会登录页
2. 输入该账号有效凭证
3. 点击登录</x:v>
      </x:c>
      <x:c r="K3" s="4" t="str">
        <x:v>该公会长不能登录</x:v>
      </x:c>
      <x:c r="L3" s="4" t="str">
        <x:v>MBF-AEA28E22</x:v>
      </x:c>
      <x:c r="M3" s="4" t="str">
        <x:v>未测</x:v>
      </x:c>
      <x:c r="N3" s="4" t="str"/>
      <x:c r="O3" s="4" t="str">
        <x:v>1. 来源（当前证据）：MainBasis/统一需求文档.md；位置：D-SYS-071，第416行、G-guild-login-001，第1826行
2. 规则：BR-MB-BEAA89B30F6556
3. 未动态验证
4. 共同对象：公会长账号；阶段：停用公会长登录限制
5. 状态转换：MBT-D6A0596DAD14；正常→停用</x:v>
      </x:c>
    </x:row>
    <x:row r="4" ht="68" customHeight="1">
      <x:c r="A4" s="4" t="n">
        <x:v>3</x:v>
      </x:c>
      <x:c r="B4" s="4" t="str">
        <x:v>GMB-0003</x:v>
      </x:c>
      <x:c r="C4" s="4" t="str">
        <x:v>M01 账号·登录·资料与设置</x:v>
      </x:c>
      <x:c r="D4" s="4" t="str">
        <x:v>公会登录（公会长视角）</x:v>
      </x:c>
      <x:c r="E4" s="4" t="str">
        <x:v>功能需求</x:v>
      </x:c>
      <x:c r="F4" s="4" t="str">
        <x:v>P1</x:v>
      </x:c>
      <x:c r="G4" s="4" t="str">
        <x:v>验证公会长在公会登录的公会长成功登录</x:v>
      </x:c>
      <x:c r="H4" s="4" t="str">
        <x:v>公会长成功登录</x:v>
      </x:c>
      <x:c r="I4" s="4" t="str">
        <x:v>1. 执行身份为公会长
2. 公会与账号均启用
3. 账号凭证已准备
4. 当前尚未建立登录会话</x:v>
      </x:c>
      <x:c r="J4" s="4" t="str">
        <x:v>1. 进入公会登录页
2. 输入该公会长账号和密码
3. 点击登录</x:v>
      </x:c>
      <x:c r="K4" s="4" t="str">
        <x:v>进入选择公会页</x:v>
      </x:c>
      <x:c r="L4" s="4" t="str"/>
      <x:c r="M4" s="4" t="str">
        <x:v>未测</x:v>
      </x:c>
      <x:c r="N4" s="4" t="str"/>
      <x:c r="O4" s="4" t="str">
        <x:v>1. 来源（当前证据）：MainBasis/统一需求文档.md；位置：G-guild-login-005，第1846行
2. 规则：BR-MB-3D5C02463AC50A
3. 未动态验证</x:v>
      </x:c>
    </x:row>
    <x:row r="5" ht="68" customHeight="1">
      <x:c r="A5" s="4" t="n">
        <x:v>4</x:v>
      </x:c>
      <x:c r="B5" s="4" t="str">
        <x:v>GMB-0004</x:v>
      </x:c>
      <x:c r="C5" s="4" t="str">
        <x:v>M01 账号·登录·资料与设置</x:v>
      </x:c>
      <x:c r="D5" s="4" t="str">
        <x:v>公会登录（公会长视角）</x:v>
      </x:c>
      <x:c r="E5" s="4" t="str">
        <x:v>功能需求</x:v>
      </x:c>
      <x:c r="F5" s="4" t="str">
        <x:v>P1</x:v>
      </x:c>
      <x:c r="G5" s="4" t="str">
        <x:v>验证公会长在公会登录的公会密码错误</x:v>
      </x:c>
      <x:c r="H5" s="4" t="str">
        <x:v>公会密码错误</x:v>
      </x:c>
      <x:c r="I5" s="4" t="str">
        <x:v>1. 执行身份为公会长
2. 公会与账号均启用
3. 当前尚未建立登录会话</x:v>
      </x:c>
      <x:c r="J5" s="4" t="str">
        <x:v>1. 进入公会登录页
2. 输入有效账号和错误密码
3. 点击登录</x:v>
      </x:c>
      <x:c r="K5" s="4" t="str">
        <x:v>提示“账号或密码错误”</x:v>
      </x:c>
      <x:c r="L5" s="4" t="str"/>
      <x:c r="M5" s="4" t="str">
        <x:v>未测</x:v>
      </x:c>
      <x:c r="N5" s="4" t="str"/>
      <x:c r="O5" s="4" t="str">
        <x:v>1. 来源（当前证据）：MainBasis/统一需求文档.md；位置：G-guild-login-005，第1846行
2. 规则：BR-MB-852FF618C8E73C
3. 未动态验证</x:v>
      </x:c>
    </x:row>
    <x:row r="6" ht="68" customHeight="1">
      <x:c r="A6" s="4" t="n">
        <x:v>5</x:v>
      </x:c>
      <x:c r="B6" s="4" t="str">
        <x:v>GMB-0005</x:v>
      </x:c>
      <x:c r="C6" s="4" t="str">
        <x:v>M01 账号·登录·资料与设置</x:v>
      </x:c>
      <x:c r="D6" s="4" t="str">
        <x:v>公会登录（运营账号视角）</x:v>
      </x:c>
      <x:c r="E6" s="4" t="str">
        <x:v>异常用例</x:v>
      </x:c>
      <x:c r="F6" s="4" t="str">
        <x:v>P1</x:v>
      </x:c>
      <x:c r="G6" s="4" t="str">
        <x:v>验证运营账号在公会登录的运营账号公会端准入</x:v>
      </x:c>
      <x:c r="H6" s="4" t="str">
        <x:v>运营账号公会端准入</x:v>
      </x:c>
      <x:c r="I6" s="4" t="str">
        <x:v>1. 执行身份为运营账号
2. 账号自身启用
3. 当前尚未建立登录会话</x:v>
      </x:c>
      <x:c r="J6" s="4" t="str">
        <x:v>1. 进入公会登录页
2. 输入该运营账号凭证
3. 点击登录</x:v>
      </x:c>
      <x:c r="K6" s="4" t="str">
        <x:v>不能登录公会端</x:v>
      </x:c>
      <x:c r="L6" s="4" t="str"/>
      <x:c r="M6" s="4" t="str">
        <x:v>未测</x:v>
      </x:c>
      <x:c r="N6" s="4" t="str"/>
      <x:c r="O6" s="4" t="str">
        <x:v>1. 来源（当前证据）：MainBasis/统一需求文档.md；位置：G-guild-login-003，第1836行
2. 规则：BR-MB-517275AF20D105
3. 未动态验证</x:v>
      </x:c>
    </x:row>
    <x:row r="7" ht="68" customHeight="1">
      <x:c r="A7" s="4" t="n">
        <x:v>6</x:v>
      </x:c>
      <x:c r="B7" s="4" t="str">
        <x:v>GMB-0006</x:v>
      </x:c>
      <x:c r="C7" s="4" t="str">
        <x:v>M01 账号·登录·资料与设置</x:v>
      </x:c>
      <x:c r="D7" s="4" t="str">
        <x:v>选择公会（公会长视角）</x:v>
      </x:c>
      <x:c r="E7" s="4" t="str">
        <x:v>功能需求</x:v>
      </x:c>
      <x:c r="F7" s="4" t="str">
        <x:v>P1</x:v>
      </x:c>
      <x:c r="G7" s="4" t="str">
        <x:v>验证公会长在选择公会的切换公会数据</x:v>
      </x:c>
      <x:c r="H7" s="4" t="str">
        <x:v>切换公会数据</x:v>
      </x:c>
      <x:c r="I7" s="4" t="str">
        <x:v>1. 执行身份为公会长
2. 本账号可管理启用的公会A和B
3. 当前选中A
4. 执行账号已登录</x:v>
      </x:c>
      <x:c r="J7" s="4" t="str">
        <x:v>1. 进入选择公会页
2. 选择公会B</x:v>
      </x:c>
      <x:c r="K7" s="4" t="str">
        <x:v>首页显示公会B的数据</x:v>
      </x:c>
      <x:c r="L7" s="4" t="str"/>
      <x:c r="M7" s="4" t="str">
        <x:v>未测</x:v>
      </x:c>
      <x:c r="N7" s="4" t="str"/>
      <x:c r="O7" s="4" t="str">
        <x:v>1. 来源（当前证据）：MainBasis/统一需求文档.md；位置：G-guild-switch-004，第1874行
2. 规则：BR-MB-02E993E4DD1A71
3. 未动态验证</x:v>
      </x:c>
    </x:row>
    <x:row r="8" ht="82" customHeight="1">
      <x:c r="A8" s="4" t="n">
        <x:v>7</x:v>
      </x:c>
      <x:c r="B8" s="4" t="str">
        <x:v>GMB-0007</x:v>
      </x:c>
      <x:c r="C8" s="4" t="str">
        <x:v>M03 社交·私信·群聊与通知</x:v>
      </x:c>
      <x:c r="D8" s="4" t="str">
        <x:v>通知消息（公会长视角）</x:v>
      </x:c>
      <x:c r="E8" s="4" t="str">
        <x:v>功能需求</x:v>
      </x:c>
      <x:c r="F8" s="4" t="str">
        <x:v>P2</x:v>
      </x:c>
      <x:c r="G8" s="4" t="str">
        <x:v>验证公会长在通知消息的通知跳转</x:v>
      </x:c>
      <x:c r="H8" s="4" t="str">
        <x:v>通知跳转</x:v>
      </x:c>
      <x:c r="I8" s="4" t="str">
        <x:v>1. 公会长已登录
2. 当前公会处于启用状态</x:v>
      </x:c>
      <x:c r="J8" s="4" t="str">
        <x:v>1. 进入通知消息
2. 点击通知</x:v>
      </x:c>
      <x:c r="K8" s="4" t="str">
        <x:v>进入通知详情</x:v>
      </x:c>
      <x:c r="L8" s="4" t="str"/>
      <x:c r="M8" s="4" t="str">
        <x:v>未测</x:v>
      </x:c>
      <x:c r="N8" s="4" t="str"/>
      <x:c r="O8" s="4" t="str">
        <x:v>1. 来源（当前证据）：MainBasis/统一需求文档.md；位置：G-guild-notifications-009，第3320行
2. 规则：BR-MB-48CB36DD7ED330
3. 未动态验证</x:v>
      </x:c>
    </x:row>
    <x:row r="9" ht="82" customHeight="1">
      <x:c r="A9" s="4" t="n">
        <x:v>8</x:v>
      </x:c>
      <x:c r="B9" s="4" t="str">
        <x:v>GMB-0008</x:v>
      </x:c>
      <x:c r="C9" s="4" t="str">
        <x:v>M03 社交·私信·群聊与通知</x:v>
      </x:c>
      <x:c r="D9" s="4" t="str">
        <x:v>通知详情（公会长视角）</x:v>
      </x:c>
      <x:c r="E9" s="4" t="str">
        <x:v>功能需求</x:v>
      </x:c>
      <x:c r="F9" s="4" t="str">
        <x:v>P2</x:v>
      </x:c>
      <x:c r="G9" s="4" t="str">
        <x:v>验证公会长在通知详情的公会通知已读</x:v>
      </x:c>
      <x:c r="H9" s="4" t="str">
        <x:v>公会通知已读</x:v>
      </x:c>
      <x:c r="I9" s="4" t="str">
        <x:v>1. 执行身份为公会长
2. 当前公会有一条未读通知
3. 执行账号已登录</x:v>
      </x:c>
      <x:c r="J9" s="4" t="str">
        <x:v>1. 进入通知消息
2. 打开该通知
3. 返回通知消息</x:v>
      </x:c>
      <x:c r="K9" s="4" t="str">
        <x:v>该通知显示已读</x:v>
      </x:c>
      <x:c r="L9" s="4" t="str"/>
      <x:c r="M9" s="4" t="str">
        <x:v>未测</x:v>
      </x:c>
      <x:c r="N9" s="4" t="str"/>
      <x:c r="O9" s="4" t="str">
        <x:v>1. 来源（当前证据）：MainBasis/统一需求文档.md；位置：G-guild-notification-detail-005，第3350行
2. 规则：BR-MB-11ABBE3747130F
3. 未动态验证</x:v>
      </x:c>
    </x:row>
    <x:row r="10" ht="82" customHeight="1">
      <x:c r="A10" s="4" t="n">
        <x:v>9</x:v>
      </x:c>
      <x:c r="B10" s="4" t="str">
        <x:v>GMB-0009</x:v>
      </x:c>
      <x:c r="C10" s="4" t="str">
        <x:v>M05 公会申请·认证·组织与权限</x:v>
      </x:c>
      <x:c r="D10" s="4" t="str">
        <x:v>主播主页（公会长视角）</x:v>
      </x:c>
      <x:c r="E10" s="4" t="str">
        <x:v>异常用例</x:v>
      </x:c>
      <x:c r="F10" s="4" t="str">
        <x:v>P1</x:v>
      </x:c>
      <x:c r="G10" s="4" t="str">
        <x:v>验证公会长在主播主页的未结收益移除拦截</x:v>
      </x:c>
      <x:c r="H10" s="4" t="str">
        <x:v>未结收益移除拦截</x:v>
      </x:c>
      <x:c r="I10" s="4" t="str">
        <x:v>1. 执行身份为公会长
2. 本公会主播存在未结清收益
3. 执行账号已登录</x:v>
      </x:c>
      <x:c r="J10" s="4" t="str">
        <x:v>1. 进入该主播详情</x:v>
      </x:c>
      <x:c r="K10" s="4" t="str">
        <x:v>移出公会按钮不可用</x:v>
      </x:c>
      <x:c r="L10" s="4" t="str"/>
      <x:c r="M10" s="4" t="str">
        <x:v>未测</x:v>
      </x:c>
      <x:c r="N10" s="4" t="str"/>
      <x:c r="O10" s="4" t="str">
        <x:v>1. 来源（当前证据）：MainBasis/统一需求文档.md；位置：G-guild-host-detail-009，第4590行
2. 规则：BR-MB-71F6445E57B904
3. 未动态验证</x:v>
      </x:c>
    </x:row>
    <x:row r="11" ht="82" customHeight="1">
      <x:c r="A11" s="4" t="n">
        <x:v>10</x:v>
      </x:c>
      <x:c r="B11" s="4" t="str">
        <x:v>GMB-0010</x:v>
      </x:c>
      <x:c r="C11" s="4" t="str">
        <x:v>M05 公会申请·认证·组织与权限</x:v>
      </x:c>
      <x:c r="D11" s="4" t="str">
        <x:v>主播主页（公会长视角）</x:v>
      </x:c>
      <x:c r="E11" s="4" t="str">
        <x:v>功能需求</x:v>
      </x:c>
      <x:c r="F11" s="4" t="str">
        <x:v>P1</x:v>
      </x:c>
      <x:c r="G11" s="4" t="str">
        <x:v>验证公会长在主播主页的平台锁定后的公会权限</x:v>
      </x:c>
      <x:c r="H11" s="4" t="str">
        <x:v>平台锁定后的公会权限</x:v>
      </x:c>
      <x:c r="I11" s="4" t="str">
        <x:v>1. 执行身份为公会长
2. 平台已锁定本公会对某主播的管理权限
3. 执行账号已登录</x:v>
      </x:c>
      <x:c r="J11" s="4" t="str">
        <x:v>1. 进入该主播详情</x:v>
      </x:c>
      <x:c r="K11" s="4" t="str">
        <x:v>直播权限开关只读</x:v>
      </x:c>
      <x:c r="L11" s="4" t="str"/>
      <x:c r="M11" s="4" t="str">
        <x:v>未测</x:v>
      </x:c>
      <x:c r="N11" s="4" t="str"/>
      <x:c r="O11" s="4" t="str">
        <x:v>1. 来源（当前证据）：MainBasis/统一需求文档.md；位置：G-guild-host-detail-007，第4582行
2. 规则：BR-MB-DA7F20F0F558FC
3. 未动态验证</x:v>
      </x:c>
    </x:row>
    <x:row r="12" ht="96" customHeight="1">
      <x:c r="A12" s="4" t="n">
        <x:v>11</x:v>
      </x:c>
      <x:c r="B12" s="4" t="str">
        <x:v>GMB-0011</x:v>
      </x:c>
      <x:c r="C12" s="4" t="str">
        <x:v>M05 公会申请·认证·组织与权限</x:v>
      </x:c>
      <x:c r="D12" s="4" t="str">
        <x:v>主播主页（公会长视角）</x:v>
      </x:c>
      <x:c r="E12" s="4" t="str">
        <x:v>功能需求</x:v>
      </x:c>
      <x:c r="F12" s="4" t="str">
        <x:v>P1</x:v>
      </x:c>
      <x:c r="G12" s="4" t="str">
        <x:v>验证公会长在主播主页的解除锁定恢复原设置</x:v>
      </x:c>
      <x:c r="H12" s="4" t="str">
        <x:v>解除锁定恢复原设置</x:v>
      </x:c>
      <x:c r="I12" s="4" t="str">
        <x:v>1. 执行身份为公会长
2. 锁定前平台权限开启、公会权限关闭
3. 平台锁定时显示开启，现已取消锁定
4. 执行账号已登录</x:v>
      </x:c>
      <x:c r="J12" s="4" t="str">
        <x:v>1. 进入该主播详情</x:v>
      </x:c>
      <x:c r="K12" s="4" t="str">
        <x:v>公会直播权限显示关闭</x:v>
      </x:c>
      <x:c r="L12" s="4" t="str"/>
      <x:c r="M12" s="4" t="str">
        <x:v>未测</x:v>
      </x:c>
      <x:c r="N12" s="4" t="str"/>
      <x:c r="O12" s="4" t="str">
        <x:v>1. 来源（当前证据）：MainBasis/统一需求文档.md；位置：D-SYS-087，第486行、G-guild-host-detail-007，第4582行
2. 规则：BR-MB-EC267ADD5B4CBF
3. 未动态验证</x:v>
      </x:c>
    </x:row>
    <x:row r="13" ht="124" customHeight="1">
      <x:c r="A13" s="4" t="n">
        <x:v>12</x:v>
      </x:c>
      <x:c r="B13" s="4" t="str">
        <x:v>GMB-0012</x:v>
      </x:c>
      <x:c r="C13" s="4" t="str">
        <x:v>M05 公会申请·认证·组织与权限</x:v>
      </x:c>
      <x:c r="D13" s="4" t="str">
        <x:v>主播主页（公会长视角）</x:v>
      </x:c>
      <x:c r="E13" s="4" t="str">
        <x:v>业务流程</x:v>
      </x:c>
      <x:c r="F13" s="4" t="str">
        <x:v>P1</x:v>
      </x:c>
      <x:c r="G13" s="4" t="str">
        <x:v>验证公会长在主播主页的公会关闭开播权限</x:v>
      </x:c>
      <x:c r="H13" s="4" t="str">
        <x:v>公会关闭开播权限</x:v>
      </x:c>
      <x:c r="I13" s="4" t="str">
        <x:v>1. 执行身份为公会长
2. 本公会主播正在直播
3. 平台未锁定公会管理权限
4. 执行账号已登录</x:v>
      </x:c>
      <x:c r="J13" s="4" t="str">
        <x:v>1. 进入该主播详情
2. 关闭直播权限
3. 点击确认</x:v>
      </x:c>
      <x:c r="K13" s="4" t="str">
        <x:v>直播权限变为关闭</x:v>
      </x:c>
      <x:c r="L13" s="4" t="str">
        <x:v>MBF-29684C4A</x:v>
      </x:c>
      <x:c r="M13" s="4" t="str">
        <x:v>未测</x:v>
      </x:c>
      <x:c r="N13" s="4" t="str"/>
      <x:c r="O13" s="4" t="str">
        <x:v>1. 来源（当前证据）：MainBasis/统一需求文档.md；位置：G-guild-host-detail-008，第4586行
2. 规则：BR-MB-773AC64ED5095F
3. 未动态验证
4. 共同对象：主播直播权限；阶段：公会关闭开播权限
5. 状态转换：MBT-BF343888BFA2；开启→关闭</x:v>
      </x:c>
    </x:row>
    <x:row r="14" ht="82" customHeight="1">
      <x:c r="A14" s="4" t="n">
        <x:v>13</x:v>
      </x:c>
      <x:c r="B14" s="4" t="str">
        <x:v>GMB-0013</x:v>
      </x:c>
      <x:c r="C14" s="4" t="str">
        <x:v>M05 公会申请·认证·组织与权限</x:v>
      </x:c>
      <x:c r="D14" s="4" t="str">
        <x:v>主播主页（公会长视角）</x:v>
      </x:c>
      <x:c r="E14" s="4" t="str">
        <x:v>功能需求</x:v>
      </x:c>
      <x:c r="F14" s="4" t="str">
        <x:v>P2</x:v>
      </x:c>
      <x:c r="G14" s="4" t="str">
        <x:v>验证公会长在主播主页的业绩跳转</x:v>
      </x:c>
      <x:c r="H14" s="4" t="str">
        <x:v>业绩跳转</x:v>
      </x:c>
      <x:c r="I14" s="4" t="str">
        <x:v>1. 公会长已登录
2. 当前公会处于启用状态</x:v>
      </x:c>
      <x:c r="J14" s="4" t="str">
        <x:v>1. 进入主播主页
2. 点击业绩</x:v>
      </x:c>
      <x:c r="K14" s="4" t="str">
        <x:v>进入「主播数据」</x:v>
      </x:c>
      <x:c r="L14" s="4" t="str"/>
      <x:c r="M14" s="4" t="str">
        <x:v>未测</x:v>
      </x:c>
      <x:c r="N14" s="4" t="str"/>
      <x:c r="O14" s="4" t="str">
        <x:v>1. 来源（当前证据）：MainBasis/统一需求文档.md；位置：G-guild-host-detail-010，第4596行
2. 规则：BR-MB-AA3F89D3BFC16E
3. 未动态验证</x:v>
      </x:c>
    </x:row>
    <x:row r="15" ht="82" customHeight="1">
      <x:c r="A15" s="4" t="n">
        <x:v>14</x:v>
      </x:c>
      <x:c r="B15" s="4" t="str">
        <x:v>GMB-0014</x:v>
      </x:c>
      <x:c r="C15" s="4" t="str">
        <x:v>M05 公会申请·认证·组织与权限</x:v>
      </x:c>
      <x:c r="D15" s="4" t="str">
        <x:v>主播列表（公会长视角）</x:v>
      </x:c>
      <x:c r="E15" s="4" t="str">
        <x:v>功能需求</x:v>
      </x:c>
      <x:c r="F15" s="4" t="str">
        <x:v>P1</x:v>
      </x:c>
      <x:c r="G15" s="4" t="str">
        <x:v>验证公会长在主播列表的公会数据隔离</x:v>
      </x:c>
      <x:c r="H15" s="4" t="str">
        <x:v>公会数据隔离</x:v>
      </x:c>
      <x:c r="I15" s="4" t="str">
        <x:v>1. 执行身份为公会长
2. 公会A和B各有在会主播
3. 当前只管理公会A
4. 执行账号已登录</x:v>
      </x:c>
      <x:c r="J15" s="4" t="str">
        <x:v>1. 进入主播列表</x:v>
      </x:c>
      <x:c r="K15" s="4" t="str">
        <x:v>列表不包含仅属于公会B的主播</x:v>
      </x:c>
      <x:c r="L15" s="4" t="str"/>
      <x:c r="M15" s="4" t="str">
        <x:v>未测</x:v>
      </x:c>
      <x:c r="N15" s="4" t="str"/>
      <x:c r="O15" s="4" t="str">
        <x:v>1. 来源（当前证据）：MainBasis/统一需求文档.md；位置：G-guild-member-list-004，第4452行
2. 规则：BR-MB-42414A280BCEFA
3. 未动态验证</x:v>
      </x:c>
    </x:row>
    <x:row r="16" ht="82" customHeight="1">
      <x:c r="A16" s="4" t="n">
        <x:v>15</x:v>
      </x:c>
      <x:c r="B16" s="4" t="str">
        <x:v>GMB-0015</x:v>
      </x:c>
      <x:c r="C16" s="4" t="str">
        <x:v>M05 公会申请·认证·组织与权限</x:v>
      </x:c>
      <x:c r="D16" s="4" t="str">
        <x:v>主播列表（公会长视角）</x:v>
      </x:c>
      <x:c r="E16" s="4" t="str">
        <x:v>功能需求</x:v>
      </x:c>
      <x:c r="F16" s="4" t="str">
        <x:v>P2</x:v>
      </x:c>
      <x:c r="G16" s="4" t="str">
        <x:v>验证公会长在主播列表的主播跳转</x:v>
      </x:c>
      <x:c r="H16" s="4" t="str">
        <x:v>主播跳转</x:v>
      </x:c>
      <x:c r="I16" s="4" t="str">
        <x:v>1. 公会长已登录
2. 当前公会处于启用状态</x:v>
      </x:c>
      <x:c r="J16" s="4" t="str">
        <x:v>1. 进入主播列表
2. 点击主播</x:v>
      </x:c>
      <x:c r="K16" s="4" t="str">
        <x:v>进入主播详情</x:v>
      </x:c>
      <x:c r="L16" s="4" t="str"/>
      <x:c r="M16" s="4" t="str">
        <x:v>未测</x:v>
      </x:c>
      <x:c r="N16" s="4" t="str"/>
      <x:c r="O16" s="4" t="str">
        <x:v>1. 来源（当前证据）：MainBasis/统一需求文档.md；位置：G-guild-member-list-005，第4458行
2. 规则：BR-MB-2B3E63B685ED6E
3. 未动态验证</x:v>
      </x:c>
    </x:row>
    <x:row r="17" ht="82" customHeight="1">
      <x:c r="A17" s="4" t="n">
        <x:v>16</x:v>
      </x:c>
      <x:c r="B17" s="4" t="str">
        <x:v>GMB-0016</x:v>
      </x:c>
      <x:c r="C17" s="4" t="str">
        <x:v>M05 公会申请·认证·组织与权限</x:v>
      </x:c>
      <x:c r="D17" s="4" t="str">
        <x:v>修改密码（公会长视角）</x:v>
      </x:c>
      <x:c r="E17" s="4" t="str">
        <x:v>功能需求</x:v>
      </x:c>
      <x:c r="F17" s="4" t="str">
        <x:v>P1</x:v>
      </x:c>
      <x:c r="G17" s="4" t="str">
        <x:v>验证公会长在修改密码的公会旧密码错误</x:v>
      </x:c>
      <x:c r="H17" s="4" t="str">
        <x:v>公会旧密码错误</x:v>
      </x:c>
      <x:c r="I17" s="4" t="str">
        <x:v>1. 执行身份为公会长
2. 账号当前密码已知
3. 执行账号已登录</x:v>
      </x:c>
      <x:c r="J17" s="4" t="str">
        <x:v>1. 进入修改密码
2. 输入错误的当前密码
3. 输入一致且满足页面规则的新密码
4. 点击保存</x:v>
      </x:c>
      <x:c r="K17" s="4" t="str">
        <x:v>提示“当前密码错误”</x:v>
      </x:c>
      <x:c r="L17" s="4" t="str"/>
      <x:c r="M17" s="4" t="str">
        <x:v>未测</x:v>
      </x:c>
      <x:c r="N17" s="4" t="str"/>
      <x:c r="O17" s="4" t="str">
        <x:v>1. 来源（当前证据）：MainBasis/统一需求文档.md；位置：G-guild-password-004，第4542行
2. 规则：BR-MB-E629B922D0B000
3. 未动态验证</x:v>
      </x:c>
    </x:row>
    <x:row r="18" ht="82" customHeight="1">
      <x:c r="A18" s="4" t="n">
        <x:v>17</x:v>
      </x:c>
      <x:c r="B18" s="4" t="str">
        <x:v>GMB-0017</x:v>
      </x:c>
      <x:c r="C18" s="4" t="str">
        <x:v>M05 公会申请·认证·组织与权限</x:v>
      </x:c>
      <x:c r="D18" s="4" t="str">
        <x:v>修改密码（公会长视角）</x:v>
      </x:c>
      <x:c r="E18" s="4" t="str">
        <x:v>异常用例</x:v>
      </x:c>
      <x:c r="F18" s="4" t="str">
        <x:v>P1</x:v>
      </x:c>
      <x:c r="G18" s="4" t="str">
        <x:v>验证公会长在修改密码的公会新旧密码相同</x:v>
      </x:c>
      <x:c r="H18" s="4" t="str">
        <x:v>公会新旧密码相同</x:v>
      </x:c>
      <x:c r="I18" s="4" t="str">
        <x:v>1. 执行身份为公会长
2. 账号当前密码满足有效格式
3. 执行账号已登录</x:v>
      </x:c>
      <x:c r="J18" s="4" t="str">
        <x:v>1. 进入修改密码
2. 输入正确当前密码
3. 将新密码及确认密码均填写为当前密码
4. 点击保存</x:v>
      </x:c>
      <x:c r="K18" s="4" t="str">
        <x:v>提示“新密码不能和旧密码一样”</x:v>
      </x:c>
      <x:c r="L18" s="4" t="str"/>
      <x:c r="M18" s="4" t="str">
        <x:v>未测</x:v>
      </x:c>
      <x:c r="N18" s="4" t="str"/>
      <x:c r="O18" s="4" t="str">
        <x:v>1. 来源（当前证据）：MainBasis/统一需求文档.md；位置：G-guild-password-004，第4542行
2. 规则：BR-MB-ABF73C7D06D9E7
3. 未动态验证</x:v>
      </x:c>
    </x:row>
    <x:row r="19" ht="82" customHeight="1">
      <x:c r="A19" s="4" t="n">
        <x:v>18</x:v>
      </x:c>
      <x:c r="B19" s="4" t="str">
        <x:v>GMB-0018</x:v>
      </x:c>
      <x:c r="C19" s="4" t="str">
        <x:v>M05 公会申请·认证·组织与权限</x:v>
      </x:c>
      <x:c r="D19" s="4" t="str">
        <x:v>修改密码（公会长视角）</x:v>
      </x:c>
      <x:c r="E19" s="4" t="str">
        <x:v>异常用例</x:v>
      </x:c>
      <x:c r="F19" s="4" t="str">
        <x:v>P1</x:v>
      </x:c>
      <x:c r="G19" s="4" t="str">
        <x:v>验证公会长在修改密码的公会密码保存失败</x:v>
      </x:c>
      <x:c r="H19" s="4" t="str">
        <x:v>公会密码保存失败</x:v>
      </x:c>
      <x:c r="I19" s="4" t="str">
        <x:v>1. 执行身份为公会长
2. 新密码不同于旧密码且满足页面规则
3. 本次保存请求返回失败
4. 执行账号已登录</x:v>
      </x:c>
      <x:c r="J19" s="4" t="str">
        <x:v>1. 进入修改密码
2. 输入正确当前密码及一致的新密码
3. 点击保存</x:v>
      </x:c>
      <x:c r="K19" s="4" t="str">
        <x:v>提示“保存失败”</x:v>
      </x:c>
      <x:c r="L19" s="4" t="str"/>
      <x:c r="M19" s="4" t="str">
        <x:v>未测</x:v>
      </x:c>
      <x:c r="N19" s="4" t="str"/>
      <x:c r="O19" s="4" t="str">
        <x:v>1. 来源（当前证据）：MainBasis/统一需求文档.md；位置：G-guild-password-004，第4542行
2. 规则：BR-MB-BD106D632D0F44
3. 未动态验证</x:v>
      </x:c>
    </x:row>
    <x:row r="20" ht="82" customHeight="1">
      <x:c r="A20" s="4" t="n">
        <x:v>19</x:v>
      </x:c>
      <x:c r="B20" s="4" t="str">
        <x:v>GMB-0019</x:v>
      </x:c>
      <x:c r="C20" s="4" t="str">
        <x:v>M05 公会申请·认证·组织与权限</x:v>
      </x:c>
      <x:c r="D20" s="4" t="str">
        <x:v>修改密码（公会长视角）</x:v>
      </x:c>
      <x:c r="E20" s="4" t="str">
        <x:v>异常用例</x:v>
      </x:c>
      <x:c r="F20" s="4" t="str">
        <x:v>P1</x:v>
      </x:c>
      <x:c r="G20" s="4" t="str">
        <x:v>验证公会长在修改密码的公会新密码长度边界</x:v>
      </x:c>
      <x:c r="H20" s="4" t="str">
        <x:v>公会新密码长度边界</x:v>
      </x:c>
      <x:c r="I20" s="4" t="str">
        <x:v>1. 执行身份为公会长
2. 当前密码为Test12345
3. 执行账号已登录</x:v>
      </x:c>
      <x:c r="J20" s="4" t="str">
        <x:v>1. 进入修改密码
2. 输入当前密码Test12345
3. 输入由7个数字1组成的新密码及确认密码
4. 点击保存</x:v>
      </x:c>
      <x:c r="K20" s="4" t="str">
        <x:v>不能保存少于8位的新密码</x:v>
      </x:c>
      <x:c r="L20" s="4" t="str"/>
      <x:c r="M20" s="4" t="str">
        <x:v>未测</x:v>
      </x:c>
      <x:c r="N20" s="4" t="str"/>
      <x:c r="O20" s="4" t="str">
        <x:v>1. 来源（当前证据）：MainBasis/统一需求文档.md；位置：G-guild-password-002，第4532行、G-guild-password-004，第4542行
2. 规则：BR-MB-3FDE3933316389
3. 未动态验证</x:v>
      </x:c>
    </x:row>
    <x:row r="21" ht="82" customHeight="1">
      <x:c r="A21" s="4" t="n">
        <x:v>20</x:v>
      </x:c>
      <x:c r="B21" s="4" t="str">
        <x:v>GMB-0020</x:v>
      </x:c>
      <x:c r="C21" s="4" t="str">
        <x:v>M05 公会申请·认证·组织与权限</x:v>
      </x:c>
      <x:c r="D21" s="4" t="str">
        <x:v>修改密码（公会长视角）</x:v>
      </x:c>
      <x:c r="E21" s="4" t="str">
        <x:v>功能需求</x:v>
      </x:c>
      <x:c r="F21" s="4" t="str">
        <x:v>P1</x:v>
      </x:c>
      <x:c r="G21" s="4" t="str">
        <x:v>验证公会长在修改密码的公会新密码长度边界</x:v>
      </x:c>
      <x:c r="H21" s="4" t="str">
        <x:v>公会新密码长度边界</x:v>
      </x:c>
      <x:c r="I21" s="4" t="str">
        <x:v>1. 执行身份为公会长
2. 当前密码为Test12345
3. 执行账号已登录</x:v>
      </x:c>
      <x:c r="J21" s="4" t="str">
        <x:v>1. 进入修改密码
2. 输入当前密码Test12345
3. 输入由8个数字1组成的新密码及确认密码
4. 点击保存</x:v>
      </x:c>
      <x:c r="K21" s="4" t="str">
        <x:v>返回账号设置</x:v>
      </x:c>
      <x:c r="L21" s="4" t="str"/>
      <x:c r="M21" s="4" t="str">
        <x:v>未测</x:v>
      </x:c>
      <x:c r="N21" s="4" t="str"/>
      <x:c r="O21" s="4" t="str">
        <x:v>1. 来源（当前证据）：MainBasis/统一需求文档.md；位置：G-guild-password-002，第4532行、G-guild-password-004，第4542行
2. 规则：BR-MB-80DA28369A6C86
3. 未动态验证</x:v>
      </x:c>
    </x:row>
    <x:row r="22" ht="82" customHeight="1">
      <x:c r="A22" s="4" t="n">
        <x:v>21</x:v>
      </x:c>
      <x:c r="B22" s="4" t="str">
        <x:v>GMB-0021</x:v>
      </x:c>
      <x:c r="C22" s="4" t="str">
        <x:v>M05 公会申请·认证·组织与权限</x:v>
      </x:c>
      <x:c r="D22" s="4" t="str">
        <x:v>修改密码（公会长视角）</x:v>
      </x:c>
      <x:c r="E22" s="4" t="str">
        <x:v>异常用例</x:v>
      </x:c>
      <x:c r="F22" s="4" t="str">
        <x:v>P1</x:v>
      </x:c>
      <x:c r="G22" s="4" t="str">
        <x:v>验证公会长在修改密码的公会密码二次输入不一致</x:v>
      </x:c>
      <x:c r="H22" s="4" t="str">
        <x:v>公会密码二次输入不一致</x:v>
      </x:c>
      <x:c r="I22" s="4" t="str">
        <x:v>1. 执行身份为公会长
2. 当前密码为Test12345
3. 执行账号已登录</x:v>
      </x:c>
      <x:c r="J22" s="4" t="str">
        <x:v>1. 进入修改密码
2. 输入当前密码Test12345
3. 输入新密码New123456
4. 输入确认密码New123457
5. 点击保存</x:v>
      </x:c>
      <x:c r="K22" s="4" t="str">
        <x:v>密码修改不能保存</x:v>
      </x:c>
      <x:c r="L22" s="4" t="str"/>
      <x:c r="M22" s="4" t="str">
        <x:v>未测</x:v>
      </x:c>
      <x:c r="N22" s="4" t="str"/>
      <x:c r="O22" s="4" t="str">
        <x:v>1. 来源（当前证据）：MainBasis/统一需求文档.md；位置：G-guild-password-003，第4536行
2. 规则：BR-MB-FE65ECDAB0BB59
3. 未动态验证</x:v>
      </x:c>
    </x:row>
    <x:row r="23" ht="82" customHeight="1">
      <x:c r="A23" s="4" t="n">
        <x:v>22</x:v>
      </x:c>
      <x:c r="B23" s="4" t="str">
        <x:v>GMB-0022</x:v>
      </x:c>
      <x:c r="C23" s="4" t="str">
        <x:v>M05 公会申请·认证·组织与权限</x:v>
      </x:c>
      <x:c r="D23" s="4" t="str">
        <x:v>入会申请（公会长视角）</x:v>
      </x:c>
      <x:c r="E23" s="4" t="str">
        <x:v>功能需求</x:v>
      </x:c>
      <x:c r="F23" s="4" t="str">
        <x:v>P1</x:v>
      </x:c>
      <x:c r="G23" s="4" t="str">
        <x:v>验证公会长在入会申请的入会状态筛选</x:v>
      </x:c>
      <x:c r="H23" s="4" t="str">
        <x:v>入会状态筛选</x:v>
      </x:c>
      <x:c r="I23" s="4" t="str">
        <x:v>1. 执行身份为公会长
2. 本公会同时有待审核和已驳回申请
3. 执行账号已登录</x:v>
      </x:c>
      <x:c r="J23" s="4" t="str">
        <x:v>1. 进入入会申请
2. 选择已驳回Tab</x:v>
      </x:c>
      <x:c r="K23" s="4" t="str">
        <x:v>列表只显示已驳回的申请</x:v>
      </x:c>
      <x:c r="L23" s="4" t="str"/>
      <x:c r="M23" s="4" t="str">
        <x:v>未测</x:v>
      </x:c>
      <x:c r="N23" s="4" t="str"/>
      <x:c r="O23" s="4" t="str">
        <x:v>1. 来源（当前证据）：MainBasis/统一需求文档.md；位置：G-guild-join-review-007，第4390行
2. 规则：BR-MB-3D758E46739048
3. 未动态验证</x:v>
      </x:c>
    </x:row>
    <x:row r="24" ht="82" customHeight="1">
      <x:c r="A24" s="4" t="n">
        <x:v>23</x:v>
      </x:c>
      <x:c r="B24" s="4" t="str">
        <x:v>GMB-0023</x:v>
      </x:c>
      <x:c r="C24" s="4" t="str">
        <x:v>M05 公会申请·认证·组织与权限</x:v>
      </x:c>
      <x:c r="D24" s="4" t="str">
        <x:v>入会申请详情（公会长视角）</x:v>
      </x:c>
      <x:c r="E24" s="4" t="str">
        <x:v>异常用例</x:v>
      </x:c>
      <x:c r="F24" s="4" t="str">
        <x:v>P1</x:v>
      </x:c>
      <x:c r="G24" s="4" t="str">
        <x:v>验证公会长在入会申请详情的已处理入会申请</x:v>
      </x:c>
      <x:c r="H24" s="4" t="str">
        <x:v>已处理入会申请</x:v>
      </x:c>
      <x:c r="I24" s="4" t="str">
        <x:v>1. 执行身份为公会长
2. 本公会有已驳回的入会申请
3. 执行账号已登录</x:v>
      </x:c>
      <x:c r="J24" s="4" t="str">
        <x:v>1. 进入该入会申请详情</x:v>
      </x:c>
      <x:c r="K24" s="4" t="str">
        <x:v>申请只读，不能再次审核</x:v>
      </x:c>
      <x:c r="L24" s="4" t="str"/>
      <x:c r="M24" s="4" t="str">
        <x:v>未测</x:v>
      </x:c>
      <x:c r="N24" s="4" t="str"/>
      <x:c r="O24" s="4" t="str">
        <x:v>1. 来源（当前证据）：MainBasis/统一需求文档.md；位置：G-guild-join-review-detail-007，第4634行
2. 规则：BR-MB-CCF2199D6640CE
3. 未动态验证</x:v>
      </x:c>
    </x:row>
    <x:row r="25" ht="82" customHeight="1">
      <x:c r="A25" s="4" t="n">
        <x:v>24</x:v>
      </x:c>
      <x:c r="B25" s="4" t="str">
        <x:v>GMB-0024</x:v>
      </x:c>
      <x:c r="C25" s="4" t="str">
        <x:v>M05 公会申请·认证·组织与权限</x:v>
      </x:c>
      <x:c r="D25" s="4" t="str">
        <x:v>公会资料（公会长视角）</x:v>
      </x:c>
      <x:c r="E25" s="4" t="str">
        <x:v>功能需求</x:v>
      </x:c>
      <x:c r="F25" s="4" t="str">
        <x:v>P1</x:v>
      </x:c>
      <x:c r="G25" s="4" t="str">
        <x:v>验证公会长在公会资料的公会资料修改保留ID</x:v>
      </x:c>
      <x:c r="H25" s="4" t="str">
        <x:v>公会资料修改保留ID</x:v>
      </x:c>
      <x:c r="I25" s="4" t="str">
        <x:v>1. 执行身份为公会长
2. 当前公会ID为G100
3. 公会名称允许编辑
4. 执行账号已登录</x:v>
      </x:c>
      <x:c r="J25" s="4" t="str">
        <x:v>1. 进入公会资料
2. 修改名称为测试公会A
3. 点击保存</x:v>
      </x:c>
      <x:c r="K25" s="4" t="str">
        <x:v>公会ID仍为G100</x:v>
      </x:c>
      <x:c r="L25" s="4" t="str"/>
      <x:c r="M25" s="4" t="str">
        <x:v>未测</x:v>
      </x:c>
      <x:c r="N25" s="4" t="str"/>
      <x:c r="O25" s="4" t="str">
        <x:v>1. 来源（当前证据）：MainBasis/统一需求文档.md；位置：G-guild-profile-005，第4488行
2. 规则：BR-MB-D780A1FD9048B7
3. 未动态验证</x:v>
      </x:c>
    </x:row>
    <x:row r="26" ht="82" customHeight="1">
      <x:c r="A26" s="4" t="n">
        <x:v>25</x:v>
      </x:c>
      <x:c r="B26" s="4" t="str">
        <x:v>GMB-0025</x:v>
      </x:c>
      <x:c r="C26" s="4" t="str">
        <x:v>M05 公会申请·认证·组织与权限</x:v>
      </x:c>
      <x:c r="D26" s="4" t="str">
        <x:v>账号设置（公会长视角）</x:v>
      </x:c>
      <x:c r="E26" s="4" t="str">
        <x:v>功能需求</x:v>
      </x:c>
      <x:c r="F26" s="4" t="str">
        <x:v>P2</x:v>
      </x:c>
      <x:c r="G26" s="4" t="str">
        <x:v>验证公会长在账号设置的退出登录取消</x:v>
      </x:c>
      <x:c r="H26" s="4" t="str">
        <x:v>退出登录取消</x:v>
      </x:c>
      <x:c r="I26" s="4" t="str">
        <x:v>1. 执行身份为公会长
2. 账号已登录</x:v>
      </x:c>
      <x:c r="J26" s="4" t="str">
        <x:v>1. 进入账号设置
2. 点击退出登录
3. 点击取消</x:v>
      </x:c>
      <x:c r="K26" s="4" t="str">
        <x:v>公会端登录会话仍有效</x:v>
      </x:c>
      <x:c r="L26" s="4" t="str"/>
      <x:c r="M26" s="4" t="str">
        <x:v>未测</x:v>
      </x:c>
      <x:c r="N26" s="4" t="str"/>
      <x:c r="O26" s="4" t="str">
        <x:v>1. 来源（当前证据）：MainBasis/统一需求文档.md；位置：G-guild-settings-004，第4516行
2. 规则：BR-MB-A2F5F791C9777E
3. 未动态验证</x:v>
      </x:c>
    </x:row>
    <x:row r="27" ht="82" customHeight="1">
      <x:c r="A27" s="4" t="n">
        <x:v>26</x:v>
      </x:c>
      <x:c r="B27" s="4" t="str">
        <x:v>GMB-0026</x:v>
      </x:c>
      <x:c r="C27" s="4" t="str">
        <x:v>M05 公会申请·认证·组织与权限</x:v>
      </x:c>
      <x:c r="D27" s="4" t="str">
        <x:v>账号设置（公会长视角）</x:v>
      </x:c>
      <x:c r="E27" s="4" t="str">
        <x:v>功能需求</x:v>
      </x:c>
      <x:c r="F27" s="4" t="str">
        <x:v>P1</x:v>
      </x:c>
      <x:c r="G27" s="4" t="str">
        <x:v>验证公会长在账号设置的公会退出登录</x:v>
      </x:c>
      <x:c r="H27" s="4" t="str">
        <x:v>公会退出登录</x:v>
      </x:c>
      <x:c r="I27" s="4" t="str">
        <x:v>1. 执行身份为公会长
2. 账号已登录</x:v>
      </x:c>
      <x:c r="J27" s="4" t="str">
        <x:v>1. 进入账号设置
2. 点击退出登录
3. 点击确认</x:v>
      </x:c>
      <x:c r="K27" s="4" t="str">
        <x:v>返回公会登录页</x:v>
      </x:c>
      <x:c r="L27" s="4" t="str"/>
      <x:c r="M27" s="4" t="str">
        <x:v>未测</x:v>
      </x:c>
      <x:c r="N27" s="4" t="str"/>
      <x:c r="O27" s="4" t="str">
        <x:v>1. 来源（当前证据）：MainBasis/统一需求文档.md；位置：G-guild-settings-004，第4516行
2. 规则：BR-MB-95EC5CE94A9D5A
3. 未动态验证</x:v>
      </x:c>
    </x:row>
    <x:row r="28" ht="82" customHeight="1">
      <x:c r="A28" s="4" t="n">
        <x:v>27</x:v>
      </x:c>
      <x:c r="B28" s="4" t="str">
        <x:v>GMB-0027</x:v>
      </x:c>
      <x:c r="C28" s="4" t="str">
        <x:v>M05 公会申请·认证·组织与权限</x:v>
      </x:c>
      <x:c r="D28" s="4" t="str">
        <x:v>退会申请（公会长视角）</x:v>
      </x:c>
      <x:c r="E28" s="4" t="str">
        <x:v>功能需求</x:v>
      </x:c>
      <x:c r="F28" s="4" t="str">
        <x:v>P1</x:v>
      </x:c>
      <x:c r="G28" s="4" t="str">
        <x:v>验证公会长在退会申请的退会审批归属</x:v>
      </x:c>
      <x:c r="H28" s="4" t="str">
        <x:v>退会审批归属</x:v>
      </x:c>
      <x:c r="I28" s="4" t="str">
        <x:v>1. 执行身份为公会长
2. 本公会有待审核退会申请
3. 执行账号已登录</x:v>
      </x:c>
      <x:c r="J28" s="4" t="str">
        <x:v>1. 进入退会审核页
2. 打开该申请</x:v>
      </x:c>
      <x:c r="K28" s="4" t="str">
        <x:v>可由公会直接审核，无平台终审环节</x:v>
      </x:c>
      <x:c r="L28" s="4" t="str"/>
      <x:c r="M28" s="4" t="str">
        <x:v>未测</x:v>
      </x:c>
      <x:c r="N28" s="4" t="str"/>
      <x:c r="O28" s="4" t="str">
        <x:v>1. 来源（当前证据）：MainBasis/统一需求文档.md；位置：G-guild-leave-review-004，第4416行
2. 规则：BR-MB-E619342B2E1325
3. 未动态验证</x:v>
      </x:c>
    </x:row>
    <x:row r="29" ht="82" customHeight="1">
      <x:c r="A29" s="4" t="n">
        <x:v>28</x:v>
      </x:c>
      <x:c r="B29" s="4" t="str">
        <x:v>GMB-0028</x:v>
      </x:c>
      <x:c r="C29" s="4" t="str">
        <x:v>M05 公会申请·认证·组织与权限</x:v>
      </x:c>
      <x:c r="D29" s="4" t="str">
        <x:v>退会申请（公会长视角）</x:v>
      </x:c>
      <x:c r="E29" s="4" t="str">
        <x:v>功能需求</x:v>
      </x:c>
      <x:c r="F29" s="4" t="str">
        <x:v>P1</x:v>
      </x:c>
      <x:c r="G29" s="4" t="str">
        <x:v>验证公会长在退会申请的退会状态筛选</x:v>
      </x:c>
      <x:c r="H29" s="4" t="str">
        <x:v>退会状态筛选</x:v>
      </x:c>
      <x:c r="I29" s="4" t="str">
        <x:v>1. 执行身份为公会长
2. 本公会同时有待审核和已通过的退会申请
3. 执行账号已登录</x:v>
      </x:c>
      <x:c r="J29" s="4" t="str">
        <x:v>1. 进入退会申请
2. 选择已通过Tab</x:v>
      </x:c>
      <x:c r="K29" s="4" t="str">
        <x:v>列表只显示已通过的退会申请</x:v>
      </x:c>
      <x:c r="L29" s="4" t="str"/>
      <x:c r="M29" s="4" t="str">
        <x:v>未测</x:v>
      </x:c>
      <x:c r="N29" s="4" t="str"/>
      <x:c r="O29" s="4" t="str">
        <x:v>1. 来源（当前证据）：MainBasis/统一需求文档.md；位置：G-guild-leave-review-006，第4426行
2. 规则：BR-MB-8F5CA1FB0862CA
3. 未动态验证</x:v>
      </x:c>
    </x:row>
    <x:row r="30" ht="138" customHeight="1">
      <x:c r="A30" s="4" t="n">
        <x:v>29</x:v>
      </x:c>
      <x:c r="B30" s="4" t="str">
        <x:v>GMB-0029</x:v>
      </x:c>
      <x:c r="C30" s="4" t="str">
        <x:v>M05 公会申请·认证·组织与权限</x:v>
      </x:c>
      <x:c r="D30" s="4" t="str">
        <x:v>退会申请详情（公会长视角）</x:v>
      </x:c>
      <x:c r="E30" s="4" t="str">
        <x:v>业务流程</x:v>
      </x:c>
      <x:c r="F30" s="4" t="str">
        <x:v>P1</x:v>
      </x:c>
      <x:c r="G30" s="4" t="str">
        <x:v>验证公会长在退会申请详情的驳回退会保留身份</x:v>
      </x:c>
      <x:c r="H30" s="4" t="str">
        <x:v>驳回退会保留身份</x:v>
      </x:c>
      <x:c r="I30" s="4" t="str">
        <x:v>1. 执行身份为公会长
2. 本公会主播有待审核退会申请
3. 执行账号已登录</x:v>
      </x:c>
      <x:c r="J30" s="4" t="str">
        <x:v>1. 进入退会申请详情
2. 点击驳回
3. 点击确认</x:v>
      </x:c>
      <x:c r="K30" s="4" t="str">
        <x:v>退会申请状态变为驳回</x:v>
      </x:c>
      <x:c r="L30" s="4" t="str">
        <x:v>MBF-289CDBD1</x:v>
      </x:c>
      <x:c r="M30" s="4" t="str">
        <x:v>未测</x:v>
      </x:c>
      <x:c r="N30" s="4" t="str"/>
      <x:c r="O30" s="4" t="str">
        <x:v>1. 来源（当前证据）：MainBasis/统一需求文档.md；位置：G-guild-leave-review-detail-007，第4682行
2. 规则：BR-MB-A06C147C61B0CD
3. 未动态验证
4. 共同对象：退会申请；阶段：驳回退会保留身份
5. 状态转换：MBT-735B27B37EE6；待审核→驳回</x:v>
      </x:c>
    </x:row>
    <x:row r="31" ht="124" customHeight="1">
      <x:c r="A31" s="4" t="n">
        <x:v>30</x:v>
      </x:c>
      <x:c r="B31" s="4" t="str">
        <x:v>GMB-0030</x:v>
      </x:c>
      <x:c r="C31" s="4" t="str">
        <x:v>M05 公会申请·认证·组织与权限</x:v>
      </x:c>
      <x:c r="D31" s="4" t="str">
        <x:v>退会申请详情（公会长视角）</x:v>
      </x:c>
      <x:c r="E31" s="4" t="str">
        <x:v>业务流程</x:v>
      </x:c>
      <x:c r="F31" s="4" t="str">
        <x:v>P1</x:v>
      </x:c>
      <x:c r="G31" s="4" t="str">
        <x:v>验证公会长在退会申请详情的通过退会</x:v>
      </x:c>
      <x:c r="H31" s="4" t="str">
        <x:v>通过退会</x:v>
      </x:c>
      <x:c r="I31" s="4" t="str">
        <x:v>1. 执行身份为公会长
2. 本公会主播有待审核退会申请且未结收益为0
3. 执行账号已登录</x:v>
      </x:c>
      <x:c r="J31" s="4" t="str">
        <x:v>1. 进入退会申请详情
2. 点击通过
3. 点击确认</x:v>
      </x:c>
      <x:c r="K31" s="4" t="str">
        <x:v>退会申请状态变为通过</x:v>
      </x:c>
      <x:c r="L31" s="4" t="str">
        <x:v>MBF-289CDBD1</x:v>
      </x:c>
      <x:c r="M31" s="4" t="str">
        <x:v>未测</x:v>
      </x:c>
      <x:c r="N31" s="4" t="str"/>
      <x:c r="O31" s="4" t="str">
        <x:v>1. 来源（当前证据）：MainBasis/统一需求文档.md；位置：G-guild-leave-review-detail-006，第4678行
2. 规则：BR-MB-DF700E36AA055E
3. 未动态验证
4. 共同对象：退会申请；阶段：通过退会
5. 状态转换：MBT-4342472F211A；待审核→通过</x:v>
      </x:c>
    </x:row>
    <x:row r="32" ht="82" customHeight="1">
      <x:c r="A32" s="4" t="n">
        <x:v>31</x:v>
      </x:c>
      <x:c r="B32" s="4" t="str">
        <x:v>GMB-0031</x:v>
      </x:c>
      <x:c r="C32" s="4" t="str">
        <x:v>M05 公会申请·认证·组织与权限</x:v>
      </x:c>
      <x:c r="D32" s="4" t="str">
        <x:v>退会申请详情（公会长视角）</x:v>
      </x:c>
      <x:c r="E32" s="4" t="str">
        <x:v>异常用例</x:v>
      </x:c>
      <x:c r="F32" s="4" t="str">
        <x:v>P1</x:v>
      </x:c>
      <x:c r="G32" s="4" t="str">
        <x:v>验证公会长在退会申请详情的退会终态只读</x:v>
      </x:c>
      <x:c r="H32" s="4" t="str">
        <x:v>退会终态只读</x:v>
      </x:c>
      <x:c r="I32" s="4" t="str">
        <x:v>1. 执行身份为公会长
2. 本公会一笔退会申请已通过
3. 执行账号已登录</x:v>
      </x:c>
      <x:c r="J32" s="4" t="str">
        <x:v>1. 进入该退会申请详情</x:v>
      </x:c>
      <x:c r="K32" s="4" t="str">
        <x:v>记录不可再次审核</x:v>
      </x:c>
      <x:c r="L32" s="4" t="str"/>
      <x:c r="M32" s="4" t="str">
        <x:v>未测</x:v>
      </x:c>
      <x:c r="N32" s="4" t="str"/>
      <x:c r="O32" s="4" t="str">
        <x:v>1. 来源（当前证据）：MainBasis/统一需求文档.md；位置：G-guild-leave-review-detail-008，第4688行
2. 规则：BR-MB-57E6DDD2931906
3. 未动态验证</x:v>
      </x:c>
    </x:row>
    <x:row r="33" ht="68" customHeight="1">
      <x:c r="A33" s="4" t="n">
        <x:v>32</x:v>
      </x:c>
      <x:c r="B33" s="4" t="str">
        <x:v>GMB-0032</x:v>
      </x:c>
      <x:c r="C33" s="4" t="str">
        <x:v>M05 公会申请·认证·组织与权限</x:v>
      </x:c>
      <x:c r="D33" s="4" t="str">
        <x:v>首页（公会长视角）</x:v>
      </x:c>
      <x:c r="E33" s="4" t="str">
        <x:v>功能需求</x:v>
      </x:c>
      <x:c r="F33" s="4" t="str">
        <x:v>P2</x:v>
      </x:c>
      <x:c r="G33" s="4" t="str">
        <x:v>验证公会长在首页的今日概况跳转</x:v>
      </x:c>
      <x:c r="H33" s="4" t="str">
        <x:v>今日概况跳转</x:v>
      </x:c>
      <x:c r="I33" s="4" t="str">
        <x:v>1. 公会长已登录
2. 当前公会处于启用状态</x:v>
      </x:c>
      <x:c r="J33" s="4" t="str">
        <x:v>1. 进入首页
2. 点击今日概况</x:v>
      </x:c>
      <x:c r="K33" s="4" t="str">
        <x:v>进入当日经营详情</x:v>
      </x:c>
      <x:c r="L33" s="4" t="str"/>
      <x:c r="M33" s="4" t="str">
        <x:v>未测</x:v>
      </x:c>
      <x:c r="N33" s="4" t="str"/>
      <x:c r="O33" s="4" t="str">
        <x:v>1. 来源（当前证据）：MainBasis/统一需求文档.md；位置：G-guild-home-006，第4350行
2. 规则：BR-MB-68EE5739502E91
3. 未动态验证</x:v>
      </x:c>
    </x:row>
    <x:row r="34" ht="82" customHeight="1">
      <x:c r="A34" s="4" t="n">
        <x:v>33</x:v>
      </x:c>
      <x:c r="B34" s="4" t="str">
        <x:v>GMB-0033</x:v>
      </x:c>
      <x:c r="C34" s="4" t="str">
        <x:v>M05 公会申请·认证·组织与权限</x:v>
      </x:c>
      <x:c r="D34" s="4" t="str">
        <x:v>首页（公会长视角）</x:v>
      </x:c>
      <x:c r="E34" s="4" t="str">
        <x:v>逻辑校验</x:v>
      </x:c>
      <x:c r="F34" s="4" t="str">
        <x:v>P1</x:v>
      </x:c>
      <x:c r="G34" s="4" t="str">
        <x:v>验证公会长在首页的普通礼物收益</x:v>
      </x:c>
      <x:c r="H34" s="4" t="str">
        <x:v>普通礼物收益</x:v>
      </x:c>
      <x:c r="I34" s="4" t="str">
        <x:v>1. 公会长已登录
2. 本公会当日仅1笔成功普通礼物消费100金币
3. 无其他收益</x:v>
      </x:c>
      <x:c r="J34" s="4" t="str">
        <x:v>1. 进入首页
2. 查看当日收益</x:v>
      </x:c>
      <x:c r="K34" s="4" t="str">
        <x:v>当日收益计算结果 = 100 * 1 = 100 金币</x:v>
      </x:c>
      <x:c r="L34" s="4" t="str"/>
      <x:c r="M34" s="4" t="str">
        <x:v>未测</x:v>
      </x:c>
      <x:c r="N34" s="4" t="str"/>
      <x:c r="O34" s="4" t="str">
        <x:v>1. 来源（当前证据）：MainBasis/统一需求文档.md；位置：G-guild-home-003，第4334行、G-guild-home-004，第4340行
2. 规则：BR-MB-1C7E99F40F8206
3. 未动态验证</x:v>
      </x:c>
    </x:row>
    <x:row r="35" ht="82" customHeight="1">
      <x:c r="A35" s="4" t="n">
        <x:v>34</x:v>
      </x:c>
      <x:c r="B35" s="4" t="str">
        <x:v>GMB-0034</x:v>
      </x:c>
      <x:c r="C35" s="4" t="str">
        <x:v>M05 公会申请·认证·组织与权限</x:v>
      </x:c>
      <x:c r="D35" s="4" t="str">
        <x:v>首页（公会长视角）</x:v>
      </x:c>
      <x:c r="E35" s="4" t="str">
        <x:v>逻辑校验</x:v>
      </x:c>
      <x:c r="F35" s="4" t="str">
        <x:v>P1</x:v>
      </x:c>
      <x:c r="G35" s="4" t="str">
        <x:v>验证公会长在首页的幸运礼物收益</x:v>
      </x:c>
      <x:c r="H35" s="4" t="str">
        <x:v>幸运礼物收益</x:v>
      </x:c>
      <x:c r="I35" s="4" t="str">
        <x:v>1. 公会长已登录
2. 本公会当日仅幸运赠礼价值1000金币
3. 收益比例1%
4. 无其他收益</x:v>
      </x:c>
      <x:c r="J35" s="4" t="str">
        <x:v>1. 进入首页
2. 查看当日收益</x:v>
      </x:c>
      <x:c r="K35" s="4" t="str">
        <x:v>当日收益计算结果 = 1000 * 0.01 = 10 金币</x:v>
      </x:c>
      <x:c r="L35" s="4" t="str"/>
      <x:c r="M35" s="4" t="str">
        <x:v>未测</x:v>
      </x:c>
      <x:c r="N35" s="4" t="str"/>
      <x:c r="O35" s="4" t="str">
        <x:v>1. 来源（当前证据）：MainBasis/统一需求文档.md；位置：G-guild-home-003，第4334行、G-guild-home-004，第4340行
2. 规则：BR-MB-498A361CC7BE9F
3. 未动态验证</x:v>
      </x:c>
    </x:row>
    <x:row r="36" ht="82" customHeight="1">
      <x:c r="A36" s="4" t="n">
        <x:v>35</x:v>
      </x:c>
      <x:c r="B36" s="4" t="str">
        <x:v>GMB-0035</x:v>
      </x:c>
      <x:c r="C36" s="4" t="str">
        <x:v>M05 公会申请·认证·组织与权限</x:v>
      </x:c>
      <x:c r="D36" s="4" t="str">
        <x:v>首页（公会长视角）</x:v>
      </x:c>
      <x:c r="E36" s="4" t="str">
        <x:v>逻辑校验</x:v>
      </x:c>
      <x:c r="F36" s="4" t="str">
        <x:v>P1</x:v>
      </x:c>
      <x:c r="G36" s="4" t="str">
        <x:v>验证公会长在首页的虚拟赠礼不计收益</x:v>
      </x:c>
      <x:c r="H36" s="4" t="str">
        <x:v>虚拟赠礼不计收益</x:v>
      </x:c>
      <x:c r="I36" s="4" t="str">
        <x:v>1. 公会长已登录
2. 本公会当日真实礼物收益100金币
3. 运营账号虚拟送礼500金币
4. 无其他收益</x:v>
      </x:c>
      <x:c r="J36" s="4" t="str">
        <x:v>1. 进入首页
2. 查看当日收益</x:v>
      </x:c>
      <x:c r="K36" s="4" t="str">
        <x:v>当日收益计算结果 = 100 + 0 = 100 金币</x:v>
      </x:c>
      <x:c r="L36" s="4" t="str"/>
      <x:c r="M36" s="4" t="str">
        <x:v>未测</x:v>
      </x:c>
      <x:c r="N36" s="4" t="str"/>
      <x:c r="O36" s="4" t="str">
        <x:v>1. 来源（当前证据）：MainBasis/统一需求文档.md；位置：G-guild-home-003，第4334行、G-guild-home-005，第4344行
2. 规则：BR-MB-0976ECCC9BFA0D
3. 未动态验证</x:v>
      </x:c>
    </x:row>
    <x:row r="37" ht="82" customHeight="1">
      <x:c r="A37" s="4" t="n">
        <x:v>36</x:v>
      </x:c>
      <x:c r="B37" s="4" t="str">
        <x:v>GMB-0036</x:v>
      </x:c>
      <x:c r="C37" s="4" t="str">
        <x:v>M09 运营账号·虚拟金币与公会消息</x:v>
      </x:c>
      <x:c r="D37" s="4" t="str">
        <x:v>新建运营消息（公会长视角）</x:v>
      </x:c>
      <x:c r="E37" s="4" t="str">
        <x:v>功能需求</x:v>
      </x:c>
      <x:c r="F37" s="4" t="str">
        <x:v>P1</x:v>
      </x:c>
      <x:c r="G37" s="4" t="str">
        <x:v>验证公会长在新建运营消息的已发运营消息不可撤回</x:v>
      </x:c>
      <x:c r="H37" s="4" t="str">
        <x:v>已发运营消息不可撤回</x:v>
      </x:c>
      <x:c r="I37" s="4" t="str">
        <x:v>1. 执行身份为公会长
2. 已有发送成功的运营消息
3. 执行账号已登录</x:v>
      </x:c>
      <x:c r="J37" s="4" t="str">
        <x:v>1. 进入该消息详情</x:v>
      </x:c>
      <x:c r="K37" s="4" t="str">
        <x:v>不提供撤回操作</x:v>
      </x:c>
      <x:c r="L37" s="4" t="str"/>
      <x:c r="M37" s="4" t="str">
        <x:v>未测</x:v>
      </x:c>
      <x:c r="N37" s="4" t="str"/>
      <x:c r="O37" s="4" t="str">
        <x:v>1. 来源（当前证据）：MainBasis/统一需求文档.md；位置：G-guild-message-compose-004，第8446行
2. 规则：BR-MB-364945450A87AA
3. 未动态验证</x:v>
      </x:c>
    </x:row>
    <x:row r="38" ht="82" customHeight="1">
      <x:c r="A38" s="4" t="n">
        <x:v>37</x:v>
      </x:c>
      <x:c r="B38" s="4" t="str">
        <x:v>GMB-0037</x:v>
      </x:c>
      <x:c r="C38" s="4" t="str">
        <x:v>M09 运营账号·虚拟金币与公会消息</x:v>
      </x:c>
      <x:c r="D38" s="4" t="str">
        <x:v>消息详情（公会长视角）</x:v>
      </x:c>
      <x:c r="E38" s="4" t="str">
        <x:v>功能需求</x:v>
      </x:c>
      <x:c r="F38" s="4" t="str">
        <x:v>P1</x:v>
      </x:c>
      <x:c r="G38" s="4" t="str">
        <x:v>验证公会长在消息详情的运营消息快照</x:v>
      </x:c>
      <x:c r="H38" s="4" t="str">
        <x:v>运营消息快照</x:v>
      </x:c>
      <x:c r="I38" s="4" t="str">
        <x:v>1. 执行身份为公会长
2. 已发送的消息收件主播后来退会
3. 执行账号已登录</x:v>
      </x:c>
      <x:c r="J38" s="4" t="str">
        <x:v>1. 进入运营消息列表
2. 打开该历史消息</x:v>
      </x:c>
      <x:c r="K38" s="4" t="str">
        <x:v>原接收人记录仍保留</x:v>
      </x:c>
      <x:c r="L38" s="4" t="str"/>
      <x:c r="M38" s="4" t="str">
        <x:v>未测</x:v>
      </x:c>
      <x:c r="N38" s="4" t="str"/>
      <x:c r="O38" s="4" t="str">
        <x:v>1. 来源（当前证据）：MainBasis/统一需求文档.md；位置：G-guild-message-detail-005，第8504行
2. 规则：BR-MB-2D1EDACD763D6E
3. 未动态验证</x:v>
      </x:c>
    </x:row>
    <x:row r="39" ht="82" customHeight="1">
      <x:c r="A39" s="4" t="n">
        <x:v>38</x:v>
      </x:c>
      <x:c r="B39" s="4" t="str">
        <x:v>GMB-0038</x:v>
      </x:c>
      <x:c r="C39" s="4" t="str">
        <x:v>M09 运营账号·虚拟金币与公会消息</x:v>
      </x:c>
      <x:c r="D39" s="4" t="str">
        <x:v>运营消息（公会长视角）</x:v>
      </x:c>
      <x:c r="E39" s="4" t="str">
        <x:v>功能需求</x:v>
      </x:c>
      <x:c r="F39" s="4" t="str">
        <x:v>P1</x:v>
      </x:c>
      <x:c r="G39" s="4" t="str">
        <x:v>验证公会长在运营消息的首次进入日期默认值</x:v>
      </x:c>
      <x:c r="H39" s="4" t="str">
        <x:v>首次进入日期默认值</x:v>
      </x:c>
      <x:c r="I39" s="4" t="str">
        <x:v>1. 执行身份为公会长
2. 本次从首页首次进入，未携带筛选条件
3. 执行账号已登录</x:v>
      </x:c>
      <x:c r="J39" s="4" t="str">
        <x:v>1. 进入运营消息</x:v>
      </x:c>
      <x:c r="K39" s="4" t="str">
        <x:v>日期默认本月</x:v>
      </x:c>
      <x:c r="L39" s="4" t="str"/>
      <x:c r="M39" s="4" t="str">
        <x:v>未测</x:v>
      </x:c>
      <x:c r="N39" s="4" t="str"/>
      <x:c r="O39" s="4" t="str">
        <x:v>1. 来源（当前证据）：MainBasis/统一需求文档.md；位置：G-guild-messages-004，第8414行
2. 规则：BR-MB-4FCA85743DA632
3. 未动态验证</x:v>
      </x:c>
    </x:row>
    <x:row r="40" ht="82" customHeight="1">
      <x:c r="A40" s="4" t="n">
        <x:v>39</x:v>
      </x:c>
      <x:c r="B40" s="4" t="str">
        <x:v>GMB-0039</x:v>
      </x:c>
      <x:c r="C40" s="4" t="str">
        <x:v>M09 运营账号·虚拟金币与公会消息</x:v>
      </x:c>
      <x:c r="D40" s="4" t="str">
        <x:v>运营消息（公会长视角）</x:v>
      </x:c>
      <x:c r="E40" s="4" t="str">
        <x:v>功能需求</x:v>
      </x:c>
      <x:c r="F40" s="4" t="str">
        <x:v>P2</x:v>
      </x:c>
      <x:c r="G40" s="4" t="str">
        <x:v>验证公会长在运营消息的消息记录跳转</x:v>
      </x:c>
      <x:c r="H40" s="4" t="str">
        <x:v>消息记录跳转</x:v>
      </x:c>
      <x:c r="I40" s="4" t="str">
        <x:v>1. 公会长已登录
2. 当前公会处于启用状态</x:v>
      </x:c>
      <x:c r="J40" s="4" t="str">
        <x:v>1. 进入运营消息
2. 点击消息记录</x:v>
      </x:c>
      <x:c r="K40" s="4" t="str">
        <x:v>进入消息详情</x:v>
      </x:c>
      <x:c r="L40" s="4" t="str"/>
      <x:c r="M40" s="4" t="str">
        <x:v>未测</x:v>
      </x:c>
      <x:c r="N40" s="4" t="str"/>
      <x:c r="O40" s="4" t="str">
        <x:v>1. 来源（当前证据）：MainBasis/统一需求文档.md；位置：G-guild-messages-005，第8420行
2. 规则：BR-MB-CF8092AB44B7A7
3. 未动态验证</x:v>
      </x:c>
    </x:row>
    <x:row r="41" ht="82" customHeight="1">
      <x:c r="A41" s="4" t="n">
        <x:v>40</x:v>
      </x:c>
      <x:c r="B41" s="4" t="str">
        <x:v>GMB-0040</x:v>
      </x:c>
      <x:c r="C41" s="4" t="str">
        <x:v>M09 运营账号·虚拟金币与公会消息</x:v>
      </x:c>
      <x:c r="D41" s="4" t="str">
        <x:v>运营账号（公会长视角）</x:v>
      </x:c>
      <x:c r="E41" s="4" t="str">
        <x:v>功能需求</x:v>
      </x:c>
      <x:c r="F41" s="4" t="str">
        <x:v>P2</x:v>
      </x:c>
      <x:c r="G41" s="4" t="str">
        <x:v>验证公会长在运营账号的账号跳转</x:v>
      </x:c>
      <x:c r="H41" s="4" t="str">
        <x:v>账号跳转</x:v>
      </x:c>
      <x:c r="I41" s="4" t="str">
        <x:v>1. 公会长已登录
2. 当前公会处于启用状态</x:v>
      </x:c>
      <x:c r="J41" s="4" t="str">
        <x:v>1. 进入运营账号
2. 点击账号</x:v>
      </x:c>
      <x:c r="K41" s="4" t="str">
        <x:v>进入账号主页</x:v>
      </x:c>
      <x:c r="L41" s="4" t="str"/>
      <x:c r="M41" s="4" t="str">
        <x:v>未测</x:v>
      </x:c>
      <x:c r="N41" s="4" t="str"/>
      <x:c r="O41" s="4" t="str">
        <x:v>1. 来源（当前证据）：MainBasis/统一需求文档.md；位置：G-guild-operation-accounts-008，第8550行
2. 规则：BR-MB-CB03F03AFC99D0
3. 未动态验证</x:v>
      </x:c>
    </x:row>
    <x:row r="42" ht="82" customHeight="1">
      <x:c r="A42" s="4" t="n">
        <x:v>41</x:v>
      </x:c>
      <x:c r="B42" s="4" t="str">
        <x:v>GMB-0041</x:v>
      </x:c>
      <x:c r="C42" s="4" t="str">
        <x:v>M09 运营账号·虚拟金币与公会消息</x:v>
      </x:c>
      <x:c r="D42" s="4" t="str">
        <x:v>运营账号主页（公会长视角）</x:v>
      </x:c>
      <x:c r="E42" s="4" t="str">
        <x:v>异常用例</x:v>
      </x:c>
      <x:c r="F42" s="4" t="str">
        <x:v>P1</x:v>
      </x:c>
      <x:c r="G42" s="4" t="str">
        <x:v>验证公会长在运营账号主页的锁定运营管理权限</x:v>
      </x:c>
      <x:c r="H42" s="4" t="str">
        <x:v>锁定运营管理权限</x:v>
      </x:c>
      <x:c r="I42" s="4" t="str">
        <x:v>1. 执行身份为公会长
2. 平台已锁定本公会运营账号管理权限
3. 执行账号已登录</x:v>
      </x:c>
      <x:c r="J42" s="4" t="str">
        <x:v>1. 进入本公会运营账号详情</x:v>
      </x:c>
      <x:c r="K42" s="4" t="str">
        <x:v>不能执行启停或发币</x:v>
      </x:c>
      <x:c r="L42" s="4" t="str"/>
      <x:c r="M42" s="4" t="str">
        <x:v>未测</x:v>
      </x:c>
      <x:c r="N42" s="4" t="str"/>
      <x:c r="O42" s="4" t="str">
        <x:v>1. 来源（当前证据）：MainBasis/统一需求文档.md；位置：G-guild-operation-account-detail-006，第8636行
2. 规则：BR-MB-EBCD067AE42BFB
3. 未动态验证</x:v>
      </x:c>
    </x:row>
    <x:row r="43" ht="110" customHeight="1">
      <x:c r="A43" s="4" t="n">
        <x:v>42</x:v>
      </x:c>
      <x:c r="B43" s="4" t="str">
        <x:v>GMB-0042</x:v>
      </x:c>
      <x:c r="C43" s="4" t="str">
        <x:v>M09 运营账号·虚拟金币与公会消息</x:v>
      </x:c>
      <x:c r="D43" s="4" t="str">
        <x:v>运营账号主页（公会长视角）</x:v>
      </x:c>
      <x:c r="E43" s="4" t="str">
        <x:v>业务流程</x:v>
      </x:c>
      <x:c r="F43" s="4" t="str">
        <x:v>P1</x:v>
      </x:c>
      <x:c r="G43" s="4" t="str">
        <x:v>验证公会长在运营账号主页的运营账号禁用</x:v>
      </x:c>
      <x:c r="H43" s="4" t="str">
        <x:v>运营账号禁用</x:v>
      </x:c>
      <x:c r="I43" s="4" t="str">
        <x:v>1. 执行身份为公会长
2. 本公会运营账号处于启用状态
3. 执行账号已登录</x:v>
      </x:c>
      <x:c r="J43" s="4" t="str">
        <x:v>1. 进入该运营账号详情
2. 点击禁用
3. 点击确认</x:v>
      </x:c>
      <x:c r="K43" s="4" t="str">
        <x:v>账号状态变为禁用</x:v>
      </x:c>
      <x:c r="L43" s="4" t="str">
        <x:v>MBF-9DD46CA2</x:v>
      </x:c>
      <x:c r="M43" s="4" t="str">
        <x:v>未测</x:v>
      </x:c>
      <x:c r="N43" s="4" t="str"/>
      <x:c r="O43" s="4" t="str">
        <x:v>1. 来源（当前证据）：MainBasis/统一需求文档.md；位置：G-guild-operation-account-detail-005，第8632行
2. 规则：BR-MB-397615689A6EBB
3. 未动态验证
4. 共同对象：运营账号；阶段：运营账号禁用
5. 状态转换：MBT-93F077BC59DC；启用→禁用</x:v>
      </x:c>
    </x:row>
    <x:row r="44" ht="110" customHeight="1">
      <x:c r="A44" s="4" t="n">
        <x:v>43</x:v>
      </x:c>
      <x:c r="B44" s="4" t="str">
        <x:v>GMB-0043</x:v>
      </x:c>
      <x:c r="C44" s="4" t="str">
        <x:v>M09 运营账号·虚拟金币与公会消息</x:v>
      </x:c>
      <x:c r="D44" s="4" t="str">
        <x:v>运营账号主页（公会长视角）</x:v>
      </x:c>
      <x:c r="E44" s="4" t="str">
        <x:v>业务流程</x:v>
      </x:c>
      <x:c r="F44" s="4" t="str">
        <x:v>P1</x:v>
      </x:c>
      <x:c r="G44" s="4" t="str">
        <x:v>验证公会长在运营账号主页的运营账号恢复</x:v>
      </x:c>
      <x:c r="H44" s="4" t="str">
        <x:v>运营账号恢复</x:v>
      </x:c>
      <x:c r="I44" s="4" t="str">
        <x:v>1. 执行身份为公会长
2. 本公会运营账号处于禁用状态
3. 执行账号已登录</x:v>
      </x:c>
      <x:c r="J44" s="4" t="str">
        <x:v>1. 进入该运营账号详情
2. 点击启用
3. 点击确认</x:v>
      </x:c>
      <x:c r="K44" s="4" t="str">
        <x:v>账号状态变为启用</x:v>
      </x:c>
      <x:c r="L44" s="4" t="str">
        <x:v>MBF-9DD46CA2</x:v>
      </x:c>
      <x:c r="M44" s="4" t="str">
        <x:v>未测</x:v>
      </x:c>
      <x:c r="N44" s="4" t="str"/>
      <x:c r="O44" s="4" t="str">
        <x:v>1. 来源（当前证据）：MainBasis/统一需求文档.md；位置：G-guild-operation-account-detail-005，第8632行
2. 规则：BR-MB-ED392C0CE8656B
3. 未动态验证
4. 共同对象：运营账号；阶段：运营账号恢复
5. 状态转换：MBT-9C4DA4C3F01B；禁用→启用</x:v>
      </x:c>
    </x:row>
    <x:row r="45" ht="82" customHeight="1">
      <x:c r="A45" s="4" t="n">
        <x:v>44</x:v>
      </x:c>
      <x:c r="B45" s="4" t="str">
        <x:v>GMB-0044</x:v>
      </x:c>
      <x:c r="C45" s="4" t="str">
        <x:v>M09 运营账号·虚拟金币与公会消息</x:v>
      </x:c>
      <x:c r="D45" s="4" t="str">
        <x:v>运营账号主页（公会长视角）</x:v>
      </x:c>
      <x:c r="E45" s="4" t="str">
        <x:v>功能需求</x:v>
      </x:c>
      <x:c r="F45" s="4" t="str">
        <x:v>P2</x:v>
      </x:c>
      <x:c r="G45" s="4" t="str">
        <x:v>验证公会长在运营账号主页的日期消费跳转</x:v>
      </x:c>
      <x:c r="H45" s="4" t="str">
        <x:v>日期消费跳转</x:v>
      </x:c>
      <x:c r="I45" s="4" t="str">
        <x:v>1. 公会长已登录
2. 当前公会处于启用状态</x:v>
      </x:c>
      <x:c r="J45" s="4" t="str">
        <x:v>1. 进入运营账号主页
2. 点击日期消费</x:v>
      </x:c>
      <x:c r="K45" s="4" t="str">
        <x:v>进入送礼记录并带入账号和日期</x:v>
      </x:c>
      <x:c r="L45" s="4" t="str"/>
      <x:c r="M45" s="4" t="str">
        <x:v>未测</x:v>
      </x:c>
      <x:c r="N45" s="4" t="str"/>
      <x:c r="O45" s="4" t="str">
        <x:v>1. 来源（当前证据）：MainBasis/统一需求文档.md；位置：G-guild-operation-account-detail-008，第8646行
2. 规则：BR-MB-BA455296555A2F
3. 未动态验证</x:v>
      </x:c>
    </x:row>
    <x:row r="46" ht="82" customHeight="1">
      <x:c r="A46" s="4" t="n">
        <x:v>45</x:v>
      </x:c>
      <x:c r="B46" s="4" t="str">
        <x:v>GMB-0045</x:v>
      </x:c>
      <x:c r="C46" s="4" t="str">
        <x:v>M09 运营账号·虚拟金币与公会消息</x:v>
      </x:c>
      <x:c r="D46" s="4" t="str">
        <x:v>运营账号主页（公会长视角）</x:v>
      </x:c>
      <x:c r="E46" s="4" t="str">
        <x:v>逻辑校验</x:v>
      </x:c>
      <x:c r="F46" s="4" t="str">
        <x:v>P1</x:v>
      </x:c>
      <x:c r="G46" s="4" t="str">
        <x:v>验证公会长在运营账号主页的单账号剩余额度较小</x:v>
      </x:c>
      <x:c r="H46" s="4" t="str">
        <x:v>单账号剩余额度较小</x:v>
      </x:c>
      <x:c r="I46" s="4" t="str">
        <x:v>1. 公会长已登录
2. 单账号本月剩余额度100
3. 公会本月剩余额度300</x:v>
      </x:c>
      <x:c r="J46" s="4" t="str">
        <x:v>1. 进入运营账号主页
2. 查看本次可发上限</x:v>
      </x:c>
      <x:c r="K46" s="4" t="str">
        <x:v>本次可发上限计算结果 = min(100, 300) = 100 金币</x:v>
      </x:c>
      <x:c r="L46" s="4" t="str"/>
      <x:c r="M46" s="4" t="str">
        <x:v>未测</x:v>
      </x:c>
      <x:c r="N46" s="4" t="str"/>
      <x:c r="O46" s="4" t="str">
        <x:v>1. 来源（当前证据）：MainBasis/统一需求文档.md；位置：G-guild-operation-account-detail-007，第8640行
2. 规则：BR-MB-D36DAC8805A2CB
3. 未动态验证</x:v>
      </x:c>
    </x:row>
    <x:row r="47" ht="82" customHeight="1">
      <x:c r="A47" s="4" t="n">
        <x:v>46</x:v>
      </x:c>
      <x:c r="B47" s="4" t="str">
        <x:v>GMB-0046</x:v>
      </x:c>
      <x:c r="C47" s="4" t="str">
        <x:v>M09 运营账号·虚拟金币与公会消息</x:v>
      </x:c>
      <x:c r="D47" s="4" t="str">
        <x:v>运营账号主页（公会长视角）</x:v>
      </x:c>
      <x:c r="E47" s="4" t="str">
        <x:v>逻辑校验</x:v>
      </x:c>
      <x:c r="F47" s="4" t="str">
        <x:v>P1</x:v>
      </x:c>
      <x:c r="G47" s="4" t="str">
        <x:v>验证公会长在运营账号主页的公会剩余额度较小</x:v>
      </x:c>
      <x:c r="H47" s="4" t="str">
        <x:v>公会剩余额度较小</x:v>
      </x:c>
      <x:c r="I47" s="4" t="str">
        <x:v>1. 公会长已登录
2. 单账号本月剩余额度300
3. 公会本月剩余额度100</x:v>
      </x:c>
      <x:c r="J47" s="4" t="str">
        <x:v>1. 进入运营账号主页
2. 查看本次可发上限</x:v>
      </x:c>
      <x:c r="K47" s="4" t="str">
        <x:v>本次可发上限计算结果 = min(300, 100) = 100 金币</x:v>
      </x:c>
      <x:c r="L47" s="4" t="str"/>
      <x:c r="M47" s="4" t="str">
        <x:v>未测</x:v>
      </x:c>
      <x:c r="N47" s="4" t="str"/>
      <x:c r="O47" s="4" t="str">
        <x:v>1. 来源（当前证据）：MainBasis/统一需求文档.md；位置：G-guild-operation-account-detail-007，第8640行
2. 规则：BR-MB-0197D9FDB536A6
3. 未动态验证</x:v>
      </x:c>
    </x:row>
    <x:row r="48" ht="82" customHeight="1">
      <x:c r="A48" s="4" t="n">
        <x:v>47</x:v>
      </x:c>
      <x:c r="B48" s="4" t="str">
        <x:v>GMB-0047</x:v>
      </x:c>
      <x:c r="C48" s="4" t="str">
        <x:v>M09 运营账号·虚拟金币与公会消息</x:v>
      </x:c>
      <x:c r="D48" s="4" t="str">
        <x:v>运营账号主页（公会长视角）</x:v>
      </x:c>
      <x:c r="E48" s="4" t="str">
        <x:v>逻辑校验</x:v>
      </x:c>
      <x:c r="F48" s="4" t="str">
        <x:v>P1</x:v>
      </x:c>
      <x:c r="G48" s="4" t="str">
        <x:v>验证公会长在运营账号主页的虚拟账户余额</x:v>
      </x:c>
      <x:c r="H48" s="4" t="str">
        <x:v>虚拟账户余额</x:v>
      </x:c>
      <x:c r="I48" s="4" t="str">
        <x:v>1. 公会长已登录
2. 目标账号累计成功发放1000虚拟金币
3. 累计成功消费300虚拟金币</x:v>
      </x:c>
      <x:c r="J48" s="4" t="str">
        <x:v>1. 进入运营账号主页
2. 查看账户余额</x:v>
      </x:c>
      <x:c r="K48" s="4" t="str">
        <x:v>账户余额计算结果 = 1000 - 300 = 700 虚拟金币</x:v>
      </x:c>
      <x:c r="L48" s="4" t="str"/>
      <x:c r="M48" s="4" t="str">
        <x:v>未测</x:v>
      </x:c>
      <x:c r="N48" s="4" t="str"/>
      <x:c r="O48" s="4" t="str">
        <x:v>1. 来源（当前证据）：MainBasis/统一需求文档.md；位置：G-guild-operation-account-detail-003，第8622行
2. 规则：BR-MB-D5DD5C62260E6C
3. 未动态验证</x:v>
      </x:c>
    </x:row>
    <x:row r="49" ht="82" customHeight="1">
      <x:c r="A49" s="4" t="n">
        <x:v>48</x:v>
      </x:c>
      <x:c r="B49" s="4" t="str">
        <x:v>GMB-0048</x:v>
      </x:c>
      <x:c r="C49" s="4" t="str">
        <x:v>M09 运营账号·虚拟金币与公会消息</x:v>
      </x:c>
      <x:c r="D49" s="4" t="str">
        <x:v>送礼记录（公会长视角）</x:v>
      </x:c>
      <x:c r="E49" s="4" t="str">
        <x:v>功能需求</x:v>
      </x:c>
      <x:c r="F49" s="4" t="str">
        <x:v>P1</x:v>
      </x:c>
      <x:c r="G49" s="4" t="str">
        <x:v>验证公会长在送礼记录的首次进入日期默认值</x:v>
      </x:c>
      <x:c r="H49" s="4" t="str">
        <x:v>首次进入日期默认值</x:v>
      </x:c>
      <x:c r="I49" s="4" t="str">
        <x:v>1. 执行身份为公会长
2. 本次从首页首次进入，未携带筛选条件
3. 执行账号已登录</x:v>
      </x:c>
      <x:c r="J49" s="4" t="str">
        <x:v>1. 进入运营账号送礼记录</x:v>
      </x:c>
      <x:c r="K49" s="4" t="str">
        <x:v>日期默认今日</x:v>
      </x:c>
      <x:c r="L49" s="4" t="str"/>
      <x:c r="M49" s="4" t="str">
        <x:v>未测</x:v>
      </x:c>
      <x:c r="N49" s="4" t="str"/>
      <x:c r="O49" s="4" t="str">
        <x:v>1. 来源（当前证据）：MainBasis/统一需求文档.md；位置：G-guild-operation-gift-records-001，第8658行
2. 规则：BR-MB-F1AD006484F3A9
3. 未动态验证</x:v>
      </x:c>
    </x:row>
    <x:row r="50" ht="82" customHeight="1">
      <x:c r="A50" s="4" t="n">
        <x:v>49</x:v>
      </x:c>
      <x:c r="B50" s="4" t="str">
        <x:v>GMB-0049</x:v>
      </x:c>
      <x:c r="C50" s="4" t="str">
        <x:v>M09 运营账号·虚拟金币与公会消息</x:v>
      </x:c>
      <x:c r="D50" s="4" t="str">
        <x:v>送礼记录（公会长视角）</x:v>
      </x:c>
      <x:c r="E50" s="4" t="str">
        <x:v>逻辑校验</x:v>
      </x:c>
      <x:c r="F50" s="4" t="str">
        <x:v>P1</x:v>
      </x:c>
      <x:c r="G50" s="4" t="str">
        <x:v>验证公会长在送礼记录的虚拟送礼次数</x:v>
      </x:c>
      <x:c r="H50" s="4" t="str">
        <x:v>虚拟送礼次数</x:v>
      </x:c>
      <x:c r="I50" s="4" t="str">
        <x:v>1. 公会长已登录
2. 当前筛选内2笔普通礼物成功记录
3. 1笔定制礼物成功记录
4. 另1笔失败记录</x:v>
      </x:c>
      <x:c r="J50" s="4" t="str">
        <x:v>1. 进入送礼记录
2. 查看总送礼次数</x:v>
      </x:c>
      <x:c r="K50" s="4" t="str">
        <x:v>总送礼次数计算结果 = 2 + 1 = 3 次</x:v>
      </x:c>
      <x:c r="L50" s="4" t="str"/>
      <x:c r="M50" s="4" t="str">
        <x:v>未测</x:v>
      </x:c>
      <x:c r="N50" s="4" t="str"/>
      <x:c r="O50" s="4" t="str">
        <x:v>1. 来源（当前证据）：MainBasis/统一需求文档.md；位置：G-guild-operation-gift-records-002，第8664行
2. 规则：BR-MB-A462A98E50877A
3. 未动态验证</x:v>
      </x:c>
    </x:row>
    <x:row r="51" ht="82" customHeight="1">
      <x:c r="A51" s="4" t="n">
        <x:v>50</x:v>
      </x:c>
      <x:c r="B51" s="4" t="str">
        <x:v>GMB-0050</x:v>
      </x:c>
      <x:c r="C51" s="4" t="str">
        <x:v>M09 运营账号·虚拟金币与公会消息</x:v>
      </x:c>
      <x:c r="D51" s="4" t="str">
        <x:v>选择主播（公会长视角）</x:v>
      </x:c>
      <x:c r="E51" s="4" t="str">
        <x:v>功能需求</x:v>
      </x:c>
      <x:c r="F51" s="4" t="str">
        <x:v>P1</x:v>
      </x:c>
      <x:c r="G51" s="4" t="str">
        <x:v>验证公会长在选择主播的消息接收主播必选</x:v>
      </x:c>
      <x:c r="H51" s="4" t="str">
        <x:v>消息接收主播必选</x:v>
      </x:c>
      <x:c r="I51" s="4" t="str">
        <x:v>1. 执行身份为公会长
2. 正在新建运营消息
3. 尚未选择接收主播
4. 执行账号已登录</x:v>
      </x:c>
      <x:c r="J51" s="4" t="str">
        <x:v>1. 进入选择主播页
2. 点击完成</x:v>
      </x:c>
      <x:c r="K51" s="4" t="str">
        <x:v>提示选择主播</x:v>
      </x:c>
      <x:c r="L51" s="4" t="str"/>
      <x:c r="M51" s="4" t="str">
        <x:v>未测</x:v>
      </x:c>
      <x:c r="N51" s="4" t="str"/>
      <x:c r="O51" s="4" t="str">
        <x:v>1. 来源（当前证据）：MainBasis/统一需求文档.md；位置：G-guild-host-select-003，第8474行
2. 规则：BR-MB-DD3FDE2ABFD444
3. 未动态验证</x:v>
      </x:c>
    </x:row>
    <x:row r="52" ht="82" customHeight="1">
      <x:c r="A52" s="4" t="n">
        <x:v>51</x:v>
      </x:c>
      <x:c r="B52" s="4" t="str">
        <x:v>GMB-0051</x:v>
      </x:c>
      <x:c r="C52" s="4" t="str">
        <x:v>M09 运营账号·虚拟金币与公会消息</x:v>
      </x:c>
      <x:c r="D52" s="4" t="str">
        <x:v>选择运营账号（多选）（公会长视角）</x:v>
      </x:c>
      <x:c r="E52" s="4" t="str">
        <x:v>功能需求</x:v>
      </x:c>
      <x:c r="F52" s="4" t="str">
        <x:v>P1</x:v>
      </x:c>
      <x:c r="G52" s="4" t="str">
        <x:v>验证公会长在选择运营账号（多选）的运营账号选择保留日期</x:v>
      </x:c>
      <x:c r="H52" s="4" t="str">
        <x:v>运营账号选择保留日期</x:v>
      </x:c>
      <x:c r="I52" s="4" t="str">
        <x:v>1. 执行身份为公会长
2. 送礼记录日期已设为2026-09-01至2026-09-10
3. 本公会存在运营账号A
4. 执行账号已登录</x:v>
      </x:c>
      <x:c r="J52" s="4" t="str">
        <x:v>1. 进入运营账号选择
2. 选择账号A
3. 点击完成</x:v>
      </x:c>
      <x:c r="K52" s="4" t="str">
        <x:v>送礼记录日期仍为2026-09-01至2026-09-10</x:v>
      </x:c>
      <x:c r="L52" s="4" t="str"/>
      <x:c r="M52" s="4" t="str">
        <x:v>未测</x:v>
      </x:c>
      <x:c r="N52" s="4" t="str"/>
      <x:c r="O52" s="4" t="str">
        <x:v>1. 来源（当前证据）：MainBasis/统一需求文档.md；位置：G-guild-operation-account-select-003，第8708行
2. 规则：BR-MB-6A8CD46FD5B46B
3. 未动态验证</x:v>
      </x:c>
    </x:row>
    <x:row r="53" ht="82" customHeight="1">
      <x:c r="A53" s="4" t="n">
        <x:v>52</x:v>
      </x:c>
      <x:c r="B53" s="4" t="str">
        <x:v>GMB-0052</x:v>
      </x:c>
      <x:c r="C53" s="4" t="str">
        <x:v>M10 用户管理·审核·举报与巡房</x:v>
      </x:c>
      <x:c r="D53" s="4" t="str">
        <x:v>违规记录（公会长视角）</x:v>
      </x:c>
      <x:c r="E53" s="4" t="str">
        <x:v>功能需求</x:v>
      </x:c>
      <x:c r="F53" s="4" t="str">
        <x:v>P1</x:v>
      </x:c>
      <x:c r="G53" s="4" t="str">
        <x:v>验证公会长在违规记录的首次进入日期默认值</x:v>
      </x:c>
      <x:c r="H53" s="4" t="str">
        <x:v>首次进入日期默认值</x:v>
      </x:c>
      <x:c r="I53" s="4" t="str">
        <x:v>1. 执行身份为公会长
2. 本次从首页首次进入，未携带筛选条件
3. 执行账号已登录</x:v>
      </x:c>
      <x:c r="J53" s="4" t="str">
        <x:v>1. 进入违规记录</x:v>
      </x:c>
      <x:c r="K53" s="4" t="str">
        <x:v>日期默认今日</x:v>
      </x:c>
      <x:c r="L53" s="4" t="str"/>
      <x:c r="M53" s="4" t="str">
        <x:v>未测</x:v>
      </x:c>
      <x:c r="N53" s="4" t="str"/>
      <x:c r="O53" s="4" t="str">
        <x:v>1. 来源（当前证据）：MainBasis/统一需求文档.md；位置：G-guild-all-violations-001，第8982行
2. 规则：BR-MB-61C540D6AD876B
3. 未动态验证</x:v>
      </x:c>
    </x:row>
    <x:row r="54" ht="82" customHeight="1">
      <x:c r="A54" s="4" t="n">
        <x:v>53</x:v>
      </x:c>
      <x:c r="B54" s="4" t="str">
        <x:v>GMB-0053</x:v>
      </x:c>
      <x:c r="C54" s="4" t="str">
        <x:v>M10 用户管理·审核·举报与巡房</x:v>
      </x:c>
      <x:c r="D54" s="4" t="str">
        <x:v>违规记录（公会长视角）</x:v>
      </x:c>
      <x:c r="E54" s="4" t="str">
        <x:v>功能需求</x:v>
      </x:c>
      <x:c r="F54" s="4" t="str">
        <x:v>P2</x:v>
      </x:c>
      <x:c r="G54" s="4" t="str">
        <x:v>验证公会长在违规记录的主播跳转</x:v>
      </x:c>
      <x:c r="H54" s="4" t="str">
        <x:v>主播跳转</x:v>
      </x:c>
      <x:c r="I54" s="4" t="str">
        <x:v>1. 公会长已登录
2. 当前公会处于启用状态</x:v>
      </x:c>
      <x:c r="J54" s="4" t="str">
        <x:v>1. 进入违规记录
2. 点击主播</x:v>
      </x:c>
      <x:c r="K54" s="4" t="str">
        <x:v>进入主播详情</x:v>
      </x:c>
      <x:c r="L54" s="4" t="str"/>
      <x:c r="M54" s="4" t="str">
        <x:v>未测</x:v>
      </x:c>
      <x:c r="N54" s="4" t="str"/>
      <x:c r="O54" s="4" t="str">
        <x:v>1. 来源（当前证据）：MainBasis/统一需求文档.md；位置：G-guild-all-violations-008，第9016行
2. 规则：BR-MB-CDF398968420DE
3. 未动态验证</x:v>
      </x:c>
    </x:row>
    <x:row r="55" ht="82" customHeight="1">
      <x:c r="A55" s="4" t="n">
        <x:v>54</x:v>
      </x:c>
      <x:c r="B55" s="4" t="str">
        <x:v>GMB-0054</x:v>
      </x:c>
      <x:c r="C55" s="4" t="str">
        <x:v>M11 财务·退款·结算上传与账户调整</x:v>
      </x:c>
      <x:c r="D55" s="4" t="str">
        <x:v>主播分成记录（公会长视角）</x:v>
      </x:c>
      <x:c r="E55" s="4" t="str">
        <x:v>功能需求</x:v>
      </x:c>
      <x:c r="F55" s="4" t="str">
        <x:v>P1</x:v>
      </x:c>
      <x:c r="G55" s="4" t="str">
        <x:v>验证公会长在主播分成记录的公会分成审批范围</x:v>
      </x:c>
      <x:c r="H55" s="4" t="str">
        <x:v>公会分成审批范围</x:v>
      </x:c>
      <x:c r="I55" s="4" t="str">
        <x:v>1. 执行身份为公会长
2. 执行账号已登录</x:v>
      </x:c>
      <x:c r="J55" s="4" t="str">
        <x:v>1. 进入主播分成记录页</x:v>
      </x:c>
      <x:c r="K55" s="4" t="str">
        <x:v>不提供线上分成审批入口</x:v>
      </x:c>
      <x:c r="L55" s="4" t="str"/>
      <x:c r="M55" s="4" t="str">
        <x:v>未测</x:v>
      </x:c>
      <x:c r="N55" s="4" t="str"/>
      <x:c r="O55" s="4" t="str">
        <x:v>1. 来源（当前证据）：MainBasis/统一需求文档.md；位置：G-guild-share-ledger-005，第9870行
2. 规则：BR-MB-172A090F635061
3. 未动态验证</x:v>
      </x:c>
    </x:row>
    <x:row r="56" ht="82" customHeight="1">
      <x:c r="A56" s="4" t="n">
        <x:v>55</x:v>
      </x:c>
      <x:c r="B56" s="4" t="str">
        <x:v>GMB-0055</x:v>
      </x:c>
      <x:c r="C56" s="4" t="str">
        <x:v>M11 财务·退款·结算上传与账户调整</x:v>
      </x:c>
      <x:c r="D56" s="4" t="str">
        <x:v>主播分成记录（公会长视角）</x:v>
      </x:c>
      <x:c r="E56" s="4" t="str">
        <x:v>功能需求</x:v>
      </x:c>
      <x:c r="F56" s="4" t="str">
        <x:v>P1</x:v>
      </x:c>
      <x:c r="G56" s="4" t="str">
        <x:v>验证公会长在主播分成记录的主播分成跨月筛选</x:v>
      </x:c>
      <x:c r="H56" s="4" t="str">
        <x:v>主播分成跨月筛选</x:v>
      </x:c>
      <x:c r="I56" s="4" t="str">
        <x:v>1. 执行身份为公会长
2. 一笔分成所属收益周期为8月、分成时间为9月10日
3. 执行账号已登录</x:v>
      </x:c>
      <x:c r="J56" s="4" t="str">
        <x:v>1. 进入主播分成记录
2. 选择9月10日</x:v>
      </x:c>
      <x:c r="K56" s="4" t="str">
        <x:v>列表包含该笔8月收益的分成记录</x:v>
      </x:c>
      <x:c r="L56" s="4" t="str"/>
      <x:c r="M56" s="4" t="str">
        <x:v>未测</x:v>
      </x:c>
      <x:c r="N56" s="4" t="str"/>
      <x:c r="O56" s="4" t="str">
        <x:v>1. 来源（当前证据）：MainBasis/统一需求文档.md；位置：G-guild-share-ledger-006，第9874行
2. 规则：BR-MB-2E2603DF6FB305
3. 未动态验证</x:v>
      </x:c>
    </x:row>
    <x:row r="57" ht="82" customHeight="1">
      <x:c r="A57" s="4" t="n">
        <x:v>56</x:v>
      </x:c>
      <x:c r="B57" s="4" t="str">
        <x:v>GMB-0056</x:v>
      </x:c>
      <x:c r="C57" s="4" t="str">
        <x:v>M11 财务·退款·结算上传与账户调整</x:v>
      </x:c>
      <x:c r="D57" s="4" t="str">
        <x:v>主播分成记录（公会长视角）</x:v>
      </x:c>
      <x:c r="E57" s="4" t="str">
        <x:v>功能需求</x:v>
      </x:c>
      <x:c r="F57" s="4" t="str">
        <x:v>P1</x:v>
      </x:c>
      <x:c r="G57" s="4" t="str">
        <x:v>验证公会长在主播分成记录的首次进入日期默认值</x:v>
      </x:c>
      <x:c r="H57" s="4" t="str">
        <x:v>首次进入日期默认值</x:v>
      </x:c>
      <x:c r="I57" s="4" t="str">
        <x:v>1. 执行身份为公会长
2. 本次从首页首次进入，未携带筛选条件
3. 执行账号已登录</x:v>
      </x:c>
      <x:c r="J57" s="4" t="str">
        <x:v>1. 进入主播分成记录</x:v>
      </x:c>
      <x:c r="K57" s="4" t="str">
        <x:v>日期默认本月</x:v>
      </x:c>
      <x:c r="L57" s="4" t="str"/>
      <x:c r="M57" s="4" t="str">
        <x:v>未测</x:v>
      </x:c>
      <x:c r="N57" s="4" t="str"/>
      <x:c r="O57" s="4" t="str">
        <x:v>1. 来源（当前证据）：MainBasis/统一需求文档.md；位置：G-guild-share-ledger-001，第9850行
2. 规则：BR-MB-E04F7EA5CE1F5D
3. 未动态验证</x:v>
      </x:c>
    </x:row>
    <x:row r="58" ht="82" customHeight="1">
      <x:c r="A58" s="4" t="n">
        <x:v>57</x:v>
      </x:c>
      <x:c r="B58" s="4" t="str">
        <x:v>GMB-0057</x:v>
      </x:c>
      <x:c r="C58" s="4" t="str">
        <x:v>M11 财务·退款·结算上传与账户调整</x:v>
      </x:c>
      <x:c r="D58" s="4" t="str">
        <x:v>公会分成记录（公会长视角）</x:v>
      </x:c>
      <x:c r="E58" s="4" t="str">
        <x:v>功能需求</x:v>
      </x:c>
      <x:c r="F58" s="4" t="str">
        <x:v>P1</x:v>
      </x:c>
      <x:c r="G58" s="4" t="str">
        <x:v>验证公会长在公会分成记录的公会分成筛选范围</x:v>
      </x:c>
      <x:c r="H58" s="4" t="str">
        <x:v>公会分成筛选范围</x:v>
      </x:c>
      <x:c r="I58" s="4" t="str">
        <x:v>1. 执行身份为公会长
2. 本公会已有财务上传的分成结果
3. 执行账号已登录</x:v>
      </x:c>
      <x:c r="J58" s="4" t="str">
        <x:v>1. 进入公会分成页</x:v>
      </x:c>
      <x:c r="K58" s="4" t="str">
        <x:v>不提供日期筛选</x:v>
      </x:c>
      <x:c r="L58" s="4" t="str"/>
      <x:c r="M58" s="4" t="str">
        <x:v>未测</x:v>
      </x:c>
      <x:c r="N58" s="4" t="str"/>
      <x:c r="O58" s="4" t="str">
        <x:v>1. 来源（当前证据）：MainBasis/统一需求文档.md；位置：G-guild-share-income-003，第9896行
2. 规则：BR-MB-2001F0E95D29CC
3. 未动态验证</x:v>
      </x:c>
    </x:row>
    <x:row r="59" ht="82" customHeight="1">
      <x:c r="A59" s="4" t="n">
        <x:v>58</x:v>
      </x:c>
      <x:c r="B59" s="4" t="str">
        <x:v>GMB-0058</x:v>
      </x:c>
      <x:c r="C59" s="4" t="str">
        <x:v>M11 财务·退款·结算上传与账户调整</x:v>
      </x:c>
      <x:c r="D59" s="4" t="str">
        <x:v>公会分成记录（公会长视角）</x:v>
      </x:c>
      <x:c r="E59" s="4" t="str">
        <x:v>功能需求</x:v>
      </x:c>
      <x:c r="F59" s="4" t="str">
        <x:v>P1</x:v>
      </x:c>
      <x:c r="G59" s="4" t="str">
        <x:v>验证公会长在公会分成记录的公会分成时间排序</x:v>
      </x:c>
      <x:c r="H59" s="4" t="str">
        <x:v>公会分成时间排序</x:v>
      </x:c>
      <x:c r="I59" s="4" t="str">
        <x:v>1. 执行身份为公会长
2. 公会分成A时间为9月9日、B为9月10日
3. 执行账号已登录</x:v>
      </x:c>
      <x:c r="J59" s="4" t="str">
        <x:v>1. 进入公会分成</x:v>
      </x:c>
      <x:c r="K59" s="4" t="str">
        <x:v>B排列在A之前</x:v>
      </x:c>
      <x:c r="L59" s="4" t="str"/>
      <x:c r="M59" s="4" t="str">
        <x:v>未测</x:v>
      </x:c>
      <x:c r="N59" s="4" t="str"/>
      <x:c r="O59" s="4" t="str">
        <x:v>1. 来源（当前证据）：MainBasis/统一需求文档.md；位置：G-guild-share-income-004，第9900行
2. 规则：BR-MB-FEE104BC59F6EB
3. 未动态验证</x:v>
      </x:c>
    </x:row>
    <x:row r="60" ht="82" customHeight="1">
      <x:c r="A60" s="4" t="n">
        <x:v>59</x:v>
      </x:c>
      <x:c r="B60" s="4" t="str">
        <x:v>GMB-0059</x:v>
      </x:c>
      <x:c r="C60" s="4" t="str">
        <x:v>M12 直播业绩·增长与统计报表</x:v>
      </x:c>
      <x:c r="D60" s="4" t="str">
        <x:v>主播业绩（公会长视角）</x:v>
      </x:c>
      <x:c r="E60" s="4" t="str">
        <x:v>功能需求</x:v>
      </x:c>
      <x:c r="F60" s="4" t="str">
        <x:v>P1</x:v>
      </x:c>
      <x:c r="G60" s="4" t="str">
        <x:v>验证公会长在主播业绩的退会主播历史业绩</x:v>
      </x:c>
      <x:c r="H60" s="4" t="str">
        <x:v>退会主播历史业绩</x:v>
      </x:c>
      <x:c r="I60" s="4" t="str">
        <x:v>1. 执行身份为公会长
2. 某主播在本公会产生直播业绩后退会
3. 执行账号已登录</x:v>
      </x:c>
      <x:c r="J60" s="4" t="str">
        <x:v>1. 进入主播业绩页
2. 查询该历史直播日期</x:v>
      </x:c>
      <x:c r="K60" s="4" t="str">
        <x:v>该主播显示退会标记</x:v>
      </x:c>
      <x:c r="L60" s="4" t="str"/>
      <x:c r="M60" s="4" t="str">
        <x:v>未测</x:v>
      </x:c>
      <x:c r="N60" s="4" t="str"/>
      <x:c r="O60" s="4" t="str">
        <x:v>1. 来源（当前证据）：MainBasis/统一需求文档.md；位置：G-guild-host-list-004，第10742行
2. 规则：BR-MB-0121A25DF9D1B7
3. 未动态验证</x:v>
      </x:c>
    </x:row>
    <x:row r="61" ht="82" customHeight="1">
      <x:c r="A61" s="4" t="n">
        <x:v>60</x:v>
      </x:c>
      <x:c r="B61" s="4" t="str">
        <x:v>GMB-0060</x:v>
      </x:c>
      <x:c r="C61" s="4" t="str">
        <x:v>M12 直播业绩·增长与统计报表</x:v>
      </x:c>
      <x:c r="D61" s="4" t="str">
        <x:v>主播业绩（公会长视角）</x:v>
      </x:c>
      <x:c r="E61" s="4" t="str">
        <x:v>功能需求</x:v>
      </x:c>
      <x:c r="F61" s="4" t="str">
        <x:v>P1</x:v>
      </x:c>
      <x:c r="G61" s="4" t="str">
        <x:v>验证公会长在主播业绩的首次进入日期默认值</x:v>
      </x:c>
      <x:c r="H61" s="4" t="str">
        <x:v>首次进入日期默认值</x:v>
      </x:c>
      <x:c r="I61" s="4" t="str">
        <x:v>1. 执行身份为公会长
2. 本次从首页首次进入，未携带筛选条件
3. 执行账号已登录</x:v>
      </x:c>
      <x:c r="J61" s="4" t="str">
        <x:v>1. 进入主播业绩</x:v>
      </x:c>
      <x:c r="K61" s="4" t="str">
        <x:v>日期默认今日</x:v>
      </x:c>
      <x:c r="L61" s="4" t="str"/>
      <x:c r="M61" s="4" t="str">
        <x:v>未测</x:v>
      </x:c>
      <x:c r="N61" s="4" t="str"/>
      <x:c r="O61" s="4" t="str">
        <x:v>1. 来源（当前证据）：MainBasis/统一需求文档.md；位置：G-guild-host-list-001，第10726行
2. 规则：BR-MB-5E8684F2FA650C
3. 未动态验证</x:v>
      </x:c>
    </x:row>
    <x:row r="62" ht="82" customHeight="1">
      <x:c r="A62" s="4" t="n">
        <x:v>61</x:v>
      </x:c>
      <x:c r="B62" s="4" t="str">
        <x:v>GMB-0061</x:v>
      </x:c>
      <x:c r="C62" s="4" t="str">
        <x:v>M12 直播业绩·增长与统计报表</x:v>
      </x:c>
      <x:c r="D62" s="4" t="str">
        <x:v>主播业绩（公会长视角）</x:v>
      </x:c>
      <x:c r="E62" s="4" t="str">
        <x:v>功能需求</x:v>
      </x:c>
      <x:c r="F62" s="4" t="str">
        <x:v>P1</x:v>
      </x:c>
      <x:c r="G62" s="4" t="str">
        <x:v>验证公会长在主播业绩的有效直播天时长边界</x:v>
      </x:c>
      <x:c r="H62" s="4" t="str">
        <x:v>有效直播天时长边界</x:v>
      </x:c>
      <x:c r="I62" s="4" t="str">
        <x:v>1. 执行身份为公会长
2. 主播A在同一自然日的有效直播累计2.999小时，无跨日或断流
3. 执行账号已登录</x:v>
      </x:c>
      <x:c r="J62" s="4" t="str">
        <x:v>1. 进入主播业绩
2. 选择该自然日</x:v>
      </x:c>
      <x:c r="K62" s="4" t="str">
        <x:v>主播A该日有效天为0</x:v>
      </x:c>
      <x:c r="L62" s="4" t="str"/>
      <x:c r="M62" s="4" t="str">
        <x:v>未测</x:v>
      </x:c>
      <x:c r="N62" s="4" t="str"/>
      <x:c r="O62" s="4" t="str">
        <x:v>1. 来源（当前证据）：MainBasis/统一需求文档.md；位置：G-guild-host-list-003，第10738行
2. 规则：BR-MB-7B875D80D36C09
3. 未动态验证</x:v>
      </x:c>
    </x:row>
    <x:row r="63" ht="82" customHeight="1">
      <x:c r="A63" s="4" t="n">
        <x:v>62</x:v>
      </x:c>
      <x:c r="B63" s="4" t="str">
        <x:v>GMB-0062</x:v>
      </x:c>
      <x:c r="C63" s="4" t="str">
        <x:v>M12 直播业绩·增长与统计报表</x:v>
      </x:c>
      <x:c r="D63" s="4" t="str">
        <x:v>主播业绩（公会长视角）</x:v>
      </x:c>
      <x:c r="E63" s="4" t="str">
        <x:v>功能需求</x:v>
      </x:c>
      <x:c r="F63" s="4" t="str">
        <x:v>P1</x:v>
      </x:c>
      <x:c r="G63" s="4" t="str">
        <x:v>验证公会长在主播业绩的有效直播天时长边界</x:v>
      </x:c>
      <x:c r="H63" s="4" t="str">
        <x:v>有效直播天时长边界</x:v>
      </x:c>
      <x:c r="I63" s="4" t="str">
        <x:v>1. 执行身份为公会长
2. 主播A在同一自然日的有效直播累计3小时，无跨日或断流
3. 执行账号已登录</x:v>
      </x:c>
      <x:c r="J63" s="4" t="str">
        <x:v>1. 进入主播业绩
2. 选择该自然日</x:v>
      </x:c>
      <x:c r="K63" s="4" t="str">
        <x:v>主播A该日有效天为1</x:v>
      </x:c>
      <x:c r="L63" s="4" t="str"/>
      <x:c r="M63" s="4" t="str">
        <x:v>未测</x:v>
      </x:c>
      <x:c r="N63" s="4" t="str"/>
      <x:c r="O63" s="4" t="str">
        <x:v>1. 来源（当前证据）：MainBasis/统一需求文档.md；位置：G-guild-host-list-003，第10738行
2. 规则：BR-MB-7D61B701A17002
3. 未动态验证</x:v>
      </x:c>
    </x:row>
    <x:row r="64" ht="82" customHeight="1">
      <x:c r="A64" s="4" t="n">
        <x:v>63</x:v>
      </x:c>
      <x:c r="B64" s="4" t="str">
        <x:v>GMB-0063</x:v>
      </x:c>
      <x:c r="C64" s="4" t="str">
        <x:v>M12 直播业绩·增长与统计报表</x:v>
      </x:c>
      <x:c r="D64" s="4" t="str">
        <x:v>主播业绩（公会长视角）</x:v>
      </x:c>
      <x:c r="E64" s="4" t="str">
        <x:v>功能需求</x:v>
      </x:c>
      <x:c r="F64" s="4" t="str">
        <x:v>P2</x:v>
      </x:c>
      <x:c r="G64" s="4" t="str">
        <x:v>验证公会长在主播业绩的主播行跳转</x:v>
      </x:c>
      <x:c r="H64" s="4" t="str">
        <x:v>主播行跳转</x:v>
      </x:c>
      <x:c r="I64" s="4" t="str">
        <x:v>1. 公会长已登录
2. 当前公会处于启用状态</x:v>
      </x:c>
      <x:c r="J64" s="4" t="str">
        <x:v>1. 进入主播业绩
2. 点击主播行</x:v>
      </x:c>
      <x:c r="K64" s="4" t="str">
        <x:v>进入「主播数据」</x:v>
      </x:c>
      <x:c r="L64" s="4" t="str"/>
      <x:c r="M64" s="4" t="str">
        <x:v>未测</x:v>
      </x:c>
      <x:c r="N64" s="4" t="str"/>
      <x:c r="O64" s="4" t="str">
        <x:v>1. 来源（当前证据）：MainBasis/统一需求文档.md；位置：G-guild-host-list-005，第10748行
2. 规则：BR-MB-42140B7542C5B5
3. 未动态验证</x:v>
      </x:c>
    </x:row>
    <x:row r="65" ht="82" customHeight="1">
      <x:c r="A65" s="4" t="n">
        <x:v>64</x:v>
      </x:c>
      <x:c r="B65" s="4" t="str">
        <x:v>GMB-0064</x:v>
      </x:c>
      <x:c r="C65" s="4" t="str">
        <x:v>M12 直播业绩·增长与统计报表</x:v>
      </x:c>
      <x:c r="D65" s="4" t="str">
        <x:v>主播数据（公会长视角）</x:v>
      </x:c>
      <x:c r="E65" s="4" t="str">
        <x:v>功能需求</x:v>
      </x:c>
      <x:c r="F65" s="4" t="str">
        <x:v>P1</x:v>
      </x:c>
      <x:c r="G65" s="4" t="str">
        <x:v>验证公会长在主播数据的日业绩下钻日期</x:v>
      </x:c>
      <x:c r="H65" s="4" t="str">
        <x:v>日业绩下钻日期</x:v>
      </x:c>
      <x:c r="I65" s="4" t="str">
        <x:v>1. 执行身份为公会长
2. 主播A在9月10日有日业绩
3. 执行账号已登录</x:v>
      </x:c>
      <x:c r="J65" s="4" t="str">
        <x:v>1. 进入主播A业绩统计
2. 点击9月10日数据行</x:v>
      </x:c>
      <x:c r="K65" s="4" t="str">
        <x:v>直播记录的日期条件为9月10日</x:v>
      </x:c>
      <x:c r="L65" s="4" t="str"/>
      <x:c r="M65" s="4" t="str">
        <x:v>未测</x:v>
      </x:c>
      <x:c r="N65" s="4" t="str"/>
      <x:c r="O65" s="4" t="str">
        <x:v>1. 来源（当前证据）：MainBasis/统一需求文档.md；位置：G-guild-host-summary-006，第10788行
2. 规则：BR-MB-972D7EE831AF37
3. 未动态验证</x:v>
      </x:c>
    </x:row>
    <x:row r="66" ht="82" customHeight="1">
      <x:c r="A66" s="4" t="n">
        <x:v>65</x:v>
      </x:c>
      <x:c r="B66" s="4" t="str">
        <x:v>GMB-0065</x:v>
      </x:c>
      <x:c r="C66" s="4" t="str">
        <x:v>M12 直播业绩·增长与统计报表</x:v>
      </x:c>
      <x:c r="D66" s="4" t="str">
        <x:v>公会业绩（公会长视角）</x:v>
      </x:c>
      <x:c r="E66" s="4" t="str">
        <x:v>功能需求</x:v>
      </x:c>
      <x:c r="F66" s="4" t="str">
        <x:v>P1</x:v>
      </x:c>
      <x:c r="G66" s="4" t="str">
        <x:v>验证公会长在公会业绩的首次进入日期默认值</x:v>
      </x:c>
      <x:c r="H66" s="4" t="str">
        <x:v>首次进入日期默认值</x:v>
      </x:c>
      <x:c r="I66" s="4" t="str">
        <x:v>1. 执行身份为公会长
2. 本次从首页首次进入，未携带筛选条件
3. 执行账号已登录</x:v>
      </x:c>
      <x:c r="J66" s="4" t="str">
        <x:v>1. 进入公会业绩</x:v>
      </x:c>
      <x:c r="K66" s="4" t="str">
        <x:v>日数据日期默认本月</x:v>
      </x:c>
      <x:c r="L66" s="4" t="str"/>
      <x:c r="M66" s="4" t="str">
        <x:v>未测</x:v>
      </x:c>
      <x:c r="N66" s="4" t="str"/>
      <x:c r="O66" s="4" t="str">
        <x:v>1. 来源（当前证据）：MainBasis/统一需求文档.md；位置：G-guild-income-001，第10894行
2. 规则：BR-MB-51119EA647CB1F
3. 未动态验证</x:v>
      </x:c>
    </x:row>
    <x:row r="67" ht="82" customHeight="1">
      <x:c r="A67" s="4" t="n">
        <x:v>66</x:v>
      </x:c>
      <x:c r="B67" s="4" t="str">
        <x:v>GMB-0066</x:v>
      </x:c>
      <x:c r="C67" s="4" t="str">
        <x:v>M12 直播业绩·增长与统计报表</x:v>
      </x:c>
      <x:c r="D67" s="4" t="str">
        <x:v>每日（公会长视角）</x:v>
      </x:c>
      <x:c r="E67" s="4" t="str">
        <x:v>功能需求</x:v>
      </x:c>
      <x:c r="F67" s="4" t="str">
        <x:v>P2</x:v>
      </x:c>
      <x:c r="G67" s="4" t="str">
        <x:v>验证公会长在每日的主播跳转</x:v>
      </x:c>
      <x:c r="H67" s="4" t="str">
        <x:v>主播跳转</x:v>
      </x:c>
      <x:c r="I67" s="4" t="str">
        <x:v>1. 公会长已登录
2. 当前公会处于启用状态</x:v>
      </x:c>
      <x:c r="J67" s="4" t="str">
        <x:v>1. 进入每日
2. 点击主播</x:v>
      </x:c>
      <x:c r="K67" s="4" t="str">
        <x:v>进入主播数据并带入当前日期</x:v>
      </x:c>
      <x:c r="L67" s="4" t="str"/>
      <x:c r="M67" s="4" t="str">
        <x:v>未测</x:v>
      </x:c>
      <x:c r="N67" s="4" t="str"/>
      <x:c r="O67" s="4" t="str">
        <x:v>1. 来源（当前证据）：MainBasis/统一需求文档.md；位置：G-guild-income-day-detail-005，第10958行
2. 规则：BR-MB-63951BC1050F48
3. 未动态验证</x:v>
      </x:c>
    </x:row>
    <x:row r="68" ht="82" customHeight="1">
      <x:c r="A68" s="4" t="n">
        <x:v>67</x:v>
      </x:c>
      <x:c r="B68" s="4" t="str">
        <x:v>GMB-0067</x:v>
      </x:c>
      <x:c r="C68" s="4" t="str">
        <x:v>M12 直播业绩·增长与统计报表</x:v>
      </x:c>
      <x:c r="D68" s="4" t="str">
        <x:v>直播场次详情（公会长视角）</x:v>
      </x:c>
      <x:c r="E68" s="4" t="str">
        <x:v>功能需求</x:v>
      </x:c>
      <x:c r="F68" s="4" t="str">
        <x:v>P1</x:v>
      </x:c>
      <x:c r="G68" s="4" t="str">
        <x:v>验证公会长在直播场次详情的场次返回保留筛选</x:v>
      </x:c>
      <x:c r="H68" s="4" t="str">
        <x:v>场次返回保留筛选</x:v>
      </x:c>
      <x:c r="I68" s="4" t="str">
        <x:v>1. 执行身份为公会长
2. 直播记录已筛选主播A、9月10日
3. 执行账号已登录</x:v>
      </x:c>
      <x:c r="J68" s="4" t="str">
        <x:v>1. 进入其中一条场次详情
2. 点击返回</x:v>
      </x:c>
      <x:c r="K68" s="4" t="str">
        <x:v>直播记录仍筛选主播A、9月10日</x:v>
      </x:c>
      <x:c r="L68" s="4" t="str"/>
      <x:c r="M68" s="4" t="str">
        <x:v>未测</x:v>
      </x:c>
      <x:c r="N68" s="4" t="str"/>
      <x:c r="O68" s="4" t="str">
        <x:v>1. 来源（当前证据）：MainBasis/统一需求文档.md；位置：G-guild-live-gift-detail-007，第10882行
2. 规则：BR-MB-6DDDE71D5BFA8F
3. 未动态验证</x:v>
      </x:c>
    </x:row>
    <x:row r="69" ht="82" customHeight="1">
      <x:c r="A69" s="4" t="n">
        <x:v>68</x:v>
      </x:c>
      <x:c r="B69" s="4" t="str">
        <x:v>GMB-0068</x:v>
      </x:c>
      <x:c r="C69" s="4" t="str">
        <x:v>M12 直播业绩·增长与统计报表</x:v>
      </x:c>
      <x:c r="D69" s="4" t="str">
        <x:v>直播场次详情（公会长视角）</x:v>
      </x:c>
      <x:c r="E69" s="4" t="str">
        <x:v>逻辑校验</x:v>
      </x:c>
      <x:c r="F69" s="4" t="str">
        <x:v>P1</x:v>
      </x:c>
      <x:c r="G69" s="4" t="str">
        <x:v>验证公会长在直播场次详情的场次送礼用户去重</x:v>
      </x:c>
      <x:c r="H69" s="4" t="str">
        <x:v>场次送礼用户去重</x:v>
      </x:c>
      <x:c r="I69" s="4" t="str">
        <x:v>1. 公会长已登录
2. 本场只有用户A成功送礼2次、用户B成功送礼1次
3. 用户C送礼失败</x:v>
      </x:c>
      <x:c r="J69" s="4" t="str">
        <x:v>1. 进入直播场次详情
2. 查看送礼观众</x:v>
      </x:c>
      <x:c r="K69" s="4" t="str">
        <x:v>送礼观众计算结果 = 1 + 1 = 2 人</x:v>
      </x:c>
      <x:c r="L69" s="4" t="str"/>
      <x:c r="M69" s="4" t="str">
        <x:v>未测</x:v>
      </x:c>
      <x:c r="N69" s="4" t="str"/>
      <x:c r="O69" s="4" t="str">
        <x:v>1. 来源（当前证据）：MainBasis/统一需求文档.md；位置：G-guild-live-gift-detail-004，第10866行
2. 规则：BR-MB-37CFBE424BA7A4
3. 未动态验证</x:v>
      </x:c>
    </x:row>
    <x:row r="70" ht="82" customHeight="1">
      <x:c r="A70" s="4" t="n">
        <x:v>69</x:v>
      </x:c>
      <x:c r="B70" s="4" t="str">
        <x:v>GMB-0069</x:v>
      </x:c>
      <x:c r="C70" s="4" t="str">
        <x:v>M12 直播业绩·增长与统计报表</x:v>
      </x:c>
      <x:c r="D70" s="4" t="str">
        <x:v>直播记录（公会长视角）</x:v>
      </x:c>
      <x:c r="E70" s="4" t="str">
        <x:v>功能需求</x:v>
      </x:c>
      <x:c r="F70" s="4" t="str">
        <x:v>P1</x:v>
      </x:c>
      <x:c r="G70" s="4" t="str">
        <x:v>验证公会长在直播记录的场次下钻对象</x:v>
      </x:c>
      <x:c r="H70" s="4" t="str">
        <x:v>场次下钻对象</x:v>
      </x:c>
      <x:c r="I70" s="4" t="str">
        <x:v>1. 执行身份为公会长
2. 主播A的直播记录中有场次S100
3. 执行账号已登录</x:v>
      </x:c>
      <x:c r="J70" s="4" t="str">
        <x:v>1. 进入主播A直播记录
2. 点击场次S100</x:v>
      </x:c>
      <x:c r="K70" s="4" t="str">
        <x:v>场次详情显示场次S100</x:v>
      </x:c>
      <x:c r="L70" s="4" t="str"/>
      <x:c r="M70" s="4" t="str">
        <x:v>未测</x:v>
      </x:c>
      <x:c r="N70" s="4" t="str"/>
      <x:c r="O70" s="4" t="str">
        <x:v>1. 来源（当前证据）：MainBasis/统一需求文档.md；位置：G-guild-host-data-008，第10840行
2. 规则：BR-MB-7B05E8FD6EDE33
3. 未动态验证</x:v>
      </x:c>
    </x:row>
    <x:row r="71" ht="82" customHeight="1">
      <x:c r="A71" s="4" t="n">
        <x:v>70</x:v>
      </x:c>
      <x:c r="B71" s="4" t="str">
        <x:v>GMB-0070</x:v>
      </x:c>
      <x:c r="C71" s="4" t="str">
        <x:v>M12 直播业绩·增长与统计报表</x:v>
      </x:c>
      <x:c r="D71" s="4" t="str">
        <x:v>直播记录（公会长视角）</x:v>
      </x:c>
      <x:c r="E71" s="4" t="str">
        <x:v>功能需求</x:v>
      </x:c>
      <x:c r="F71" s="4" t="str">
        <x:v>P1</x:v>
      </x:c>
      <x:c r="G71" s="4" t="str">
        <x:v>验证公会长在直播记录的首次进入日期默认值</x:v>
      </x:c>
      <x:c r="H71" s="4" t="str">
        <x:v>首次进入日期默认值</x:v>
      </x:c>
      <x:c r="I71" s="4" t="str">
        <x:v>1. 执行身份为公会长
2. 本次从首页首次进入，未携带筛选条件
3. 执行账号已登录</x:v>
      </x:c>
      <x:c r="J71" s="4" t="str">
        <x:v>1. 进入直播记录</x:v>
      </x:c>
      <x:c r="K71" s="4" t="str">
        <x:v>日期默认今日</x:v>
      </x:c>
      <x:c r="L71" s="4" t="str"/>
      <x:c r="M71" s="4" t="str">
        <x:v>未测</x:v>
      </x:c>
      <x:c r="N71" s="4" t="str"/>
      <x:c r="O71" s="4" t="str">
        <x:v>1. 来源（当前证据）：MainBasis/统一需求文档.md；位置：G-guild-host-data-001，第10804行
2. 规则：BR-MB-96F4E03965DF83
3. 未动态验证</x:v>
      </x:c>
    </x:row>
  </x:sheetData>
  <x:dataValidations count="3">
    <x:dataValidation type="list" sqref="E2:E71">
      <x:formula1>"功能需求,业务流程,逻辑校验,异常用例"</x:formula1>
    </x:dataValidation>
    <x:dataValidation type="list" sqref="F2:F71">
      <x:formula1>"P0,P1,P2,P3"</x:formula1>
    </x:dataValidation>
    <x:dataValidation type="list" sqref="M2:M71">
      <x:formula1>"未测,通过,不通过,阻塞,不适用"</x:formula1>
    </x:dataValidation>
  </x:dataValidations>
  <x:pageMargins left="0.7" right="0.7" top="0.75" bottom="0.75" header="0.3" footer="0.3"/>
  <x:tableParts count="1">
    <x:tablePart xmlns:r="http://schemas.openxmlformats.org/officeDocument/2006/relationships" r:id="R81033d91a9bb4c6d"/>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96" customHeight="1">
      <x:c r="A2" s="4" t="str">
        <x:v>Q-001</x:v>
      </x:c>
      <x:c r="B2" s="4" t="str">
        <x:v>RQ-001</x:v>
      </x:c>
      <x:c r="C2" s="4" t="str"/>
      <x:c r="D2" s="4" t="str"/>
      <x:c r="E2" s="4" t="str">
        <x:v>阻塞测试</x:v>
      </x:c>
      <x:c r="F2" s="4" t="str">
        <x:v>M05 公会申请·认证·组织与权限</x:v>
      </x:c>
      <x:c r="G2" s="4" t="str">
        <x:v>申请人提交入会材料后由公会审核</x:v>
      </x:c>
      <x:c r="H2" s="4" t="str">
        <x:v>业务规则</x:v>
      </x:c>
      <x:c r="I2" s="4" t="str">
        <x:v>公会初审通过时是否立即建立公会关系？</x:v>
      </x:c>
      <x:c r="J2" s="4" t="str">
        <x:v>A. 立即建立关系；主播身份在平台认证通过后生效
B. 公会初审及平台终审均通过后才建立关系和主播身份</x:v>
      </x:c>
      <x:c r="K2" s="4" t="str">
        <x:v>建议优先评估A：明确申请人提交入会材料后由公会审核的唯一处理口径后，可构造确定的输入和结果；此建议不代表产品结论</x:v>
      </x:c>
      <x:c r="L2" s="8" t="str"/>
      <x:c r="M2" s="8" t="str"/>
      <x:c r="N2" s="4" t="str">
        <x:v>1. MainBasis/需求待确认清单.md#Q001：入会、主播认证与身份生效顺序
2. 主文档关联：D-SYS-041、U-guild-application-form-010、G-guild-notifications-005、A-admin-host-review-001</x:v>
      </x:c>
      <x:c r="O2" s="4" t="str">
        <x:v>1. 用户App：申请人提交入会材料后由公会审核
2. 公会App：申请人提交入会材料后由公会审核
3. 管理后台：申请人提交入会材料后由公会审核</x:v>
      </x:c>
      <x:c r="P2" s="4" t="str"/>
      <x:c r="Q2" s="4" t="str">
        <x:v>1. 公会初审通过时是否立即建立公会关系的正向、边界及异常场景</x:v>
      </x:c>
      <x:c r="R2" s="4" t="str">
        <x:v>产品</x:v>
      </x:c>
      <x:c r="S2" s="4" t="str">
        <x:v>进入对应功能测试前</x:v>
      </x:c>
      <x:c r="T2" s="4" t="str">
        <x:v>待确认</x:v>
      </x:c>
    </x:row>
    <x:row r="3" ht="96" customHeight="1">
      <x:c r="A3" s="4" t="str">
        <x:v>Q-002</x:v>
      </x:c>
      <x:c r="B3" s="4" t="str">
        <x:v>RQ-001</x:v>
      </x:c>
      <x:c r="C3" s="4" t="str"/>
      <x:c r="D3" s="4" t="str"/>
      <x:c r="E3" s="4" t="str">
        <x:v>阻塞测试</x:v>
      </x:c>
      <x:c r="F3" s="4" t="str">
        <x:v>M05 公会申请·认证·组织与权限</x:v>
      </x:c>
      <x:c r="G3" s="4" t="str">
        <x:v>平台驳回认证后申请人再次申请</x:v>
      </x:c>
      <x:c r="H3" s="4" t="str">
        <x:v>业务规则</x:v>
      </x:c>
      <x:c r="I3" s="4" t="str">
        <x:v>再次提交是否创建新的申请单？</x:v>
      </x:c>
      <x:c r="J3" s="4" t="str">
        <x:v>A. 创建新单，旧单保持驳回快照
B. 重开原单，保留各次提交和审核版本</x:v>
      </x:c>
      <x:c r="K3" s="4" t="str">
        <x:v>建议优先评估A：明确平台驳回认证后申请人再次申请的唯一处理口径后，可构造确定的输入和结果；此建议不代表产品结论</x:v>
      </x:c>
      <x:c r="L3" s="8" t="str"/>
      <x:c r="M3" s="8" t="str"/>
      <x:c r="N3" s="4" t="str">
        <x:v>1. MainBasis/需求待确认清单.md#Q001：入会、主播认证与身份生效顺序
2. 主文档关联：D-SYS-041、U-guild-application-form-010、G-guild-notifications-005、A-admin-host-review-001</x:v>
      </x:c>
      <x:c r="O3" s="4" t="str">
        <x:v>1. 用户App：平台驳回认证后申请人再次申请
2. 公会App：平台驳回认证后申请人再次申请
3. 管理后台：平台驳回认证后申请人再次申请</x:v>
      </x:c>
      <x:c r="P3" s="4" t="str"/>
      <x:c r="Q3" s="4" t="str">
        <x:v>1. 再次提交是否创建新的申请单的正向、边界及异常场景</x:v>
      </x:c>
      <x:c r="R3" s="4" t="str">
        <x:v>产品</x:v>
      </x:c>
      <x:c r="S3" s="4" t="str">
        <x:v>进入对应功能测试前</x:v>
      </x:c>
      <x:c r="T3" s="4" t="str">
        <x:v>待确认</x:v>
      </x:c>
    </x:row>
    <x:row r="4" ht="96" customHeight="1">
      <x:c r="A4" s="4" t="str">
        <x:v>Q-011</x:v>
      </x:c>
      <x:c r="B4" s="4" t="str">
        <x:v>RQ-006</x:v>
      </x:c>
      <x:c r="C4" s="4" t="str"/>
      <x:c r="D4" s="4" t="str"/>
      <x:c r="E4" s="4" t="str">
        <x:v>阻塞测试</x:v>
      </x:c>
      <x:c r="F4" s="4" t="str">
        <x:v>M12 直播业绩·增长与统计报表</x:v>
      </x:c>
      <x:c r="G4" s="4" t="str">
        <x:v>用户充值，后台和财务查看实际支付金额</x:v>
      </x:c>
      <x:c r="H4" s="4" t="str">
        <x:v>业务规则</x:v>
      </x:c>
      <x:c r="I4" s="4" t="str">
        <x:v>本期充值支付以哪种货币记账？</x:v>
      </x:c>
      <x:c r="J4" s="4" t="str">
        <x:v>A. USD；保留渠道原币和实际汇率快照
B. IDR；保留渠道原币和实际汇率快照</x:v>
      </x:c>
      <x:c r="K4" s="4" t="str">
        <x:v>建议优先评估A：明确用户充值，后台和财务查看实际支付金额的唯一处理口径后，可构造确定的输入和结果；此建议不代表产品结论</x:v>
      </x:c>
      <x:c r="L4" s="8" t="str"/>
      <x:c r="M4" s="8" t="str"/>
      <x:c r="N4" s="4" t="str">
        <x:v>1. MainBasis/需求待确认清单.md#Q006：金币、支付货币、收益与结算币种换算
2. 主文档关联：D-SYS-172、U-income-sharing-003、A-admin-recharge-package-003、A-admin-recharge-package-detail-004</x:v>
      </x:c>
      <x:c r="O4" s="4" t="str">
        <x:v>1. 用户App：用户充值，后台和财务查看实际支付金额
2. 公会App：用户充值，后台和财务查看实际支付金额
3. 管理后台：用户充值，后台和财务查看实际支付金额</x:v>
      </x:c>
      <x:c r="P4" s="4" t="str"/>
      <x:c r="Q4" s="4" t="str">
        <x:v>1. 本期充值支付以哪种货币记账的正向、边界及异常场景</x:v>
      </x:c>
      <x:c r="R4" s="4" t="str">
        <x:v>产品</x:v>
      </x:c>
      <x:c r="S4" s="4" t="str">
        <x:v>进入对应功能测试前</x:v>
      </x:c>
      <x:c r="T4" s="4" t="str">
        <x:v>待确认</x:v>
      </x:c>
    </x:row>
    <x:row r="5" ht="96" customHeight="1">
      <x:c r="A5" s="4" t="str">
        <x:v>Q-012</x:v>
      </x:c>
      <x:c r="B5" s="4" t="str">
        <x:v>RQ-006</x:v>
      </x:c>
      <x:c r="C5" s="4" t="str"/>
      <x:c r="D5" s="4" t="str"/>
      <x:c r="E5" s="4" t="str">
        <x:v>阻塞测试</x:v>
      </x:c>
      <x:c r="F5" s="4" t="str">
        <x:v>M12 直播业绩·增长与统计报表</x:v>
      </x:c>
      <x:c r="G5" s="4" t="str">
        <x:v>财务录入主播或公会结算结果</x:v>
      </x:c>
      <x:c r="H5" s="4" t="str">
        <x:v>业务规则</x:v>
      </x:c>
      <x:c r="I5" s="4" t="str">
        <x:v>结算结果采用哪种金额币种？</x:v>
      </x:c>
      <x:c r="J5" s="4" t="str">
        <x:v>A. USD，上传文件每行必须带USD币种
B. IDR，上传文件每行必须带IDR币种</x:v>
      </x:c>
      <x:c r="K5" s="4" t="str">
        <x:v>建议优先评估A：明确财务录入主播或公会结算结果的唯一处理口径后，可构造确定的输入和结果；此建议不代表产品结论</x:v>
      </x:c>
      <x:c r="L5" s="8" t="str"/>
      <x:c r="M5" s="8" t="str"/>
      <x:c r="N5" s="4" t="str">
        <x:v>1. MainBasis/需求待确认清单.md#Q006：金币、支付货币、收益与结算币种换算
2. 主文档关联：D-SYS-172、U-income-sharing-003、A-admin-recharge-package-003、A-admin-recharge-package-detail-004</x:v>
      </x:c>
      <x:c r="O5" s="4" t="str">
        <x:v>1. 用户App：财务录入主播或公会结算结果
2. 公会App：财务录入主播或公会结算结果
3. 管理后台：财务录入主播或公会结算结果</x:v>
      </x:c>
      <x:c r="P5" s="4" t="str"/>
      <x:c r="Q5" s="4" t="str">
        <x:v>1. 结算结果采用哪种金额币种的正向、边界及异常场景</x:v>
      </x:c>
      <x:c r="R5" s="4" t="str">
        <x:v>产品</x:v>
      </x:c>
      <x:c r="S5" s="4" t="str">
        <x:v>进入对应功能测试前</x:v>
      </x:c>
      <x:c r="T5" s="4" t="str">
        <x:v>待确认</x:v>
      </x:c>
    </x:row>
    <x:row r="6" ht="96" customHeight="1">
      <x:c r="A6" s="4" t="str">
        <x:v>Q-013</x:v>
      </x:c>
      <x:c r="B6" s="4" t="str">
        <x:v>RQ-006</x:v>
      </x:c>
      <x:c r="C6" s="4" t="str"/>
      <x:c r="D6" s="4" t="str"/>
      <x:c r="E6" s="4" t="str">
        <x:v>阻塞测试</x:v>
      </x:c>
      <x:c r="F6" s="4" t="str">
        <x:v>M12 直播业绩·增长与统计报表</x:v>
      </x:c>
      <x:c r="G6" s="4" t="str">
        <x:v>订单支付日与结算日的汇率不同</x:v>
      </x:c>
      <x:c r="H6" s="4" t="str">
        <x:v>业务规则</x:v>
      </x:c>
      <x:c r="I6" s="4" t="str">
        <x:v>币种换算使用哪个时点的汇率？</x:v>
      </x:c>
      <x:c r="J6" s="4" t="str">
        <x:v>A. 使用订单支付成功时冻结的渠道汇率
B. 使用结算批次确认时冻结的财务汇率</x:v>
      </x:c>
      <x:c r="K6" s="4" t="str">
        <x:v>建议优先评估A：明确订单支付日与结算日的汇率不同的唯一处理口径后，可构造确定的输入和结果；此建议不代表产品结论</x:v>
      </x:c>
      <x:c r="L6" s="8" t="str"/>
      <x:c r="M6" s="8" t="str"/>
      <x:c r="N6" s="4" t="str">
        <x:v>1. MainBasis/需求待确认清单.md#Q006：金币、支付货币、收益与结算币种换算
2. 主文档关联：D-SYS-172、U-income-sharing-003、A-admin-recharge-package-003、A-admin-recharge-package-detail-004</x:v>
      </x:c>
      <x:c r="O6" s="4" t="str">
        <x:v>1. 用户App：订单支付日与结算日的汇率不同
2. 公会App：订单支付日与结算日的汇率不同
3. 管理后台：订单支付日与结算日的汇率不同</x:v>
      </x:c>
      <x:c r="P6" s="4" t="str"/>
      <x:c r="Q6" s="4" t="str">
        <x:v>1. 币种换算使用哪个时点的汇率的正向、边界及异常场景</x:v>
      </x:c>
      <x:c r="R6" s="4" t="str">
        <x:v>产品</x:v>
      </x:c>
      <x:c r="S6" s="4" t="str">
        <x:v>进入对应功能测试前</x:v>
      </x:c>
      <x:c r="T6" s="4" t="str">
        <x:v>待确认</x:v>
      </x:c>
    </x:row>
    <x:row r="7" ht="96" customHeight="1">
      <x:c r="A7" s="4" t="str">
        <x:v>Q-018</x:v>
      </x:c>
      <x:c r="B7" s="4" t="str">
        <x:v>RQ-010</x:v>
      </x:c>
      <x:c r="C7" s="4" t="str"/>
      <x:c r="D7" s="4" t="str"/>
      <x:c r="E7" s="4" t="str">
        <x:v>阻塞测试</x:v>
      </x:c>
      <x:c r="F7" s="4" t="str">
        <x:v>M06 开播·房型·观看·连麦与房内管理</x:v>
      </x:c>
      <x:c r="G7" s="4" t="str">
        <x:v>管理员配置幸运礼物价格</x:v>
      </x:c>
      <x:c r="H7" s="4" t="str">
        <x:v>业务规则</x:v>
      </x:c>
      <x:c r="I7" s="4" t="str">
        <x:v>每次独立开奖的消耗是否固定10金币？</x:v>
      </x:c>
      <x:c r="J7" s="4" t="str">
        <x:v>A. 固定10金币，其他值禁止保存
B. 读取每个SKU的正整数单次消耗配置</x:v>
      </x:c>
      <x:c r="K7" s="4" t="str">
        <x:v>建议优先评估A：明确管理员配置幸运礼物价格的唯一处理口径后，可构造确定的输入和结果；此建议不代表产品结论</x:v>
      </x:c>
      <x:c r="L7" s="8" t="str"/>
      <x:c r="M7" s="8" t="str"/>
      <x:c r="N7" s="4" t="str">
        <x:v>1. MainBasis/需求待确认清单.md#Q010：幸运礼物单次成本、数量档位、概率和上架验证
2. 主文档关联：D-SYS-137、U-live-room-011、A-admin-lucky-gift-config-003、U-views_live-room_gift-002</x:v>
      </x:c>
      <x:c r="O7" s="4" t="str">
        <x:v>1. 用户App：管理员配置幸运礼物价格
2. 公会App：管理员配置幸运礼物价格
3. 管理后台：管理员配置幸运礼物价格</x:v>
      </x:c>
      <x:c r="P7" s="4" t="str"/>
      <x:c r="Q7" s="4" t="str">
        <x:v>1. 每次独立开奖的消耗是否固定10金币的正向、边界及异常场景</x:v>
      </x:c>
      <x:c r="R7" s="4" t="str">
        <x:v>产品</x:v>
      </x:c>
      <x:c r="S7" s="4" t="str">
        <x:v>进入对应功能测试前</x:v>
      </x:c>
      <x:c r="T7" s="4" t="str">
        <x:v>待确认</x:v>
      </x:c>
    </x:row>
    <x:row r="8" ht="96" customHeight="1">
      <x:c r="A8" s="4" t="str">
        <x:v>Q-019</x:v>
      </x:c>
      <x:c r="B8" s="4" t="str">
        <x:v>RQ-010</x:v>
      </x:c>
      <x:c r="C8" s="4" t="str"/>
      <x:c r="D8" s="4" t="str"/>
      <x:c r="E8" s="4" t="str">
        <x:v>阻塞测试</x:v>
      </x:c>
      <x:c r="F8" s="4" t="str">
        <x:v>M06 开播·房型·观看·连麦与房内管理</x:v>
      </x:c>
      <x:c r="G8" s="4" t="str">
        <x:v>用户一次赠送数量为2至9的幸运礼物</x:v>
      </x:c>
      <x:c r="H8" s="4" t="str">
        <x:v>业务规则</x:v>
      </x:c>
      <x:c r="I8" s="4" t="str">
        <x:v>2至9个礼物采用哪套概率？</x:v>
      </x:c>
      <x:c r="J8" s="4" t="str">
        <x:v>A. 每个礼物均使用1个档的概率独立开奖
B. 每个礼物均使用10个档的概率独立开奖</x:v>
      </x:c>
      <x:c r="K8" s="4" t="str">
        <x:v>建议优先评估A：明确用户一次赠送数量为2至9的幸运礼物的唯一处理口径后，可构造确定的输入和结果；此建议不代表产品结论</x:v>
      </x:c>
      <x:c r="L8" s="8" t="str"/>
      <x:c r="M8" s="8" t="str"/>
      <x:c r="N8" s="4" t="str">
        <x:v>1. MainBasis/需求待确认清单.md#Q010：幸运礼物单次成本、数量档位、概率和上架验证
2. 主文档关联：D-SYS-137、U-live-room-011、A-admin-lucky-gift-config-003、U-views_live-room_gift-002</x:v>
      </x:c>
      <x:c r="O8" s="4" t="str">
        <x:v>1. 用户App：用户一次赠送数量为2至9的幸运礼物
2. 公会App：用户一次赠送数量为2至9的幸运礼物
3. 管理后台：用户一次赠送数量为2至9的幸运礼物</x:v>
      </x:c>
      <x:c r="P8" s="4" t="str"/>
      <x:c r="Q8" s="4" t="str">
        <x:v>1. 2至9个礼物采用哪套概率的正向、边界及异常场景</x:v>
      </x:c>
      <x:c r="R8" s="4" t="str">
        <x:v>产品</x:v>
      </x:c>
      <x:c r="S8" s="4" t="str">
        <x:v>进入对应功能测试前</x:v>
      </x:c>
      <x:c r="T8" s="4" t="str">
        <x:v>待确认</x:v>
      </x:c>
    </x:row>
    <x:row r="9" ht="96" customHeight="1">
      <x:c r="A9" s="4" t="str">
        <x:v>Q-020</x:v>
      </x:c>
      <x:c r="B9" s="4" t="str">
        <x:v>RQ-010</x:v>
      </x:c>
      <x:c r="C9" s="4" t="str"/>
      <x:c r="D9" s="4" t="str"/>
      <x:c r="E9" s="4" t="str">
        <x:v>阻塞测试</x:v>
      </x:c>
      <x:c r="F9" s="4" t="str">
        <x:v>M06 开播·房型·观看·连麦与房内管理</x:v>
      </x:c>
      <x:c r="G9" s="4" t="str">
        <x:v>用户一次赠送数量为11至99的幸运礼物</x:v>
      </x:c>
      <x:c r="H9" s="4" t="str">
        <x:v>业务规则</x:v>
      </x:c>
      <x:c r="I9" s="4" t="str">
        <x:v>11至99个礼物采用哪套概率？</x:v>
      </x:c>
      <x:c r="J9" s="4" t="str">
        <x:v>A. 每个礼物均使用10个档的概率独立开奖
B. 每个礼物均使用100个档的概率独立开奖</x:v>
      </x:c>
      <x:c r="K9" s="4" t="str">
        <x:v>建议优先评估A：明确用户一次赠送数量为11至99的幸运礼物的唯一处理口径后，可构造确定的输入和结果；此建议不代表产品结论</x:v>
      </x:c>
      <x:c r="L9" s="8" t="str"/>
      <x:c r="M9" s="8" t="str"/>
      <x:c r="N9" s="4" t="str">
        <x:v>1. MainBasis/需求待确认清单.md#Q010：幸运礼物单次成本、数量档位、概率和上架验证
2. 主文档关联：D-SYS-137、U-live-room-011、A-admin-lucky-gift-config-003、U-views_live-room_gift-002</x:v>
      </x:c>
      <x:c r="O9" s="4" t="str">
        <x:v>1. 用户App：用户一次赠送数量为11至99的幸运礼物
2. 公会App：用户一次赠送数量为11至99的幸运礼物
3. 管理后台：用户一次赠送数量为11至99的幸运礼物</x:v>
      </x:c>
      <x:c r="P9" s="4" t="str"/>
      <x:c r="Q9" s="4" t="str">
        <x:v>1. 11至99个礼物采用哪套概率的正向、边界及异常场景</x:v>
      </x:c>
      <x:c r="R9" s="4" t="str">
        <x:v>产品</x:v>
      </x:c>
      <x:c r="S9" s="4" t="str">
        <x:v>进入对应功能测试前</x:v>
      </x:c>
      <x:c r="T9" s="4" t="str">
        <x:v>待确认</x:v>
      </x:c>
    </x:row>
    <x:row r="10" ht="96" customHeight="1">
      <x:c r="A10" s="4" t="str">
        <x:v>Q-021</x:v>
      </x:c>
      <x:c r="B10" s="4" t="str">
        <x:v>RQ-010</x:v>
      </x:c>
      <x:c r="C10" s="4" t="str"/>
      <x:c r="D10" s="4" t="str"/>
      <x:c r="E10" s="4" t="str">
        <x:v>阻塞测试</x:v>
      </x:c>
      <x:c r="F10" s="4" t="str">
        <x:v>M06 开播·房型·观看·连麦与房内管理</x:v>
      </x:c>
      <x:c r="G10" s="4" t="str">
        <x:v>管理员验证幸运礼物配置后上架</x:v>
      </x:c>
      <x:c r="H10" s="4" t="str">
        <x:v>业务规则</x:v>
      </x:c>
      <x:c r="I10" s="4" t="str">
        <x:v>上架是否以统计抽样结果作为强制门槛？</x:v>
      </x:c>
      <x:c r="J10" s="4" t="str">
        <x:v>A. 不作为强制门槛，仅校验配置公式，抽样另作发布报告
B. 作为门槛，样本量和允许误差必须读取有版本的发布配置</x:v>
      </x:c>
      <x:c r="K10" s="4" t="str">
        <x:v>建议优先评估A：明确管理员验证幸运礼物配置后上架的唯一处理口径后，可构造确定的输入和结果；此建议不代表产品结论</x:v>
      </x:c>
      <x:c r="L10" s="8" t="str"/>
      <x:c r="M10" s="8" t="str"/>
      <x:c r="N10" s="4" t="str">
        <x:v>1. MainBasis/需求待确认清单.md#Q010：幸运礼物单次成本、数量档位、概率和上架验证
2. 主文档关联：D-SYS-137、U-live-room-011、A-admin-lucky-gift-config-003、U-views_live-room_gift-002</x:v>
      </x:c>
      <x:c r="O10" s="4" t="str">
        <x:v>1. 用户App：管理员验证幸运礼物配置后上架
2. 公会App：管理员验证幸运礼物配置后上架
3. 管理后台：管理员验证幸运礼物配置后上架</x:v>
      </x:c>
      <x:c r="P10" s="4" t="str"/>
      <x:c r="Q10" s="4" t="str">
        <x:v>1. 上架是否以统计抽样结果作为强制门槛的正向、边界及异常场景</x:v>
      </x:c>
      <x:c r="R10" s="4" t="str">
        <x:v>产品</x:v>
      </x:c>
      <x:c r="S10" s="4" t="str">
        <x:v>进入对应功能测试前</x:v>
      </x:c>
      <x:c r="T10" s="4" t="str">
        <x:v>待确认</x:v>
      </x:c>
    </x:row>
    <x:row r="11" ht="110" customHeight="1">
      <x:c r="A11" s="4" t="str">
        <x:v>Q-060</x:v>
      </x:c>
      <x:c r="B11" s="4" t="str">
        <x:v>RQ-028</x:v>
      </x:c>
      <x:c r="C11" s="4" t="str"/>
      <x:c r="D11" s="4" t="str"/>
      <x:c r="E11" s="4" t="str">
        <x:v>阻塞测试</x:v>
      </x:c>
      <x:c r="F11" s="4" t="str">
        <x:v>M11 财务·退款·结算上传与账户调整</x:v>
      </x:c>
      <x:c r="G11" s="4" t="str">
        <x:v>财务导入包含一行无效数据的结算文件</x:v>
      </x:c>
      <x:c r="H11" s="4" t="str">
        <x:v>异常处理</x:v>
      </x:c>
      <x:c r="I11" s="4" t="str">
        <x:v>是否允许部分行导入成功？</x:v>
      </x:c>
      <x:c r="J11" s="4" t="str">
        <x:v>A. 整批拒绝，修正后重新上传
B. 有效行成功，无效行返回失败明细</x:v>
      </x:c>
      <x:c r="K11" s="4" t="str">
        <x:v>建议优先评估A：明确财务导入包含一行无效数据的结算文件的唯一处理口径后，可构造确定的输入和结果；此建议不代表产品结论</x:v>
      </x:c>
      <x:c r="L11" s="8" t="str"/>
      <x:c r="M11" s="8" t="str"/>
      <x:c r="N11" s="4" t="str">
        <x:v>1. MainBasis/需求待确认清单.md#Q028：财务上传模板、错误处理与重复导入
2. 主文档关联：A-admin-settlement-record-003、A-admin-settlement-record-detail-001、A-admin-guild-settlement-record-003、A-admin-guild-settlement-record-detail-001</x:v>
      </x:c>
      <x:c r="O11" s="4" t="str">
        <x:v>1. 管理后台：财务导入包含一行无效数据的结算文件
2. 公会App：财务导入包含一行无效数据的结算文件</x:v>
      </x:c>
      <x:c r="P11" s="4" t="str"/>
      <x:c r="Q11" s="4" t="str">
        <x:v>1. 是否允许部分行导入成功的正向、边界及异常场景</x:v>
      </x:c>
      <x:c r="R11" s="4" t="str">
        <x:v>多方确认</x:v>
      </x:c>
      <x:c r="S11" s="4" t="str">
        <x:v>进入对应功能测试前</x:v>
      </x:c>
      <x:c r="T11" s="4" t="str">
        <x:v>待确认</x:v>
      </x:c>
    </x:row>
    <x:row r="12" ht="110" customHeight="1">
      <x:c r="A12" s="4" t="str">
        <x:v>Q-061</x:v>
      </x:c>
      <x:c r="B12" s="4" t="str">
        <x:v>RQ-028</x:v>
      </x:c>
      <x:c r="C12" s="4" t="str"/>
      <x:c r="D12" s="4" t="str"/>
      <x:c r="E12" s="4" t="str">
        <x:v>阻塞测试</x:v>
      </x:c>
      <x:c r="F12" s="4" t="str">
        <x:v>M11 财务·退款·结算上传与账户调整</x:v>
      </x:c>
      <x:c r="G12" s="4" t="str">
        <x:v>财务重复上传同一批结算结果</x:v>
      </x:c>
      <x:c r="H12" s="4" t="str">
        <x:v>异常处理</x:v>
      </x:c>
      <x:c r="I12" s="4" t="str">
        <x:v>重复批次应如何处理？</x:v>
      </x:c>
      <x:c r="J12" s="4" t="str">
        <x:v>A. 按唯一批次号拒绝重复导入
B. 按唯一明细键只导入此前未入账的行</x:v>
      </x:c>
      <x:c r="K12" s="4" t="str">
        <x:v>建议优先评估A：明确财务重复上传同一批结算结果的唯一处理口径后，可构造确定的输入和结果；此建议不代表产品结论</x:v>
      </x:c>
      <x:c r="L12" s="8" t="str"/>
      <x:c r="M12" s="8" t="str"/>
      <x:c r="N12" s="4" t="str">
        <x:v>1. MainBasis/需求待确认清单.md#Q028：财务上传模板、错误处理与重复导入
2. 主文档关联：A-admin-settlement-record-003、A-admin-settlement-record-detail-001、A-admin-guild-settlement-record-003、A-admin-guild-settlement-record-detail-001</x:v>
      </x:c>
      <x:c r="O12" s="4" t="str">
        <x:v>1. 管理后台：财务重复上传同一批结算结果
2. 公会App：财务重复上传同一批结算结果</x:v>
      </x:c>
      <x:c r="P12" s="4" t="str"/>
      <x:c r="Q12" s="4" t="str">
        <x:v>1. 重复批次应如何处理的正向、边界及异常场景</x:v>
      </x:c>
      <x:c r="R12" s="4" t="str">
        <x:v>多方确认</x:v>
      </x:c>
      <x:c r="S12" s="4" t="str">
        <x:v>进入对应功能测试前</x:v>
      </x:c>
      <x:c r="T12" s="4" t="str">
        <x:v>待确认</x:v>
      </x:c>
    </x:row>
    <x:row r="13" ht="110" customHeight="1">
      <x:c r="A13" s="4" t="str">
        <x:v>Q-062</x:v>
      </x:c>
      <x:c r="B13" s="4" t="str">
        <x:v>RQ-029</x:v>
      </x:c>
      <x:c r="C13" s="4" t="str"/>
      <x:c r="D13" s="4" t="str"/>
      <x:c r="E13" s="4" t="str">
        <x:v>阻塞测试</x:v>
      </x:c>
      <x:c r="F13" s="4" t="str">
        <x:v>M11 财务·退款·结算上传与账户调整</x:v>
      </x:c>
      <x:c r="G13" s="4" t="str">
        <x:v>财务上传结果后查看主播或公会薪资账户</x:v>
      </x:c>
      <x:c r="H13" s="4" t="str">
        <x:v>业务规则</x:v>
      </x:c>
      <x:c r="I13" s="4" t="str">
        <x:v>薪资账户余额表示哪种业务数值？</x:v>
      </x:c>
      <x:c r="J13" s="4" t="str">
        <x:v>A. 累计已结算金额，线下付款不再扣减
B. 应付未付金额，线下付款需扣减
C. 已实际到账且可支取余额，支取后扣减</x:v>
      </x:c>
      <x:c r="K13" s="4" t="str">
        <x:v>建议优先评估A：明确财务上传结果后查看主播或公会薪资账户的唯一处理口径后，可构造确定的输入和结果；此建议不代表产品结论</x:v>
      </x:c>
      <x:c r="L13" s="8" t="str"/>
      <x:c r="M13" s="8" t="str"/>
      <x:c r="N13" s="4" t="str">
        <x:v>1. MainBasis/需求待确认清单.md#Q029：薪资账户、调整记录与线下实付的含义
2. 主文档关联：A-admin-host-account-balance-002、A-admin-guild-account-balance-002、A-admin-host-account-balance-003、A-admin-guild-account-balance-003</x:v>
      </x:c>
      <x:c r="O13" s="4" t="str">
        <x:v>1. 用户App：财务上传结果后查看主播或公会薪资账户
2. 公会App：财务上传结果后查看主播或公会薪资账户
3. 管理后台：财务上传结果后查看主播或公会薪资账户</x:v>
      </x:c>
      <x:c r="P13" s="4" t="str"/>
      <x:c r="Q13" s="4" t="str">
        <x:v>1. 薪资账户余额表示哪种业务数值的正向、边界及异常场景</x:v>
      </x:c>
      <x:c r="R13" s="4" t="str">
        <x:v>产品</x:v>
      </x:c>
      <x:c r="S13" s="4" t="str">
        <x:v>进入对应功能测试前</x:v>
      </x:c>
      <x:c r="T13" s="4" t="str">
        <x:v>待确认</x:v>
      </x:c>
    </x:row>
    <x:row r="14" ht="96" customHeight="1">
      <x:c r="A14" s="4" t="str">
        <x:v>Q-003</x:v>
      </x:c>
      <x:c r="B14" s="4" t="str">
        <x:v>RQ-002</x:v>
      </x:c>
      <x:c r="C14" s="4" t="str"/>
      <x:c r="D14" s="4" t="str"/>
      <x:c r="E14" s="4" t="str">
        <x:v>部分阻塞</x:v>
      </x:c>
      <x:c r="F14" s="4" t="str">
        <x:v>M05 公会申请·认证·组织与权限</x:v>
      </x:c>
      <x:c r="G14" s="4" t="str">
        <x:v>管理员重新启用曾停用的公会</x:v>
      </x:c>
      <x:c r="H14" s="4" t="str">
        <x:v>业务规则</x:v>
      </x:c>
      <x:c r="I14" s="4" t="str">
        <x:v>恢复启用是否自动恢复停用时解除的主播关系？</x:v>
      </x:c>
      <x:c r="J14" s="4" t="str">
        <x:v>A. 不恢复，主播须重新申请
B. 仅恢复未加入其他公会且账号有效的原成员</x:v>
      </x:c>
      <x:c r="K14" s="4" t="str">
        <x:v>建议优先评估A：明确管理员重新启用曾停用的公会的唯一处理口径后，可构造确定的输入和结果；此建议不代表产品结论</x:v>
      </x:c>
      <x:c r="L14" s="8" t="str"/>
      <x:c r="M14" s="8" t="str"/>
      <x:c r="N14" s="4" t="str">
        <x:v>1. MainBasis/需求待确认清单.md#Q002：公会停用与解散的关系后果
2. 主文档关联：D-SYS-066、U-guild-management-007、G-guild-switch-003、A-admin-guild-list-005</x:v>
      </x:c>
      <x:c r="O14" s="4" t="str">
        <x:v>1. 用户App：管理员重新启用曾停用的公会
2. 公会App：管理员重新启用曾停用的公会
3. 管理后台：管理员重新启用曾停用的公会</x:v>
      </x:c>
      <x:c r="P14" s="4" t="str"/>
      <x:c r="Q14" s="4" t="str">
        <x:v>1. 恢复启用是否自动恢复停用时解除的主播关系的正向、边界及异常场景</x:v>
      </x:c>
      <x:c r="R14" s="4" t="str">
        <x:v>产品</x:v>
      </x:c>
      <x:c r="S14" s="4" t="str">
        <x:v>进入对应功能测试前</x:v>
      </x:c>
      <x:c r="T14" s="4" t="str">
        <x:v>待确认</x:v>
      </x:c>
    </x:row>
    <x:row r="15" ht="96" customHeight="1">
      <x:c r="A15" s="4" t="str">
        <x:v>Q-004</x:v>
      </x:c>
      <x:c r="B15" s="4" t="str">
        <x:v>RQ-002</x:v>
      </x:c>
      <x:c r="C15" s="4" t="str"/>
      <x:c r="D15" s="4" t="str"/>
      <x:c r="E15" s="4" t="str">
        <x:v>部分阻塞</x:v>
      </x:c>
      <x:c r="F15" s="4" t="str">
        <x:v>M05 公会申请·认证·组织与权限</x:v>
      </x:c>
      <x:c r="G15" s="4" t="str">
        <x:v>管理员停用公会时仍有未处理入会申请</x:v>
      </x:c>
      <x:c r="H15" s="4" t="str">
        <x:v>业务规则</x:v>
      </x:c>
      <x:c r="I15" s="4" t="str">
        <x:v>未处理申请是否自动终止？</x:v>
      </x:c>
      <x:c r="J15" s="4" t="str">
        <x:v>A. 终止并标记公会停用
B. 暂停处理，公会恢复后可继续审核</x:v>
      </x:c>
      <x:c r="K15" s="4" t="str">
        <x:v>建议优先评估A：明确管理员停用公会时仍有未处理入会申请的唯一处理口径后，可构造确定的输入和结果；此建议不代表产品结论</x:v>
      </x:c>
      <x:c r="L15" s="8" t="str"/>
      <x:c r="M15" s="8" t="str"/>
      <x:c r="N15" s="4" t="str">
        <x:v>1. MainBasis/需求待确认清单.md#Q002：公会停用与解散的关系后果
2. 主文档关联：D-SYS-066、U-guild-management-007、G-guild-switch-003、A-admin-guild-list-005</x:v>
      </x:c>
      <x:c r="O15" s="4" t="str">
        <x:v>1. 用户App：管理员停用公会时仍有未处理入会申请
2. 公会App：管理员停用公会时仍有未处理入会申请
3. 管理后台：管理员停用公会时仍有未处理入会申请</x:v>
      </x:c>
      <x:c r="P15" s="4" t="str"/>
      <x:c r="Q15" s="4" t="str">
        <x:v>1. 未处理申请是否自动终止的正向、边界及异常场景</x:v>
      </x:c>
      <x:c r="R15" s="4" t="str">
        <x:v>产品</x:v>
      </x:c>
      <x:c r="S15" s="4" t="str">
        <x:v>进入对应功能测试前</x:v>
      </x:c>
      <x:c r="T15" s="4" t="str">
        <x:v>待确认</x:v>
      </x:c>
    </x:row>
    <x:row r="16" ht="96" customHeight="1">
      <x:c r="A16" s="4" t="str">
        <x:v>Q-005</x:v>
      </x:c>
      <x:c r="B16" s="4" t="str">
        <x:v>RQ-002</x:v>
      </x:c>
      <x:c r="C16" s="4" t="str"/>
      <x:c r="D16" s="4" t="str"/>
      <x:c r="E16" s="4" t="str">
        <x:v>部分阻塞</x:v>
      </x:c>
      <x:c r="F16" s="4" t="str">
        <x:v>M05 公会申请·认证·组织与权限</x:v>
      </x:c>
      <x:c r="G16" s="4" t="str">
        <x:v>公会长有多个可管理公会，其中一个停用</x:v>
      </x:c>
      <x:c r="H16" s="4" t="str">
        <x:v>业务规则</x:v>
      </x:c>
      <x:c r="I16" s="4" t="str">
        <x:v>公会切换列表是否显示停用公会？</x:v>
      </x:c>
      <x:c r="J16" s="4" t="str">
        <x:v>A. 隐藏停用公会
B. 显示停用标记但禁止切入</x:v>
      </x:c>
      <x:c r="K16" s="4" t="str">
        <x:v>建议优先评估A：明确公会长有多个可管理公会，其中一个停用的唯一处理口径后，可构造确定的输入和结果；此建议不代表产品结论</x:v>
      </x:c>
      <x:c r="L16" s="8" t="str"/>
      <x:c r="M16" s="8" t="str"/>
      <x:c r="N16" s="4" t="str">
        <x:v>1. MainBasis/需求待确认清单.md#Q002：公会停用与解散的关系后果
2. 主文档关联：D-SYS-066、U-guild-management-007、G-guild-switch-003、A-admin-guild-list-005</x:v>
      </x:c>
      <x:c r="O16" s="4" t="str">
        <x:v>1. 用户App：公会长有多个可管理公会，其中一个停用
2. 公会App：公会长有多个可管理公会，其中一个停用
3. 管理后台：公会长有多个可管理公会，其中一个停用</x:v>
      </x:c>
      <x:c r="P16" s="4" t="str"/>
      <x:c r="Q16" s="4" t="str">
        <x:v>1. 公会切换列表是否显示停用公会的正向、边界及异常场景</x:v>
      </x:c>
      <x:c r="R16" s="4" t="str">
        <x:v>产品</x:v>
      </x:c>
      <x:c r="S16" s="4" t="str">
        <x:v>进入对应功能测试前</x:v>
      </x:c>
      <x:c r="T16" s="4" t="str">
        <x:v>待确认</x:v>
      </x:c>
    </x:row>
    <x:row r="17" ht="96" customHeight="1">
      <x:c r="A17" s="4" t="str">
        <x:v>Q-006</x:v>
      </x:c>
      <x:c r="B17" s="4" t="str">
        <x:v>RQ-003</x:v>
      </x:c>
      <x:c r="C17" s="4" t="str"/>
      <x:c r="D17" s="4" t="str"/>
      <x:c r="E17" s="4" t="str">
        <x:v>部分阻塞</x:v>
      </x:c>
      <x:c r="F17" s="4" t="str">
        <x:v>M05 公会申请·认证·组织与权限</x:v>
      </x:c>
      <x:c r="G17" s="4" t="str">
        <x:v>平台关闭开播权限但锁定标志未开启</x:v>
      </x:c>
      <x:c r="H17" s="4" t="str">
        <x:v>业务规则</x:v>
      </x:c>
      <x:c r="I17" s="4" t="str">
        <x:v>公会端是否仍显示权限已锁定？</x:v>
      </x:c>
      <x:c r="J17" s="4" t="str">
        <x:v>A. 显示平台已关闭，只禁用控制，不显示已锁定
B. 显示已锁定，平台关闭隐含锁定效果</x:v>
      </x:c>
      <x:c r="K17" s="4" t="str">
        <x:v>建议优先评估A：明确平台关闭开播权限但锁定标志未开启的唯一处理口径后，可构造确定的输入和结果；此建议不代表产品结论</x:v>
      </x:c>
      <x:c r="L17" s="8" t="str"/>
      <x:c r="M17" s="8" t="str"/>
      <x:c r="N17" s="4" t="str">
        <x:v>1. MainBasis/需求待确认清单.md#Q003：平台锁定与公会原权限的完整真值表
2. 主文档关联：D-SYS-083、G-guild-host-detail-006、A-admin-host-list-008、A-admin-host-detail-003</x:v>
      </x:c>
      <x:c r="O17" s="4" t="str">
        <x:v>1. 用户App：平台关闭开播权限但锁定标志未开启
2. 公会App：平台关闭开播权限但锁定标志未开启
3. 管理后台：平台关闭开播权限但锁定标志未开启</x:v>
      </x:c>
      <x:c r="P17" s="4" t="str"/>
      <x:c r="Q17" s="4" t="str">
        <x:v>1. 公会端是否仍显示权限已锁定的正向、边界及异常场景</x:v>
      </x:c>
      <x:c r="R17" s="4" t="str">
        <x:v>产品</x:v>
      </x:c>
      <x:c r="S17" s="4" t="str">
        <x:v>进入对应功能测试前</x:v>
      </x:c>
      <x:c r="T17" s="4" t="str">
        <x:v>待确认</x:v>
      </x:c>
    </x:row>
    <x:row r="18" ht="96" customHeight="1">
      <x:c r="A18" s="4" t="str">
        <x:v>Q-007</x:v>
      </x:c>
      <x:c r="B18" s="4" t="str">
        <x:v>RQ-003</x:v>
      </x:c>
      <x:c r="C18" s="4" t="str"/>
      <x:c r="D18" s="4" t="str"/>
      <x:c r="E18" s="4" t="str">
        <x:v>部分阻塞</x:v>
      </x:c>
      <x:c r="F18" s="4" t="str">
        <x:v>M05 公会申请·认证·组织与权限</x:v>
      </x:c>
      <x:c r="G18" s="4" t="str">
        <x:v>平台先关闭再开启主播开播权限</x:v>
      </x:c>
      <x:c r="H18" s="4" t="str">
        <x:v>业务规则</x:v>
      </x:c>
      <x:c r="I18" s="4" t="str">
        <x:v>重新开启时是否保留操作前的锁定标志？</x:v>
      </x:c>
      <x:c r="J18" s="4" t="str">
        <x:v>A. 保留锁定标志，并按该标志重算最终权限
B. 开启时清除锁定，按原公会权限重算</x:v>
      </x:c>
      <x:c r="K18" s="4" t="str">
        <x:v>建议优先评估A：明确平台先关闭再开启主播开播权限的唯一处理口径后，可构造确定的输入和结果；此建议不代表产品结论</x:v>
      </x:c>
      <x:c r="L18" s="8" t="str"/>
      <x:c r="M18" s="8" t="str"/>
      <x:c r="N18" s="4" t="str">
        <x:v>1. MainBasis/需求待确认清单.md#Q003：平台锁定与公会原权限的完整真值表
2. 主文档关联：D-SYS-083、G-guild-host-detail-006、A-admin-host-list-008、A-admin-host-detail-003</x:v>
      </x:c>
      <x:c r="O18" s="4" t="str">
        <x:v>1. 用户App：平台先关闭再开启主播开播权限
2. 公会App：平台先关闭再开启主播开播权限
3. 管理后台：平台先关闭再开启主播开播权限</x:v>
      </x:c>
      <x:c r="P18" s="4" t="str"/>
      <x:c r="Q18" s="4" t="str">
        <x:v>1. 重新开启时是否保留操作前的锁定标志的正向、边界及异常场景</x:v>
      </x:c>
      <x:c r="R18" s="4" t="str">
        <x:v>产品</x:v>
      </x:c>
      <x:c r="S18" s="4" t="str">
        <x:v>进入对应功能测试前</x:v>
      </x:c>
      <x:c r="T18" s="4" t="str">
        <x:v>待确认</x:v>
      </x:c>
    </x:row>
    <x:row r="19" ht="96" customHeight="1">
      <x:c r="A19" s="4" t="str">
        <x:v>Q-008</x:v>
      </x:c>
      <x:c r="B19" s="4" t="str">
        <x:v>RQ-004</x:v>
      </x:c>
      <x:c r="C19" s="4" t="str"/>
      <x:c r="D19" s="4" t="str"/>
      <x:c r="E19" s="4" t="str">
        <x:v>部分阻塞</x:v>
      </x:c>
      <x:c r="F19" s="4" t="str">
        <x:v>M05 公会申请·认证·组织与权限</x:v>
      </x:c>
      <x:c r="G19" s="4" t="str">
        <x:v>主播有未结收益时提交退会申请</x:v>
      </x:c>
      <x:c r="H19" s="4" t="str">
        <x:v>业务规则</x:v>
      </x:c>
      <x:c r="I19" s="4" t="str">
        <x:v>有未结收益时是否允许提交退会申请？</x:v>
      </x:c>
      <x:c r="J19" s="4" t="str">
        <x:v>A. 不允许，收益结清后再办理
B. 允许，旧公会收益归属保留至线下结清</x:v>
      </x:c>
      <x:c r="K19" s="4" t="str">
        <x:v>建议优先评估A：明确主播有未结收益时提交退会申请的唯一处理口径后，可构造确定的输入和结果；此建议不代表产品结论</x:v>
      </x:c>
      <x:c r="L19" s="8" t="str"/>
      <x:c r="M19" s="8" t="str"/>
      <x:c r="N19" s="4" t="str">
        <x:v>1. MainBasis/需求待确认清单.md#Q004：未结算收益是否阻止退会或移除
2. 主文档关联：G-guild-host-detail-009、A-admin-guild-detail-012</x:v>
      </x:c>
      <x:c r="O19" s="4" t="str">
        <x:v>1. 用户App：主播有未结收益时提交退会申请
2. 公会App：主播有未结收益时提交退会申请
3. 管理后台：主播有未结收益时提交退会申请</x:v>
      </x:c>
      <x:c r="P19" s="4" t="str"/>
      <x:c r="Q19" s="4" t="str">
        <x:v>1. 有未结收益时是否允许提交退会申请的正向、边界及异常场景</x:v>
      </x:c>
      <x:c r="R19" s="4" t="str">
        <x:v>产品</x:v>
      </x:c>
      <x:c r="S19" s="4" t="str">
        <x:v>进入对应功能测试前</x:v>
      </x:c>
      <x:c r="T19" s="4" t="str">
        <x:v>待确认</x:v>
      </x:c>
    </x:row>
    <x:row r="20" ht="96" customHeight="1">
      <x:c r="A20" s="4" t="str">
        <x:v>Q-009</x:v>
      </x:c>
      <x:c r="B20" s="4" t="str">
        <x:v>RQ-004</x:v>
      </x:c>
      <x:c r="C20" s="4" t="str"/>
      <x:c r="D20" s="4" t="str"/>
      <x:c r="E20" s="4" t="str">
        <x:v>部分阻塞</x:v>
      </x:c>
      <x:c r="F20" s="4" t="str">
        <x:v>M05 公会申请·认证·组织与权限</x:v>
      </x:c>
      <x:c r="G20" s="4" t="str">
        <x:v>主播有未结收益时通过退会申请</x:v>
      </x:c>
      <x:c r="H20" s="4" t="str">
        <x:v>业务规则</x:v>
      </x:c>
      <x:c r="I20" s="4" t="str">
        <x:v>有未结收益时是否允许通过退会申请？</x:v>
      </x:c>
      <x:c r="J20" s="4" t="str">
        <x:v>A. 不允许，收益结清后再办理
B. 允许，旧公会收益归属保留至线下结清</x:v>
      </x:c>
      <x:c r="K20" s="4" t="str">
        <x:v>建议优先评估A：明确主播有未结收益时通过退会申请的唯一处理口径后，可构造确定的输入和结果；此建议不代表产品结论</x:v>
      </x:c>
      <x:c r="L20" s="8" t="str"/>
      <x:c r="M20" s="8" t="str"/>
      <x:c r="N20" s="4" t="str">
        <x:v>1. MainBasis/需求待确认清单.md#Q004：未结算收益是否阻止退会或移除
2. 主文档关联：G-guild-host-detail-009、A-admin-guild-detail-012</x:v>
      </x:c>
      <x:c r="O20" s="4" t="str">
        <x:v>1. 用户App：主播有未结收益时通过退会申请
2. 公会App：主播有未结收益时通过退会申请
3. 管理后台：主播有未结收益时通过退会申请</x:v>
      </x:c>
      <x:c r="P20" s="4" t="str"/>
      <x:c r="Q20" s="4" t="str">
        <x:v>1. 有未结收益时是否允许通过退会申请的正向、边界及异常场景</x:v>
      </x:c>
      <x:c r="R20" s="4" t="str">
        <x:v>产品</x:v>
      </x:c>
      <x:c r="S20" s="4" t="str">
        <x:v>进入对应功能测试前</x:v>
      </x:c>
      <x:c r="T20" s="4" t="str">
        <x:v>待确认</x:v>
      </x:c>
    </x:row>
    <x:row r="21" ht="96" customHeight="1">
      <x:c r="A21" s="4" t="str">
        <x:v>Q-010</x:v>
      </x:c>
      <x:c r="B21" s="4" t="str">
        <x:v>RQ-005</x:v>
      </x:c>
      <x:c r="C21" s="4" t="str"/>
      <x:c r="D21" s="4" t="str"/>
      <x:c r="E21" s="4" t="str">
        <x:v>部分阻塞</x:v>
      </x:c>
      <x:c r="F21" s="4" t="str">
        <x:v>M11 财务·退款·结算上传与账户调整</x:v>
      </x:c>
      <x:c r="G21" s="4" t="str">
        <x:v>财务改为线下核算后维护商品分成规则</x:v>
      </x:c>
      <x:c r="H21" s="4" t="str">
        <x:v>业务规则</x:v>
      </x:c>
      <x:c r="I21" s="4" t="str">
        <x:v>是否继续维护和绑定SKU分成比例？</x:v>
      </x:c>
      <x:c r="J21" s="4" t="str">
        <x:v>A. 保留配置与历史比例快照，系统不计算分成金额
B. 停止新增和修改配置，历史配置只读归档</x:v>
      </x:c>
      <x:c r="K21" s="4" t="str">
        <x:v>建议优先评估A：明确财务改为线下核算后维护商品分成规则的唯一处理口径后，可构造确定的输入和结果；此建议不代表产品结论</x:v>
      </x:c>
      <x:c r="L21" s="8" t="str"/>
      <x:c r="M21" s="8" t="str"/>
      <x:c r="N21" s="4" t="str">
        <x:v>1. MainBasis/需求待确认清单.md#Q005：SKU 分成配置是否保留及系统计算边界
2. 主文档关联：D-SYS-036、G-guild-share-ledger-005、A-admin-settlement-record-001、A-admin-settlement-record-detail-006</x:v>
      </x:c>
      <x:c r="O21" s="4" t="str">
        <x:v>1. 用户App：财务改为线下核算后维护商品分成规则
2. 公会App：财务改为线下核算后维护商品分成规则
3. 管理后台：财务改为线下核算后维护商品分成规则</x:v>
      </x:c>
      <x:c r="P21" s="4" t="str"/>
      <x:c r="Q21" s="4" t="str">
        <x:v>1. 是否继续维护和绑定SKU分成比例的正向、边界及异常场景</x:v>
      </x:c>
      <x:c r="R21" s="4" t="str">
        <x:v>产品</x:v>
      </x:c>
      <x:c r="S21" s="4" t="str">
        <x:v>进入对应功能测试前</x:v>
      </x:c>
      <x:c r="T21" s="4" t="str">
        <x:v>待确认</x:v>
      </x:c>
    </x:row>
    <x:row r="22" ht="96" customHeight="1">
      <x:c r="A22" s="4" t="str">
        <x:v>Q-014</x:v>
      </x:c>
      <x:c r="B22" s="4" t="str">
        <x:v>RQ-007</x:v>
      </x:c>
      <x:c r="C22" s="4" t="str"/>
      <x:c r="D22" s="4" t="str"/>
      <x:c r="E22" s="4" t="str">
        <x:v>部分阻塞</x:v>
      </x:c>
      <x:c r="F22" s="4" t="str">
        <x:v>M04 粉丝团·房管与成长等级</x:v>
      </x:c>
      <x:c r="G22" s="4" t="str">
        <x:v>十笔幸运礼物各产生0.1金币收益</x:v>
      </x:c>
      <x:c r="H22" s="4" t="str">
        <x:v>业务规则</x:v>
      </x:c>
      <x:c r="I22" s="4" t="str">
        <x:v>幸运收益在哪个粒度舍去不足1金币的部分？</x:v>
      </x:c>
      <x:c r="J22" s="4" t="str">
        <x:v>A. 每笔赠送分别舍去，此例收益0金币
B. 按场次汇总后舍去，此例收益1金币</x:v>
      </x:c>
      <x:c r="K22" s="4" t="str">
        <x:v>建议优先评估A：明确十笔幸运礼物各产生0.1金币收益的唯一处理口径后，可构造确定的输入和结果；此建议不代表产品结论</x:v>
      </x:c>
      <x:c r="L22" s="8" t="str"/>
      <x:c r="M22" s="8" t="str"/>
      <x:c r="N22" s="4" t="str">
        <x:v>1. MainBasis/需求待确认清单.md#Q007：幸运收益与各类金额的精度和取整时点
2. 主文档关联：A-admin-level-config-022</x:v>
      </x:c>
      <x:c r="O22" s="4" t="str">
        <x:v>1. 用户App：十笔幸运礼物各产生0.1金币收益
2. 公会App：十笔幸运礼物各产生0.1金币收益
3. 管理后台：十笔幸运礼物各产生0.1金币收益</x:v>
      </x:c>
      <x:c r="P22" s="4" t="str"/>
      <x:c r="Q22" s="4" t="str">
        <x:v>1. 幸运收益在哪个粒度舍去不足1金币的部分的正向、边界及异常场景</x:v>
      </x:c>
      <x:c r="R22" s="4" t="str">
        <x:v>产品</x:v>
      </x:c>
      <x:c r="S22" s="4" t="str">
        <x:v>进入对应功能测试前</x:v>
      </x:c>
      <x:c r="T22" s="4" t="str">
        <x:v>待确认</x:v>
      </x:c>
    </x:row>
    <x:row r="23" ht="96" customHeight="1">
      <x:c r="A23" s="4" t="str">
        <x:v>Q-015</x:v>
      </x:c>
      <x:c r="B23" s="4" t="str">
        <x:v>RQ-007</x:v>
      </x:c>
      <x:c r="C23" s="4" t="str"/>
      <x:c r="D23" s="4" t="str"/>
      <x:c r="E23" s="4" t="str">
        <x:v>部分阻塞</x:v>
      </x:c>
      <x:c r="F23" s="4" t="str">
        <x:v>M04 粉丝团·房管与成长等级</x:v>
      </x:c>
      <x:c r="G23" s="4" t="str">
        <x:v>后台编辑幸运礼物收益比例</x:v>
      </x:c>
      <x:c r="H23" s="4" t="str">
        <x:v>业务规则</x:v>
      </x:c>
      <x:c r="I23" s="4" t="str">
        <x:v>比例允许的小数位数以何为准？</x:v>
      </x:c>
      <x:c r="J23" s="4" t="str">
        <x:v>A. 最多两位小数，多余精度拒绝保存
B. 仅允许整数百分比</x:v>
      </x:c>
      <x:c r="K23" s="4" t="str">
        <x:v>建议优先评估A：明确后台编辑幸运礼物收益比例的唯一处理口径后，可构造确定的输入和结果；此建议不代表产品结论</x:v>
      </x:c>
      <x:c r="L23" s="8" t="str"/>
      <x:c r="M23" s="8" t="str"/>
      <x:c r="N23" s="4" t="str">
        <x:v>1. MainBasis/需求待确认清单.md#Q007：幸运收益与各类金额的精度和取整时点
2. 主文档关联：A-admin-level-config-022</x:v>
      </x:c>
      <x:c r="O23" s="4" t="str">
        <x:v>1. 用户App：后台编辑幸运礼物收益比例
2. 公会App：后台编辑幸运礼物收益比例
3. 管理后台：后台编辑幸运礼物收益比例</x:v>
      </x:c>
      <x:c r="P23" s="4" t="str"/>
      <x:c r="Q23" s="4" t="str">
        <x:v>1. 比例允许的小数位数以何为准的正向、边界及异常场景</x:v>
      </x:c>
      <x:c r="R23" s="4" t="str">
        <x:v>产品</x:v>
      </x:c>
      <x:c r="S23" s="4" t="str">
        <x:v>进入对应功能测试前</x:v>
      </x:c>
      <x:c r="T23" s="4" t="str">
        <x:v>待确认</x:v>
      </x:c>
    </x:row>
    <x:row r="24" ht="96" customHeight="1">
      <x:c r="A24" s="4" t="str">
        <x:v>Q-016</x:v>
      </x:c>
      <x:c r="B24" s="4" t="str">
        <x:v>RQ-008</x:v>
      </x:c>
      <x:c r="C24" s="4" t="str"/>
      <x:c r="D24" s="4" t="str"/>
      <x:c r="E24" s="4" t="str">
        <x:v>部分阻塞</x:v>
      </x:c>
      <x:c r="F24" s="4" t="str">
        <x:v>M02 发现·搜索·主页与平台榜单</x:v>
      </x:c>
      <x:c r="G24" s="4" t="str">
        <x:v>已成功消费订单发生业务纠错</x:v>
      </x:c>
      <x:c r="H24" s="4" t="str">
        <x:v>业务规则</x:v>
      </x:c>
      <x:c r="I24" s="4" t="str">
        <x:v>本期是否支持消费冲正？</x:v>
      </x:c>
      <x:c r="J24" s="4" t="str">
        <x:v>A. 支持，仅管理后台授权财务可发起，并保留原单
B. 不支持，礼物和门票消费成功后无冲正入口</x:v>
      </x:c>
      <x:c r="K24" s="4" t="str">
        <x:v>建议优先评估A：明确已成功消费订单发生业务纠错的唯一处理口径后，可构造确定的输入和结果；此建议不代表产品结论</x:v>
      </x:c>
      <x:c r="L24" s="8" t="str"/>
      <x:c r="M24" s="8" t="str"/>
      <x:c r="N24" s="4" t="str">
        <x:v>1. MainBasis/需求待确认清单.md#Q008：充值退款与消费冲正的适用范围
2. 主文档关联：D-SYS-134、U-host-ranking-009、A-admin-recharge-order-008、U-contribution-ranking-009</x:v>
      </x:c>
      <x:c r="O24" s="4" t="str">
        <x:v>1. 用户App：已成功消费订单发生业务纠错
2. 公会App：已成功消费订单发生业务纠错
3. 管理后台：已成功消费订单发生业务纠错</x:v>
      </x:c>
      <x:c r="P24" s="4" t="str"/>
      <x:c r="Q24" s="4" t="str">
        <x:v>1. 本期是否支持消费冲正的正向、边界及异常场景</x:v>
      </x:c>
      <x:c r="R24" s="4" t="str">
        <x:v>产品</x:v>
      </x:c>
      <x:c r="S24" s="4" t="str">
        <x:v>进入对应功能测试前</x:v>
      </x:c>
      <x:c r="T24" s="4" t="str">
        <x:v>待确认</x:v>
      </x:c>
    </x:row>
    <x:row r="25" ht="96" customHeight="1">
      <x:c r="A25" s="4" t="str">
        <x:v>Q-017</x:v>
      </x:c>
      <x:c r="B25" s="4" t="str">
        <x:v>RQ-009</x:v>
      </x:c>
      <x:c r="C25" s="4" t="str"/>
      <x:c r="D25" s="4" t="str"/>
      <x:c r="E25" s="4" t="str">
        <x:v>部分阻塞</x:v>
      </x:c>
      <x:c r="F25" s="4" t="str">
        <x:v>M04 粉丝团·房管与成长等级</x:v>
      </x:c>
      <x:c r="G25" s="4" t="str">
        <x:v>充值退款发生但此前赠送的礼物保留</x:v>
      </x:c>
      <x:c r="H25" s="4" t="str">
        <x:v>业务规则</x:v>
      </x:c>
      <x:c r="I25" s="4" t="str">
        <x:v>是否扣减财富等级成长值？</x:v>
      </x:c>
      <x:c r="J25" s="4" t="str">
        <x:v>A. 不扣减，财富成长仍按成功赠礼贡献
B. 按退款回收金币等额扣减财富成长，最低回到1级</x:v>
      </x:c>
      <x:c r="K25" s="4" t="str">
        <x:v>建议优先评估A：明确充值退款发生但此前赠送的礼物保留的唯一处理口径后，可构造确定的输入和结果；此建议不代表产品结论</x:v>
      </x:c>
      <x:c r="L25" s="8" t="str"/>
      <x:c r="M25" s="8" t="str"/>
      <x:c r="N25" s="4" t="str">
        <x:v>1. MainBasis/需求待确认清单.md#Q009：充值退款如何影响以送礼贡献计算的财富等级
2. 主文档关联：U-my-fan-clubs-015、A-admin-level-config-010、A-admin-level-config-023</x:v>
      </x:c>
      <x:c r="O25" s="4" t="str">
        <x:v>1. 用户App：充值退款发生但此前赠送的礼物保留
2. 公会App：充值退款发生但此前赠送的礼物保留
3. 管理后台：充值退款发生但此前赠送的礼物保留</x:v>
      </x:c>
      <x:c r="P25" s="4" t="str"/>
      <x:c r="Q25" s="4" t="str">
        <x:v>1. 是否扣减财富等级成长值的正向、边界及异常场景</x:v>
      </x:c>
      <x:c r="R25" s="4" t="str">
        <x:v>产品</x:v>
      </x:c>
      <x:c r="S25" s="4" t="str">
        <x:v>进入对应功能测试前</x:v>
      </x:c>
      <x:c r="T25" s="4" t="str">
        <x:v>待确认</x:v>
      </x:c>
    </x:row>
    <x:row r="26" ht="110" customHeight="1">
      <x:c r="A26" s="4" t="str">
        <x:v>Q-022</x:v>
      </x:c>
      <x:c r="B26" s="4" t="str">
        <x:v>RQ-011</x:v>
      </x:c>
      <x:c r="C26" s="4" t="str"/>
      <x:c r="D26" s="4" t="str"/>
      <x:c r="E26" s="4" t="str">
        <x:v>部分阻塞</x:v>
      </x:c>
      <x:c r="F26" s="4" t="str">
        <x:v>M08 礼物·道具·任务·邀请与运营配置</x:v>
      </x:c>
      <x:c r="G26" s="4" t="str">
        <x:v>管理员创建任务并选择奖励</x:v>
      </x:c>
      <x:c r="H26" s="4" t="str">
        <x:v>业务规则</x:v>
      </x:c>
      <x:c r="I26" s="4" t="str">
        <x:v>任务奖励是否允许道具？</x:v>
      </x:c>
      <x:c r="J26" s="4" t="str">
        <x:v>A. 仅金币；现有道具视图从本期任务流程移除
B. 允许金币或道具单选；已发出的奖励保持原类型</x:v>
      </x:c>
      <x:c r="K26" s="4" t="str">
        <x:v>建议优先评估A：明确管理员创建任务并选择奖励的唯一处理口径后，可构造确定的输入和结果；此建议不代表产品结论</x:v>
      </x:c>
      <x:c r="L26" s="8" t="str"/>
      <x:c r="M26" s="8" t="str"/>
      <x:c r="N26" s="4" t="str">
        <x:v>1. MainBasis/需求待确认清单.md#Q011：签到、任务与道具奖励的类型和领取方式
2. 主文档关联：U-welfare-center-007、A-admin-task-config-006、U-my-decoration-004、U-views_welfare-center_claimed-005</x:v>
      </x:c>
      <x:c r="O26" s="4" t="str">
        <x:v>1. 用户App：管理员创建任务并选择奖励
2. 公会App：管理员创建任务并选择奖励
3. 管理后台：管理员创建任务并选择奖励</x:v>
      </x:c>
      <x:c r="P26" s="4" t="str"/>
      <x:c r="Q26" s="4" t="str">
        <x:v>1. 任务奖励是否允许道具的正向、边界及异常场景</x:v>
      </x:c>
      <x:c r="R26" s="4" t="str">
        <x:v>产品</x:v>
      </x:c>
      <x:c r="S26" s="4" t="str">
        <x:v>进入对应功能测试前</x:v>
      </x:c>
      <x:c r="T26" s="4" t="str">
        <x:v>待确认</x:v>
      </x:c>
    </x:row>
    <x:row r="27" ht="110" customHeight="1">
      <x:c r="A27" s="4" t="str">
        <x:v>Q-023</x:v>
      </x:c>
      <x:c r="B27" s="4" t="str">
        <x:v>RQ-011</x:v>
      </x:c>
      <x:c r="C27" s="4" t="str"/>
      <x:c r="D27" s="4" t="str"/>
      <x:c r="E27" s="4" t="str">
        <x:v>部分阻塞</x:v>
      </x:c>
      <x:c r="F27" s="4" t="str">
        <x:v>M08 礼物·道具·任务·邀请与运营配置</x:v>
      </x:c>
      <x:c r="G27" s="4" t="str">
        <x:v>用户断签后返回每日签到</x:v>
      </x:c>
      <x:c r="H27" s="4" t="str">
        <x:v>业务规则</x:v>
      </x:c>
      <x:c r="I27" s="4" t="str">
        <x:v>是否允许补签？</x:v>
      </x:c>
      <x:c r="J27" s="4" t="str">
        <x:v>A. 不允许，断签后从第1天重新累计
B. 允许使用补签功能，补签价格及次数以公开配置为准</x:v>
      </x:c>
      <x:c r="K27" s="4" t="str">
        <x:v>建议优先评估A：明确用户断签后返回每日签到的唯一处理口径后，可构造确定的输入和结果；此建议不代表产品结论</x:v>
      </x:c>
      <x:c r="L27" s="8" t="str"/>
      <x:c r="M27" s="8" t="str"/>
      <x:c r="N27" s="4" t="str">
        <x:v>1. MainBasis/需求待确认清单.md#Q011：签到、任务与道具奖励的类型和领取方式
2. 主文档关联：U-welfare-center-007、A-admin-task-config-006、U-my-decoration-004、U-views_welfare-center_claimed-005</x:v>
      </x:c>
      <x:c r="O27" s="4" t="str">
        <x:v>1. 用户App：用户断签后返回每日签到
2. 公会App：用户断签后返回每日签到
3. 管理后台：用户断签后返回每日签到</x:v>
      </x:c>
      <x:c r="P27" s="4" t="str"/>
      <x:c r="Q27" s="4" t="str">
        <x:v>1. 是否允许补签的正向、边界及异常场景</x:v>
      </x:c>
      <x:c r="R27" s="4" t="str">
        <x:v>产品</x:v>
      </x:c>
      <x:c r="S27" s="4" t="str">
        <x:v>进入对应功能测试前</x:v>
      </x:c>
      <x:c r="T27" s="4" t="str">
        <x:v>待确认</x:v>
      </x:c>
    </x:row>
    <x:row r="28" ht="110" customHeight="1">
      <x:c r="A28" s="4" t="str">
        <x:v>Q-024</x:v>
      </x:c>
      <x:c r="B28" s="4" t="str">
        <x:v>RQ-011</x:v>
      </x:c>
      <x:c r="C28" s="4" t="str"/>
      <x:c r="D28" s="4" t="str"/>
      <x:c r="E28" s="4" t="str">
        <x:v>部分阻塞</x:v>
      </x:c>
      <x:c r="F28" s="4" t="str">
        <x:v>M08 礼物·道具·任务·邀请与运营配置</x:v>
      </x:c>
      <x:c r="G28" s="4" t="str">
        <x:v>任务被停用时用户已达标但尚未领取</x:v>
      </x:c>
      <x:c r="H28" s="4" t="str">
        <x:v>业务规则</x:v>
      </x:c>
      <x:c r="I28" s="4" t="str">
        <x:v>停用前已达标且未过领取期限的奖励能否领取？</x:v>
      </x:c>
      <x:c r="J28" s="4" t="str">
        <x:v>A. 可以，按达标时奖励快照领取至原领取期限
B. 不可以，停用起关闭所有未领取奖励</x:v>
      </x:c>
      <x:c r="K28" s="4" t="str">
        <x:v>建议优先评估A：明确任务被停用时用户已达标但尚未领取的唯一处理口径后，可构造确定的输入和结果；此建议不代表产品结论</x:v>
      </x:c>
      <x:c r="L28" s="8" t="str"/>
      <x:c r="M28" s="8" t="str"/>
      <x:c r="N28" s="4" t="str">
        <x:v>1. MainBasis/需求待确认清单.md#Q011：签到、任务与道具奖励的类型和领取方式
2. 主文档关联：U-welfare-center-007、A-admin-task-config-006、U-my-decoration-004、U-views_welfare-center_claimed-005</x:v>
      </x:c>
      <x:c r="O28" s="4" t="str">
        <x:v>1. 用户App：任务被停用时用户已达标但尚未领取
2. 公会App：任务被停用时用户已达标但尚未领取
3. 管理后台：任务被停用时用户已达标但尚未领取</x:v>
      </x:c>
      <x:c r="P28" s="4" t="str"/>
      <x:c r="Q28" s="4" t="str">
        <x:v>1. 停用前已达标且未过领取期限的奖励能否领取的正向、边界及异常场景</x:v>
      </x:c>
      <x:c r="R28" s="4" t="str">
        <x:v>产品</x:v>
      </x:c>
      <x:c r="S28" s="4" t="str">
        <x:v>进入对应功能测试前</x:v>
      </x:c>
      <x:c r="T28" s="4" t="str">
        <x:v>待确认</x:v>
      </x:c>
    </x:row>
    <x:row r="29" ht="96" customHeight="1">
      <x:c r="A29" s="4" t="str">
        <x:v>Q-025</x:v>
      </x:c>
      <x:c r="B29" s="4" t="str">
        <x:v>RQ-012</x:v>
      </x:c>
      <x:c r="C29" s="4" t="str"/>
      <x:c r="D29" s="4" t="str"/>
      <x:c r="E29" s="4" t="str">
        <x:v>部分阻塞</x:v>
      </x:c>
      <x:c r="F29" s="4" t="str">
        <x:v>M08 礼物·道具·任务·邀请与运营配置</x:v>
      </x:c>
      <x:c r="G29" s="4" t="str">
        <x:v>受邀用户首次完成注册绑定</x:v>
      </x:c>
      <x:c r="H29" s="4" t="str">
        <x:v>业务规则</x:v>
      </x:c>
      <x:c r="I29" s="4" t="str">
        <x:v>注册邀请奖励数量采用哪个来源？</x:v>
      </x:c>
      <x:c r="J29" s="4" t="str">
        <x:v>A. 每次固定10金币
B. 按绑定时生效的后台邀请奖励配置</x:v>
      </x:c>
      <x:c r="K29" s="4" t="str">
        <x:v>建议优先评估A：明确受邀用户首次完成注册绑定的唯一处理口径后，可构造确定的输入和结果；此建议不代表产品结论</x:v>
      </x:c>
      <x:c r="L29" s="8" t="str"/>
      <x:c r="M29" s="8" t="str"/>
      <x:c r="N29" s="4" t="str">
        <x:v>1. MainBasis/需求待确认清单.md#Q012：邀请奖励固定值、后台配置与返利范围
2. 主文档关联：U-welfare-center-003、U-invite-friends-005、U-invite-friends-006、U-invite-friends-007</x:v>
      </x:c>
      <x:c r="O29" s="4" t="str">
        <x:v>1. 用户App：受邀用户首次完成注册绑定
2. 公会App：受邀用户首次完成注册绑定
3. 管理后台：受邀用户首次完成注册绑定</x:v>
      </x:c>
      <x:c r="P29" s="4" t="str"/>
      <x:c r="Q29" s="4" t="str">
        <x:v>1. 注册邀请奖励数量采用哪个来源的正向、边界及异常场景</x:v>
      </x:c>
      <x:c r="R29" s="4" t="str">
        <x:v>产品</x:v>
      </x:c>
      <x:c r="S29" s="4" t="str">
        <x:v>进入对应功能测试前</x:v>
      </x:c>
      <x:c r="T29" s="4" t="str">
        <x:v>待确认</x:v>
      </x:c>
    </x:row>
    <x:row r="30" ht="96" customHeight="1">
      <x:c r="A30" s="4" t="str">
        <x:v>Q-026</x:v>
      </x:c>
      <x:c r="B30" s="4" t="str">
        <x:v>RQ-012</x:v>
      </x:c>
      <x:c r="C30" s="4" t="str"/>
      <x:c r="D30" s="4" t="str"/>
      <x:c r="E30" s="4" t="str">
        <x:v>部分阻塞</x:v>
      </x:c>
      <x:c r="F30" s="4" t="str">
        <x:v>M08 礼物·道具·任务·邀请与运营配置</x:v>
      </x:c>
      <x:c r="G30" s="4" t="str">
        <x:v>受邀用户首次完成有效注册绑定</x:v>
      </x:c>
      <x:c r="H30" s="4" t="str">
        <x:v>业务规则</x:v>
      </x:c>
      <x:c r="I30" s="4" t="str">
        <x:v>注册奖励发给谁？</x:v>
      </x:c>
      <x:c r="J30" s="4" t="str">
        <x:v>A. 仅邀请人
B. 邀请人与受邀人各获得一份</x:v>
      </x:c>
      <x:c r="K30" s="4" t="str">
        <x:v>建议优先评估A：明确受邀用户首次完成有效注册绑定的唯一处理口径后，可构造确定的输入和结果；此建议不代表产品结论</x:v>
      </x:c>
      <x:c r="L30" s="8" t="str"/>
      <x:c r="M30" s="8" t="str"/>
      <x:c r="N30" s="4" t="str">
        <x:v>1. MainBasis/需求待确认清单.md#Q012：邀请奖励固定值、后台配置与返利范围
2. 主文档关联：U-welfare-center-003、U-invite-friends-005、U-invite-friends-006、U-invite-friends-007</x:v>
      </x:c>
      <x:c r="O30" s="4" t="str">
        <x:v>1. 用户App：受邀用户首次完成有效注册绑定
2. 公会App：受邀用户首次完成有效注册绑定
3. 管理后台：受邀用户首次完成有效注册绑定</x:v>
      </x:c>
      <x:c r="P30" s="4" t="str"/>
      <x:c r="Q30" s="4" t="str">
        <x:v>1. 注册奖励发给谁的正向、边界及异常场景</x:v>
      </x:c>
      <x:c r="R30" s="4" t="str">
        <x:v>产品</x:v>
      </x:c>
      <x:c r="S30" s="4" t="str">
        <x:v>进入对应功能测试前</x:v>
      </x:c>
      <x:c r="T30" s="4" t="str">
        <x:v>待确认</x:v>
      </x:c>
    </x:row>
    <x:row r="31" ht="96" customHeight="1">
      <x:c r="A31" s="4" t="str">
        <x:v>Q-027</x:v>
      </x:c>
      <x:c r="B31" s="4" t="str">
        <x:v>RQ-012</x:v>
      </x:c>
      <x:c r="C31" s="4" t="str"/>
      <x:c r="D31" s="4" t="str"/>
      <x:c r="E31" s="4" t="str">
        <x:v>部分阻塞</x:v>
      </x:c>
      <x:c r="F31" s="4" t="str">
        <x:v>M08 礼物·道具·任务·邀请与运营配置</x:v>
      </x:c>
      <x:c r="G31" s="4" t="str">
        <x:v>受邀用户后续充值成功</x:v>
      </x:c>
      <x:c r="H31" s="4" t="str">
        <x:v>业务规则</x:v>
      </x:c>
      <x:c r="I31" s="4" t="str">
        <x:v>本期是否提供充值邀请返利？</x:v>
      </x:c>
      <x:c r="J31" s="4" t="str">
        <x:v>A. 不提供，邀请收益仅来自注册绑定
B. 提供，按充值成功时生效的返利比例配置结算</x:v>
      </x:c>
      <x:c r="K31" s="4" t="str">
        <x:v>建议优先评估A：明确受邀用户后续充值成功的唯一处理口径后，可构造确定的输入和结果；此建议不代表产品结论</x:v>
      </x:c>
      <x:c r="L31" s="8" t="str"/>
      <x:c r="M31" s="8" t="str"/>
      <x:c r="N31" s="4" t="str">
        <x:v>1. MainBasis/需求待确认清单.md#Q012：邀请奖励固定值、后台配置与返利范围
2. 主文档关联：U-welfare-center-003、U-invite-friends-005、U-invite-friends-006、U-invite-friends-007</x:v>
      </x:c>
      <x:c r="O31" s="4" t="str">
        <x:v>1. 用户App：受邀用户后续充值成功
2. 公会App：受邀用户后续充值成功
3. 管理后台：受邀用户后续充值成功</x:v>
      </x:c>
      <x:c r="P31" s="4" t="str"/>
      <x:c r="Q31" s="4" t="str">
        <x:v>1. 本期是否提供充值邀请返利的正向、边界及异常场景</x:v>
      </x:c>
      <x:c r="R31" s="4" t="str">
        <x:v>产品</x:v>
      </x:c>
      <x:c r="S31" s="4" t="str">
        <x:v>进入对应功能测试前</x:v>
      </x:c>
      <x:c r="T31" s="4" t="str">
        <x:v>待确认</x:v>
      </x:c>
    </x:row>
    <x:row r="32" ht="96" customHeight="1">
      <x:c r="A32" s="4" t="str">
        <x:v>Q-028</x:v>
      </x:c>
      <x:c r="B32" s="4" t="str">
        <x:v>RQ-013</x:v>
      </x:c>
      <x:c r="C32" s="4" t="str"/>
      <x:c r="D32" s="4" t="str"/>
      <x:c r="E32" s="4" t="str">
        <x:v>部分阻塞</x:v>
      </x:c>
      <x:c r="F32" s="4" t="str">
        <x:v>M04 粉丝团·房管与成长等级</x:v>
      </x:c>
      <x:c r="G32" s="4" t="str">
        <x:v>用户加入主播粉丝团前已向该主播送礼</x:v>
      </x:c>
      <x:c r="H32" s="4" t="str">
        <x:v>业务规则</x:v>
      </x:c>
      <x:c r="I32" s="4" t="str">
        <x:v>入团前礼物是否计入首次粉丝等级？</x:v>
      </x:c>
      <x:c r="J32" s="4" t="str">
        <x:v>A. 不计入，从本次入团时点累计
B. 计入该用户对该主播的全部历史成功赠礼</x:v>
      </x:c>
      <x:c r="K32" s="4" t="str">
        <x:v>建议优先评估A：明确用户加入主播粉丝团前已向该主播送礼的唯一处理口径后，可构造确定的输入和结果；此建议不代表产品结论</x:v>
      </x:c>
      <x:c r="L32" s="8" t="str"/>
      <x:c r="M32" s="8" t="str"/>
      <x:c r="N32" s="4" t="str">
        <x:v>1. MainBasis/需求待确认清单.md#Q013：粉丝等级、团等级与亲密度的统计归属
2. 主文档关联：U-my-fan-clubs-009、A-admin-level-config-022、U-my-fan-clubs-020</x:v>
      </x:c>
      <x:c r="O32" s="4" t="str">
        <x:v>1. 用户App：用户加入主播粉丝团前已向该主播送礼
2. 公会App：用户加入主播粉丝团前已向该主播送礼
3. 管理后台：用户加入主播粉丝团前已向该主播送礼</x:v>
      </x:c>
      <x:c r="P32" s="4" t="str"/>
      <x:c r="Q32" s="4" t="str">
        <x:v>1. 入团前礼物是否计入首次粉丝等级的正向、边界及异常场景</x:v>
      </x:c>
      <x:c r="R32" s="4" t="str">
        <x:v>产品</x:v>
      </x:c>
      <x:c r="S32" s="4" t="str">
        <x:v>进入对应功能测试前</x:v>
      </x:c>
      <x:c r="T32" s="4" t="str">
        <x:v>待确认</x:v>
      </x:c>
    </x:row>
    <x:row r="33" ht="96" customHeight="1">
      <x:c r="A33" s="4" t="str">
        <x:v>Q-029</x:v>
      </x:c>
      <x:c r="B33" s="4" t="str">
        <x:v>RQ-013</x:v>
      </x:c>
      <x:c r="C33" s="4" t="str"/>
      <x:c r="D33" s="4" t="str"/>
      <x:c r="E33" s="4" t="str">
        <x:v>部分阻塞</x:v>
      </x:c>
      <x:c r="F33" s="4" t="str">
        <x:v>M04 粉丝团·房管与成长等级</x:v>
      </x:c>
      <x:c r="G33" s="4" t="str">
        <x:v>粉丝团成员长期未互动但仍保有团籍</x:v>
      </x:c>
      <x:c r="H33" s="4" t="str">
        <x:v>业务规则</x:v>
      </x:c>
      <x:c r="I33" s="4" t="str">
        <x:v>长期不活跃是否降低粉丝团等级？</x:v>
      </x:c>
      <x:c r="J33" s="4" t="str">
        <x:v>A. 不降低，仅按累计有效收礼计算
B. 按后台公开的不活跃周期和降级规则配置调整</x:v>
      </x:c>
      <x:c r="K33" s="4" t="str">
        <x:v>建议优先评估A：明确粉丝团成员长期未互动但仍保有团籍的唯一处理口径后，可构造确定的输入和结果；此建议不代表产品结论</x:v>
      </x:c>
      <x:c r="L33" s="8" t="str"/>
      <x:c r="M33" s="8" t="str"/>
      <x:c r="N33" s="4" t="str">
        <x:v>1. MainBasis/需求待确认清单.md#Q013：粉丝等级、团等级与亲密度的统计归属
2. 主文档关联：U-my-fan-clubs-009、A-admin-level-config-022、U-my-fan-clubs-020</x:v>
      </x:c>
      <x:c r="O33" s="4" t="str">
        <x:v>1. 用户App：粉丝团成员长期未互动但仍保有团籍
2. 公会App：粉丝团成员长期未互动但仍保有团籍
3. 管理后台：粉丝团成员长期未互动但仍保有团籍</x:v>
      </x:c>
      <x:c r="P33" s="4" t="str"/>
      <x:c r="Q33" s="4" t="str">
        <x:v>1. 长期不活跃是否降低粉丝团等级的正向、边界及异常场景</x:v>
      </x:c>
      <x:c r="R33" s="4" t="str">
        <x:v>产品</x:v>
      </x:c>
      <x:c r="S33" s="4" t="str">
        <x:v>进入对应功能测试前</x:v>
      </x:c>
      <x:c r="T33" s="4" t="str">
        <x:v>待确认</x:v>
      </x:c>
    </x:row>
    <x:row r="34" ht="96" customHeight="1">
      <x:c r="A34" s="4" t="str">
        <x:v>Q-030</x:v>
      </x:c>
      <x:c r="B34" s="4" t="str">
        <x:v>RQ-014</x:v>
      </x:c>
      <x:c r="C34" s="4" t="str"/>
      <x:c r="D34" s="4" t="str"/>
      <x:c r="E34" s="4" t="str">
        <x:v>部分阻塞</x:v>
      </x:c>
      <x:c r="F34" s="4" t="str">
        <x:v>M04 粉丝团·房管与成长等级</x:v>
      </x:c>
      <x:c r="G34" s="4" t="str">
        <x:v>已退团用户重新加入后查看贡献榜</x:v>
      </x:c>
      <x:c r="H34" s="4" t="str">
        <x:v>业务规则</x:v>
      </x:c>
      <x:c r="I34" s="4" t="str">
        <x:v>历史团籍贡献是否继续计入榜单？</x:v>
      </x:c>
      <x:c r="J34" s="4" t="str">
        <x:v>A. 只统计当前团籍有效期间的贡献
B. 统计该用户历史全部团籍期间的贡献</x:v>
      </x:c>
      <x:c r="K34" s="4" t="str">
        <x:v>建议优先评估A：明确已退团用户重新加入后查看贡献榜的唯一处理口径后，可构造确定的输入和结果；此建议不代表产品结论</x:v>
      </x:c>
      <x:c r="L34" s="8" t="str"/>
      <x:c r="M34" s="8" t="str"/>
      <x:c r="N34" s="4" t="str">
        <x:v>1. MainBasis/需求待确认清单.md#Q014：粉丝团贡献榜、成员榜与个人卡片的口径
2. 主文档关联：U-my-fan-clubs-010、U-fan-contribution-ranking-002、U-my-fan-clubs-011、U-my-fan-clubs-012</x:v>
      </x:c>
      <x:c r="O34" s="4" t="str">
        <x:v>1. 用户App：已退团用户重新加入后查看贡献榜
2. 公会App：已退团用户重新加入后查看贡献榜
3. 管理后台：已退团用户重新加入后查看贡献榜</x:v>
      </x:c>
      <x:c r="P34" s="4" t="str"/>
      <x:c r="Q34" s="4" t="str">
        <x:v>1. 历史团籍贡献是否继续计入榜单的正向、边界及异常场景</x:v>
      </x:c>
      <x:c r="R34" s="4" t="str">
        <x:v>产品</x:v>
      </x:c>
      <x:c r="S34" s="4" t="str">
        <x:v>进入对应功能测试前</x:v>
      </x:c>
      <x:c r="T34" s="4" t="str">
        <x:v>待确认</x:v>
      </x:c>
    </x:row>
    <x:row r="35" ht="96" customHeight="1">
      <x:c r="A35" s="4" t="str">
        <x:v>Q-031</x:v>
      </x:c>
      <x:c r="B35" s="4" t="str">
        <x:v>RQ-014</x:v>
      </x:c>
      <x:c r="C35" s="4" t="str"/>
      <x:c r="D35" s="4" t="str"/>
      <x:c r="E35" s="4" t="str">
        <x:v>部分阻塞</x:v>
      </x:c>
      <x:c r="F35" s="4" t="str">
        <x:v>M04 粉丝团·房管与成长等级</x:v>
      </x:c>
      <x:c r="G35" s="4" t="str">
        <x:v>当前用户未进入粉丝团贡献前三名</x:v>
      </x:c>
      <x:c r="H35" s="4" t="str">
        <x:v>业务规则</x:v>
      </x:c>
      <x:c r="I35" s="4" t="str">
        <x:v>我的粉丝团卡片的头像位置如何分配？</x:v>
      </x:c>
      <x:c r="J35" s="4" t="str">
        <x:v>A. 本人固定占1位，另2位按贡献排序
B. 仅显示贡献前三名，本人未入前三则不显示本人</x:v>
      </x:c>
      <x:c r="K35" s="4" t="str">
        <x:v>建议优先评估A：明确当前用户未进入粉丝团贡献前三名的唯一处理口径后，可构造确定的输入和结果；此建议不代表产品结论</x:v>
      </x:c>
      <x:c r="L35" s="8" t="str"/>
      <x:c r="M35" s="8" t="str"/>
      <x:c r="N35" s="4" t="str">
        <x:v>1. MainBasis/需求待确认清单.md#Q014：粉丝团贡献榜、成员榜与个人卡片的口径
2. 主文档关联：U-my-fan-clubs-010、U-fan-contribution-ranking-002、U-my-fan-clubs-011、U-my-fan-clubs-012</x:v>
      </x:c>
      <x:c r="O35" s="4" t="str">
        <x:v>1. 用户App：当前用户未进入粉丝团贡献前三名
2. 公会App：当前用户未进入粉丝团贡献前三名
3. 管理后台：当前用户未进入粉丝团贡献前三名</x:v>
      </x:c>
      <x:c r="P35" s="4" t="str"/>
      <x:c r="Q35" s="4" t="str">
        <x:v>1. 我的粉丝团卡片的头像位置如何分配的正向、边界及异常场景</x:v>
      </x:c>
      <x:c r="R35" s="4" t="str">
        <x:v>产品</x:v>
      </x:c>
      <x:c r="S35" s="4" t="str">
        <x:v>进入对应功能测试前</x:v>
      </x:c>
      <x:c r="T35" s="4" t="str">
        <x:v>待确认</x:v>
      </x:c>
    </x:row>
    <x:row r="36" ht="96" customHeight="1">
      <x:c r="A36" s="4" t="str">
        <x:v>Q-032</x:v>
      </x:c>
      <x:c r="B36" s="4" t="str">
        <x:v>RQ-015</x:v>
      </x:c>
      <x:c r="C36" s="4" t="str"/>
      <x:c r="D36" s="4" t="str"/>
      <x:c r="E36" s="4" t="str">
        <x:v>部分阻塞</x:v>
      </x:c>
      <x:c r="F36" s="4" t="str">
        <x:v>M04 粉丝团·房管与成长等级</x:v>
      </x:c>
      <x:c r="G36" s="4" t="str">
        <x:v>管理员编辑连续等级的成长门槛</x:v>
      </x:c>
      <x:c r="H36" s="4" t="str">
        <x:v>业务规则</x:v>
      </x:c>
      <x:c r="I36" s="4" t="str">
        <x:v>相邻等级门槛是否必须严格递增？</x:v>
      </x:c>
      <x:c r="J36" s="4" t="str">
        <x:v>A. 必须严格递增，相同或倒置拒绝保存
B. 允许相同门槛，达标时取其中最高等级</x:v>
      </x:c>
      <x:c r="K36" s="4" t="str">
        <x:v>建议优先评估A：明确管理员编辑连续等级的成长门槛的唯一处理口径后，可构造确定的输入和结果；此建议不代表产品结论</x:v>
      </x:c>
      <x:c r="L36" s="8" t="str"/>
      <x:c r="M36" s="8" t="str"/>
      <x:c r="N36" s="4" t="str">
        <x:v>1. MainBasis/需求待确认清单.md#Q015：等级门槛、保存并发和勋章展示边界
2. 主文档关联：A-admin-level-config-019、A-admin-level-config-020、A-admin-level-config-021、A-admin-level-config-022</x:v>
      </x:c>
      <x:c r="O36" s="4" t="str">
        <x:v>1. 用户App：管理员编辑连续等级的成长门槛
2. 公会App：管理员编辑连续等级的成长门槛
3. 管理后台：管理员编辑连续等级的成长门槛</x:v>
      </x:c>
      <x:c r="P36" s="4" t="str"/>
      <x:c r="Q36" s="4" t="str">
        <x:v>1. 相邻等级门槛是否必须严格递增的正向、边界及异常场景</x:v>
      </x:c>
      <x:c r="R36" s="4" t="str">
        <x:v>产品</x:v>
      </x:c>
      <x:c r="S36" s="4" t="str">
        <x:v>进入对应功能测试前</x:v>
      </x:c>
      <x:c r="T36" s="4" t="str">
        <x:v>待确认</x:v>
      </x:c>
    </x:row>
    <x:row r="37" ht="96" customHeight="1">
      <x:c r="A37" s="4" t="str">
        <x:v>Q-033</x:v>
      </x:c>
      <x:c r="B37" s="4" t="str">
        <x:v>RQ-015</x:v>
      </x:c>
      <x:c r="C37" s="4" t="str"/>
      <x:c r="D37" s="4" t="str"/>
      <x:c r="E37" s="4" t="str">
        <x:v>部分阻塞</x:v>
      </x:c>
      <x:c r="F37" s="4" t="str">
        <x:v>M04 粉丝团·房管与成长等级</x:v>
      </x:c>
      <x:c r="G37" s="4" t="str">
        <x:v>两位管理员同时编辑同一等级配置</x:v>
      </x:c>
      <x:c r="H37" s="4" t="str">
        <x:v>业务规则</x:v>
      </x:c>
      <x:c r="I37" s="4" t="str">
        <x:v>后提交者如何处理版本冲突？</x:v>
      </x:c>
      <x:c r="J37" s="4" t="str">
        <x:v>A. 拒绝旧版本提交并要求刷新
B. 以最后一次成功提交的整组配置为准</x:v>
      </x:c>
      <x:c r="K37" s="4" t="str">
        <x:v>建议优先评估A：明确两位管理员同时编辑同一等级配置的唯一处理口径后，可构造确定的输入和结果；此建议不代表产品结论</x:v>
      </x:c>
      <x:c r="L37" s="8" t="str"/>
      <x:c r="M37" s="8" t="str"/>
      <x:c r="N37" s="4" t="str">
        <x:v>1. MainBasis/需求待确认清单.md#Q015：等级门槛、保存并发和勋章展示边界
2. 主文档关联：A-admin-level-config-019、A-admin-level-config-020、A-admin-level-config-021、A-admin-level-config-022</x:v>
      </x:c>
      <x:c r="O37" s="4" t="str">
        <x:v>1. 用户App：两位管理员同时编辑同一等级配置
2. 公会App：两位管理员同时编辑同一等级配置
3. 管理后台：两位管理员同时编辑同一等级配置</x:v>
      </x:c>
      <x:c r="P37" s="4" t="str"/>
      <x:c r="Q37" s="4" t="str">
        <x:v>1. 后提交者如何处理版本冲突的正向、边界及异常场景</x:v>
      </x:c>
      <x:c r="R37" s="4" t="str">
        <x:v>产品</x:v>
      </x:c>
      <x:c r="S37" s="4" t="str">
        <x:v>进入对应功能测试前</x:v>
      </x:c>
      <x:c r="T37" s="4" t="str">
        <x:v>待确认</x:v>
      </x:c>
    </x:row>
    <x:row r="38" ht="96" customHeight="1">
      <x:c r="A38" s="4" t="str">
        <x:v>Q-034</x:v>
      </x:c>
      <x:c r="B38" s="4" t="str">
        <x:v>RQ-015</x:v>
      </x:c>
      <x:c r="C38" s="4" t="str"/>
      <x:c r="D38" s="4" t="str"/>
      <x:c r="E38" s="4" t="str">
        <x:v>部分阻塞</x:v>
      </x:c>
      <x:c r="F38" s="4" t="str">
        <x:v>M04 粉丝团·房管与成长等级</x:v>
      </x:c>
      <x:c r="G38" s="4" t="str">
        <x:v>用户成长后获得更高等级勋章</x:v>
      </x:c>
      <x:c r="H38" s="4" t="str">
        <x:v>业务规则</x:v>
      </x:c>
      <x:c r="I38" s="4" t="str">
        <x:v>新等级勋章是否自动替换已佩戴的旧等级勋章？</x:v>
      </x:c>
      <x:c r="J38" s="4" t="str">
        <x:v>A. 自动替换同系列旧勋章
B. 仅发入背包，由用户手动佩戴</x:v>
      </x:c>
      <x:c r="K38" s="4" t="str">
        <x:v>建议优先评估A：明确用户成长后获得更高等级勋章的唯一处理口径后，可构造确定的输入和结果；此建议不代表产品结论</x:v>
      </x:c>
      <x:c r="L38" s="8" t="str"/>
      <x:c r="M38" s="8" t="str"/>
      <x:c r="N38" s="4" t="str">
        <x:v>1. MainBasis/需求待确认清单.md#Q015：等级门槛、保存并发和勋章展示边界
2. 主文档关联：A-admin-level-config-019、A-admin-level-config-020、A-admin-level-config-021、A-admin-level-config-022</x:v>
      </x:c>
      <x:c r="O38" s="4" t="str">
        <x:v>1. 用户App：用户成长后获得更高等级勋章
2. 公会App：用户成长后获得更高等级勋章
3. 管理后台：用户成长后获得更高等级勋章</x:v>
      </x:c>
      <x:c r="P38" s="4" t="str"/>
      <x:c r="Q38" s="4" t="str">
        <x:v>1. 新等级勋章是否自动替换已佩戴的旧等级勋章的正向、边界及异常场景</x:v>
      </x:c>
      <x:c r="R38" s="4" t="str">
        <x:v>产品</x:v>
      </x:c>
      <x:c r="S38" s="4" t="str">
        <x:v>进入对应功能测试前</x:v>
      </x:c>
      <x:c r="T38" s="4" t="str">
        <x:v>待确认</x:v>
      </x:c>
    </x:row>
    <x:row r="39" ht="96" customHeight="1">
      <x:c r="A39" s="4" t="str">
        <x:v>Q-035</x:v>
      </x:c>
      <x:c r="B39" s="4" t="str">
        <x:v>RQ-016</x:v>
      </x:c>
      <x:c r="C39" s="4" t="str"/>
      <x:c r="D39" s="4" t="str"/>
      <x:c r="E39" s="4" t="str">
        <x:v>部分阻塞</x:v>
      </x:c>
      <x:c r="F39" s="4" t="str">
        <x:v>M06 开播·房型·观看·连麦与房内管理</x:v>
      </x:c>
      <x:c r="G39" s="4" t="str">
        <x:v>主播接受一条连麦邀请且还有其他已收到邀请</x:v>
      </x:c>
      <x:c r="H39" s="4" t="str">
        <x:v>业务规则</x:v>
      </x:c>
      <x:c r="I39" s="4" t="str">
        <x:v>接受后其他已收到邀请是否失效？</x:v>
      </x:c>
      <x:c r="J39" s="4" t="str">
        <x:v>A. 保留，恢复单播后在原有效期内可继续处理
B. 全部失效，不再允许接受</x:v>
      </x:c>
      <x:c r="K39" s="4" t="str">
        <x:v>建议优先评估A：明确主播接受一条连麦邀请且还有其他已收到邀请的唯一处理口径后，可构造确定的输入和结果；此建议不代表产品结论</x:v>
      </x:c>
      <x:c r="L39" s="8" t="str"/>
      <x:c r="M39" s="8" t="str"/>
      <x:c r="N39" s="4" t="str">
        <x:v>1. MainBasis/需求待确认清单.md#Q016：接受连麦后其他收到的邀请是否保留
2. 主文档关联：D-SYS-110、U-views_live-room-host_cohost-hosts-006、U-views_live-room-host_cohost-invite-notice-005</x:v>
      </x:c>
      <x:c r="O39" s="4" t="str">
        <x:v>1. 用户App：主播接受一条连麦邀请且还有其他已收到邀请
2. 公会App：主播接受一条连麦邀请且还有其他已收到邀请
3. 管理后台：主播接受一条连麦邀请且还有其他已收到邀请</x:v>
      </x:c>
      <x:c r="P39" s="4" t="str"/>
      <x:c r="Q39" s="4" t="str">
        <x:v>1. 接受后其他已收到邀请是否失效的正向、边界及异常场景</x:v>
      </x:c>
      <x:c r="R39" s="4" t="str">
        <x:v>产品</x:v>
      </x:c>
      <x:c r="S39" s="4" t="str">
        <x:v>进入对应功能测试前</x:v>
      </x:c>
      <x:c r="T39" s="4" t="str">
        <x:v>待确认</x:v>
      </x:c>
    </x:row>
    <x:row r="40" ht="96" customHeight="1">
      <x:c r="A40" s="4" t="str">
        <x:v>Q-038</x:v>
      </x:c>
      <x:c r="B40" s="4" t="str">
        <x:v>RQ-018</x:v>
      </x:c>
      <x:c r="C40" s="4" t="str"/>
      <x:c r="D40" s="4" t="str"/>
      <x:c r="E40" s="4" t="str">
        <x:v>部分阻塞</x:v>
      </x:c>
      <x:c r="F40" s="4" t="str">
        <x:v>M02 发现·搜索·主页与平台榜单</x:v>
      </x:c>
      <x:c r="G40" s="4" t="str">
        <x:v>用户金币余额为负数并发起注销</x:v>
      </x:c>
      <x:c r="H40" s="4" t="str">
        <x:v>业务规则</x:v>
      </x:c>
      <x:c r="I40" s="4" t="str">
        <x:v>负余额是否满足小于100金币的注销条件？</x:v>
      </x:c>
      <x:c r="J40" s="4" t="str">
        <x:v>A. 不满足，负余额结清至非负后才能申请
B. 满足，余额小于100即可申请</x:v>
      </x:c>
      <x:c r="K40" s="4" t="str">
        <x:v>建议优先评估A：明确用户金币余额为负数并发起注销的唯一处理口径后，可构造确定的输入和结果；此建议不代表产品结论</x:v>
      </x:c>
      <x:c r="L40" s="8" t="str"/>
      <x:c r="M40" s="8" t="str"/>
      <x:c r="N40" s="4" t="str">
        <x:v>1. MainBasis/需求待确认清单.md#Q018：注销资产门槛和冷静期后数据留存
2. 主文档关联：U-host-ranking-009、U-contribution-ranking-009、U-fan-contribution-ranking-009、U-auth-login-register-014</x:v>
      </x:c>
      <x:c r="O40" s="4" t="str">
        <x:v>1. 用户App：用户金币余额为负数并发起注销
2. 公会App：用户金币余额为负数并发起注销
3. 管理后台：用户金币余额为负数并发起注销</x:v>
      </x:c>
      <x:c r="P40" s="4" t="str"/>
      <x:c r="Q40" s="4" t="str">
        <x:v>1. 负余额是否满足小于100金币的注销条件的正向、边界及异常场景</x:v>
      </x:c>
      <x:c r="R40" s="4" t="str">
        <x:v>产品</x:v>
      </x:c>
      <x:c r="S40" s="4" t="str">
        <x:v>进入对应功能测试前</x:v>
      </x:c>
      <x:c r="T40" s="4" t="str">
        <x:v>待确认</x:v>
      </x:c>
    </x:row>
    <x:row r="41" ht="96" customHeight="1">
      <x:c r="A41" s="4" t="str">
        <x:v>Q-039</x:v>
      </x:c>
      <x:c r="B41" s="4" t="str">
        <x:v>RQ-018</x:v>
      </x:c>
      <x:c r="C41" s="4" t="str"/>
      <x:c r="D41" s="4" t="str"/>
      <x:c r="E41" s="4" t="str">
        <x:v>部分阻塞</x:v>
      </x:c>
      <x:c r="F41" s="4" t="str">
        <x:v>M02 发现·搜索·主页与平台榜单</x:v>
      </x:c>
      <x:c r="G41" s="4" t="str">
        <x:v>主播仍有未结收益并发起注销</x:v>
      </x:c>
      <x:c r="H41" s="4" t="str">
        <x:v>业务规则</x:v>
      </x:c>
      <x:c r="I41" s="4" t="str">
        <x:v>未结收益是否阻止注销申请？</x:v>
      </x:c>
      <x:c r="J41" s="4" t="str">
        <x:v>A. 阻止，结清后才能提交
B. 不阻止，保留财务身份与债权记录至结清</x:v>
      </x:c>
      <x:c r="K41" s="4" t="str">
        <x:v>建议优先评估A：明确主播仍有未结收益并发起注销的唯一处理口径后，可构造确定的输入和结果；此建议不代表产品结论</x:v>
      </x:c>
      <x:c r="L41" s="8" t="str"/>
      <x:c r="M41" s="8" t="str"/>
      <x:c r="N41" s="4" t="str">
        <x:v>1. MainBasis/需求待确认清单.md#Q018：注销资产门槛和冷静期后数据留存
2. 主文档关联：U-host-ranking-009、U-contribution-ranking-009、U-fan-contribution-ranking-009、U-auth-login-register-014</x:v>
      </x:c>
      <x:c r="O41" s="4" t="str">
        <x:v>1. 用户App：主播仍有未结收益并发起注销
2. 公会App：主播仍有未结收益并发起注销
3. 管理后台：主播仍有未结收益并发起注销</x:v>
      </x:c>
      <x:c r="P41" s="4" t="str"/>
      <x:c r="Q41" s="4" t="str">
        <x:v>1. 未结收益是否阻止注销申请的正向、边界及异常场景</x:v>
      </x:c>
      <x:c r="R41" s="4" t="str">
        <x:v>产品</x:v>
      </x:c>
      <x:c r="S41" s="4" t="str">
        <x:v>进入对应功能测试前</x:v>
      </x:c>
      <x:c r="T41" s="4" t="str">
        <x:v>待确认</x:v>
      </x:c>
    </x:row>
    <x:row r="42" ht="96" customHeight="1">
      <x:c r="A42" s="4" t="str">
        <x:v>Q-040</x:v>
      </x:c>
      <x:c r="B42" s="4" t="str">
        <x:v>RQ-018</x:v>
      </x:c>
      <x:c r="C42" s="4" t="str"/>
      <x:c r="D42" s="4" t="str"/>
      <x:c r="E42" s="4" t="str">
        <x:v>部分阻塞</x:v>
      </x:c>
      <x:c r="F42" s="4" t="str">
        <x:v>M02 发现·搜索·主页与平台榜单</x:v>
      </x:c>
      <x:c r="G42" s="4" t="str">
        <x:v>七日冷静期结束，账号最终注销</x:v>
      </x:c>
      <x:c r="H42" s="4" t="str">
        <x:v>业务规则</x:v>
      </x:c>
      <x:c r="I42" s="4" t="str">
        <x:v>财务及榜单历史是否保留？</x:v>
      </x:c>
      <x:c r="J42" s="4" t="str">
        <x:v>A. 保留去标识历史记录，名称统一为账号已注销
B. 删除个人展示历史，财务凭证按独立留存规则保留</x:v>
      </x:c>
      <x:c r="K42" s="4" t="str">
        <x:v>建议优先评估A：明确七日冷静期结束，账号最终注销的唯一处理口径后，可构造确定的输入和结果；此建议不代表产品结论</x:v>
      </x:c>
      <x:c r="L42" s="8" t="str"/>
      <x:c r="M42" s="8" t="str"/>
      <x:c r="N42" s="4" t="str">
        <x:v>1. MainBasis/需求待确认清单.md#Q018：注销资产门槛和冷静期后数据留存
2. 主文档关联：U-host-ranking-009、U-contribution-ranking-009、U-fan-contribution-ranking-009、U-auth-login-register-014</x:v>
      </x:c>
      <x:c r="O42" s="4" t="str">
        <x:v>1. 用户App：七日冷静期结束，账号最终注销
2. 公会App：七日冷静期结束，账号最终注销
3. 管理后台：七日冷静期结束，账号最终注销</x:v>
      </x:c>
      <x:c r="P42" s="4" t="str"/>
      <x:c r="Q42" s="4" t="str">
        <x:v>1. 财务及榜单历史是否保留的正向、边界及异常场景</x:v>
      </x:c>
      <x:c r="R42" s="4" t="str">
        <x:v>产品</x:v>
      </x:c>
      <x:c r="S42" s="4" t="str">
        <x:v>进入对应功能测试前</x:v>
      </x:c>
      <x:c r="T42" s="4" t="str">
        <x:v>待确认</x:v>
      </x:c>
    </x:row>
    <x:row r="43" ht="96" customHeight="1">
      <x:c r="A43" s="4" t="str">
        <x:v>Q-043</x:v>
      </x:c>
      <x:c r="B43" s="4" t="str">
        <x:v>RQ-019</x:v>
      </x:c>
      <x:c r="C43" s="4" t="str"/>
      <x:c r="D43" s="4" t="str"/>
      <x:c r="E43" s="4" t="str">
        <x:v>部分阻塞</x:v>
      </x:c>
      <x:c r="F43" s="4" t="str">
        <x:v>M01 账号·登录·资料与设置</x:v>
      </x:c>
      <x:c r="G43" s="4" t="str">
        <x:v>手机号已被另一账号绑定，当前用户申请绑定</x:v>
      </x:c>
      <x:c r="H43" s="4" t="str">
        <x:v>业务规则</x:v>
      </x:c>
      <x:c r="I43" s="4" t="str">
        <x:v>发生手机号绑定冲突时如何处理？</x:v>
      </x:c>
      <x:c r="J43" s="4" t="str">
        <x:v>A. 拒绝绑定，不合并账号
B. 验证原账号所有权后执行账号合并</x:v>
      </x:c>
      <x:c r="K43" s="4" t="str">
        <x:v>建议优先评估A：明确手机号已被另一账号绑定，当前用户申请绑定的唯一处理口径后，可构造确定的输入和结果；此建议不代表产品结论</x:v>
      </x:c>
      <x:c r="L43" s="8" t="str"/>
      <x:c r="M43" s="8" t="str"/>
      <x:c r="N43" s="4" t="str">
        <x:v>1. MainBasis/需求待确认清单.md#Q019：手机号/邮箱账号建立、找回和绑定
2. 主文档关联：U-auth-login-register-011</x:v>
      </x:c>
      <x:c r="O43" s="4" t="str">
        <x:v>1. 用户App：手机号已被另一账号绑定，当前用户申请绑定
2. 公会App：手机号已被另一账号绑定，当前用户申请绑定
3. 管理后台：手机号已被另一账号绑定，当前用户申请绑定</x:v>
      </x:c>
      <x:c r="P43" s="4" t="str"/>
      <x:c r="Q43" s="4" t="str">
        <x:v>1. 发生手机号绑定冲突时如何处理的正向、边界及异常场景</x:v>
      </x:c>
      <x:c r="R43" s="4" t="str">
        <x:v>产品</x:v>
      </x:c>
      <x:c r="S43" s="4" t="str">
        <x:v>进入对应功能测试前</x:v>
      </x:c>
      <x:c r="T43" s="4" t="str">
        <x:v>待确认</x:v>
      </x:c>
    </x:row>
    <x:row r="44" ht="68" customHeight="1">
      <x:c r="A44" s="4" t="str">
        <x:v>Q-082</x:v>
      </x:c>
      <x:c r="B44" s="4" t="str">
        <x:v>RQ-019</x:v>
      </x:c>
      <x:c r="C44" s="4" t="str"/>
      <x:c r="D44" s="4" t="str"/>
      <x:c r="E44" s="4" t="str">
        <x:v>部分阻塞</x:v>
      </x:c>
      <x:c r="F44" s="4" t="str">
        <x:v>M01 账号·登录·资料与设置</x:v>
      </x:c>
      <x:c r="G44" s="4" t="str">
        <x:v>运营账号已拥有登录账号和密码，在用户App尝试登录</x:v>
      </x:c>
      <x:c r="H44" s="4" t="str">
        <x:v>角色与权限</x:v>
      </x:c>
      <x:c r="I44" s="4" t="str">
        <x:v>运营账号应使用哪个用户App入口？</x:v>
      </x:c>
      <x:c r="J44" s="4" t="str">
        <x:v>A. 复用手机号密码登录，运营登录账号必须绑定手机号
B. 提供独立运营账号密码入口，不要求手机号</x:v>
      </x:c>
      <x:c r="K44" s="4" t="str">
        <x:v>建议优先评估A：明确运营账号已拥有登录账号和密码，在用户App尝试登录的唯一处理口径后，可构造确定的输入和结果；此建议不代表产品结论</x:v>
      </x:c>
      <x:c r="L44" s="8" t="str"/>
      <x:c r="M44" s="8" t="str"/>
      <x:c r="N44" s="4" t="str">
        <x:v>1. MainBasis/需求待确认清单.md#Q019：手机号/邮箱账号建立、找回和绑定
2. 主文档关联：U-auth-login-register-011</x:v>
      </x:c>
      <x:c r="O44" s="4" t="str">
        <x:v>1. 用户App：运营账号已拥有登录账号和密码，在用户App尝试登录
2. 公会App：运营账号已拥有登录账号和密码，在用户App尝试登录</x:v>
      </x:c>
      <x:c r="P44" s="4" t="str"/>
      <x:c r="Q44" s="4" t="str">
        <x:v>1. 运营账号应使用哪个用户App入口的正向、边界及异常场景</x:v>
      </x:c>
      <x:c r="R44" s="4" t="str">
        <x:v>多方确认</x:v>
      </x:c>
      <x:c r="S44" s="4" t="str">
        <x:v>进入对应功能测试前</x:v>
      </x:c>
      <x:c r="T44" s="4" t="str">
        <x:v>待确认</x:v>
      </x:c>
    </x:row>
    <x:row r="45" ht="96" customHeight="1">
      <x:c r="A45" s="4" t="str">
        <x:v>Q-052</x:v>
      </x:c>
      <x:c r="B45" s="4" t="str">
        <x:v>RQ-024</x:v>
      </x:c>
      <x:c r="C45" s="4" t="str"/>
      <x:c r="D45" s="4" t="str"/>
      <x:c r="E45" s="4" t="str">
        <x:v>部分阻塞</x:v>
      </x:c>
      <x:c r="F45" s="4" t="str">
        <x:v>跨模块需求</x:v>
      </x:c>
      <x:c r="G45" s="4" t="str">
        <x:v>平台关闭幸运礼物功能时赠送请求正在处理</x:v>
      </x:c>
      <x:c r="H45" s="4" t="str">
        <x:v>业务规则</x:v>
      </x:c>
      <x:c r="I45" s="4" t="str">
        <x:v>已受理的赠送按哪个开关版本处理？</x:v>
      </x:c>
      <x:c r="J45" s="4" t="str">
        <x:v>A. 按受理时快照完成，本次关闭只拦截后续请求
B. 关闭后未扣款请求取消，已扣款请求完成</x:v>
      </x:c>
      <x:c r="K45" s="4" t="str">
        <x:v>建议优先评估A：明确平台关闭幸运礼物功能时赠送请求正在处理的唯一处理口径后，可构造确定的输入和结果；此建议不代表产品结论</x:v>
      </x:c>
      <x:c r="L45" s="8" t="str"/>
      <x:c r="M45" s="8" t="str"/>
      <x:c r="N45" s="4" t="str">
        <x:v>1. MainBasis/需求待确认清单.md#Q024：本期范围、房型/幸运开关与 PK
2. 主文档关联：见风险来源中的来源异常范围</x:v>
      </x:c>
      <x:c r="O45" s="4" t="str">
        <x:v>1. 用户App：平台关闭幸运礼物功能时赠送请求正在处理
2. 公会App：平台关闭幸运礼物功能时赠送请求正在处理
3. 管理后台：平台关闭幸运礼物功能时赠送请求正在处理</x:v>
      </x:c>
      <x:c r="P45" s="4" t="str"/>
      <x:c r="Q45" s="4" t="str">
        <x:v>1. 已受理的赠送按哪个开关版本处理的正向、边界及异常场景</x:v>
      </x:c>
      <x:c r="R45" s="4" t="str">
        <x:v>产品</x:v>
      </x:c>
      <x:c r="S45" s="4" t="str">
        <x:v>进入对应功能测试前</x:v>
      </x:c>
      <x:c r="T45" s="4" t="str">
        <x:v>待确认</x:v>
      </x:c>
    </x:row>
    <x:row r="46" ht="96" customHeight="1">
      <x:c r="A46" s="4" t="str">
        <x:v>Q-053</x:v>
      </x:c>
      <x:c r="B46" s="4" t="str">
        <x:v>RQ-025</x:v>
      </x:c>
      <x:c r="C46" s="4" t="str"/>
      <x:c r="D46" s="4" t="str"/>
      <x:c r="E46" s="4" t="str">
        <x:v>部分阻塞</x:v>
      </x:c>
      <x:c r="F46" s="4" t="str">
        <x:v>M02 发现·搜索·主页与平台榜单</x:v>
      </x:c>
      <x:c r="G46" s="4" t="str">
        <x:v>主播场次跨越当地午夜</x:v>
      </x:c>
      <x:c r="H46" s="4" t="str">
        <x:v>计算与统计口径</x:v>
      </x:c>
      <x:c r="I46" s="4" t="str">
        <x:v>统计自然日使用哪个时区？</x:v>
      </x:c>
      <x:c r="J46" s="4" t="str">
        <x:v>A. 统一使用Asia/Jakarta
B. 统一使用UTC</x:v>
      </x:c>
      <x:c r="K46" s="4" t="str">
        <x:v>建议优先评估A：明确主播场次跨越当地午夜的唯一处理口径后，可构造确定的输入和结果；此建议不代表产品结论</x:v>
      </x:c>
      <x:c r="L46" s="8" t="str"/>
      <x:c r="M46" s="8" t="str"/>
      <x:c r="N46" s="4" t="str">
        <x:v>1. MainBasis/需求待确认清单.md#Q025：业务时区、跨日场次和有效直播时长
2. 主文档关联：U-host-ranking-002、G-guild-income-002、A-admin-data-overview-007、U-contribution-ranking-002</x:v>
      </x:c>
      <x:c r="O46" s="4" t="str">
        <x:v>1. 用户App：主播场次跨越当地午夜
2. 公会App：主播场次跨越当地午夜
3. 管理后台：主播场次跨越当地午夜</x:v>
      </x:c>
      <x:c r="P46" s="4" t="str"/>
      <x:c r="Q46" s="4" t="str">
        <x:v>1. 统计自然日使用哪个时区的正向、边界及异常场景</x:v>
      </x:c>
      <x:c r="R46" s="4" t="str">
        <x:v>产品</x:v>
      </x:c>
      <x:c r="S46" s="4" t="str">
        <x:v>进入对应功能测试前</x:v>
      </x:c>
      <x:c r="T46" s="4" t="str">
        <x:v>待确认</x:v>
      </x:c>
    </x:row>
    <x:row r="47" ht="96" customHeight="1">
      <x:c r="A47" s="4" t="str">
        <x:v>Q-054</x:v>
      </x:c>
      <x:c r="B47" s="4" t="str">
        <x:v>RQ-025</x:v>
      </x:c>
      <x:c r="C47" s="4" t="str"/>
      <x:c r="D47" s="4" t="str"/>
      <x:c r="E47" s="4" t="str">
        <x:v>部分阻塞</x:v>
      </x:c>
      <x:c r="F47" s="4" t="str">
        <x:v>M02 发现·搜索·主页与平台榜单</x:v>
      </x:c>
      <x:c r="G47" s="4" t="str">
        <x:v>主播一场直播跨越统计日边界</x:v>
      </x:c>
      <x:c r="H47" s="4" t="str">
        <x:v>业务规则</x:v>
      </x:c>
      <x:c r="I47" s="4" t="str">
        <x:v>跨日直播时长如何归属日期？</x:v>
      </x:c>
      <x:c r="J47" s="4" t="str">
        <x:v>A. 按实际时间切分到各自然日
B. 全部归入开播所在自然日</x:v>
      </x:c>
      <x:c r="K47" s="4" t="str">
        <x:v>建议优先评估A：明确主播一场直播跨越统计日边界的唯一处理口径后，可构造确定的输入和结果；此建议不代表产品结论</x:v>
      </x:c>
      <x:c r="L47" s="8" t="str"/>
      <x:c r="M47" s="8" t="str"/>
      <x:c r="N47" s="4" t="str">
        <x:v>1. MainBasis/需求待确认清单.md#Q025：业务时区、跨日场次和有效直播时长
2. 主文档关联：U-host-ranking-002、G-guild-income-002、A-admin-data-overview-007、U-contribution-ranking-002</x:v>
      </x:c>
      <x:c r="O47" s="4" t="str">
        <x:v>1. 用户App：主播一场直播跨越统计日边界
2. 公会App：主播一场直播跨越统计日边界
3. 管理后台：主播一场直播跨越统计日边界</x:v>
      </x:c>
      <x:c r="P47" s="4" t="str"/>
      <x:c r="Q47" s="4" t="str">
        <x:v>1. 跨日直播时长如何归属日期的正向、边界及异常场景</x:v>
      </x:c>
      <x:c r="R47" s="4" t="str">
        <x:v>产品</x:v>
      </x:c>
      <x:c r="S47" s="4" t="str">
        <x:v>进入对应功能测试前</x:v>
      </x:c>
      <x:c r="T47" s="4" t="str">
        <x:v>待确认</x:v>
      </x:c>
    </x:row>
    <x:row r="48" ht="96" customHeight="1">
      <x:c r="A48" s="4" t="str">
        <x:v>Q-055</x:v>
      </x:c>
      <x:c r="B48" s="4" t="str">
        <x:v>RQ-025</x:v>
      </x:c>
      <x:c r="C48" s="4" t="str"/>
      <x:c r="D48" s="4" t="str"/>
      <x:c r="E48" s="4" t="str">
        <x:v>部分阻塞</x:v>
      </x:c>
      <x:c r="F48" s="4" t="str">
        <x:v>M02 发现·搜索·主页与平台榜单</x:v>
      </x:c>
      <x:c r="G48" s="4" t="str">
        <x:v>直播因网络中断暂停推流但场次未结束</x:v>
      </x:c>
      <x:c r="H48" s="4" t="str">
        <x:v>业务规则</x:v>
      </x:c>
      <x:c r="I48" s="4" t="str">
        <x:v>断流时间是否计入有效直播时长？</x:v>
      </x:c>
      <x:c r="J48" s="4" t="str">
        <x:v>A. 不计入，以有效推流区间累计
B. 计入，以场次开始至结束累计</x:v>
      </x:c>
      <x:c r="K48" s="4" t="str">
        <x:v>建议优先评估A：明确直播因网络中断暂停推流但场次未结束的唯一处理口径后，可构造确定的输入和结果；此建议不代表产品结论</x:v>
      </x:c>
      <x:c r="L48" s="8" t="str"/>
      <x:c r="M48" s="8" t="str"/>
      <x:c r="N48" s="4" t="str">
        <x:v>1. MainBasis/需求待确认清单.md#Q025：业务时区、跨日场次和有效直播时长
2. 主文档关联：U-host-ranking-002、G-guild-income-002、A-admin-data-overview-007、U-contribution-ranking-002</x:v>
      </x:c>
      <x:c r="O48" s="4" t="str">
        <x:v>1. 用户App：直播因网络中断暂停推流但场次未结束
2. 公会App：直播因网络中断暂停推流但场次未结束
3. 管理后台：直播因网络中断暂停推流但场次未结束</x:v>
      </x:c>
      <x:c r="P48" s="4" t="str"/>
      <x:c r="Q48" s="4" t="str">
        <x:v>1. 断流时间是否计入有效直播时长的正向、边界及异常场景</x:v>
      </x:c>
      <x:c r="R48" s="4" t="str">
        <x:v>产品</x:v>
      </x:c>
      <x:c r="S48" s="4" t="str">
        <x:v>进入对应功能测试前</x:v>
      </x:c>
      <x:c r="T48" s="4" t="str">
        <x:v>待确认</x:v>
      </x:c>
    </x:row>
    <x:row r="49" ht="96" customHeight="1">
      <x:c r="A49" s="4" t="str">
        <x:v>Q-057</x:v>
      </x:c>
      <x:c r="B49" s="4" t="str">
        <x:v>RQ-026</x:v>
      </x:c>
      <x:c r="C49" s="4" t="str"/>
      <x:c r="D49" s="4" t="str"/>
      <x:c r="E49" s="4" t="str">
        <x:v>部分阻塞</x:v>
      </x:c>
      <x:c r="F49" s="4" t="str">
        <x:v>M06 开播·房型·观看·连麦与房内管理</x:v>
      </x:c>
      <x:c r="G49" s="4" t="str">
        <x:v>用户在同一场次关注、取关后再次关注</x:v>
      </x:c>
      <x:c r="H49" s="4" t="str">
        <x:v>业务规则</x:v>
      </x:c>
      <x:c r="I49" s="4" t="str">
        <x:v>新增粉丝指标如何计数？</x:v>
      </x:c>
      <x:c r="J49" s="4" t="str">
        <x:v>A. 只计本场首次新增关注账号且去重
B. 每次关注成功事件均累计</x:v>
      </x:c>
      <x:c r="K49" s="4" t="str">
        <x:v>建议优先评估A：明确用户在同一场次关注、取关后再次关注的唯一处理口径后，可构造确定的输入和结果；此建议不代表产品结论</x:v>
      </x:c>
      <x:c r="L49" s="8" t="str"/>
      <x:c r="M49" s="8" t="str"/>
      <x:c r="N49" s="4" t="str">
        <x:v>1. MainBasis/需求待确认清单.md#Q026：观众人数、人次、访问次数与新增粉丝
2. 主文档关联：U-live-end-host-002、G-guild-host-summary-004、A-admin-live-statistics-003、U-host-center-005</x:v>
      </x:c>
      <x:c r="O49" s="4" t="str">
        <x:v>1. 用户App：用户在同一场次关注、取关后再次关注
2. 公会App：用户在同一场次关注、取关后再次关注
3. 管理后台：用户在同一场次关注、取关后再次关注</x:v>
      </x:c>
      <x:c r="P49" s="4" t="str"/>
      <x:c r="Q49" s="4" t="str">
        <x:v>1. 新增粉丝指标如何计数的正向、边界及异常场景</x:v>
      </x:c>
      <x:c r="R49" s="4" t="str">
        <x:v>产品</x:v>
      </x:c>
      <x:c r="S49" s="4" t="str">
        <x:v>进入对应功能测试前</x:v>
      </x:c>
      <x:c r="T49" s="4" t="str">
        <x:v>待确认</x:v>
      </x:c>
    </x:row>
    <x:row r="50" ht="96" customHeight="1">
      <x:c r="A50" s="4" t="str">
        <x:v>Q-068</x:v>
      </x:c>
      <x:c r="B50" s="4" t="str">
        <x:v>RQ-034</x:v>
      </x:c>
      <x:c r="C50" s="4" t="str"/>
      <x:c r="D50" s="4" t="str"/>
      <x:c r="E50" s="4" t="str">
        <x:v>部分阻塞</x:v>
      </x:c>
      <x:c r="F50" s="4" t="str">
        <x:v>M10 用户管理·审核·举报与巡房</x:v>
      </x:c>
      <x:c r="G50" s="4" t="str">
        <x:v>三端上传图片资源</x:v>
      </x:c>
      <x:c r="H50" s="4" t="str">
        <x:v>字段与数据校验</x:v>
      </x:c>
      <x:c r="I50" s="4" t="str">
        <x:v>图片大小限制采用什么依据？</x:v>
      </x:c>
      <x:c r="J50" s="4" t="str">
        <x:v>A. 每个上传字段读取平台发布的资源限制配置
B. 全部图片统一最大5MB</x:v>
      </x:c>
      <x:c r="K50" s="4" t="str">
        <x:v>建议优先评估A：明确三端上传图片资源的唯一处理口径后，可构造确定的输入和结果；此建议不代表产品结论</x:v>
      </x:c>
      <x:c r="L50" s="8" t="str"/>
      <x:c r="M50" s="8" t="str"/>
      <x:c r="N50" s="4" t="str">
        <x:v>1. MainBasis/需求待确认清单.md#Q034：内容风控、敏感词和上传资源约束
2. 主文档关联：A-admin-sensitive-words-001、A-admin-sensitive-words-detail-001、A-admin-sensitive-words-002、A-admin-sensitive-words-005</x:v>
      </x:c>
      <x:c r="O50" s="4" t="str">
        <x:v>1. 用户App：三端上传图片资源
2. 公会App：三端上传图片资源
3. 管理后台：三端上传图片资源</x:v>
      </x:c>
      <x:c r="P50" s="4" t="str"/>
      <x:c r="Q50" s="4" t="str">
        <x:v>1. 图片大小限制采用什么依据的正向、边界及异常场景</x:v>
      </x:c>
      <x:c r="R50" s="4" t="str">
        <x:v>技术</x:v>
      </x:c>
      <x:c r="S50" s="4" t="str">
        <x:v>进入对应功能测试前</x:v>
      </x:c>
      <x:c r="T50" s="4" t="str">
        <x:v>待确认</x:v>
      </x:c>
    </x:row>
    <x:row r="51" ht="96" customHeight="1">
      <x:c r="A51" s="4" t="str">
        <x:v>Q-071</x:v>
      </x:c>
      <x:c r="B51" s="4" t="str">
        <x:v>RQ-038</x:v>
      </x:c>
      <x:c r="C51" s="4" t="str"/>
      <x:c r="D51" s="4" t="str"/>
      <x:c r="E51" s="4" t="str">
        <x:v>部分阻塞</x:v>
      </x:c>
      <x:c r="F51" s="4" t="str">
        <x:v>跨模块需求</x:v>
      </x:c>
      <x:c r="G51" s="4" t="str">
        <x:v>旧资料出现现行主文档未确认的功能</x:v>
      </x:c>
      <x:c r="H51" s="4" t="str">
        <x:v>需求范围</x:v>
      </x:c>
      <x:c r="I51" s="4" t="str">
        <x:v>旧功能是否进入本期验收范围？</x:v>
      </x:c>
      <x:c r="J51" s="4" t="str">
        <x:v>A. 不进入，以当前MainBasis已明确功能验收
B. 进入，须逐项补齐正式规则后再纳入</x:v>
      </x:c>
      <x:c r="K51" s="4" t="str">
        <x:v>建议优先评估A：明确旧资料出现现行主文档未确认的功能的唯一处理口径后，可构造确定的输入和结果；此建议不代表产品结论</x:v>
      </x:c>
      <x:c r="L51" s="8" t="str"/>
      <x:c r="M51" s="8" t="str"/>
      <x:c r="N51" s="4" t="str">
        <x:v>1. MainBasis/需求待确认清单.md#Q038：主基准之外的运营配置与其他功能是否纳入本期
2. 主文档关联：见风险来源中的来源异常范围</x:v>
      </x:c>
      <x:c r="O51" s="4" t="str">
        <x:v>1. 用户App：旧资料出现现行主文档未确认的功能
2. 公会App：旧资料出现现行主文档未确认的功能
3. 管理后台：旧资料出现现行主文档未确认的功能</x:v>
      </x:c>
      <x:c r="P51" s="4" t="str"/>
      <x:c r="Q51" s="4" t="str">
        <x:v>1. 旧功能是否进入本期验收范围的正向、边界及异常场景</x:v>
      </x:c>
      <x:c r="R51" s="4" t="str">
        <x:v>产品</x:v>
      </x:c>
      <x:c r="S51" s="4" t="str">
        <x:v>进入对应功能测试前</x:v>
      </x:c>
      <x:c r="T51" s="4" t="str">
        <x:v>待确认</x:v>
      </x:c>
    </x:row>
    <x:row r="52" ht="96" customHeight="1">
      <x:c r="A52" s="4" t="str">
        <x:v>Q-080</x:v>
      </x:c>
      <x:c r="B52" s="4" t="str">
        <x:v>RQ-041</x:v>
      </x:c>
      <x:c r="C52" s="4" t="str"/>
      <x:c r="D52" s="4" t="str"/>
      <x:c r="E52" s="4" t="str">
        <x:v>部分阻塞</x:v>
      </x:c>
      <x:c r="F52" s="4" t="str">
        <x:v>M09 运营账号·虚拟金币与公会消息</x:v>
      </x:c>
      <x:c r="G52" s="4" t="str">
        <x:v>公会或平台发起运营账号创建</x:v>
      </x:c>
      <x:c r="H52" s="4" t="str">
        <x:v>角色与权限</x:v>
      </x:c>
      <x:c r="I52" s="4" t="str">
        <x:v>本期由谁创建运营账号？</x:v>
      </x:c>
      <x:c r="J52" s="4" t="str">
        <x:v>A. 仅所属公会创建，平台只控制启停与额度
B. 仅平台创建并分配至公会，公会维护分配后资料</x:v>
      </x:c>
      <x:c r="K52" s="4" t="str">
        <x:v>建议优先评估A：明确公会或平台发起运营账号创建的唯一处理口径后，可构造确定的输入和结果；此建议不代表产品结论</x:v>
      </x:c>
      <x:c r="L52" s="8" t="str"/>
      <x:c r="M52" s="8" t="str"/>
      <x:c r="N52" s="4" t="str">
        <x:v>1. MainBasis/需求待确认清单.md#Q041：运营账号管理责任的概要内部矛盾
2. 主文档关联：D-SYS-040、G-guild-operation-accounts-005、A-admin-operation-accounts-002、A-admin-operation-issue-records-007</x:v>
      </x:c>
      <x:c r="O52" s="4" t="str">
        <x:v>1. 公会App：公会或平台发起运营账号创建
2. 管理后台：公会或平台发起运营账号创建</x:v>
      </x:c>
      <x:c r="P52" s="4" t="str"/>
      <x:c r="Q52" s="4" t="str">
        <x:v>1. 本期由谁创建运营账号的正向、边界及异常场景</x:v>
      </x:c>
      <x:c r="R52" s="4" t="str">
        <x:v>产品</x:v>
      </x:c>
      <x:c r="S52" s="4" t="str">
        <x:v>进入对应功能测试前</x:v>
      </x:c>
      <x:c r="T52" s="4" t="str">
        <x:v>待确认</x:v>
      </x:c>
    </x:row>
    <x:row r="53" ht="96" customHeight="1">
      <x:c r="A53" s="4" t="str">
        <x:v>Q-081</x:v>
      </x:c>
      <x:c r="B53" s="4" t="str">
        <x:v>RQ-042</x:v>
      </x:c>
      <x:c r="C53" s="4" t="str"/>
      <x:c r="D53" s="4" t="str"/>
      <x:c r="E53" s="4" t="str">
        <x:v>部分阻塞</x:v>
      </x:c>
      <x:c r="F53" s="4" t="str">
        <x:v>跨模块需求</x:v>
      </x:c>
      <x:c r="G53" s="4" t="str">
        <x:v>客户端展示超过1000的大数</x:v>
      </x:c>
      <x:c r="H53" s="4" t="str">
        <x:v>交互与文案规则</x:v>
      </x:c>
      <x:c r="I53" s="4" t="str">
        <x:v>数字展示是否使用缩写？</x:v>
      </x:c>
      <x:c r="J53" s="4" t="str">
        <x:v>A. 显示完整数值，按当前语言设置分组符
B. 使用K和M缩写，保留1位小数向下截断</x:v>
      </x:c>
      <x:c r="K53" s="4" t="str">
        <x:v>建议优先评估A：明确客户端展示超过1000的大数的唯一处理口径后，可构造确定的输入和结果；此建议不代表产品结论</x:v>
      </x:c>
      <x:c r="L53" s="8" t="str"/>
      <x:c r="M53" s="8" t="str"/>
      <x:c r="N53" s="4" t="str">
        <x:v>1. MainBasis/需求待确认清单.md#Q042：大数缩写与精确值显示
2. 主文档关联：见风险来源中的来源异常范围</x:v>
      </x:c>
      <x:c r="O53" s="4" t="str">
        <x:v>1. 用户App：客户端展示超过1000的大数
2. 公会App：客户端展示超过1000的大数
3. 管理后台：客户端展示超过1000的大数</x:v>
      </x:c>
      <x:c r="P53" s="4" t="str"/>
      <x:c r="Q53" s="4" t="str">
        <x:v>1. 数字展示是否使用缩写的正向、边界及异常场景</x:v>
      </x:c>
      <x:c r="R53" s="4" t="str">
        <x:v>交互</x:v>
      </x:c>
      <x:c r="S53" s="4" t="str">
        <x:v>进入对应功能测试前</x:v>
      </x:c>
      <x:c r="T53" s="4" t="str">
        <x:v>待确认</x:v>
      </x:c>
    </x:row>
  </x:sheetData>
  <x:dataValidations count="5">
    <x:dataValidation type="list" sqref="E2:E53">
      <x:formula1>"阻塞测试,部分阻塞,不阻塞"</x:formula1>
    </x:dataValidation>
    <x:dataValidation type="list" sqref="H2:H53">
      <x:formula1>"需求范围,业务规则,角色与权限,流程与状态,字段与数据校验,计算与统计口径,异常处理,跨端与跨模块一致性,配置和历史数据影响,交互与文案规则"</x:formula1>
    </x:dataValidation>
    <x:dataValidation type="list" sqref="L2:L53">
      <x:formula1>"A,B,C,D,其他"</x:formula1>
    </x:dataValidation>
    <x:dataValidation type="list" sqref="R2:R53">
      <x:formula1>"产品,交互,技术,多方确认"</x:formula1>
    </x:dataValidation>
    <x:dataValidation type="list" sqref="T2:T53">
      <x:formula1>"待前置结论,待确认,确认中,已确认,无需处理"</x:formula1>
    </x:dataValidation>
  </x:dataValidations>
  <x:pageMargins left="0.7" right="0.7" top="0.75" bottom="0.75" header="0.3" footer="0.3"/>
  <x:tableParts count="1">
    <x:tablePart xmlns:r="http://schemas.openxmlformats.org/officeDocument/2006/relationships" r:id="Re160d87d352f427c"/>
  </x:tableParts>
</x:worksheet>
</file>