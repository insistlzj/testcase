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b0fc4867c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caf271f2c0b94b61"/>
    <x:sheet xmlns:r="http://schemas.openxmlformats.org/officeDocument/2006/relationships" name="功能测试用例" sheetId="2" r:id="R5e7b1eb7bc1f4948"/>
    <x:sheet xmlns:r="http://schemas.openxmlformats.org/officeDocument/2006/relationships" name="需求待确认" sheetId="3" r:id="R41d8ee46af8048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d7d813f8d4ad3" /><Relationship Type="http://schemas.openxmlformats.org/officeDocument/2006/relationships/theme" Target="/xl/theme/theme1.xml" Id="R934d260a65cd4e65" /><Relationship Type="http://schemas.openxmlformats.org/officeDocument/2006/relationships/sharedStrings" Target="/xl/sharedStrings.xml" Id="R02a7d7d6802f4fbc" /><Relationship Type="http://schemas.openxmlformats.org/officeDocument/2006/relationships/worksheet" Target="/xl/worksheets/sheet1.xml" Id="Rcaf271f2c0b94b61" /><Relationship Type="http://schemas.openxmlformats.org/officeDocument/2006/relationships/worksheet" Target="/xl/worksheets/sheet2.xml" Id="R5e7b1eb7bc1f4948" /><Relationship Type="http://schemas.openxmlformats.org/officeDocument/2006/relationships/worksheet" Target="/xl/worksheets/sheet3.xml" Id="R41d8ee46af804885" /></Relationships>
</file>

<file path=xl/tables/table1.xml><?xml version="1.0" encoding="utf-8"?>
<x:table xmlns:x="http://schemas.openxmlformats.org/spreadsheetml/2006/main" id="1" name="LiveCasesTable" displayName="LiveCasesTable" ref="A1:O458" headerRowCount="1" totalsRowCount="0" totalsRowShown="0">
  <x:autoFilter ref="A1:O458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22" headerRowCount="1" totalsRowCount="0" totalsRowShown="0">
  <x:autoFilter ref="A1:T22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0d0eb673c84b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184196751246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阶段性-管理后台-全部模块-260916-001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COUNTA('需求待确认'!$A$2:$A$22)</x:f>
        <x:v>21</x:v>
      </x:c>
      <x:c r="C5" s="13"/>
      <x:c r="D5" s="20" t="str">
        <x:v>阻塞测试</x:v>
      </x:c>
      <x:c r="E5" s="22" t="n">
        <x:f>COUNTIFS('需求待确认'!$E$2:$E$22,"阻塞测试",'需求待确认'!$T$2:$T$22,"待确认")</x:f>
        <x:v>0</x:v>
      </x:c>
      <x:c r="F5" s="13"/>
      <x:c r="G5" s="20" t="str">
        <x:v>产品</x:v>
      </x:c>
      <x:c r="H5" s="22" t="n">
        <x:f>COUNTIFS('需求待确认'!$R$2:$R$22,"产品",'需求待确认'!$T$2:$T$22,"待确认")</x:f>
        <x:v>20</x:v>
      </x:c>
    </x:row>
    <x:row r="6">
      <x:c r="A6" s="20" t="str">
        <x:v>当前可回答</x:v>
      </x:c>
      <x:c r="B6" s="22" t="n">
        <x:f>COUNTIF('需求待确认'!$T$2:$T$22,"待确认")</x:f>
        <x:v>21</x:v>
      </x:c>
      <x:c r="C6" s="13"/>
      <x:c r="D6" s="20" t="str">
        <x:v>部分阻塞</x:v>
      </x:c>
      <x:c r="E6" s="22" t="n">
        <x:f>COUNTIFS('需求待确认'!$E$2:$E$22,"部分阻塞",'需求待确认'!$T$2:$T$22,"待确认")</x:f>
        <x:v>21</x:v>
      </x:c>
      <x:c r="F6" s="13"/>
      <x:c r="G6" s="20" t="str">
        <x:v>交互</x:v>
      </x:c>
      <x:c r="H6" s="22" t="n">
        <x:f>COUNTIFS('需求待确认'!$R$2:$R$22,"交互",'需求待确认'!$T$2:$T$22,"待确认")</x:f>
        <x:v>1</x:v>
      </x:c>
    </x:row>
    <x:row r="7">
      <x:c r="A7" s="20" t="str">
        <x:v>待前置结论</x:v>
      </x:c>
      <x:c r="B7" s="22" t="n">
        <x:f>COUNTIF('需求待确认'!$T$2:$T$22,"待前置结论")</x:f>
        <x:v>0</x:v>
      </x:c>
      <x:c r="C7" s="13"/>
      <x:c r="D7" s="20" t="str">
        <x:v>不阻塞</x:v>
      </x:c>
      <x:c r="E7" s="22" t="n">
        <x:f>COUNTIFS('需求待确认'!$E$2:$E$22,"不阻塞",'需求待确认'!$T$2:$T$22,"待确认")</x:f>
        <x:v>0</x:v>
      </x:c>
      <x:c r="F7" s="13"/>
      <x:c r="G7" s="20" t="str">
        <x:v>技术</x:v>
      </x:c>
      <x:c r="H7" s="22" t="n">
        <x:f>COUNTIFS('需求待确认'!$R$2:$R$22,"技术",'需求待确认'!$T$2:$T$22,"待确认")</x:f>
        <x:v>0</x:v>
      </x:c>
    </x:row>
    <x:row r="8">
      <x:c r="A8" s="20" t="str">
        <x:v>确认中</x:v>
      </x:c>
      <x:c r="B8" s="22" t="n">
        <x:f>COUNTIF('需求待确认'!$T$2:$T$22,"确认中")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COUNTIFS('需求待确认'!$R$2:$R$22,"多方确认",'需求待确认'!$T$2:$T$22,"待确认")</x:f>
        <x:v>0</x:v>
      </x:c>
    </x:row>
    <x:row r="9">
      <x:c r="A9" s="20" t="str">
        <x:v>已确认</x:v>
      </x:c>
      <x:c r="B9" s="22" t="n">
        <x:f>COUNTIF('需求待确认'!$T$2:$T$22,"已确认")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COUNTIF('需求待确认'!$T$2:$T$22,"无需处理")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工作台（平台管理员视角）</x:v>
      </x:c>
      <x:c r="E2" s="10" t="str">
        <x:v>逻辑校验</x:v>
      </x:c>
      <x:c r="F2" s="10" t="str">
        <x:v>P1</x:v>
      </x:c>
      <x:c r="G2" s="9" t="str">
        <x:v>验证工作台活跃用户按登录账号去重</x:v>
      </x:c>
      <x:c r="H2" s="9" t="str">
        <x:v>工作台日活人数</x:v>
      </x:c>
      <x:c r="I2" s="9" t="str">
        <x:v>1. 执行角色为平台管理员
2. 账号具有当前模块访问及本次操作权限
3. 最新自然日甲启动3次、乙从后台回前台1次、游客启动1次</x:v>
      </x:c>
      <x:c r="J2" s="9" t="str">
        <x:v>1. 进入工作台页</x:v>
      </x:c>
      <x:c r="K2" s="9" t="str">
        <x:v>活跃用户显示2人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来源（当前证据）：liveshow-proto/MainBasis/统一需求文档.md；位置：REQ-54337ecd936b；行3496
2. 规则：BR-fb6fa05e7b5003b4
3. 未动态验证</x:v>
      </x:c>
    </x:row>
    <x:row r="3" ht="85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工作台（平台管理员视角）</x:v>
      </x:c>
      <x:c r="E3" s="10" t="str">
        <x:v>逻辑校验</x:v>
      </x:c>
      <x:c r="F3" s="10" t="str">
        <x:v>P1</x:v>
      </x:c>
      <x:c r="G3" s="9" t="str">
        <x:v>验证工作台新增用户只计完成注册</x:v>
      </x:c>
      <x:c r="H3" s="9" t="str">
        <x:v>工作台新增用户数</x:v>
      </x:c>
      <x:c r="I3" s="9" t="str">
        <x:v>1. 执行角色为平台管理员
2. 账号具有当前模块访问及本次操作权限
3. 最新自然日甲完成注册，乙只打开注册页</x:v>
      </x:c>
      <x:c r="J3" s="9" t="str">
        <x:v>1. 进入工作台页</x:v>
      </x:c>
      <x:c r="K3" s="9" t="str">
        <x:v>新增用户显示1人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来源（当前证据）：liveshow-proto/MainBasis/统一需求文档.md；位置：REQ-54337ecd936b；行3496
2. 规则：BR-445cc56c8c34fba0
3. 未动态验证</x:v>
      </x:c>
    </x:row>
    <x:row r="4" ht="85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工作台（平台管理员视角）</x:v>
      </x:c>
      <x:c r="E4" s="10" t="str">
        <x:v>逻辑校验</x:v>
      </x:c>
      <x:c r="F4" s="10" t="str">
        <x:v>P1</x:v>
      </x:c>
      <x:c r="G4" s="9" t="str">
        <x:v>验证新用户无充值时ARPU为零</x:v>
      </x:c>
      <x:c r="H4" s="9" t="str">
        <x:v>工作台新用户ARPU零分母</x:v>
      </x:c>
      <x:c r="I4" s="9" t="str">
        <x:v>1. 执行角色为平台管理员
2. 账号具有当前模块访问及本次操作权限
3. 最新自然日无新用户充值</x:v>
      </x:c>
      <x:c r="J4" s="9" t="str">
        <x:v>1. 进入工作台页</x:v>
      </x:c>
      <x:c r="K4" s="9" t="str">
        <x:v>新用户ARPU显示0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来源（当前证据）：liveshow-proto/MainBasis/统一需求文档.md；位置：REQ-a2aea92511e8；行3502
2. 规则：BR-9ddb145dfe9172d2
3. 未动态验证</x:v>
      </x:c>
    </x:row>
    <x:row r="5" ht="85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工作台（平台管理员视角）</x:v>
      </x:c>
      <x:c r="E5" s="10" t="str">
        <x:v>逻辑校验</x:v>
      </x:c>
      <x:c r="F5" s="10" t="str">
        <x:v>P1</x:v>
      </x:c>
      <x:c r="G5" s="9" t="str">
        <x:v>验证新用户ARPU按充值人数计算</x:v>
      </x:c>
      <x:c r="H5" s="9" t="str">
        <x:v>工作台新用户ARPU公式</x:v>
      </x:c>
      <x:c r="I5" s="9" t="str">
        <x:v>1. 执行角色为平台管理员
2. 账号具有当前模块访问及本次操作权限
3. 最新日新增10人，其中2人成功充值共20美元</x:v>
      </x:c>
      <x:c r="J5" s="9" t="str">
        <x:v>1. 进入工作台页</x:v>
      </x:c>
      <x:c r="K5" s="9" t="str">
        <x:v>新用户ARPU = 10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来源（当前证据）：liveshow-proto/MainBasis/统一需求文档.md；位置：REQ-a2aea92511e8；行3502
2. 规则：BR-8baeb0156ddbcbb1
3. 未动态验证</x:v>
      </x:c>
    </x:row>
    <x:row r="6" ht="8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工作台（平台管理员视角）</x:v>
      </x:c>
      <x:c r="E6" s="10" t="str">
        <x:v>功能需求</x:v>
      </x:c>
      <x:c r="F6" s="10" t="str">
        <x:v>P2</x:v>
      </x:c>
      <x:c r="G6" s="9" t="str">
        <x:v>验证工作台趋势限定最近7自然日</x:v>
      </x:c>
      <x:c r="H6" s="9" t="str">
        <x:v>工作台趋势日期范围</x:v>
      </x:c>
      <x:c r="I6" s="9" t="str">
        <x:v>1. 执行角色为平台管理员
2. 账号具有当前模块访问及本次操作权限
3. 最新自然日为9月16日</x:v>
      </x:c>
      <x:c r="J6" s="9" t="str">
        <x:v>1. 进入工作台页
2. 点击活跃用户指标卡</x:v>
      </x:c>
      <x:c r="K6" s="9" t="str">
        <x:v>趋势日期为9月10日至9月16日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来源（当前证据）：liveshow-proto/MainBasis/统一需求文档.md；位置：REQ-6543c415067c；行3508
2. 规则：BR-1bffd9e858905b6c
3. 未动态验证</x:v>
      </x:c>
    </x:row>
    <x:row r="7" ht="85" customHeight="1">
      <x:c r="A7" s="10" t="n">
        <x:v>6</x:v>
      </x:c>
      <x:c r="B7" s="10" t="str">
        <x:v>ADMIN-01-0006</x:v>
      </x:c>
      <x:c r="C7" s="10" t="str">
        <x:v>工作台</x:v>
      </x:c>
      <x:c r="D7" s="10" t="str">
        <x:v>工作台（平台管理员视角）</x:v>
      </x:c>
      <x:c r="E7" s="10" t="str">
        <x:v>功能需求</x:v>
      </x:c>
      <x:c r="F7" s="10" t="str">
        <x:v>P2</x:v>
      </x:c>
      <x:c r="G7" s="9" t="str">
        <x:v>验证工作台被动退款按退款时间排序</x:v>
      </x:c>
      <x:c r="H7" s="9" t="str">
        <x:v>工作台退款顺序</x:v>
      </x:c>
      <x:c r="I7" s="9" t="str">
        <x:v>1. 执行角色为平台管理员
2. 账号具有当前模块访问及本次操作权限
3. 退款A在10点，B在11点，充值顺序相反</x:v>
      </x:c>
      <x:c r="J7" s="9" t="str">
        <x:v>1. 进入工作台页</x:v>
      </x:c>
      <x:c r="K7" s="9" t="str">
        <x:v>B排列在A之前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来源（当前证据）：liveshow-proto/MainBasis/统一需求文档.md；位置：REQ-a931723abfae；行3506
2. 规则：BR-7438ae252f2435b2
3. 未动态验证</x:v>
      </x:c>
    </x:row>
    <x:row r="8" ht="85" customHeight="1">
      <x:c r="A8" s="10" t="n">
        <x:v>7</x:v>
      </x:c>
      <x:c r="B8" s="10" t="str">
        <x:v>ADMIN-02-0001</x:v>
      </x:c>
      <x:c r="C8" s="10" t="str">
        <x:v>用户管理</x:v>
      </x:c>
      <x:c r="D8" s="10" t="str">
        <x:v>用户列表（平台管理员视角）</x:v>
      </x:c>
      <x:c r="E8" s="10" t="str">
        <x:v>逻辑校验</x:v>
      </x:c>
      <x:c r="F8" s="10" t="str">
        <x:v>P1</x:v>
      </x:c>
      <x:c r="G8" s="9" t="str">
        <x:v>验证财富等级筛选-1至3不合法</x:v>
      </x:c>
      <x:c r="H8" s="9" t="str">
        <x:v>用户等级范围校验</x:v>
      </x:c>
      <x:c r="I8" s="9" t="str">
        <x:v>1. 执行角色为平台管理员
2. 账号具有当前模块访问及本次操作权限</x:v>
      </x:c>
      <x:c r="J8" s="9" t="str">
        <x:v>1. 进入用户列表页
2. 填写财富等级下限为-1
3. 填写财富等级上限为3
4. 点击查询</x:v>
      </x:c>
      <x:c r="K8" s="9" t="str">
        <x:v>不能执行该等级范围查询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来源（当前证据）：liveshow-proto/MainBasis/统一需求文档.md；位置：REQ-31f26460a96e；行3521
2. 规则：BR-e68bf95d972e3fc1
3. 未动态验证</x:v>
      </x:c>
    </x:row>
    <x:row r="9" ht="85" customHeight="1">
      <x:c r="A9" s="10" t="n">
        <x:v>8</x:v>
      </x:c>
      <x:c r="B9" s="10" t="str">
        <x:v>ADMIN-02-0002</x:v>
      </x:c>
      <x:c r="C9" s="10" t="str">
        <x:v>用户管理</x:v>
      </x:c>
      <x:c r="D9" s="10" t="str">
        <x:v>用户列表（平台管理员视角）</x:v>
      </x:c>
      <x:c r="E9" s="10" t="str">
        <x:v>逻辑校验</x:v>
      </x:c>
      <x:c r="F9" s="10" t="str">
        <x:v>P1</x:v>
      </x:c>
      <x:c r="G9" s="9" t="str">
        <x:v>验证财富等级筛选2.5至3不合法</x:v>
      </x:c>
      <x:c r="H9" s="9" t="str">
        <x:v>用户等级范围校验</x:v>
      </x:c>
      <x:c r="I9" s="9" t="str">
        <x:v>1. 执行角色为平台管理员
2. 账号具有当前模块访问及本次操作权限</x:v>
      </x:c>
      <x:c r="J9" s="9" t="str">
        <x:v>1. 进入用户列表页
2. 填写财富等级下限为2.5
3. 填写财富等级上限为3
4. 点击查询</x:v>
      </x:c>
      <x:c r="K9" s="9" t="str">
        <x:v>不能执行该等级范围查询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来源（当前证据）：liveshow-proto/MainBasis/统一需求文档.md；位置：REQ-31f26460a96e；行3521
2. 规则：BR-6200b572c009557a
3. 未动态验证</x:v>
      </x:c>
    </x:row>
    <x:row r="10" ht="85" customHeight="1">
      <x:c r="A10" s="10" t="n">
        <x:v>9</x:v>
      </x:c>
      <x:c r="B10" s="10" t="str">
        <x:v>ADMIN-02-0003</x:v>
      </x:c>
      <x:c r="C10" s="10" t="str">
        <x:v>用户管理</x:v>
      </x:c>
      <x:c r="D10" s="10" t="str">
        <x:v>用户列表（平台管理员视角）</x:v>
      </x:c>
      <x:c r="E10" s="10" t="str">
        <x:v>逻辑校验</x:v>
      </x:c>
      <x:c r="F10" s="10" t="str">
        <x:v>P1</x:v>
      </x:c>
      <x:c r="G10" s="9" t="str">
        <x:v>验证财富等级筛选5至4不合法</x:v>
      </x:c>
      <x:c r="H10" s="9" t="str">
        <x:v>用户等级范围校验</x:v>
      </x:c>
      <x:c r="I10" s="9" t="str">
        <x:v>1. 执行角色为平台管理员
2. 账号具有当前模块访问及本次操作权限</x:v>
      </x:c>
      <x:c r="J10" s="9" t="str">
        <x:v>1. 进入用户列表页
2. 填写财富等级下限为5
3. 填写财富等级上限为4
4. 点击查询</x:v>
      </x:c>
      <x:c r="K10" s="9" t="str">
        <x:v>不能执行该等级范围查询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来源（当前证据）：liveshow-proto/MainBasis/统一需求文档.md；位置：REQ-31f26460a96e；行3521
2. 规则：BR-284b875a893175d2
3. 未动态验证</x:v>
      </x:c>
    </x:row>
    <x:row r="11" ht="85" customHeight="1">
      <x:c r="A11" s="10" t="n">
        <x:v>10</x:v>
      </x:c>
      <x:c r="B11" s="10" t="str">
        <x:v>ADMIN-02-0004</x:v>
      </x:c>
      <x:c r="C11" s="10" t="str">
        <x:v>用户管理</x:v>
      </x:c>
      <x:c r="D11" s="10" t="str">
        <x:v>用户列表（平台管理员视角）</x:v>
      </x:c>
      <x:c r="E11" s="10" t="str">
        <x:v>功能需求</x:v>
      </x:c>
      <x:c r="F11" s="10" t="str">
        <x:v>P2</x:v>
      </x:c>
      <x:c r="G11" s="9" t="str">
        <x:v>验证用户状态仅正常和封禁</x:v>
      </x:c>
      <x:c r="H11" s="9" t="str">
        <x:v>用户账号状态枚举</x:v>
      </x:c>
      <x:c r="I11" s="9" t="str">
        <x:v>1. 执行角色为平台管理员
2. 账号具有当前模块访问及本次操作权限</x:v>
      </x:c>
      <x:c r="J11" s="9" t="str">
        <x:v>1. 进入用户列表页
2. 点击账号状态筛选</x:v>
      </x:c>
      <x:c r="K11" s="9" t="str">
        <x:v>账号状态选项仅正常和封禁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来源（当前证据）：liveshow-proto/MainBasis/统一需求文档.md；位置：REQ-5c9332705223；行3519
2. 规则：BR-8a5587e4838404bb
3. 未动态验证</x:v>
      </x:c>
    </x:row>
    <x:row r="12" ht="85" customHeight="1">
      <x:c r="A12" s="10" t="n">
        <x:v>11</x:v>
      </x:c>
      <x:c r="B12" s="10" t="str">
        <x:v>ADMIN-02-0005</x:v>
      </x:c>
      <x:c r="C12" s="10" t="str">
        <x:v>用户管理</x:v>
      </x:c>
      <x:c r="D12" s="10" t="str">
        <x:v>用户列表（平台管理员视角）</x:v>
      </x:c>
      <x:c r="E12" s="10" t="str">
        <x:v>逻辑校验</x:v>
      </x:c>
      <x:c r="F12" s="10" t="str">
        <x:v>P1</x:v>
      </x:c>
      <x:c r="G12" s="9" t="str">
        <x:v>验证用户列表多条件取交集</x:v>
      </x:c>
      <x:c r="H12" s="9" t="str">
        <x:v>用户组合筛选</x:v>
      </x:c>
      <x:c r="I12" s="9" t="str">
        <x:v>1. 执行角色为平台管理员
2. 账号具有当前模块访问及本次操作权限
3. 甲昵称QA且封禁，乙昵称QA且正常，丙昵称OTHER且封禁</x:v>
      </x:c>
      <x:c r="J12" s="9" t="str">
        <x:v>1. 进入用户列表页
2. 填写昵称筛选为QA
3. 选择账号状态为封禁
4. 点击查询</x:v>
      </x:c>
      <x:c r="K12" s="9" t="str">
        <x:v>结果只包含甲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来源（当前证据）：liveshow-proto/MainBasis/统一需求文档.md；位置：REQ-3fb68d9228a8；行3535
2. 规则：BR-a9eeea3648238acb
3. 未动态验证</x:v>
      </x:c>
    </x:row>
    <x:row r="13" ht="85" customHeight="1">
      <x:c r="A13" s="10" t="n">
        <x:v>12</x:v>
      </x:c>
      <x:c r="B13" s="10" t="str">
        <x:v>ADMIN-02-0006</x:v>
      </x:c>
      <x:c r="C13" s="10" t="str">
        <x:v>用户管理</x:v>
      </x:c>
      <x:c r="D13" s="10" t="str">
        <x:v>用户列表（平台管理员视角）</x:v>
      </x:c>
      <x:c r="E13" s="10" t="str">
        <x:v>逻辑校验</x:v>
      </x:c>
      <x:c r="F13" s="10" t="str">
        <x:v>P1</x:v>
      </x:c>
      <x:c r="G13" s="9" t="str">
        <x:v>验证用户导出仅当前筛选范围</x:v>
      </x:c>
      <x:c r="H13" s="9" t="str">
        <x:v>用户列表导出范围</x:v>
      </x:c>
      <x:c r="I13" s="9" t="str">
        <x:v>1. 执行角色为平台管理员
2. 账号具有当前模块访问及本次操作权限
3. 当前筛选仅命中甲乙</x:v>
      </x:c>
      <x:c r="J13" s="9" t="str">
        <x:v>1. 进入用户列表页
2. 点击导出</x:v>
      </x:c>
      <x:c r="K13" s="9" t="str">
        <x:v>导出数据仅含甲乙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来源（当前证据）：liveshow-proto/MainBasis/统一需求文档.md；位置：REQ-3fb68d9228a8；行3535
2. 规则：BR-58f957f3b4fe4a79
3. 未动态验证</x:v>
      </x:c>
    </x:row>
    <x:row r="14" ht="85" customHeight="1">
      <x:c r="A14" s="10" t="n">
        <x:v>13</x:v>
      </x:c>
      <x:c r="B14" s="10" t="str">
        <x:v>ADMIN-02-0007</x:v>
      </x:c>
      <x:c r="C14" s="10" t="str">
        <x:v>用户管理</x:v>
      </x:c>
      <x:c r="D14" s="10" t="str">
        <x:v>用户列表（平台管理员视角）</x:v>
      </x:c>
      <x:c r="E14" s="10" t="str">
        <x:v>逻辑校验</x:v>
      </x:c>
      <x:c r="F14" s="10" t="str">
        <x:v>P1</x:v>
      </x:c>
      <x:c r="G14" s="9" t="str">
        <x:v>验证用户列表显示退款后的负余额</x:v>
      </x:c>
      <x:c r="H14" s="9" t="str">
        <x:v>后台负金币余额</x:v>
      </x:c>
      <x:c r="I14" s="9" t="str">
        <x:v>1. 执行角色为平台管理员
2. 账号具有当前模块访问及本次操作权限
3. 用户退款后真实金币余额为-100</x:v>
      </x:c>
      <x:c r="J14" s="9" t="str">
        <x:v>1. 进入用户列表页</x:v>
      </x:c>
      <x:c r="K14" s="9" t="str">
        <x:v>金币余额显示-100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来源（当前证据）：liveshow-proto/MainBasis/统一需求文档.md；位置：REQ-5c6c8b2c8e29；行3527
2. 规则：BR-7a45e62039328469
3. 未动态验证</x:v>
      </x:c>
    </x:row>
    <x:row r="15" ht="85" customHeight="1">
      <x:c r="A15" s="10" t="n">
        <x:v>14</x:v>
      </x:c>
      <x:c r="B15" s="10" t="str">
        <x:v>ADMIN-02-0008</x:v>
      </x:c>
      <x:c r="C15" s="10" t="str">
        <x:v>用户管理</x:v>
      </x:c>
      <x:c r="D15" s="10" t="str">
        <x:v>用户列表（平台管理员视角）</x:v>
      </x:c>
      <x:c r="E15" s="10" t="str">
        <x:v>功能需求</x:v>
      </x:c>
      <x:c r="F15" s="10" t="str">
        <x:v>P2</x:v>
      </x:c>
      <x:c r="G15" s="9" t="str">
        <x:v>验证无有效公会关系的用户列表</x:v>
      </x:c>
      <x:c r="H15" s="9" t="str">
        <x:v>用户公会空值</x:v>
      </x:c>
      <x:c r="I15" s="9" t="str">
        <x:v>1. 执行角色为平台管理员
2. 账号具有当前模块访问及本次操作权限
3. 用户甲已退会且未加入其他公会</x:v>
      </x:c>
      <x:c r="J15" s="9" t="str">
        <x:v>1. 进入用户列表页</x:v>
      </x:c>
      <x:c r="K15" s="9" t="str">
        <x:v>甲所属公会显示“-”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来源（当前证据）：liveshow-proto/MainBasis/统一需求文档.md；位置：REQ-a5f248334789；行3529
2. 规则：BR-0f69e1b527d6a407
3. 未动态验证</x:v>
      </x:c>
    </x:row>
    <x:row r="16" ht="85" customHeight="1">
      <x:c r="A16" s="10" t="n">
        <x:v>15</x:v>
      </x:c>
      <x:c r="B16" s="10" t="str">
        <x:v>ADMIN-02-0009</x:v>
      </x:c>
      <x:c r="C16" s="10" t="str">
        <x:v>用户管理</x:v>
      </x:c>
      <x:c r="D16" s="10" t="str">
        <x:v>用户列表（平台管理员视角）</x:v>
      </x:c>
      <x:c r="E16" s="10" t="str">
        <x:v>业务流程</x:v>
      </x:c>
      <x:c r="F16" s="10" t="str">
        <x:v>P0</x:v>
      </x:c>
      <x:c r="G16" s="9" t="str">
        <x:v>验证封禁用户前填写原因确认</x:v>
      </x:c>
      <x:c r="H16" s="9" t="str">
        <x:v>后台封禁用户</x:v>
      </x:c>
      <x:c r="I16" s="9" t="str">
        <x:v>1. 执行角色为平台管理员
2. 账号具有当前模块访问及本次操作权限
3. 目标用户状态正常</x:v>
      </x:c>
      <x:c r="J16" s="9" t="str">
        <x:v>1. 进入用户列表页
2. 点击目标用户封禁
3. 填写原因为测试违规
4. 点击确认</x:v>
      </x:c>
      <x:c r="K16" s="9" t="str">
        <x:v>目标用户状态更新为封禁</x:v>
      </x:c>
      <x:c r="L16" s="10" t="str">
        <x:v>FLOW-082EDB693D</x:v>
      </x:c>
      <x:c r="M16" s="10" t="str">
        <x:v>未测</x:v>
      </x:c>
      <x:c r="N16" s="10" t="str"/>
      <x:c r="O16" s="9" t="str">
        <x:v>1. 来源（当前证据）：liveshow-proto/MainBasis/统一需求文档.md；位置：REQ-cc7a5d0e0aaf；行3537
2. 规则：BR-69d742eeace8dfe7
3. 未动态验证</x:v>
      </x:c>
    </x:row>
    <x:row r="17" ht="85" customHeight="1">
      <x:c r="A17" s="10" t="n">
        <x:v>16</x:v>
      </x:c>
      <x:c r="B17" s="10" t="str">
        <x:v>ADMIN-02-0010</x:v>
      </x:c>
      <x:c r="C17" s="10" t="str">
        <x:v>用户管理</x:v>
      </x:c>
      <x:c r="D17" s="10" t="str">
        <x:v>用户列表（平台管理员视角）</x:v>
      </x:c>
      <x:c r="E17" s="10" t="str">
        <x:v>逻辑校验</x:v>
      </x:c>
      <x:c r="F17" s="10" t="str">
        <x:v>P1</x:v>
      </x:c>
      <x:c r="G17" s="9" t="str">
        <x:v>验证解封用户恢复正常账号状态</x:v>
      </x:c>
      <x:c r="H17" s="9" t="str">
        <x:v>后台解封用户</x:v>
      </x:c>
      <x:c r="I17" s="9" t="str">
        <x:v>1. 执行角色为平台管理员
2. 账号具有当前模块访问及本次操作权限
3. 目标用户封禁</x:v>
      </x:c>
      <x:c r="J17" s="9" t="str">
        <x:v>1. 进入用户列表页
2. 点击目标用户解封
3. 填写原因为复核完成
4. 点击确认</x:v>
      </x:c>
      <x:c r="K17" s="9" t="str">
        <x:v>目标用户状态更新为正常</x:v>
      </x:c>
      <x:c r="L17" s="10" t="str">
        <x:v>FLOW-082EDB693D</x:v>
      </x:c>
      <x:c r="M17" s="10" t="str">
        <x:v>未测</x:v>
      </x:c>
      <x:c r="N17" s="10" t="str"/>
      <x:c r="O17" s="9" t="str">
        <x:v>1. 来源（当前证据）：liveshow-proto/MainBasis/统一需求文档.md；位置：REQ-cc7a5d0e0aaf；行3537
2. 规则：BR-c57485e1a75b438a
3. 未动态验证</x:v>
      </x:c>
    </x:row>
    <x:row r="18" ht="100" customHeight="1">
      <x:c r="A18" s="10" t="n">
        <x:v>17</x:v>
      </x:c>
      <x:c r="B18" s="10" t="str">
        <x:v>ADMIN-02-0011</x:v>
      </x:c>
      <x:c r="C18" s="10" t="str">
        <x:v>用户管理</x:v>
      </x:c>
      <x:c r="D18" s="10" t="str">
        <x:v>用户详情（平台管理员视角）</x:v>
      </x:c>
      <x:c r="E18" s="10" t="str">
        <x:v>逻辑校验</x:v>
      </x:c>
      <x:c r="F18" s="10" t="str">
        <x:v>P1</x:v>
      </x:c>
      <x:c r="G18" s="9" t="str">
        <x:v>验证充值退款后保留已完成消费流水</x:v>
      </x:c>
      <x:c r="H18" s="9" t="str">
        <x:v>退款后消费记录保留</x:v>
      </x:c>
      <x:c r="I18" s="9" t="str">
        <x:v>1. 执行角色为平台管理员
2. 账号具有当前模块访问及本次操作权限
3. 用户先充值后完成礼物消费，充值渠道随后全额退款</x:v>
      </x:c>
      <x:c r="J18" s="9" t="str">
        <x:v>1. 进入用户详情页
2. 切换消费流水</x:v>
      </x:c>
      <x:c r="K18" s="9" t="str">
        <x:v>原已完成消费流水仍可查看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来源（当前证据）：liveshow-proto/MainBasis/统一需求文档.md；位置：REQ-65bacefcfad7；行3550、REQ-17a6bd3f25a2；行3560
2. 规则：BR-9a3596e301264035
3. 未动态验证</x:v>
      </x:c>
    </x:row>
    <x:row r="19" ht="85" customHeight="1">
      <x:c r="A19" s="10" t="n">
        <x:v>18</x:v>
      </x:c>
      <x:c r="B19" s="10" t="str">
        <x:v>ADMIN-02-0012</x:v>
      </x:c>
      <x:c r="C19" s="10" t="str">
        <x:v>用户管理</x:v>
      </x:c>
      <x:c r="D19" s="10" t="str">
        <x:v>用户详情（平台管理员视角）</x:v>
      </x:c>
      <x:c r="E19" s="10" t="str">
        <x:v>功能需求</x:v>
      </x:c>
      <x:c r="F19" s="10" t="str">
        <x:v>P2</x:v>
      </x:c>
      <x:c r="G19" s="9" t="str">
        <x:v>验证用户详情关注关系显示当前值</x:v>
      </x:c>
      <x:c r="H19" s="9" t="str">
        <x:v>后台用户关系实时值</x:v>
      </x:c>
      <x:c r="I19" s="9" t="str">
        <x:v>1. 执行角色为平台管理员
2. 账号具有当前模块访问及本次操作权限
3. 用户原关注甲乙，后来取关甲</x:v>
      </x:c>
      <x:c r="J19" s="9" t="str">
        <x:v>1. 进入用户详情页
2. 切换关注</x:v>
      </x:c>
      <x:c r="K19" s="9" t="str">
        <x:v>关注列表仅包含乙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来源（当前证据）：liveshow-proto/MainBasis/统一需求文档.md；位置：REQ-794f7414a224；行3554
2. 规则：BR-bcbf76a9b35ff800
3. 未动态验证</x:v>
      </x:c>
    </x:row>
    <x:row r="20" ht="85" customHeight="1">
      <x:c r="A20" s="10" t="n">
        <x:v>19</x:v>
      </x:c>
      <x:c r="B20" s="10" t="str">
        <x:v>ADMIN-03-0001</x:v>
      </x:c>
      <x:c r="C20" s="10" t="str">
        <x:v>主播管理</x:v>
      </x:c>
      <x:c r="D20" s="10" t="str">
        <x:v>主播列表（平台管理员视角）</x:v>
      </x:c>
      <x:c r="E20" s="10" t="str">
        <x:v>逻辑校验</x:v>
      </x:c>
      <x:c r="F20" s="10" t="str">
        <x:v>P1</x:v>
      </x:c>
      <x:c r="G20" s="9" t="str">
        <x:v>验证主播违规次数排除不成立作废</x:v>
      </x:c>
      <x:c r="H20" s="9" t="str">
        <x:v>主播确认违规次数</x:v>
      </x:c>
      <x:c r="I20" s="9" t="str">
        <x:v>1. 执行角色为平台管理员
2. 账号具有当前模块访问及本次操作权限
3. 目标主播2条已确认违规、1条不成立、1条作废</x:v>
      </x:c>
      <x:c r="J20" s="9" t="str">
        <x:v>1. 进入主播列表页</x:v>
      </x:c>
      <x:c r="K20" s="9" t="str">
        <x:v>违规次数显示2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来源（当前证据）：liveshow-proto/MainBasis/统一需求文档.md；位置：REQ-e255210947f8；行3577
2. 规则：BR-f7b132f4997c47c7
3. 未动态验证</x:v>
      </x:c>
    </x:row>
    <x:row r="21" ht="85" customHeight="1">
      <x:c r="A21" s="10" t="n">
        <x:v>20</x:v>
      </x:c>
      <x:c r="B21" s="10" t="str">
        <x:v>ADMIN-03-0002</x:v>
      </x:c>
      <x:c r="C21" s="10" t="str">
        <x:v>主播管理</x:v>
      </x:c>
      <x:c r="D21" s="10" t="str">
        <x:v>主播列表（平台管理员视角）</x:v>
      </x:c>
      <x:c r="E21" s="10" t="str">
        <x:v>逻辑校验</x:v>
      </x:c>
      <x:c r="F21" s="10" t="str">
        <x:v>P1</x:v>
      </x:c>
      <x:c r="G21" s="9" t="str">
        <x:v>验证后台关闭主播开播权限</x:v>
      </x:c>
      <x:c r="H21" s="9" t="str">
        <x:v>后台开播权限关闭</x:v>
      </x:c>
      <x:c r="I21" s="9" t="str">
        <x:v>1. 执行角色为平台管理员
2. 账号具有当前模块访问及本次操作权限
3. 目标主播在播且平台开播权限开启</x:v>
      </x:c>
      <x:c r="J21" s="9" t="str">
        <x:v>1. 进入主播列表页
2. 关闭目标主播开播权限
3. 填写原因为测试限制
4. 点击确认</x:v>
      </x:c>
      <x:c r="K21" s="9" t="str">
        <x:v>平台开播权限显示关闭</x:v>
      </x:c>
      <x:c r="L21" s="10" t="str">
        <x:v>FLOW-B994D746A6</x:v>
      </x:c>
      <x:c r="M21" s="10" t="str">
        <x:v>未测</x:v>
      </x:c>
      <x:c r="N21" s="10" t="str"/>
      <x:c r="O21" s="9" t="str">
        <x:v>1. 来源（当前证据）：liveshow-proto/MainBasis/统一需求文档.md；位置：REQ-6995740cd800；行3579
2. 规则：BR-ec34d2a7a90a7aa0
3. 未动态验证</x:v>
      </x:c>
    </x:row>
    <x:row r="22" ht="85" customHeight="1">
      <x:c r="A22" s="10" t="n">
        <x:v>21</x:v>
      </x:c>
      <x:c r="B22" s="10" t="str">
        <x:v>ADMIN-03-0003</x:v>
      </x:c>
      <x:c r="C22" s="10" t="str">
        <x:v>主播管理</x:v>
      </x:c>
      <x:c r="D22" s="10" t="str">
        <x:v>主播详情（平台管理员视角）</x:v>
      </x:c>
      <x:c r="E22" s="10" t="str">
        <x:v>逻辑校验</x:v>
      </x:c>
      <x:c r="F22" s="10" t="str">
        <x:v>P1</x:v>
      </x:c>
      <x:c r="G22" s="9" t="str">
        <x:v>验证解封主播不恢复已关闭开播权限</x:v>
      </x:c>
      <x:c r="H22" s="9" t="str">
        <x:v>解封与开播权限独立</x:v>
      </x:c>
      <x:c r="I22" s="9" t="str">
        <x:v>1. 执行角色为平台管理员
2. 账号具有当前模块访问及本次操作权限
3. 目标主播已封禁且平台开播权限关闭</x:v>
      </x:c>
      <x:c r="J22" s="9" t="str">
        <x:v>1. 进入主播详情页
2. 点击解封
3. 填写原因为复核完成
4. 点击确认</x:v>
      </x:c>
      <x:c r="K22" s="9" t="str">
        <x:v>平台直播权限仍为关闭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来源（当前证据）：liveshow-proto/MainBasis/统一需求文档.md；位置：REQ-32e41c107d95；行3600
2. 规则：BR-c162313b7a21412a
3. 未动态验证</x:v>
      </x:c>
    </x:row>
    <x:row r="23" ht="85" customHeight="1">
      <x:c r="A23" s="10" t="n">
        <x:v>22</x:v>
      </x:c>
      <x:c r="B23" s="10" t="str">
        <x:v>ADMIN-03-0004</x:v>
      </x:c>
      <x:c r="C23" s="10" t="str">
        <x:v>主播管理</x:v>
      </x:c>
      <x:c r="D23" s="10" t="str">
        <x:v>主播详情（平台管理员视角）</x:v>
      </x:c>
      <x:c r="E23" s="10" t="str">
        <x:v>逻辑校验</x:v>
      </x:c>
      <x:c r="F23" s="10" t="str">
        <x:v>P1</x:v>
      </x:c>
      <x:c r="G23" s="9" t="str">
        <x:v>验证关闭公会管理权限锁定主播设置</x:v>
      </x:c>
      <x:c r="H23" s="9" t="str">
        <x:v>后台公会权限锁定</x:v>
      </x:c>
      <x:c r="I23" s="9" t="str">
        <x:v>1. 执行角色为平台管理员
2. 账号具有当前模块访问及本次操作权限
3. 公会原开播设置关闭，平台开播权限开启</x:v>
      </x:c>
      <x:c r="J23" s="9" t="str">
        <x:v>1. 进入主播详情页
2. 关闭公会管理权限
3. 填写原因为平台统一管理
4. 点击确认</x:v>
      </x:c>
      <x:c r="K23" s="9" t="str">
        <x:v>公会管理权限显示关闭</x:v>
      </x:c>
      <x:c r="L23" s="10" t="str">
        <x:v>FLOW-B994D746A6</x:v>
      </x:c>
      <x:c r="M23" s="10" t="str">
        <x:v>未测</x:v>
      </x:c>
      <x:c r="N23" s="10" t="str"/>
      <x:c r="O23" s="9" t="str">
        <x:v>1. 来源（当前证据）：liveshow-proto/MainBasis/统一需求文档.md；位置：REQ-ff26b743bf25；行3592
2. 规则：BR-56b1db1d85cd2508
3. 未动态验证</x:v>
      </x:c>
    </x:row>
    <x:row r="24" ht="85" customHeight="1">
      <x:c r="A24" s="10" t="n">
        <x:v>23</x:v>
      </x:c>
      <x:c r="B24" s="10" t="str">
        <x:v>ADMIN-03-0005</x:v>
      </x:c>
      <x:c r="C24" s="10" t="str">
        <x:v>主播管理</x:v>
      </x:c>
      <x:c r="D24" s="10" t="str">
        <x:v>主播审核（平台管理员视角）</x:v>
      </x:c>
      <x:c r="E24" s="10" t="str">
        <x:v>逻辑校验</x:v>
      </x:c>
      <x:c r="F24" s="10" t="str">
        <x:v>P1</x:v>
      </x:c>
      <x:c r="G24" s="9" t="str">
        <x:v>验证平台审核只接收公会初审通过申请</x:v>
      </x:c>
      <x:c r="H24" s="9" t="str">
        <x:v>平台主播申请范围</x:v>
      </x:c>
      <x:c r="I24" s="9" t="str">
        <x:v>1. 执行角色为平台管理员
2. 账号具有当前模块访问及本次操作权限
3. 申请A待公会审核，申请B公会已通过并提交</x:v>
      </x:c>
      <x:c r="J24" s="9" t="str">
        <x:v>1. 进入主播审核页</x:v>
      </x:c>
      <x:c r="K24" s="9" t="str">
        <x:v>平台列表包含B且不包含A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来源（当前证据）：liveshow-proto/MainBasis/统一需求文档.md；位置：REQ-9a7ffef94253；行3607
2. 规则：BR-5939776d6008976d
3. 未动态验证</x:v>
      </x:c>
    </x:row>
    <x:row r="25" ht="85" customHeight="1">
      <x:c r="A25" s="10" t="n">
        <x:v>24</x:v>
      </x:c>
      <x:c r="B25" s="10" t="str">
        <x:v>ADMIN-03-0006</x:v>
      </x:c>
      <x:c r="C25" s="10" t="str">
        <x:v>主播管理</x:v>
      </x:c>
      <x:c r="D25" s="10" t="str">
        <x:v>主播审核（平台管理员视角）</x:v>
      </x:c>
      <x:c r="E25" s="10" t="str">
        <x:v>逻辑校验</x:v>
      </x:c>
      <x:c r="F25" s="10" t="str">
        <x:v>P1</x:v>
      </x:c>
      <x:c r="G25" s="9" t="str">
        <x:v>验证平台驳回后新申请不继承旧结果</x:v>
      </x:c>
      <x:c r="H25" s="9" t="str">
        <x:v>平台重新申请单独审核</x:v>
      </x:c>
      <x:c r="I25" s="9" t="str">
        <x:v>1. 执行角色为平台管理员
2. 账号具有当前模块访问及本次操作权限
3. 旧单A平台驳回，用户重提B且公会已重新通过</x:v>
      </x:c>
      <x:c r="J25" s="9" t="str">
        <x:v>1. 进入主播审核页</x:v>
      </x:c>
      <x:c r="K25" s="9" t="str">
        <x:v>新单B状态为待审核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来源（当前证据）：liveshow-proto/MainBasis/统一需求文档.md；位置：REQ-2a33fdf388d2；行3619
2. 规则：BR-86e36bd0936124dc
3. 未动态验证</x:v>
      </x:c>
    </x:row>
    <x:row r="26" ht="85" customHeight="1">
      <x:c r="A26" s="10" t="n">
        <x:v>25</x:v>
      </x:c>
      <x:c r="B26" s="10" t="str">
        <x:v>ADMIN-03-0007</x:v>
      </x:c>
      <x:c r="C26" s="10" t="str">
        <x:v>主播管理</x:v>
      </x:c>
      <x:c r="D26" s="10" t="str">
        <x:v>审核详情（平台管理员视角）</x:v>
      </x:c>
      <x:c r="E26" s="10" t="str">
        <x:v>逻辑校验</x:v>
      </x:c>
      <x:c r="F26" s="10" t="str">
        <x:v>P1</x:v>
      </x:c>
      <x:c r="G26" s="9" t="str">
        <x:v>验证申请后资料修改不篡改审核快照</x:v>
      </x:c>
      <x:c r="H26" s="9" t="str">
        <x:v>认证申请材料快照</x:v>
      </x:c>
      <x:c r="I26" s="9" t="str">
        <x:v>1. 执行角色为平台管理员
2. 账号具有当前模块访问及本次操作权限
3. 申请时证件图片A，用户之后资料变为B</x:v>
      </x:c>
      <x:c r="J26" s="9" t="str">
        <x:v>1. 进入审核详情页</x:v>
      </x:c>
      <x:c r="K26" s="9" t="str">
        <x:v>认证材料仍展示申请时图片A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来源（当前证据）：liveshow-proto/MainBasis/统一需求文档.md；位置：REQ-1498d5602eea；行3630
2. 规则：BR-08b90b3ee242386f
3. 未动态验证</x:v>
      </x:c>
    </x:row>
    <x:row r="27" ht="85" customHeight="1">
      <x:c r="A27" s="10" t="n">
        <x:v>26</x:v>
      </x:c>
      <x:c r="B27" s="10" t="str">
        <x:v>ADMIN-03-0008</x:v>
      </x:c>
      <x:c r="C27" s="10" t="str">
        <x:v>主播管理</x:v>
      </x:c>
      <x:c r="D27" s="10" t="str">
        <x:v>审核详情（平台管理员视角）</x:v>
      </x:c>
      <x:c r="E27" s="10" t="str">
        <x:v>逻辑校验</x:v>
      </x:c>
      <x:c r="F27" s="10" t="str">
        <x:v>P1</x:v>
      </x:c>
      <x:c r="G27" s="9" t="str">
        <x:v>验证平台驳回主播必须填写原因</x:v>
      </x:c>
      <x:c r="H27" s="9" t="str">
        <x:v>平台驳回原因必填</x:v>
      </x:c>
      <x:c r="I27" s="9" t="str">
        <x:v>1. 执行角色为平台管理员
2. 账号具有当前模块访问及本次操作权限
3. 申请待审核</x:v>
      </x:c>
      <x:c r="J27" s="9" t="str">
        <x:v>1. 进入审核详情页
2. 选择审核结果为驳回
3. 清空驳回原因
4. 点击确认</x:v>
      </x:c>
      <x:c r="K27" s="9" t="str">
        <x:v>不能提交空原因的驳回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来源（当前证据）：liveshow-proto/MainBasis/统一需求文档.md；位置：REQ-4c0958b4b8cc；行3638
2. 规则：BR-c75ec18dac10793d
3. 未动态验证</x:v>
      </x:c>
    </x:row>
    <x:row r="28" ht="85" customHeight="1">
      <x:c r="A28" s="10" t="n">
        <x:v>27</x:v>
      </x:c>
      <x:c r="B28" s="10" t="str">
        <x:v>ADMIN-03-0009</x:v>
      </x:c>
      <x:c r="C28" s="10" t="str">
        <x:v>主播管理</x:v>
      </x:c>
      <x:c r="D28" s="10" t="str">
        <x:v>审核详情（平台管理员视角）</x:v>
      </x:c>
      <x:c r="E28" s="10" t="str">
        <x:v>业务流程</x:v>
      </x:c>
      <x:c r="F28" s="10" t="str">
        <x:v>P0</x:v>
      </x:c>
      <x:c r="G28" s="9" t="str">
        <x:v>验证平台通过认证生成主播身份</x:v>
      </x:c>
      <x:c r="H28" s="9" t="str">
        <x:v>平台终审通过</x:v>
      </x:c>
      <x:c r="I28" s="9" t="str">
        <x:v>1. 执行角色为平台管理员
2. 账号具有当前模块访问及本次操作权限
3. 申请待审核，账号和公会正常</x:v>
      </x:c>
      <x:c r="J28" s="9" t="str">
        <x:v>1. 进入审核详情页
2. 选择审核结果为通过
3. 选择直播权限为开启
4. 选择公会管理权限为可管理
5. 点击确认</x:v>
      </x:c>
      <x:c r="K28" s="9" t="str">
        <x:v>审核结果固化为已通过</x:v>
      </x:c>
      <x:c r="L28" s="10" t="str">
        <x:v>FLOW-B8276CAE9E</x:v>
      </x:c>
      <x:c r="M28" s="10" t="str">
        <x:v>未测</x:v>
      </x:c>
      <x:c r="N28" s="10" t="str"/>
      <x:c r="O28" s="9" t="str">
        <x:v>1. 来源（当前证据）：liveshow-proto/MainBasis/统一需求文档.md；位置：REQ-3da8e43b0335；行3640
2. 规则：BR-4b6e01709c555cfa
3. 未动态验证</x:v>
      </x:c>
    </x:row>
    <x:row r="29" ht="85" customHeight="1">
      <x:c r="A29" s="10" t="n">
        <x:v>28</x:v>
      </x:c>
      <x:c r="B29" s="10" t="str">
        <x:v>ADMIN-03-0010</x:v>
      </x:c>
      <x:c r="C29" s="10" t="str">
        <x:v>主播管理</x:v>
      </x:c>
      <x:c r="D29" s="10" t="str">
        <x:v>审核详情（平台管理员视角）</x:v>
      </x:c>
      <x:c r="E29" s="10" t="str">
        <x:v>逻辑校验</x:v>
      </x:c>
      <x:c r="F29" s="10" t="str">
        <x:v>P1</x:v>
      </x:c>
      <x:c r="G29" s="9" t="str">
        <x:v>验证已处理认证不能重复审核</x:v>
      </x:c>
      <x:c r="H29" s="9" t="str">
        <x:v>认证审核终态</x:v>
      </x:c>
      <x:c r="I29" s="9" t="str">
        <x:v>1. 执行角色为平台管理员
2. 账号具有当前模块访问及本次操作权限
3. 申请已通过</x:v>
      </x:c>
      <x:c r="J29" s="9" t="str">
        <x:v>1. 进入审核详情页</x:v>
      </x:c>
      <x:c r="K29" s="9" t="str">
        <x:v>申请不再允许提交审核结果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来源（当前证据）：liveshow-proto/MainBasis/统一需求文档.md；位置：REQ-78ab8f0a09ad；行3642
2. 规则：BR-6d8869f090abaf45
3. 未动态验证</x:v>
      </x:c>
    </x:row>
    <x:row r="30" ht="85" customHeight="1">
      <x:c r="A30" s="10" t="n">
        <x:v>29</x:v>
      </x:c>
      <x:c r="B30" s="10" t="str">
        <x:v>ADMIN-03-0011</x:v>
      </x:c>
      <x:c r="C30" s="10" t="str">
        <x:v>主播管理</x:v>
      </x:c>
      <x:c r="D30" s="10" t="str">
        <x:v>审核详情（平台管理员视角）</x:v>
      </x:c>
      <x:c r="E30" s="10" t="str">
        <x:v>逻辑校验</x:v>
      </x:c>
      <x:c r="F30" s="10" t="str">
        <x:v>P1</x:v>
      </x:c>
      <x:c r="G30" s="9" t="str">
        <x:v>验证平台驳回认证记录原因</x:v>
      </x:c>
      <x:c r="H30" s="9" t="str">
        <x:v>平台终审驳回</x:v>
      </x:c>
      <x:c r="I30" s="9" t="str">
        <x:v>1. 执行角色为平台管理员
2. 账号具有当前模块访问及本次操作权限
3. 申请待审核</x:v>
      </x:c>
      <x:c r="J30" s="9" t="str">
        <x:v>1. 进入审核详情页
2. 选择审核结果为驳回
3. 填写驳回原因为证件无法辨认
4. 点击确认</x:v>
      </x:c>
      <x:c r="K30" s="9" t="str">
        <x:v>审核结果显示已驳回</x:v>
      </x:c>
      <x:c r="L30" s="10" t="str">
        <x:v>FLOW-B8276CAE9E</x:v>
      </x:c>
      <x:c r="M30" s="10" t="str">
        <x:v>未测</x:v>
      </x:c>
      <x:c r="N30" s="10" t="str"/>
      <x:c r="O30" s="9" t="str">
        <x:v>1. 来源（当前证据）：liveshow-proto/MainBasis/统一需求文档.md；位置：REQ-4c0958b4b8cc；行3638
2. 规则：BR-936e738dca805a0f
3. 未动态验证</x:v>
      </x:c>
    </x:row>
    <x:row r="31" ht="85" customHeight="1">
      <x:c r="A31" s="10" t="n">
        <x:v>30</x:v>
      </x:c>
      <x:c r="B31" s="10" t="str">
        <x:v>ADMIN-03-0012</x:v>
      </x:c>
      <x:c r="C31" s="10" t="str">
        <x:v>主播管理</x:v>
      </x:c>
      <x:c r="D31" s="10" t="str">
        <x:v>直播场次（平台管理员视角）</x:v>
      </x:c>
      <x:c r="E31" s="10" t="str">
        <x:v>逻辑校验</x:v>
      </x:c>
      <x:c r="F31" s="10" t="str">
        <x:v>P1</x:v>
      </x:c>
      <x:c r="G31" s="9" t="str">
        <x:v>验证同主播两次开播生成不同场次</x:v>
      </x:c>
      <x:c r="H31" s="9" t="str">
        <x:v>后台场次唯一性</x:v>
      </x:c>
      <x:c r="I31" s="9" t="str">
        <x:v>1. 执行角色为平台管理员
2. 账号具有当前模块访问及本次操作权限
3. 同一主播已连续完成两次开播</x:v>
      </x:c>
      <x:c r="J31" s="9" t="str">
        <x:v>1. 进入直播场次页</x:v>
      </x:c>
      <x:c r="K31" s="9" t="str">
        <x:v>两次开播的场次ID不同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来源（当前证据）：liveshow-proto/MainBasis/统一需求文档.md；位置：REQ-36d4a8d0a3c5；行3649
2. 规则：BR-921374d0fd79f845
3. 未动态验证</x:v>
      </x:c>
    </x:row>
    <x:row r="32" ht="85" customHeight="1">
      <x:c r="A32" s="10" t="n">
        <x:v>31</x:v>
      </x:c>
      <x:c r="B32" s="10" t="str">
        <x:v>ADMIN-03-0013</x:v>
      </x:c>
      <x:c r="C32" s="10" t="str">
        <x:v>主播管理</x:v>
      </x:c>
      <x:c r="D32" s="10" t="str">
        <x:v>直播场次（平台管理员视角）</x:v>
      </x:c>
      <x:c r="E32" s="10" t="str">
        <x:v>逻辑校验</x:v>
      </x:c>
      <x:c r="F32" s="10" t="str">
        <x:v>P1</x:v>
      </x:c>
      <x:c r="G32" s="9" t="str">
        <x:v>验证修改后续开播房型不改历史场次</x:v>
      </x:c>
      <x:c r="H32" s="9" t="str">
        <x:v>后台房型历史快照</x:v>
      </x:c>
      <x:c r="I32" s="9" t="str">
        <x:v>1. 执行角色为平台管理员
2. 账号具有当前模块访问及本次操作权限
3. 旧场次为门票房，主播当前新开普通房</x:v>
      </x:c>
      <x:c r="J32" s="9" t="str">
        <x:v>1. 进入直播场次页</x:v>
      </x:c>
      <x:c r="K32" s="9" t="str">
        <x:v>旧场次房型仍为门票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来源（当前证据）：liveshow-proto/MainBasis/统一需求文档.md；位置：REQ-22b44e86ef5a；行3651
2. 规则：BR-cc590483ff106895
3. 未动态验证</x:v>
      </x:c>
    </x:row>
    <x:row r="33" ht="85" customHeight="1">
      <x:c r="A33" s="10" t="n">
        <x:v>32</x:v>
      </x:c>
      <x:c r="B33" s="10" t="str">
        <x:v>ADMIN-03-0014</x:v>
      </x:c>
      <x:c r="C33" s="10" t="str">
        <x:v>主播管理</x:v>
      </x:c>
      <x:c r="D33" s="10" t="str">
        <x:v>直播场次（平台管理员视角）</x:v>
      </x:c>
      <x:c r="E33" s="10" t="str">
        <x:v>业务流程</x:v>
      </x:c>
      <x:c r="F33" s="10" t="str">
        <x:v>P0</x:v>
      </x:c>
      <x:c r="G33" s="9" t="str">
        <x:v>验证后台关播结束指定场次</x:v>
      </x:c>
      <x:c r="H33" s="9" t="str">
        <x:v>后台关播状态</x:v>
      </x:c>
      <x:c r="I33" s="9" t="str">
        <x:v>1. 执行角色为平台管理员
2. 账号具有当前模块访问及本次操作权限
3. 目标场次直播中</x:v>
      </x:c>
      <x:c r="J33" s="9" t="str">
        <x:v>1. 进入直播场次页
2. 点击目标场次关播
3. 填写原因为测试处置
4. 点击确认</x:v>
      </x:c>
      <x:c r="K33" s="9" t="str">
        <x:v>目标场次状态为已结束</x:v>
      </x:c>
      <x:c r="L33" s="10" t="str">
        <x:v>FLOW-3316A78DEE</x:v>
      </x:c>
      <x:c r="M33" s="10" t="str">
        <x:v>未测</x:v>
      </x:c>
      <x:c r="N33" s="10" t="str"/>
      <x:c r="O33" s="9" t="str">
        <x:v>1. 来源（当前证据）：liveshow-proto/MainBasis/统一需求文档.md；位置：REQ-238f32337fda；行3665
2. 规则：BR-5b8957f64b0e289b
3. 未动态验证</x:v>
      </x:c>
    </x:row>
    <x:row r="34" ht="85" customHeight="1">
      <x:c r="A34" s="10" t="n">
        <x:v>33</x:v>
      </x:c>
      <x:c r="B34" s="10" t="str">
        <x:v>ADMIN-03-0015</x:v>
      </x:c>
      <x:c r="C34" s="10" t="str">
        <x:v>主播管理</x:v>
      </x:c>
      <x:c r="D34" s="10" t="str">
        <x:v>直播详情（平台管理员视角）</x:v>
      </x:c>
      <x:c r="E34" s="10" t="str">
        <x:v>逻辑校验</x:v>
      </x:c>
      <x:c r="F34" s="10" t="str">
        <x:v>P1</x:v>
      </x:c>
      <x:c r="G34" s="9" t="str">
        <x:v>验证后台警告不结束直播</x:v>
      </x:c>
      <x:c r="H34" s="9" t="str">
        <x:v>后台警告后的直播状态</x:v>
      </x:c>
      <x:c r="I34" s="9" t="str">
        <x:v>1. 执行角色为平台管理员
2. 账号具有当前模块访问及本次操作权限
3. 当前场次直播中</x:v>
      </x:c>
      <x:c r="J34" s="9" t="str">
        <x:v>1. 进入直播详情页
2. 点击警告
3. 填写原因为测试提醒
4. 点击确认</x:v>
      </x:c>
      <x:c r="K34" s="9" t="str">
        <x:v>场次保持直播中</x:v>
      </x:c>
      <x:c r="L34" s="10" t="str">
        <x:v>FLOW-3316A78DEE</x:v>
      </x:c>
      <x:c r="M34" s="10" t="str">
        <x:v>未测</x:v>
      </x:c>
      <x:c r="N34" s="10" t="str"/>
      <x:c r="O34" s="9" t="str">
        <x:v>1. 来源（当前证据）：liveshow-proto/MainBasis/统一需求文档.md；位置：REQ-ec07d4e6110a；行3684
2. 规则：BR-70f9aac5fbbe205c
3. 未动态验证</x:v>
      </x:c>
    </x:row>
    <x:row r="35" ht="85" customHeight="1">
      <x:c r="A35" s="10" t="n">
        <x:v>34</x:v>
      </x:c>
      <x:c r="B35" s="10" t="str">
        <x:v>ADMIN-03-0016</x:v>
      </x:c>
      <x:c r="C35" s="10" t="str">
        <x:v>主播管理</x:v>
      </x:c>
      <x:c r="D35" s="10" t="str">
        <x:v>直播详情（平台管理员视角）</x:v>
      </x:c>
      <x:c r="E35" s="10" t="str">
        <x:v>逻辑校验</x:v>
      </x:c>
      <x:c r="F35" s="10" t="str">
        <x:v>P1</x:v>
      </x:c>
      <x:c r="G35" s="9" t="str">
        <x:v>验证已结束场次不提供实时处置</x:v>
      </x:c>
      <x:c r="H35" s="9" t="str">
        <x:v>后台结束场次只读</x:v>
      </x:c>
      <x:c r="I35" s="9" t="str">
        <x:v>1. 执行角色为平台管理员
2. 账号具有当前模块访问及本次操作权限
3. 目标场次已结束</x:v>
      </x:c>
      <x:c r="J35" s="9" t="str">
        <x:v>1. 进入直播详情页</x:v>
      </x:c>
      <x:c r="K35" s="9" t="str">
        <x:v>不显示即时警告或关播操作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来源（当前证据）：liveshow-proto/MainBasis/统一需求文档.md；位置：REQ-188aedf077cf；行3686
2. 规则：BR-9c8c5832845d2c91
3. 未动态验证</x:v>
      </x:c>
    </x:row>
    <x:row r="36" ht="85" customHeight="1">
      <x:c r="A36" s="10" t="n">
        <x:v>35</x:v>
      </x:c>
      <x:c r="B36" s="10" t="str">
        <x:v>ADMIN-03-0017</x:v>
      </x:c>
      <x:c r="C36" s="10" t="str">
        <x:v>主播管理</x:v>
      </x:c>
      <x:c r="D36" s="10" t="str">
        <x:v>直播详情（平台管理员视角）</x:v>
      </x:c>
      <x:c r="E36" s="10" t="str">
        <x:v>逻辑校验</x:v>
      </x:c>
      <x:c r="F36" s="10" t="str">
        <x:v>P1</x:v>
      </x:c>
      <x:c r="G36" s="9" t="str">
        <x:v>验证后台场次收礼数量排除门票</x:v>
      </x:c>
      <x:c r="H36" s="9" t="str">
        <x:v>场次收礼统计范围</x:v>
      </x:c>
      <x:c r="I36" s="9" t="str">
        <x:v>1. 执行角色为平台管理员
2. 账号具有当前模块访问及本次操作权限
3. 场次3件普通礼物、2件幸运礼物、5张门票成功订单</x:v>
      </x:c>
      <x:c r="J36" s="9" t="str">
        <x:v>1. 进入直播详情页</x:v>
      </x:c>
      <x:c r="K36" s="9" t="str">
        <x:v>收礼数量显示5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来源（当前证据）：liveshow-proto/MainBasis/统一需求文档.md；位置：REQ-08522221fbf4；行3678
2. 规则：BR-d1a5e4636324b006
3. 未动态验证</x:v>
      </x:c>
    </x:row>
    <x:row r="37" ht="100" customHeight="1">
      <x:c r="A37" s="10" t="n">
        <x:v>36</x:v>
      </x:c>
      <x:c r="B37" s="10" t="str">
        <x:v>ADMIN-03-0018</x:v>
      </x:c>
      <x:c r="C37" s="10" t="str">
        <x:v>主播管理</x:v>
      </x:c>
      <x:c r="D37" s="10" t="str">
        <x:v>直播详情（平台管理员视角）</x:v>
      </x:c>
      <x:c r="E37" s="10" t="str">
        <x:v>逻辑校验</x:v>
      </x:c>
      <x:c r="F37" s="10" t="str">
        <x:v>P1</x:v>
      </x:c>
      <x:c r="G37" s="9" t="str">
        <x:v>验证后台详情金币收益按用户净消费</x:v>
      </x:c>
      <x:c r="H37" s="9" t="str">
        <x:v>后台场次消费口径</x:v>
      </x:c>
      <x:c r="I37" s="9" t="str">
        <x:v>1. 执行角色为平台管理员
2. 账号具有当前模块访问及本次操作权限
3. 普通消费100、门票50、幸运扣减1000返奖500、运营虚拟消费2000金币</x:v>
      </x:c>
      <x:c r="J37" s="9" t="str">
        <x:v>1. 进入直播详情页</x:v>
      </x:c>
      <x:c r="K37" s="9" t="str">
        <x:v>金币收益 = 650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来源（当前证据）：liveshow-proto/MainBasis/统一需求文档.md；位置：REQ-6306a367da63；行3676
2. 规则：BR-543b5b4f29f91e0c
3. 未动态验证</x:v>
      </x:c>
    </x:row>
    <x:row r="38" ht="100" customHeight="1">
      <x:c r="A38" s="10" t="n">
        <x:v>37</x:v>
      </x:c>
      <x:c r="B38" s="10" t="str">
        <x:v>ADMIN-03-0019</x:v>
      </x:c>
      <x:c r="C38" s="10" t="str">
        <x:v>主播管理</x:v>
      </x:c>
      <x:c r="D38" s="10" t="str">
        <x:v>新建排班（平台管理员视角）</x:v>
      </x:c>
      <x:c r="E38" s="10" t="str">
        <x:v>逻辑校验</x:v>
      </x:c>
      <x:c r="F38" s="10" t="str">
        <x:v>P1</x:v>
      </x:c>
      <x:c r="G38" s="9" t="str">
        <x:v>验证巡房排班日期为空</x:v>
      </x:c>
      <x:c r="H38" s="9" t="str">
        <x:v>排班日期为空校验</x:v>
      </x:c>
      <x:c r="I38" s="9" t="str">
        <x:v>1. 执行角色为平台管理员
2. 账号具有当前模块访问及本次操作权限
3. 其他必填项合法</x:v>
      </x:c>
      <x:c r="J38" s="9" t="str">
        <x:v>1. 进入新建排班页
2. 清空日期
3. 点击保存</x:v>
      </x:c>
      <x:c r="K38" s="9" t="str">
        <x:v>不能保存该无效排班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来源（当前证据）：liveshow-proto/MainBasis/统一需求文档.md；位置：REQ-3dce5fc17d88；行3714、REQ-0ba1537bb69a；行3716、REQ-a7e7f32afe6c；行3718
2. 规则：BR-510fdcc8cb54ad52
3. 未动态验证</x:v>
      </x:c>
    </x:row>
    <x:row r="39" ht="100" customHeight="1">
      <x:c r="A39" s="10" t="n">
        <x:v>38</x:v>
      </x:c>
      <x:c r="B39" s="10" t="str">
        <x:v>ADMIN-03-0020</x:v>
      </x:c>
      <x:c r="C39" s="10" t="str">
        <x:v>主播管理</x:v>
      </x:c>
      <x:c r="D39" s="10" t="str">
        <x:v>新建排班（平台管理员视角）</x:v>
      </x:c>
      <x:c r="E39" s="10" t="str">
        <x:v>逻辑校验</x:v>
      </x:c>
      <x:c r="F39" s="10" t="str">
        <x:v>P1</x:v>
      </x:c>
      <x:c r="G39" s="9" t="str">
        <x:v>验证巡房排班日期早于今天</x:v>
      </x:c>
      <x:c r="H39" s="9" t="str">
        <x:v>排班日期早于今天校验</x:v>
      </x:c>
      <x:c r="I39" s="9" t="str">
        <x:v>1. 执行角色为平台管理员
2. 账号具有当前模块访问及本次操作权限
3. 其他必填项合法</x:v>
      </x:c>
      <x:c r="J39" s="9" t="str">
        <x:v>1. 进入新建排班页
2. 填写日期为昨天
3. 点击保存</x:v>
      </x:c>
      <x:c r="K39" s="9" t="str">
        <x:v>不能保存该无效排班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来源（当前证据）：liveshow-proto/MainBasis/统一需求文档.md；位置：REQ-3dce5fc17d88；行3714、REQ-0ba1537bb69a；行3716、REQ-a7e7f32afe6c；行3718
2. 规则：BR-85029643f273ef41
3. 未动态验证</x:v>
      </x:c>
    </x:row>
    <x:row r="40" ht="100" customHeight="1">
      <x:c r="A40" s="10" t="n">
        <x:v>39</x:v>
      </x:c>
      <x:c r="B40" s="10" t="str">
        <x:v>ADMIN-03-0021</x:v>
      </x:c>
      <x:c r="C40" s="10" t="str">
        <x:v>主播管理</x:v>
      </x:c>
      <x:c r="D40" s="10" t="str">
        <x:v>新建排班（平台管理员视角）</x:v>
      </x:c>
      <x:c r="E40" s="10" t="str">
        <x:v>逻辑校验</x:v>
      </x:c>
      <x:c r="F40" s="10" t="str">
        <x:v>P1</x:v>
      </x:c>
      <x:c r="G40" s="9" t="str">
        <x:v>验证巡房排班结束等于开始</x:v>
      </x:c>
      <x:c r="H40" s="9" t="str">
        <x:v>排班结束等于开始校验</x:v>
      </x:c>
      <x:c r="I40" s="9" t="str">
        <x:v>1. 执行角色为平台管理员
2. 账号具有当前模块访问及本次操作权限
3. 其他必填项合法</x:v>
      </x:c>
      <x:c r="J40" s="9" t="str">
        <x:v>1. 进入新建排班页
2. 填写开始时间为10:00
3. 填写结束时间为10:00
4. 点击保存</x:v>
      </x:c>
      <x:c r="K40" s="9" t="str">
        <x:v>不能保存该无效排班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来源（当前证据）：liveshow-proto/MainBasis/统一需求文档.md；位置：REQ-3dce5fc17d88；行3714、REQ-0ba1537bb69a；行3716、REQ-a7e7f32afe6c；行3718
2. 规则：BR-44fe57432941825d
3. 未动态验证</x:v>
      </x:c>
    </x:row>
    <x:row r="41" ht="100" customHeight="1">
      <x:c r="A41" s="10" t="n">
        <x:v>40</x:v>
      </x:c>
      <x:c r="B41" s="10" t="str">
        <x:v>ADMIN-03-0022</x:v>
      </x:c>
      <x:c r="C41" s="10" t="str">
        <x:v>主播管理</x:v>
      </x:c>
      <x:c r="D41" s="10" t="str">
        <x:v>新建排班（平台管理员视角）</x:v>
      </x:c>
      <x:c r="E41" s="10" t="str">
        <x:v>逻辑校验</x:v>
      </x:c>
      <x:c r="F41" s="10" t="str">
        <x:v>P1</x:v>
      </x:c>
      <x:c r="G41" s="9" t="str">
        <x:v>验证巡房排班结束早于开始</x:v>
      </x:c>
      <x:c r="H41" s="9" t="str">
        <x:v>排班结束早于开始校验</x:v>
      </x:c>
      <x:c r="I41" s="9" t="str">
        <x:v>1. 执行角色为平台管理员
2. 账号具有当前模块访问及本次操作权限
3. 其他必填项合法</x:v>
      </x:c>
      <x:c r="J41" s="9" t="str">
        <x:v>1. 进入新建排班页
2. 填写开始时间为10:00
3. 填写结束时间为09:59
4. 点击保存</x:v>
      </x:c>
      <x:c r="K41" s="9" t="str">
        <x:v>不能保存该无效排班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来源（当前证据）：liveshow-proto/MainBasis/统一需求文档.md；位置：REQ-3dce5fc17d88；行3714、REQ-0ba1537bb69a；行3716、REQ-a7e7f32afe6c；行3718
2. 规则：BR-7998823ea106dc24
3. 未动态验证</x:v>
      </x:c>
    </x:row>
    <x:row r="42" ht="100" customHeight="1">
      <x:c r="A42" s="10" t="n">
        <x:v>41</x:v>
      </x:c>
      <x:c r="B42" s="10" t="str">
        <x:v>ADMIN-03-0023</x:v>
      </x:c>
      <x:c r="C42" s="10" t="str">
        <x:v>主播管理</x:v>
      </x:c>
      <x:c r="D42" s="10" t="str">
        <x:v>新建排班（平台管理员视角）</x:v>
      </x:c>
      <x:c r="E42" s="10" t="str">
        <x:v>逻辑校验</x:v>
      </x:c>
      <x:c r="F42" s="10" t="str">
        <x:v>P1</x:v>
      </x:c>
      <x:c r="G42" s="9" t="str">
        <x:v>验证巡房排班没有人员</x:v>
      </x:c>
      <x:c r="H42" s="9" t="str">
        <x:v>排班没有人员校验</x:v>
      </x:c>
      <x:c r="I42" s="9" t="str">
        <x:v>1. 执行角色为平台管理员
2. 账号具有当前模块访问及本次操作权限
3. 其他必填项合法</x:v>
      </x:c>
      <x:c r="J42" s="9" t="str">
        <x:v>1. 进入新建排班页
2. 清空巡房人员
3. 点击保存</x:v>
      </x:c>
      <x:c r="K42" s="9" t="str">
        <x:v>不能保存该无效排班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来源（当前证据）：liveshow-proto/MainBasis/统一需求文档.md；位置：REQ-3dce5fc17d88；行3714、REQ-0ba1537bb69a；行3716、REQ-a7e7f32afe6c；行3718
2. 规则：BR-c58b88dc87a17c14
3. 未动态验证</x:v>
      </x:c>
    </x:row>
    <x:row r="43" ht="85" customHeight="1">
      <x:c r="A43" s="10" t="n">
        <x:v>42</x:v>
      </x:c>
      <x:c r="B43" s="10" t="str">
        <x:v>ADMIN-03-0024</x:v>
      </x:c>
      <x:c r="C43" s="10" t="str">
        <x:v>主播管理</x:v>
      </x:c>
      <x:c r="D43" s="10" t="str">
        <x:v>新建排班（平台管理员视角）</x:v>
      </x:c>
      <x:c r="E43" s="10" t="str">
        <x:v>逻辑校验</x:v>
      </x:c>
      <x:c r="F43" s="10" t="str">
        <x:v>P1</x:v>
      </x:c>
      <x:c r="G43" s="9" t="str">
        <x:v>验证封禁账号不能加入巡房排班</x:v>
      </x:c>
      <x:c r="H43" s="9" t="str">
        <x:v>巡房人员账号资格</x:v>
      </x:c>
      <x:c r="I43" s="9" t="str">
        <x:v>1. 执行角色为平台管理员
2. 账号具有当前模块访问及本次操作权限
3. 用户甲已封禁，用户乙正常</x:v>
      </x:c>
      <x:c r="J43" s="9" t="str">
        <x:v>1. 进入新建排班页
2. 点击添加
3. 填写搜索为甲</x:v>
      </x:c>
      <x:c r="K43" s="9" t="str">
        <x:v>甲不可加入人员名单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来源（当前证据）：liveshow-proto/MainBasis/统一需求文档.md；位置：REQ-ad3ced20eea6；行3720
2. 规则：BR-e5800c1d5f8d8e23
3. 未动态验证</x:v>
      </x:c>
    </x:row>
    <x:row r="44" ht="85" customHeight="1">
      <x:c r="A44" s="10" t="n">
        <x:v>43</x:v>
      </x:c>
      <x:c r="B44" s="10" t="str">
        <x:v>ADMIN-03-0025</x:v>
      </x:c>
      <x:c r="C44" s="10" t="str">
        <x:v>主播管理</x:v>
      </x:c>
      <x:c r="D44" s="10" t="str">
        <x:v>新建排班（平台管理员视角）</x:v>
      </x:c>
      <x:c r="E44" s="10" t="str">
        <x:v>逻辑校验</x:v>
      </x:c>
      <x:c r="F44" s="10" t="str">
        <x:v>P1</x:v>
      </x:c>
      <x:c r="G44" s="9" t="str">
        <x:v>验证巡房添加人员全选只限搜索结果</x:v>
      </x:c>
      <x:c r="H44" s="9" t="str">
        <x:v>巡房人员全选边界</x:v>
      </x:c>
      <x:c r="I44" s="9" t="str">
        <x:v>1. 执行角色为平台管理员
2. 账号具有当前模块访问及本次操作权限
3. 共3个可用用户，当前搜索仅命中甲</x:v>
      </x:c>
      <x:c r="J44" s="9" t="str">
        <x:v>1. 进入新建排班页
2. 点击添加
3. 填写搜索为甲
4. 点击全选</x:v>
      </x:c>
      <x:c r="K44" s="9" t="str">
        <x:v>仅甲被选中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来源（当前证据）：liveshow-proto/MainBasis/统一需求文档.md；位置：REQ-995934b26232；行3722
2. 规则：BR-5ed6a04bafa97c59
3. 未动态验证</x:v>
      </x:c>
    </x:row>
    <x:row r="45" ht="85" customHeight="1">
      <x:c r="A45" s="10" t="n">
        <x:v>44</x:v>
      </x:c>
      <x:c r="B45" s="10" t="str">
        <x:v>ADMIN-03-0026</x:v>
      </x:c>
      <x:c r="C45" s="10" t="str">
        <x:v>主播管理</x:v>
      </x:c>
      <x:c r="D45" s="10" t="str">
        <x:v>新建排班（平台管理员视角）</x:v>
      </x:c>
      <x:c r="E45" s="10" t="str">
        <x:v>逻辑校验</x:v>
      </x:c>
      <x:c r="F45" s="10" t="str">
        <x:v>P1</x:v>
      </x:c>
      <x:c r="G45" s="9" t="str">
        <x:v>验证巡房人员重复添加去重</x:v>
      </x:c>
      <x:c r="H45" s="9" t="str">
        <x:v>巡房名单唯一人员</x:v>
      </x:c>
      <x:c r="I45" s="9" t="str">
        <x:v>1. 执行角色为平台管理员
2. 账号具有当前模块访问及本次操作权限
3. 名单已有甲</x:v>
      </x:c>
      <x:c r="J45" s="9" t="str">
        <x:v>1. 进入新建排班页
2. 点击添加
3. 选择甲
4. 点击确认</x:v>
      </x:c>
      <x:c r="K45" s="9" t="str">
        <x:v>名单中甲仅1行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来源（当前证据）：liveshow-proto/MainBasis/统一需求文档.md；位置：REQ-a7e7f32afe6c；行3718
2. 规则：BR-9664fa5c1e1a4a2b
3. 未动态验证</x:v>
      </x:c>
    </x:row>
    <x:row r="46" ht="85" customHeight="1">
      <x:c r="A46" s="10" t="n">
        <x:v>45</x:v>
      </x:c>
      <x:c r="B46" s="10" t="str">
        <x:v>ADMIN-03-0027</x:v>
      </x:c>
      <x:c r="C46" s="10" t="str">
        <x:v>主播管理</x:v>
      </x:c>
      <x:c r="D46" s="10" t="str">
        <x:v>新建排班（平台管理员视角）</x:v>
      </x:c>
      <x:c r="E46" s="10" t="str">
        <x:v>业务流程</x:v>
      </x:c>
      <x:c r="F46" s="10" t="str">
        <x:v>P0</x:v>
      </x:c>
      <x:c r="G46" s="9" t="str">
        <x:v>验证保存有效巡房排班</x:v>
      </x:c>
      <x:c r="H46" s="9" t="str">
        <x:v>巡房排班创建</x:v>
      </x:c>
      <x:c r="I46" s="9" t="str">
        <x:v>1. 执行角色为平台管理员
2. 账号具有当前模块访问及本次操作权限
3. 日期今天，时间10:00至12:00，至少1个可用用户已选</x:v>
      </x:c>
      <x:c r="J46" s="9" t="str">
        <x:v>1. 进入新建排班页
2. 点击保存</x:v>
      </x:c>
      <x:c r="K46" s="9" t="str">
        <x:v>返回巡房排班列表</x:v>
      </x:c>
      <x:c r="L46" s="10" t="str">
        <x:v>FLOW-50103B7A36</x:v>
      </x:c>
      <x:c r="M46" s="10" t="str">
        <x:v>未测</x:v>
      </x:c>
      <x:c r="N46" s="10" t="str"/>
      <x:c r="O46" s="9" t="str">
        <x:v>1. 来源（当前证据）：liveshow-proto/MainBasis/统一需求文档.md；位置：REQ-995934b26232；行3722
2. 规则：BR-636d54d3c6f2872d
3. 未动态验证</x:v>
      </x:c>
    </x:row>
    <x:row r="47" ht="85" customHeight="1">
      <x:c r="A47" s="10" t="n">
        <x:v>46</x:v>
      </x:c>
      <x:c r="B47" s="10" t="str">
        <x:v>ADMIN-03-0028</x:v>
      </x:c>
      <x:c r="C47" s="10" t="str">
        <x:v>主播管理</x:v>
      </x:c>
      <x:c r="D47" s="10" t="str">
        <x:v>巡房排班（平台管理员视角）</x:v>
      </x:c>
      <x:c r="E47" s="10" t="str">
        <x:v>逻辑校验</x:v>
      </x:c>
      <x:c r="F47" s="10" t="str">
        <x:v>P1</x:v>
      </x:c>
      <x:c r="G47" s="9" t="str">
        <x:v>验证停用生效中的巡房排班</x:v>
      </x:c>
      <x:c r="H47" s="9" t="str">
        <x:v>巡房排班停用</x:v>
      </x:c>
      <x:c r="I47" s="9" t="str">
        <x:v>1. 执行角色为平台管理员
2. 账号具有当前模块访问及本次操作权限
3. 当前排班生效中</x:v>
      </x:c>
      <x:c r="J47" s="9" t="str">
        <x:v>1. 进入巡房排班页
2. 点击停用</x:v>
      </x:c>
      <x:c r="K47" s="9" t="str">
        <x:v>排班状态显示已停用</x:v>
      </x:c>
      <x:c r="L47" s="10" t="str">
        <x:v>FLOW-50103B7A36</x:v>
      </x:c>
      <x:c r="M47" s="10" t="str">
        <x:v>未测</x:v>
      </x:c>
      <x:c r="N47" s="10" t="str"/>
      <x:c r="O47" s="9" t="str">
        <x:v>1. 来源（当前证据）：liveshow-proto/MainBasis/统一需求文档.md；位置：REQ-140cf016ddd1；行3707
2. 规则：BR-f59e9ef366ddcb5e
3. 未动态验证</x:v>
      </x:c>
    </x:row>
    <x:row r="48" ht="85" customHeight="1">
      <x:c r="A48" s="10" t="n">
        <x:v>47</x:v>
      </x:c>
      <x:c r="B48" s="10" t="str">
        <x:v>ADMIN-03-0029</x:v>
      </x:c>
      <x:c r="C48" s="10" t="str">
        <x:v>主播管理</x:v>
      </x:c>
      <x:c r="D48" s="10" t="str">
        <x:v>巡房排班（平台管理员视角）</x:v>
      </x:c>
      <x:c r="E48" s="10" t="str">
        <x:v>逻辑校验</x:v>
      </x:c>
      <x:c r="F48" s="10" t="str">
        <x:v>P1</x:v>
      </x:c>
      <x:c r="G48" s="9" t="str">
        <x:v>验证开始前重新启用巡房排班</x:v>
      </x:c>
      <x:c r="H48" s="9" t="str">
        <x:v>巡房恢复状态计算</x:v>
      </x:c>
      <x:c r="I48" s="9" t="str">
        <x:v>1. 执行角色为平台管理员
2. 账号具有当前模块访问及本次操作权限
3. 排班当前停用，平台时钟处于该排班开始前</x:v>
      </x:c>
      <x:c r="J48" s="9" t="str">
        <x:v>1. 进入巡房排班页
2. 点击启用</x:v>
      </x:c>
      <x:c r="K48" s="9" t="str">
        <x:v>排班状态显示待生效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来源（当前证据）：liveshow-proto/MainBasis/统一需求文档.md；位置：REQ-140cf016ddd1；行3707
2. 规则：BR-3410e9489ec8b605
3. 未动态验证</x:v>
      </x:c>
    </x:row>
    <x:row r="49" ht="85" customHeight="1">
      <x:c r="A49" s="10" t="n">
        <x:v>48</x:v>
      </x:c>
      <x:c r="B49" s="10" t="str">
        <x:v>ADMIN-03-0030</x:v>
      </x:c>
      <x:c r="C49" s="10" t="str">
        <x:v>主播管理</x:v>
      </x:c>
      <x:c r="D49" s="10" t="str">
        <x:v>巡房排班（平台管理员视角）</x:v>
      </x:c>
      <x:c r="E49" s="10" t="str">
        <x:v>逻辑校验</x:v>
      </x:c>
      <x:c r="F49" s="10" t="str">
        <x:v>P1</x:v>
      </x:c>
      <x:c r="G49" s="9" t="str">
        <x:v>验证时段内重新启用巡房排班</x:v>
      </x:c>
      <x:c r="H49" s="9" t="str">
        <x:v>巡房恢复状态计算</x:v>
      </x:c>
      <x:c r="I49" s="9" t="str">
        <x:v>1. 执行角色为平台管理员
2. 账号具有当前模块访问及本次操作权限
3. 排班当前停用，平台时钟处于该排班时段内</x:v>
      </x:c>
      <x:c r="J49" s="9" t="str">
        <x:v>1. 进入巡房排班页
2. 点击启用</x:v>
      </x:c>
      <x:c r="K49" s="9" t="str">
        <x:v>排班状态显示生效中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来源（当前证据）：liveshow-proto/MainBasis/统一需求文档.md；位置：REQ-140cf016ddd1；行3707
2. 规则：BR-01a446defe2e8185
3. 未动态验证</x:v>
      </x:c>
    </x:row>
    <x:row r="50" ht="85" customHeight="1">
      <x:c r="A50" s="10" t="n">
        <x:v>49</x:v>
      </x:c>
      <x:c r="B50" s="10" t="str">
        <x:v>ADMIN-03-0031</x:v>
      </x:c>
      <x:c r="C50" s="10" t="str">
        <x:v>主播管理</x:v>
      </x:c>
      <x:c r="D50" s="10" t="str">
        <x:v>巡房排班（平台管理员视角）</x:v>
      </x:c>
      <x:c r="E50" s="10" t="str">
        <x:v>逻辑校验</x:v>
      </x:c>
      <x:c r="F50" s="10" t="str">
        <x:v>P1</x:v>
      </x:c>
      <x:c r="G50" s="9" t="str">
        <x:v>验证结束后重新启用巡房排班</x:v>
      </x:c>
      <x:c r="H50" s="9" t="str">
        <x:v>巡房恢复状态计算</x:v>
      </x:c>
      <x:c r="I50" s="9" t="str">
        <x:v>1. 执行角色为平台管理员
2. 账号具有当前模块访问及本次操作权限
3. 排班当前停用，平台时钟处于该排班结束后</x:v>
      </x:c>
      <x:c r="J50" s="9" t="str">
        <x:v>1. 进入巡房排班页
2. 点击启用</x:v>
      </x:c>
      <x:c r="K50" s="9" t="str">
        <x:v>排班状态显示已结束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来源（当前证据）：liveshow-proto/MainBasis/统一需求文档.md；位置：REQ-140cf016ddd1；行3707
2. 规则：BR-8497efa8e55b7bf3
3. 未动态验证</x:v>
      </x:c>
    </x:row>
    <x:row r="51" ht="85" customHeight="1">
      <x:c r="A51" s="10" t="n">
        <x:v>50</x:v>
      </x:c>
      <x:c r="B51" s="10" t="str">
        <x:v>ADMIN-03-0032</x:v>
      </x:c>
      <x:c r="C51" s="10" t="str">
        <x:v>主播管理</x:v>
      </x:c>
      <x:c r="D51" s="10" t="str">
        <x:v>排班详情（平台管理员视角）</x:v>
      </x:c>
      <x:c r="E51" s="10" t="str">
        <x:v>逻辑校验</x:v>
      </x:c>
      <x:c r="F51" s="10" t="str">
        <x:v>P1</x:v>
      </x:c>
      <x:c r="G51" s="9" t="str">
        <x:v>验证巡房人员封禁后历史名单保留</x:v>
      </x:c>
      <x:c r="H51" s="9" t="str">
        <x:v>历史排班人员快照</x:v>
      </x:c>
      <x:c r="I51" s="9" t="str">
        <x:v>1. 执行角色为平台管理员
2. 账号具有当前模块访问及本次操作权限
3. 甲已在历史排班名单，后来账号被封禁</x:v>
      </x:c>
      <x:c r="J51" s="9" t="str">
        <x:v>1. 进入排班详情页</x:v>
      </x:c>
      <x:c r="K51" s="9" t="str">
        <x:v>历史人员名单仍包含甲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来源（当前证据）：liveshow-proto/MainBasis/统一需求文档.md；位置：REQ-60f4e6569ea4；行3733
2. 规则：BR-853d809044b1aa04
3. 未动态验证</x:v>
      </x:c>
    </x:row>
    <x:row r="52" ht="85" customHeight="1">
      <x:c r="A52" s="10" t="n">
        <x:v>51</x:v>
      </x:c>
      <x:c r="B52" s="10" t="str">
        <x:v>ADMIN-03-0033</x:v>
      </x:c>
      <x:c r="C52" s="10" t="str">
        <x:v>主播管理</x:v>
      </x:c>
      <x:c r="D52" s="10" t="str">
        <x:v>内容审核（平台管理员视角）</x:v>
      </x:c>
      <x:c r="E52" s="10" t="str">
        <x:v>逻辑校验</x:v>
      </x:c>
      <x:c r="F52" s="10" t="str">
        <x:v>P1</x:v>
      </x:c>
      <x:c r="G52" s="9" t="str">
        <x:v>验证机审命中不直接处罚账号</x:v>
      </x:c>
      <x:c r="H52" s="9" t="str">
        <x:v>机审告警人工判断</x:v>
      </x:c>
      <x:c r="I52" s="9" t="str">
        <x:v>1. 执行角色为平台管理员
2. 账号具有当前模块访问及本次操作权限
3. 机审新产生高风险告警，尚无人处置</x:v>
      </x:c>
      <x:c r="J52" s="9" t="str">
        <x:v>1. 进入内容审核页</x:v>
      </x:c>
      <x:c r="K52" s="9" t="str">
        <x:v>处置结果显示“-”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来源（当前证据）：liveshow-proto/MainBasis/统一需求文档.md；位置：REQ-19644b1222aa；行3744
2. 规则：BR-ef8d67fd0e3b7abb
3. 未动态验证</x:v>
      </x:c>
    </x:row>
    <x:row r="53" ht="85" customHeight="1">
      <x:c r="A53" s="10" t="n">
        <x:v>52</x:v>
      </x:c>
      <x:c r="B53" s="10" t="str">
        <x:v>ADMIN-03-0034</x:v>
      </x:c>
      <x:c r="C53" s="10" t="str">
        <x:v>主播管理</x:v>
      </x:c>
      <x:c r="D53" s="10" t="str">
        <x:v>内容审核（平台管理员视角）</x:v>
      </x:c>
      <x:c r="E53" s="10" t="str">
        <x:v>逻辑校验</x:v>
      </x:c>
      <x:c r="F53" s="10" t="str">
        <x:v>P1</x:v>
      </x:c>
      <x:c r="G53" s="9" t="str">
        <x:v>验证快捷忽略机审误报</x:v>
      </x:c>
      <x:c r="H53" s="9" t="str">
        <x:v>内容告警忽略状态</x:v>
      </x:c>
      <x:c r="I53" s="9" t="str">
        <x:v>1. 执行角色为平台管理员
2. 账号具有当前模块访问及本次操作权限
3. 告警待处理</x:v>
      </x:c>
      <x:c r="J53" s="9" t="str">
        <x:v>1. 进入内容审核页
2. 点击快捷忽略</x:v>
      </x:c>
      <x:c r="K53" s="9" t="str">
        <x:v>告警状态为已忽略</x:v>
      </x:c>
      <x:c r="L53" s="10" t="str">
        <x:v>FLOW-46B2922A13</x:v>
      </x:c>
      <x:c r="M53" s="10" t="str">
        <x:v>未测</x:v>
      </x:c>
      <x:c r="N53" s="10" t="str"/>
      <x:c r="O53" s="9" t="str">
        <x:v>1. 来源（当前证据）：liveshow-proto/MainBasis/统一需求文档.md；位置：REQ-ea09814f85e3；行3754
2. 规则：BR-7a92eb7fc7b0be84
3. 未动态验证</x:v>
      </x:c>
    </x:row>
    <x:row r="54" ht="85" customHeight="1">
      <x:c r="A54" s="10" t="n">
        <x:v>53</x:v>
      </x:c>
      <x:c r="B54" s="10" t="str">
        <x:v>ADMIN-03-0035</x:v>
      </x:c>
      <x:c r="C54" s="10" t="str">
        <x:v>主播管理</x:v>
      </x:c>
      <x:c r="D54" s="10" t="str">
        <x:v>内容审核详情（平台管理员视角）</x:v>
      </x:c>
      <x:c r="E54" s="10" t="str">
        <x:v>逻辑校验</x:v>
      </x:c>
      <x:c r="F54" s="10" t="str">
        <x:v>P1</x:v>
      </x:c>
      <x:c r="G54" s="9" t="str">
        <x:v>验证内容告警转人工复审</x:v>
      </x:c>
      <x:c r="H54" s="9" t="str">
        <x:v>内容告警复审状态</x:v>
      </x:c>
      <x:c r="I54" s="9" t="str">
        <x:v>1. 执行角色为平台管理员
2. 账号具有当前模块访问及本次操作权限
3. 告警待处理</x:v>
      </x:c>
      <x:c r="J54" s="9" t="str">
        <x:v>1. 进入内容审核详情页
2. 选择处置类型为转人工复审
3. 填写处置原因为人工核实
4. 点击提交</x:v>
      </x:c>
      <x:c r="K54" s="9" t="str">
        <x:v>告警状态为人工复审中</x:v>
      </x:c>
      <x:c r="L54" s="10" t="str">
        <x:v>FLOW-46B2922A13</x:v>
      </x:c>
      <x:c r="M54" s="10" t="str">
        <x:v>未测</x:v>
      </x:c>
      <x:c r="N54" s="10" t="str"/>
      <x:c r="O54" s="9" t="str">
        <x:v>1. 来源（当前证据）：liveshow-proto/MainBasis/统一需求文档.md；位置：REQ-38725abbe207；行3765
2. 规则：BR-d6e9658884f06e56
3. 未动态验证</x:v>
      </x:c>
    </x:row>
    <x:row r="55" ht="85" customHeight="1">
      <x:c r="A55" s="10" t="n">
        <x:v>54</x:v>
      </x:c>
      <x:c r="B55" s="10" t="str">
        <x:v>ADMIN-03-0036</x:v>
      </x:c>
      <x:c r="C55" s="10" t="str">
        <x:v>主播管理</x:v>
      </x:c>
      <x:c r="D55" s="10" t="str">
        <x:v>内容审核详情（平台管理员视角）</x:v>
      </x:c>
      <x:c r="E55" s="10" t="str">
        <x:v>逻辑校验</x:v>
      </x:c>
      <x:c r="F55" s="10" t="str">
        <x:v>P1</x:v>
      </x:c>
      <x:c r="G55" s="9" t="str">
        <x:v>验证告警处置必须填写原因</x:v>
      </x:c>
      <x:c r="H55" s="9" t="str">
        <x:v>内容处置原因必填</x:v>
      </x:c>
      <x:c r="I55" s="9" t="str">
        <x:v>1. 执行角色为平台管理员
2. 账号具有当前模块访问及本次操作权限
3. 告警待处理，已选择忽略</x:v>
      </x:c>
      <x:c r="J55" s="9" t="str">
        <x:v>1. 进入内容审核详情页
2. 清空处置原因
3. 点击提交</x:v>
      </x:c>
      <x:c r="K55" s="9" t="str">
        <x:v>不能提交空原因处置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来源（当前证据）：liveshow-proto/MainBasis/统一需求文档.md；位置：REQ-5a4896d1fad6；行3767
2. 规则：BR-cb5231761191c785
3. 未动态验证</x:v>
      </x:c>
    </x:row>
    <x:row r="56" ht="85" customHeight="1">
      <x:c r="A56" s="10" t="n">
        <x:v>55</x:v>
      </x:c>
      <x:c r="B56" s="10" t="str">
        <x:v>ADMIN-03-0037</x:v>
      </x:c>
      <x:c r="C56" s="10" t="str">
        <x:v>主播管理</x:v>
      </x:c>
      <x:c r="D56" s="10" t="str">
        <x:v>内容审核详情（平台管理员视角）</x:v>
      </x:c>
      <x:c r="E56" s="10" t="str">
        <x:v>逻辑校验</x:v>
      </x:c>
      <x:c r="F56" s="10" t="str">
        <x:v>P1</x:v>
      </x:c>
      <x:c r="G56" s="9" t="str">
        <x:v>验证已忽略告警不能重复提交</x:v>
      </x:c>
      <x:c r="H56" s="9" t="str">
        <x:v>内容审核终态只读</x:v>
      </x:c>
      <x:c r="I56" s="9" t="str">
        <x:v>1. 执行角色为平台管理员
2. 账号具有当前模块访问及本次操作权限
3. 告警已忽略</x:v>
      </x:c>
      <x:c r="J56" s="9" t="str">
        <x:v>1. 进入内容审核详情页</x:v>
      </x:c>
      <x:c r="K56" s="9" t="str">
        <x:v>不允许再次提交处置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来源（当前证据）：liveshow-proto/MainBasis/统一需求文档.md；位置：REQ-69bd30677d4e；行3769
2. 规则：BR-1fc4404da06acf83
3. 未动态验证</x:v>
      </x:c>
    </x:row>
    <x:row r="57" ht="85" customHeight="1">
      <x:c r="A57" s="10" t="n">
        <x:v>56</x:v>
      </x:c>
      <x:c r="B57" s="10" t="str">
        <x:v>ADMIN-03-0038</x:v>
      </x:c>
      <x:c r="C57" s="10" t="str">
        <x:v>主播管理</x:v>
      </x:c>
      <x:c r="D57" s="10" t="str">
        <x:v>内容审核详情（平台管理员视角）</x:v>
      </x:c>
      <x:c r="E57" s="10" t="str">
        <x:v>逻辑校验</x:v>
      </x:c>
      <x:c r="F57" s="10" t="str">
        <x:v>P1</x:v>
      </x:c>
      <x:c r="G57" s="9" t="str">
        <x:v>验证处理告警后保留原始材料</x:v>
      </x:c>
      <x:c r="H57" s="9" t="str">
        <x:v>机审告警证据保留</x:v>
      </x:c>
      <x:c r="I57" s="9" t="str">
        <x:v>1. 执行角色为平台管理员
2. 账号具有当前模块访问及本次操作权限
3. 告警原截图A且已处置</x:v>
      </x:c>
      <x:c r="J57" s="9" t="str">
        <x:v>1. 进入内容审核详情页</x:v>
      </x:c>
      <x:c r="K57" s="9" t="str">
        <x:v>仍可查看原截图A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来源（当前证据）：liveshow-proto/MainBasis/统一需求文档.md；位置：REQ-16c3c8128c5d；行3763
2. 规则：BR-37062a3e206edf7a
3. 未动态验证</x:v>
      </x:c>
    </x:row>
    <x:row r="58" ht="85" customHeight="1">
      <x:c r="A58" s="10" t="n">
        <x:v>57</x:v>
      </x:c>
      <x:c r="B58" s="10" t="str">
        <x:v>ADMIN-04-0001</x:v>
      </x:c>
      <x:c r="C58" s="10" t="str">
        <x:v>举报处理</x:v>
      </x:c>
      <x:c r="D58" s="10" t="str">
        <x:v>账号违规（平台管理员视角）</x:v>
      </x:c>
      <x:c r="E58" s="10" t="str">
        <x:v>逻辑校验</x:v>
      </x:c>
      <x:c r="F58" s="10" t="str">
        <x:v>P1</x:v>
      </x:c>
      <x:c r="G58" s="9" t="str">
        <x:v>验证修改违规类型不改账号举报快照</x:v>
      </x:c>
      <x:c r="H58" s="9" t="str">
        <x:v>账号举报类型快照</x:v>
      </x:c>
      <x:c r="I58" s="9" t="str">
        <x:v>1. 执行角色为平台管理员
2. 账号具有当前模块访问及本次操作权限
3. 举报提交类型名称A，后台之后改名B</x:v>
      </x:c>
      <x:c r="J58" s="9" t="str">
        <x:v>1. 进入账号违规页</x:v>
      </x:c>
      <x:c r="K58" s="9" t="str">
        <x:v>历史举报类型仍显示A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来源（当前证据）：liveshow-proto/MainBasis/统一需求文档.md；位置：REQ-27b6320be8db；行3780
2. 规则：BR-8b783b3887df4670
3. 未动态验证</x:v>
      </x:c>
    </x:row>
    <x:row r="59" ht="85" customHeight="1">
      <x:c r="A59" s="10" t="n">
        <x:v>58</x:v>
      </x:c>
      <x:c r="B59" s="10" t="str">
        <x:v>ADMIN-04-0002</x:v>
      </x:c>
      <x:c r="C59" s="10" t="str">
        <x:v>举报处理</x:v>
      </x:c>
      <x:c r="D59" s="10" t="str">
        <x:v>账号违规（平台管理员视角）</x:v>
      </x:c>
      <x:c r="E59" s="10" t="str">
        <x:v>逻辑校验</x:v>
      </x:c>
      <x:c r="F59" s="10" t="str">
        <x:v>P1</x:v>
      </x:c>
      <x:c r="G59" s="9" t="str">
        <x:v>验证用户被举报后不自动封禁</x:v>
      </x:c>
      <x:c r="H59" s="9" t="str">
        <x:v>账号举报与处罚分离</x:v>
      </x:c>
      <x:c r="I59" s="9" t="str">
        <x:v>1. 执行角色为平台管理员
2. 账号具有当前模块访问及本次操作权限
3. 正常用户刚被举报，工单未处理</x:v>
      </x:c>
      <x:c r="J59" s="9" t="str">
        <x:v>1. 进入账号违规页</x:v>
      </x:c>
      <x:c r="K59" s="9" t="str">
        <x:v>被举报账号状态仍为正常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来源（当前证据）：liveshow-proto/MainBasis/统一需求文档.md；位置：REQ-cf97d60c073c；行3788
2. 规则：BR-9d6e54133c635f6b
3. 未动态验证</x:v>
      </x:c>
    </x:row>
    <x:row r="60" ht="85" customHeight="1">
      <x:c r="A60" s="10" t="n">
        <x:v>59</x:v>
      </x:c>
      <x:c r="B60" s="10" t="str">
        <x:v>ADMIN-04-0003</x:v>
      </x:c>
      <x:c r="C60" s="10" t="str">
        <x:v>举报处理</x:v>
      </x:c>
      <x:c r="D60" s="10" t="str">
        <x:v>直播间违规（平台管理员视角）</x:v>
      </x:c>
      <x:c r="E60" s="10" t="str">
        <x:v>逻辑校验</x:v>
      </x:c>
      <x:c r="F60" s="10" t="str">
        <x:v>P1</x:v>
      </x:c>
      <x:c r="G60" s="9" t="str">
        <x:v>验证待处理直播举报随下播作废</x:v>
      </x:c>
      <x:c r="H60" s="9" t="str">
        <x:v>直播举报自动作废</x:v>
      </x:c>
      <x:c r="I60" s="9" t="str">
        <x:v>1. 执行角色为平台管理员
2. 账号具有当前模块访问及本次操作权限
3. 场次举报待处理，主播随后结束该场次</x:v>
      </x:c>
      <x:c r="J60" s="9" t="str">
        <x:v>1. 进入直播间违规页</x:v>
      </x:c>
      <x:c r="K60" s="9" t="str">
        <x:v>该工单处理状态为已作废</x:v>
      </x:c>
      <x:c r="L60" s="10" t="str">
        <x:v>FLOW-BA138CF190</x:v>
      </x:c>
      <x:c r="M60" s="10" t="str">
        <x:v>未测</x:v>
      </x:c>
      <x:c r="N60" s="10" t="str"/>
      <x:c r="O60" s="9" t="str">
        <x:v>1. 来源（当前证据）：liveshow-proto/MainBasis/统一需求文档.md；位置：REQ-a1fe662c2177；行3807
2. 规则：BR-4a78434ab55dee9e
3. 未动态验证</x:v>
      </x:c>
    </x:row>
    <x:row r="61" ht="85" customHeight="1">
      <x:c r="A61" s="10" t="n">
        <x:v>60</x:v>
      </x:c>
      <x:c r="B61" s="10" t="str">
        <x:v>ADMIN-04-0004</x:v>
      </x:c>
      <x:c r="C61" s="10" t="str">
        <x:v>举报处理</x:v>
      </x:c>
      <x:c r="D61" s="10" t="str">
        <x:v>举报详情（平台管理员视角）</x:v>
      </x:c>
      <x:c r="E61" s="10" t="str">
        <x:v>逻辑校验</x:v>
      </x:c>
      <x:c r="F61" s="10" t="str">
        <x:v>P1</x:v>
      </x:c>
      <x:c r="G61" s="9" t="str">
        <x:v>验证账号举报仅提供合法处置项</x:v>
      </x:c>
      <x:c r="H61" s="9" t="str">
        <x:v>账号举报处置枚举</x:v>
      </x:c>
      <x:c r="I61" s="9" t="str">
        <x:v>1. 执行角色为平台管理员
2. 账号具有当前模块访问及本次操作权限
3. 当前账号举报工单待处理</x:v>
      </x:c>
      <x:c r="J61" s="9" t="str">
        <x:v>1. 进入举报详情页
2. 点击处置类型</x:v>
      </x:c>
      <x:c r="K61" s="9" t="str">
        <x:v>可选项仅不处置、封禁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来源（当前证据）：liveshow-proto/MainBasis/统一需求文档.md；位置：REQ-b35090e63133；行3820
2. 规则：BR-e5e3c9929be33029
3. 未动态验证</x:v>
      </x:c>
    </x:row>
    <x:row r="62" ht="85" customHeight="1">
      <x:c r="A62" s="10" t="n">
        <x:v>61</x:v>
      </x:c>
      <x:c r="B62" s="10" t="str">
        <x:v>ADMIN-04-0005</x:v>
      </x:c>
      <x:c r="C62" s="10" t="str">
        <x:v>举报处理</x:v>
      </x:c>
      <x:c r="D62" s="10" t="str">
        <x:v>举报详情（平台管理员视角）</x:v>
      </x:c>
      <x:c r="E62" s="10" t="str">
        <x:v>逻辑校验</x:v>
      </x:c>
      <x:c r="F62" s="10" t="str">
        <x:v>P1</x:v>
      </x:c>
      <x:c r="G62" s="9" t="str">
        <x:v>验证直播举报仅提供合法处置项</x:v>
      </x:c>
      <x:c r="H62" s="9" t="str">
        <x:v>直播举报处置枚举</x:v>
      </x:c>
      <x:c r="I62" s="9" t="str">
        <x:v>1. 执行角色为平台管理员
2. 账号具有当前模块访问及本次操作权限
3. 当前直播举报工单待处理</x:v>
      </x:c>
      <x:c r="J62" s="9" t="str">
        <x:v>1. 进入举报详情页
2. 点击处置类型</x:v>
      </x:c>
      <x:c r="K62" s="9" t="str">
        <x:v>可选项仅不处置、警告、关播、关闭直播权限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来源（当前证据）：liveshow-proto/MainBasis/统一需求文档.md；位置：REQ-b35090e63133；行3820
2. 规则：BR-c01c07cef1f334cf
3. 未动态验证</x:v>
      </x:c>
    </x:row>
    <x:row r="63" ht="85" customHeight="1">
      <x:c r="A63" s="10" t="n">
        <x:v>62</x:v>
      </x:c>
      <x:c r="B63" s="10" t="str">
        <x:v>ADMIN-04-0006</x:v>
      </x:c>
      <x:c r="C63" s="10" t="str">
        <x:v>举报处理</x:v>
      </x:c>
      <x:c r="D63" s="10" t="str">
        <x:v>举报详情（平台管理员视角）</x:v>
      </x:c>
      <x:c r="E63" s="10" t="str">
        <x:v>逻辑校验</x:v>
      </x:c>
      <x:c r="F63" s="10" t="str">
        <x:v>P1</x:v>
      </x:c>
      <x:c r="G63" s="9" t="str">
        <x:v>验证已处理举报不允许再处置</x:v>
      </x:c>
      <x:c r="H63" s="9" t="str">
        <x:v>举报工单终态不可重提</x:v>
      </x:c>
      <x:c r="I63" s="9" t="str">
        <x:v>1. 执行角色为平台管理员
2. 账号具有当前模块访问及本次操作权限
3. 直播举报工单为已处理</x:v>
      </x:c>
      <x:c r="J63" s="9" t="str">
        <x:v>1. 进入举报详情页</x:v>
      </x:c>
      <x:c r="K63" s="9" t="str">
        <x:v>不允许再次提交处置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来源（当前证据）：liveshow-proto/MainBasis/统一需求文档.md；位置：REQ-cbb4cfb5af43；行3830
2. 规则：BR-c984b1bba6a08975
3. 未动态验证</x:v>
      </x:c>
    </x:row>
    <x:row r="64" ht="85" customHeight="1">
      <x:c r="A64" s="10" t="n">
        <x:v>63</x:v>
      </x:c>
      <x:c r="B64" s="10" t="str">
        <x:v>ADMIN-04-0007</x:v>
      </x:c>
      <x:c r="C64" s="10" t="str">
        <x:v>举报处理</x:v>
      </x:c>
      <x:c r="D64" s="10" t="str">
        <x:v>举报详情（平台管理员视角）</x:v>
      </x:c>
      <x:c r="E64" s="10" t="str">
        <x:v>逻辑校验</x:v>
      </x:c>
      <x:c r="F64" s="10" t="str">
        <x:v>P1</x:v>
      </x:c>
      <x:c r="G64" s="9" t="str">
        <x:v>验证已作废举报不允许再处置</x:v>
      </x:c>
      <x:c r="H64" s="9" t="str">
        <x:v>举报工单终态不可重提</x:v>
      </x:c>
      <x:c r="I64" s="9" t="str">
        <x:v>1. 执行角色为平台管理员
2. 账号具有当前模块访问及本次操作权限
3. 直播举报工单为已作废</x:v>
      </x:c>
      <x:c r="J64" s="9" t="str">
        <x:v>1. 进入举报详情页</x:v>
      </x:c>
      <x:c r="K64" s="9" t="str">
        <x:v>不允许再次提交处置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来源（当前证据）：liveshow-proto/MainBasis/统一需求文档.md；位置：REQ-cbb4cfb5af43；行3830
2. 规则：BR-c5216982c9498033
3. 未动态验证</x:v>
      </x:c>
    </x:row>
    <x:row r="65" ht="85" customHeight="1">
      <x:c r="A65" s="10" t="n">
        <x:v>64</x:v>
      </x:c>
      <x:c r="B65" s="10" t="str">
        <x:v>ADMIN-04-0008</x:v>
      </x:c>
      <x:c r="C65" s="10" t="str">
        <x:v>举报处理</x:v>
      </x:c>
      <x:c r="D65" s="10" t="str">
        <x:v>举报详情（平台管理员视角）</x:v>
      </x:c>
      <x:c r="E65" s="10" t="str">
        <x:v>逻辑校验</x:v>
      </x:c>
      <x:c r="F65" s="10" t="str">
        <x:v>P1</x:v>
      </x:c>
      <x:c r="G65" s="9" t="str">
        <x:v>验证举报处罚原因不能为空</x:v>
      </x:c>
      <x:c r="H65" s="9" t="str">
        <x:v>举报处罚原因必填</x:v>
      </x:c>
      <x:c r="I65" s="9" t="str">
        <x:v>1. 执行角色为平台管理员
2. 账号具有当前模块访问及本次操作权限
3. 直播举报待处理，选择警告</x:v>
      </x:c>
      <x:c r="J65" s="9" t="str">
        <x:v>1. 进入举报详情页
2. 清空处置原因
3. 点击处理</x:v>
      </x:c>
      <x:c r="K65" s="9" t="str">
        <x:v>不能提交缺少原因的处罚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来源（当前证据）：liveshow-proto/MainBasis/统一需求文档.md；位置：REQ-b2602d97ce7d；行3822
2. 规则：BR-710ebf27aa2c6406
3. 未动态验证</x:v>
      </x:c>
    </x:row>
    <x:row r="66" ht="85" customHeight="1">
      <x:c r="A66" s="10" t="n">
        <x:v>65</x:v>
      </x:c>
      <x:c r="B66" s="10" t="str">
        <x:v>ADMIN-04-0009</x:v>
      </x:c>
      <x:c r="C66" s="10" t="str">
        <x:v>举报处理</x:v>
      </x:c>
      <x:c r="D66" s="10" t="str">
        <x:v>举报详情（平台管理员视角）</x:v>
      </x:c>
      <x:c r="E66" s="10" t="str">
        <x:v>逻辑校验</x:v>
      </x:c>
      <x:c r="F66" s="10" t="str">
        <x:v>P1</x:v>
      </x:c>
      <x:c r="G66" s="9" t="str">
        <x:v>验证直播举报执行不处置后工单完成</x:v>
      </x:c>
      <x:c r="H66" s="9" t="str">
        <x:v>直播举报不处置处理结果</x:v>
      </x:c>
      <x:c r="I66" s="9" t="str">
        <x:v>1. 执行角色为平台管理员
2. 账号具有当前模块访问及本次操作权限
3. 目标场次直播中，工单待处理</x:v>
      </x:c>
      <x:c r="J66" s="9" t="str">
        <x:v>1. 进入举报详情页
2. 选择处置类型为不处置
3. 填写处置原因为本次测试判断
4. 点击处理</x:v>
      </x:c>
      <x:c r="K66" s="9" t="str">
        <x:v>工单处理状态为已处理</x:v>
      </x:c>
      <x:c r="L66" s="10" t="str">
        <x:v>FLOW-BA138CF190</x:v>
      </x:c>
      <x:c r="M66" s="10" t="str">
        <x:v>未测</x:v>
      </x:c>
      <x:c r="N66" s="10" t="str"/>
      <x:c r="O66" s="9" t="str">
        <x:v>1. 来源（当前证据）：liveshow-proto/MainBasis/统一需求文档.md；位置：REQ-cbb4cfb5af43；行3830
2. 规则：BR-9d81e673c47943ca
3. 未动态验证</x:v>
      </x:c>
    </x:row>
    <x:row r="67" ht="85" customHeight="1">
      <x:c r="A67" s="10" t="n">
        <x:v>66</x:v>
      </x:c>
      <x:c r="B67" s="10" t="str">
        <x:v>ADMIN-04-0010</x:v>
      </x:c>
      <x:c r="C67" s="10" t="str">
        <x:v>举报处理</x:v>
      </x:c>
      <x:c r="D67" s="10" t="str">
        <x:v>举报详情（平台管理员视角）</x:v>
      </x:c>
      <x:c r="E67" s="10" t="str">
        <x:v>逻辑校验</x:v>
      </x:c>
      <x:c r="F67" s="10" t="str">
        <x:v>P1</x:v>
      </x:c>
      <x:c r="G67" s="9" t="str">
        <x:v>验证直播举报执行警告后工单完成</x:v>
      </x:c>
      <x:c r="H67" s="9" t="str">
        <x:v>直播举报警告处理结果</x:v>
      </x:c>
      <x:c r="I67" s="9" t="str">
        <x:v>1. 执行角色为平台管理员
2. 账号具有当前模块访问及本次操作权限
3. 目标场次直播中，工单待处理</x:v>
      </x:c>
      <x:c r="J67" s="9" t="str">
        <x:v>1. 进入举报详情页
2. 选择处置类型为警告
3. 填写处置原因为本次测试判断
4. 点击处理</x:v>
      </x:c>
      <x:c r="K67" s="9" t="str">
        <x:v>工单处理状态为已处理</x:v>
      </x:c>
      <x:c r="L67" s="10" t="str">
        <x:v>FLOW-BA138CF190</x:v>
      </x:c>
      <x:c r="M67" s="10" t="str">
        <x:v>未测</x:v>
      </x:c>
      <x:c r="N67" s="10" t="str"/>
      <x:c r="O67" s="9" t="str">
        <x:v>1. 来源（当前证据）：liveshow-proto/MainBasis/统一需求文档.md；位置：REQ-cbb4cfb5af43；行3830
2. 规则：BR-a4f1a51486c65db5
3. 未动态验证</x:v>
      </x:c>
    </x:row>
    <x:row r="68" ht="85" customHeight="1">
      <x:c r="A68" s="10" t="n">
        <x:v>67</x:v>
      </x:c>
      <x:c r="B68" s="10" t="str">
        <x:v>ADMIN-04-0011</x:v>
      </x:c>
      <x:c r="C68" s="10" t="str">
        <x:v>举报处理</x:v>
      </x:c>
      <x:c r="D68" s="10" t="str">
        <x:v>举报详情（平台管理员视角）</x:v>
      </x:c>
      <x:c r="E68" s="10" t="str">
        <x:v>逻辑校验</x:v>
      </x:c>
      <x:c r="F68" s="10" t="str">
        <x:v>P1</x:v>
      </x:c>
      <x:c r="G68" s="9" t="str">
        <x:v>验证直播举报执行关播后工单完成</x:v>
      </x:c>
      <x:c r="H68" s="9" t="str">
        <x:v>直播举报关播处理结果</x:v>
      </x:c>
      <x:c r="I68" s="9" t="str">
        <x:v>1. 执行角色为平台管理员
2. 账号具有当前模块访问及本次操作权限
3. 目标场次直播中，工单待处理</x:v>
      </x:c>
      <x:c r="J68" s="9" t="str">
        <x:v>1. 进入举报详情页
2. 选择处置类型为关播
3. 填写处置原因为本次测试判断
4. 点击处理</x:v>
      </x:c>
      <x:c r="K68" s="9" t="str">
        <x:v>工单处理状态为已处理</x:v>
      </x:c>
      <x:c r="L68" s="10" t="str">
        <x:v>FLOW-BA138CF190</x:v>
      </x:c>
      <x:c r="M68" s="10" t="str">
        <x:v>未测</x:v>
      </x:c>
      <x:c r="N68" s="10" t="str"/>
      <x:c r="O68" s="9" t="str">
        <x:v>1. 来源（当前证据）：liveshow-proto/MainBasis/统一需求文档.md；位置：REQ-cbb4cfb5af43；行3830
2. 规则：BR-8a3cbc52eae460f1
3. 未动态验证</x:v>
      </x:c>
    </x:row>
    <x:row r="69" ht="85" customHeight="1">
      <x:c r="A69" s="10" t="n">
        <x:v>68</x:v>
      </x:c>
      <x:c r="B69" s="10" t="str">
        <x:v>ADMIN-04-0012</x:v>
      </x:c>
      <x:c r="C69" s="10" t="str">
        <x:v>举报处理</x:v>
      </x:c>
      <x:c r="D69" s="10" t="str">
        <x:v>举报详情（平台管理员视角）</x:v>
      </x:c>
      <x:c r="E69" s="10" t="str">
        <x:v>逻辑校验</x:v>
      </x:c>
      <x:c r="F69" s="10" t="str">
        <x:v>P1</x:v>
      </x:c>
      <x:c r="G69" s="9" t="str">
        <x:v>验证直播举报执行关闭直播权限后工单完成</x:v>
      </x:c>
      <x:c r="H69" s="9" t="str">
        <x:v>直播举报关闭直播权限处理结果</x:v>
      </x:c>
      <x:c r="I69" s="9" t="str">
        <x:v>1. 执行角色为平台管理员
2. 账号具有当前模块访问及本次操作权限
3. 目标场次直播中，工单待处理</x:v>
      </x:c>
      <x:c r="J69" s="9" t="str">
        <x:v>1. 进入举报详情页
2. 选择处置类型为关闭直播权限
3. 填写处置原因为本次测试判断
4. 点击处理</x:v>
      </x:c>
      <x:c r="K69" s="9" t="str">
        <x:v>工单处理状态为已处理</x:v>
      </x:c>
      <x:c r="L69" s="10" t="str">
        <x:v>FLOW-BA138CF190</x:v>
      </x:c>
      <x:c r="M69" s="10" t="str">
        <x:v>未测</x:v>
      </x:c>
      <x:c r="N69" s="10" t="str"/>
      <x:c r="O69" s="9" t="str">
        <x:v>1. 来源（当前证据）：liveshow-proto/MainBasis/统一需求文档.md；位置：REQ-cbb4cfb5af43；行3830
2. 规则：BR-95a5421ee75746e0
3. 未动态验证</x:v>
      </x:c>
    </x:row>
    <x:row r="70" ht="85" customHeight="1">
      <x:c r="A70" s="10" t="n">
        <x:v>69</x:v>
      </x:c>
      <x:c r="B70" s="10" t="str">
        <x:v>ADMIN-04-0013</x:v>
      </x:c>
      <x:c r="C70" s="10" t="str">
        <x:v>举报处理</x:v>
      </x:c>
      <x:c r="D70" s="10" t="str">
        <x:v>举报详情（平台管理员视角）</x:v>
      </x:c>
      <x:c r="E70" s="10" t="str">
        <x:v>逻辑校验</x:v>
      </x:c>
      <x:c r="F70" s="10" t="str">
        <x:v>P1</x:v>
      </x:c>
      <x:c r="G70" s="9" t="str">
        <x:v>验证举报已处理后证据不丢失</x:v>
      </x:c>
      <x:c r="H70" s="9" t="str">
        <x:v>举报证据保留</x:v>
      </x:c>
      <x:c r="I70" s="9" t="str">
        <x:v>1. 执行角色为平台管理员
2. 账号具有当前模块访问及本次操作权限
3. 已处理举报原附证据图片A</x:v>
      </x:c>
      <x:c r="J70" s="9" t="str">
        <x:v>1. 进入举报详情页</x:v>
      </x:c>
      <x:c r="K70" s="9" t="str">
        <x:v>仍可查看证据图片A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来源（当前证据）：liveshow-proto/MainBasis/统一需求文档.md；位置：REQ-567b55982c28；行3818
2. 规则：BR-38c4ebcb38bcf240
3. 未动态验证</x:v>
      </x:c>
    </x:row>
    <x:row r="71" ht="85" customHeight="1">
      <x:c r="A71" s="10" t="n">
        <x:v>70</x:v>
      </x:c>
      <x:c r="B71" s="10" t="str">
        <x:v>ADMIN-04-0014</x:v>
      </x:c>
      <x:c r="C71" s="10" t="str">
        <x:v>举报处理</x:v>
      </x:c>
      <x:c r="D71" s="10" t="str">
        <x:v>违规类型（平台管理员视角）</x:v>
      </x:c>
      <x:c r="E71" s="10" t="str">
        <x:v>逻辑校验</x:v>
      </x:c>
      <x:c r="F71" s="10" t="str">
        <x:v>P1</x:v>
      </x:c>
      <x:c r="G71" s="9" t="str">
        <x:v>验证系统预置违规类型不可删除</x:v>
      </x:c>
      <x:c r="H71" s="9" t="str">
        <x:v>预置违规类型保护</x:v>
      </x:c>
      <x:c r="I71" s="9" t="str">
        <x:v>1. 执行角色为平台管理员
2. 账号具有当前模块访问及本次操作权限
3. 目标为系统预置类型</x:v>
      </x:c>
      <x:c r="J71" s="9" t="str">
        <x:v>1. 进入违规类型页</x:v>
      </x:c>
      <x:c r="K71" s="9" t="str">
        <x:v>该类型不允许删除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来源（当前证据）：liveshow-proto/MainBasis/统一需求文档.md；位置：REQ-2211d067ff7e；行3843
2. 规则：BR-a4b911e114492735
3. 未动态验证</x:v>
      </x:c>
    </x:row>
    <x:row r="72" ht="85" customHeight="1">
      <x:c r="A72" s="10" t="n">
        <x:v>71</x:v>
      </x:c>
      <x:c r="B72" s="10" t="str">
        <x:v>ADMIN-04-0015</x:v>
      </x:c>
      <x:c r="C72" s="10" t="str">
        <x:v>举报处理</x:v>
      </x:c>
      <x:c r="D72" s="10" t="str">
        <x:v>违规类型（平台管理员视角）</x:v>
      </x:c>
      <x:c r="E72" s="10" t="str">
        <x:v>逻辑校验</x:v>
      </x:c>
      <x:c r="F72" s="10" t="str">
        <x:v>P1</x:v>
      </x:c>
      <x:c r="G72" s="9" t="str">
        <x:v>验证系统预置违规类型不可停用</x:v>
      </x:c>
      <x:c r="H72" s="9" t="str">
        <x:v>预置违规类型状态</x:v>
      </x:c>
      <x:c r="I72" s="9" t="str">
        <x:v>1. 执行角色为平台管理员
2. 账号具有当前模块访问及本次操作权限
3. 目标为系统预置类型</x:v>
      </x:c>
      <x:c r="J72" s="9" t="str">
        <x:v>1. 进入违规类型页</x:v>
      </x:c>
      <x:c r="K72" s="9" t="str">
        <x:v>该类型固定启用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来源（当前证据）：liveshow-proto/MainBasis/统一需求文档.md；位置：REQ-05902bd4c917；行3845
2. 规则：BR-45be821055b1512f
3. 未动态验证</x:v>
      </x:c>
    </x:row>
    <x:row r="73" ht="85" customHeight="1">
      <x:c r="A73" s="10" t="n">
        <x:v>72</x:v>
      </x:c>
      <x:c r="B73" s="10" t="str">
        <x:v>ADMIN-04-0016</x:v>
      </x:c>
      <x:c r="C73" s="10" t="str">
        <x:v>举报处理</x:v>
      </x:c>
      <x:c r="D73" s="10" t="str">
        <x:v>违规类型（平台管理员视角）</x:v>
      </x:c>
      <x:c r="E73" s="10" t="str">
        <x:v>功能需求</x:v>
      </x:c>
      <x:c r="F73" s="10" t="str">
        <x:v>P2</x:v>
      </x:c>
      <x:c r="G73" s="9" t="str">
        <x:v>验证违规类型按排序升序排列</x:v>
      </x:c>
      <x:c r="H73" s="9" t="str">
        <x:v>违规类型排列顺序</x:v>
      </x:c>
      <x:c r="I73" s="9" t="str">
        <x:v>1. 执行角色为平台管理员
2. 账号具有当前模块访问及本次操作权限
3. 类型A排序2、B排序1</x:v>
      </x:c>
      <x:c r="J73" s="9" t="str">
        <x:v>1. 进入违规类型页</x:v>
      </x:c>
      <x:c r="K73" s="9" t="str">
        <x:v>B排列在A之前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来源（当前证据）：liveshow-proto/MainBasis/统一需求文档.md；位置：REQ-9076e834a8a8；行3839
2. 规则：BR-7b44e99bdeef5b5e
3. 未动态验证</x:v>
      </x:c>
    </x:row>
    <x:row r="74" ht="85" customHeight="1">
      <x:c r="A74" s="10" t="n">
        <x:v>73</x:v>
      </x:c>
      <x:c r="B74" s="10" t="str">
        <x:v>ADMIN-04-0017</x:v>
      </x:c>
      <x:c r="C74" s="10" t="str">
        <x:v>举报处理</x:v>
      </x:c>
      <x:c r="D74" s="10" t="str">
        <x:v>违规类型编辑（平台管理员视角）</x:v>
      </x:c>
      <x:c r="E74" s="10" t="str">
        <x:v>逻辑校验</x:v>
      </x:c>
      <x:c r="F74" s="10" t="str">
        <x:v>P1</x:v>
      </x:c>
      <x:c r="G74" s="9" t="str">
        <x:v>验证违规类型中文名称必填</x:v>
      </x:c>
      <x:c r="H74" s="9" t="str">
        <x:v>违规类型中文必填</x:v>
      </x:c>
      <x:c r="I74" s="9" t="str">
        <x:v>1. 执行角色为平台管理员
2. 账号具有当前模块访问及本次操作权限
3. 其他名称及排序有效</x:v>
      </x:c>
      <x:c r="J74" s="9" t="str">
        <x:v>1. 进入违规类型编辑页
2. 清空中文名称
3. 点击保存</x:v>
      </x:c>
      <x:c r="K74" s="9" t="str">
        <x:v>不能保存缺少四语名称的类型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来源（当前证据）：liveshow-proto/MainBasis/统一需求文档.md；位置：REQ-e4f918932a7f；行3858
2. 规则：BR-0117e053016cf9d3
3. 未动态验证</x:v>
      </x:c>
    </x:row>
    <x:row r="75" ht="85" customHeight="1">
      <x:c r="A75" s="10" t="n">
        <x:v>74</x:v>
      </x:c>
      <x:c r="B75" s="10" t="str">
        <x:v>ADMIN-04-0018</x:v>
      </x:c>
      <x:c r="C75" s="10" t="str">
        <x:v>举报处理</x:v>
      </x:c>
      <x:c r="D75" s="10" t="str">
        <x:v>违规类型编辑（平台管理员视角）</x:v>
      </x:c>
      <x:c r="E75" s="10" t="str">
        <x:v>逻辑校验</x:v>
      </x:c>
      <x:c r="F75" s="10" t="str">
        <x:v>P1</x:v>
      </x:c>
      <x:c r="G75" s="9" t="str">
        <x:v>验证违规类型英语名称必填</x:v>
      </x:c>
      <x:c r="H75" s="9" t="str">
        <x:v>违规类型英语必填</x:v>
      </x:c>
      <x:c r="I75" s="9" t="str">
        <x:v>1. 执行角色为平台管理员
2. 账号具有当前模块访问及本次操作权限
3. 其他名称及排序有效</x:v>
      </x:c>
      <x:c r="J75" s="9" t="str">
        <x:v>1. 进入违规类型编辑页
2. 清空英语名称
3. 点击保存</x:v>
      </x:c>
      <x:c r="K75" s="9" t="str">
        <x:v>不能保存缺少四语名称的类型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来源（当前证据）：liveshow-proto/MainBasis/统一需求文档.md；位置：REQ-e4f918932a7f；行3858
2. 规则：BR-4e6c5069b2991ba2
3. 未动态验证</x:v>
      </x:c>
    </x:row>
    <x:row r="76" ht="85" customHeight="1">
      <x:c r="A76" s="10" t="n">
        <x:v>75</x:v>
      </x:c>
      <x:c r="B76" s="10" t="str">
        <x:v>ADMIN-04-0019</x:v>
      </x:c>
      <x:c r="C76" s="10" t="str">
        <x:v>举报处理</x:v>
      </x:c>
      <x:c r="D76" s="10" t="str">
        <x:v>违规类型编辑（平台管理员视角）</x:v>
      </x:c>
      <x:c r="E76" s="10" t="str">
        <x:v>逻辑校验</x:v>
      </x:c>
      <x:c r="F76" s="10" t="str">
        <x:v>P1</x:v>
      </x:c>
      <x:c r="G76" s="9" t="str">
        <x:v>验证违规类型印尼语名称必填</x:v>
      </x:c>
      <x:c r="H76" s="9" t="str">
        <x:v>违规类型印尼语必填</x:v>
      </x:c>
      <x:c r="I76" s="9" t="str">
        <x:v>1. 执行角色为平台管理员
2. 账号具有当前模块访问及本次操作权限
3. 其他名称及排序有效</x:v>
      </x:c>
      <x:c r="J76" s="9" t="str">
        <x:v>1. 进入违规类型编辑页
2. 清空印尼语名称
3. 点击保存</x:v>
      </x:c>
      <x:c r="K76" s="9" t="str">
        <x:v>不能保存缺少四语名称的类型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来源（当前证据）：liveshow-proto/MainBasis/统一需求文档.md；位置：REQ-e4f918932a7f；行3858
2. 规则：BR-65eaf8842dc80146
3. 未动态验证</x:v>
      </x:c>
    </x:row>
    <x:row r="77" ht="85" customHeight="1">
      <x:c r="A77" s="10" t="n">
        <x:v>76</x:v>
      </x:c>
      <x:c r="B77" s="10" t="str">
        <x:v>ADMIN-04-0020</x:v>
      </x:c>
      <x:c r="C77" s="10" t="str">
        <x:v>举报处理</x:v>
      </x:c>
      <x:c r="D77" s="10" t="str">
        <x:v>违规类型编辑（平台管理员视角）</x:v>
      </x:c>
      <x:c r="E77" s="10" t="str">
        <x:v>逻辑校验</x:v>
      </x:c>
      <x:c r="F77" s="10" t="str">
        <x:v>P1</x:v>
      </x:c>
      <x:c r="G77" s="9" t="str">
        <x:v>验证违规类型马来语名称必填</x:v>
      </x:c>
      <x:c r="H77" s="9" t="str">
        <x:v>违规类型马来语必填</x:v>
      </x:c>
      <x:c r="I77" s="9" t="str">
        <x:v>1. 执行角色为平台管理员
2. 账号具有当前模块访问及本次操作权限
3. 其他名称及排序有效</x:v>
      </x:c>
      <x:c r="J77" s="9" t="str">
        <x:v>1. 进入违规类型编辑页
2. 清空马来语名称
3. 点击保存</x:v>
      </x:c>
      <x:c r="K77" s="9" t="str">
        <x:v>不能保存缺少四语名称的类型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来源（当前证据）：liveshow-proto/MainBasis/统一需求文档.md；位置：REQ-e4f918932a7f；行3858
2. 规则：BR-3e78e3f883bafcf4
3. 未动态验证</x:v>
      </x:c>
    </x:row>
    <x:row r="78" ht="85" customHeight="1">
      <x:c r="A78" s="10" t="n">
        <x:v>77</x:v>
      </x:c>
      <x:c r="B78" s="10" t="str">
        <x:v>ADMIN-04-0021</x:v>
      </x:c>
      <x:c r="C78" s="10" t="str">
        <x:v>举报处理</x:v>
      </x:c>
      <x:c r="D78" s="10" t="str">
        <x:v>违规类型编辑（平台管理员视角）</x:v>
      </x:c>
      <x:c r="E78" s="10" t="str">
        <x:v>逻辑校验</x:v>
      </x:c>
      <x:c r="F78" s="10" t="str">
        <x:v>P1</x:v>
      </x:c>
      <x:c r="G78" s="9" t="str">
        <x:v>验证违规类型同语种名称不能重复</x:v>
      </x:c>
      <x:c r="H78" s="9" t="str">
        <x:v>违规类型名称唯一性</x:v>
      </x:c>
      <x:c r="I78" s="9" t="str">
        <x:v>1. 执行角色为平台管理员
2. 账号具有当前模块访问及本次操作权限
3. 已有中文名称A，其余字段均有效</x:v>
      </x:c>
      <x:c r="J78" s="9" t="str">
        <x:v>1. 进入违规类型编辑页
2. 填写中文名称为A
3. 点击保存</x:v>
      </x:c>
      <x:c r="K78" s="9" t="str">
        <x:v>不能保存重复中文名称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来源（当前证据）：liveshow-proto/MainBasis/统一需求文档.md；位置：REQ-e4f918932a7f；行3858
2. 规则：BR-a4f1d7af5fe95556
3. 未动态验证</x:v>
      </x:c>
    </x:row>
    <x:row r="79" ht="85" customHeight="1">
      <x:c r="A79" s="10" t="n">
        <x:v>78</x:v>
      </x:c>
      <x:c r="B79" s="10" t="str">
        <x:v>ADMIN-04-0022</x:v>
      </x:c>
      <x:c r="C79" s="10" t="str">
        <x:v>举报处理</x:v>
      </x:c>
      <x:c r="D79" s="10" t="str">
        <x:v>违规类型编辑（平台管理员视角）</x:v>
      </x:c>
      <x:c r="E79" s="10" t="str">
        <x:v>逻辑校验</x:v>
      </x:c>
      <x:c r="F79" s="10" t="str">
        <x:v>P1</x:v>
      </x:c>
      <x:c r="G79" s="9" t="str">
        <x:v>验证违规类型排序0不合法</x:v>
      </x:c>
      <x:c r="H79" s="9" t="str">
        <x:v>违规类型排序校验</x:v>
      </x:c>
      <x:c r="I79" s="9" t="str">
        <x:v>1. 执行角色为平台管理员
2. 账号具有当前模块访问及本次操作权限
3. 其他字段有效</x:v>
      </x:c>
      <x:c r="J79" s="9" t="str">
        <x:v>1. 进入违规类型编辑页
2. 填写排序为0
3. 点击保存</x:v>
      </x:c>
      <x:c r="K79" s="9" t="str">
        <x:v>不能保存非正整数排序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来源（当前证据）：liveshow-proto/MainBasis/统一需求文档.md；位置：REQ-fd5b602b0915；行3860
2. 规则：BR-a1ddf9bcfa6e9d78
3. 未动态验证</x:v>
      </x:c>
    </x:row>
    <x:row r="80" ht="85" customHeight="1">
      <x:c r="A80" s="10" t="n">
        <x:v>79</x:v>
      </x:c>
      <x:c r="B80" s="10" t="str">
        <x:v>ADMIN-04-0023</x:v>
      </x:c>
      <x:c r="C80" s="10" t="str">
        <x:v>举报处理</x:v>
      </x:c>
      <x:c r="D80" s="10" t="str">
        <x:v>违规类型编辑（平台管理员视角）</x:v>
      </x:c>
      <x:c r="E80" s="10" t="str">
        <x:v>逻辑校验</x:v>
      </x:c>
      <x:c r="F80" s="10" t="str">
        <x:v>P1</x:v>
      </x:c>
      <x:c r="G80" s="9" t="str">
        <x:v>验证违规类型排序-1不合法</x:v>
      </x:c>
      <x:c r="H80" s="9" t="str">
        <x:v>违规类型排序校验</x:v>
      </x:c>
      <x:c r="I80" s="9" t="str">
        <x:v>1. 执行角色为平台管理员
2. 账号具有当前模块访问及本次操作权限
3. 其他字段有效</x:v>
      </x:c>
      <x:c r="J80" s="9" t="str">
        <x:v>1. 进入违规类型编辑页
2. 填写排序为-1
3. 点击保存</x:v>
      </x:c>
      <x:c r="K80" s="9" t="str">
        <x:v>不能保存非正整数排序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来源（当前证据）：liveshow-proto/MainBasis/统一需求文档.md；位置：REQ-fd5b602b0915；行3860
2. 规则：BR-f1d645da5b42ff33
3. 未动态验证</x:v>
      </x:c>
    </x:row>
    <x:row r="81" ht="85" customHeight="1">
      <x:c r="A81" s="10" t="n">
        <x:v>80</x:v>
      </x:c>
      <x:c r="B81" s="10" t="str">
        <x:v>ADMIN-04-0024</x:v>
      </x:c>
      <x:c r="C81" s="10" t="str">
        <x:v>举报处理</x:v>
      </x:c>
      <x:c r="D81" s="10" t="str">
        <x:v>违规类型编辑（平台管理员视角）</x:v>
      </x:c>
      <x:c r="E81" s="10" t="str">
        <x:v>逻辑校验</x:v>
      </x:c>
      <x:c r="F81" s="10" t="str">
        <x:v>P1</x:v>
      </x:c>
      <x:c r="G81" s="9" t="str">
        <x:v>验证违规类型排序1.5不合法</x:v>
      </x:c>
      <x:c r="H81" s="9" t="str">
        <x:v>违规类型排序校验</x:v>
      </x:c>
      <x:c r="I81" s="9" t="str">
        <x:v>1. 执行角色为平台管理员
2. 账号具有当前模块访问及本次操作权限
3. 其他字段有效</x:v>
      </x:c>
      <x:c r="J81" s="9" t="str">
        <x:v>1. 进入违规类型编辑页
2. 填写排序为1.5
3. 点击保存</x:v>
      </x:c>
      <x:c r="K81" s="9" t="str">
        <x:v>不能保存非正整数排序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来源（当前证据）：liveshow-proto/MainBasis/统一需求文档.md；位置：REQ-fd5b602b0915；行3860
2. 规则：BR-3f7867764658e455
3. 未动态验证</x:v>
      </x:c>
    </x:row>
    <x:row r="82" ht="85" customHeight="1">
      <x:c r="A82" s="10" t="n">
        <x:v>81</x:v>
      </x:c>
      <x:c r="B82" s="10" t="str">
        <x:v>ADMIN-04-0025</x:v>
      </x:c>
      <x:c r="C82" s="10" t="str">
        <x:v>举报处理</x:v>
      </x:c>
      <x:c r="D82" s="10" t="str">
        <x:v>违规类型编辑（平台管理员视角）</x:v>
      </x:c>
      <x:c r="E82" s="10" t="str">
        <x:v>逻辑校验</x:v>
      </x:c>
      <x:c r="F82" s="10" t="str">
        <x:v>P1</x:v>
      </x:c>
      <x:c r="G82" s="9" t="str">
        <x:v>验证违规类型属性编辑只读</x:v>
      </x:c>
      <x:c r="H82" s="9" t="str">
        <x:v>违规类型属性不可改</x:v>
      </x:c>
      <x:c r="I82" s="9" t="str">
        <x:v>1. 执行角色为平台管理员
2. 账号具有当前模块访问及本次操作权限
3. 已创建自定义类型</x:v>
      </x:c>
      <x:c r="J82" s="9" t="str">
        <x:v>1. 进入违规类型编辑页</x:v>
      </x:c>
      <x:c r="K82" s="9" t="str">
        <x:v>不能切换为系统预置类型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来源（当前证据）：liveshow-proto/MainBasis/统一需求文档.md；位置：REQ-2015efa700cb；行3862
2. 规则：BR-1dd7ac92d2e6c89a
3. 未动态验证</x:v>
      </x:c>
    </x:row>
    <x:row r="83" ht="85" customHeight="1">
      <x:c r="A83" s="10" t="n">
        <x:v>82</x:v>
      </x:c>
      <x:c r="B83" s="10" t="str">
        <x:v>ADMIN-05-0001</x:v>
      </x:c>
      <x:c r="C83" s="10" t="str">
        <x:v>公会管理</x:v>
      </x:c>
      <x:c r="D83" s="10" t="str">
        <x:v>公会列表（平台管理员视角）</x:v>
      </x:c>
      <x:c r="E83" s="10" t="str">
        <x:v>逻辑校验</x:v>
      </x:c>
      <x:c r="F83" s="10" t="str">
        <x:v>P1</x:v>
      </x:c>
      <x:c r="G83" s="9" t="str">
        <x:v>验证后台公会人数仅当前在会主播</x:v>
      </x:c>
      <x:c r="H83" s="9" t="str">
        <x:v>后台公会主播人数</x:v>
      </x:c>
      <x:c r="I83" s="9" t="str">
        <x:v>1. 执行角色为平台管理员
2. 账号具有当前模块访问及本次操作权限
3. 甲乙当前在会，丙已退会，丁待审核</x:v>
      </x:c>
      <x:c r="J83" s="9" t="str">
        <x:v>1. 进入公会列表页</x:v>
      </x:c>
      <x:c r="K83" s="9" t="str">
        <x:v>主播人数显示2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来源（当前证据）：liveshow-proto/MainBasis/统一需求文档.md；位置：REQ-9c703d5ca23c；行3877
2. 规则：BR-01158a1de0795fe4
3. 未动态验证</x:v>
      </x:c>
    </x:row>
    <x:row r="84" ht="100" customHeight="1">
      <x:c r="A84" s="10" t="n">
        <x:v>83</x:v>
      </x:c>
      <x:c r="B84" s="10" t="str">
        <x:v>ADMIN-05-0002</x:v>
      </x:c>
      <x:c r="C84" s="10" t="str">
        <x:v>公会管理</x:v>
      </x:c>
      <x:c r="D84" s="10" t="str">
        <x:v>公会详情（平台管理员视角）</x:v>
      </x:c>
      <x:c r="E84" s="10" t="str">
        <x:v>逻辑校验</x:v>
      </x:c>
      <x:c r="F84" s="10" t="str">
        <x:v>P1</x:v>
      </x:c>
      <x:c r="G84" s="9" t="str">
        <x:v>验证停用公会不修改公会长自身状态</x:v>
      </x:c>
      <x:c r="H84" s="9" t="str">
        <x:v>公会停用与账号状态独立</x:v>
      </x:c>
      <x:c r="I84" s="9" t="str">
        <x:v>1. 执行角色为平台管理员
2. 账号具有当前模块访问及本次操作权限
3. 公会启用，公会长自身启用</x:v>
      </x:c>
      <x:c r="J84" s="9" t="str">
        <x:v>1. 进入公会列表页
2. 点击停用公会
3. 点击确认
4. 进入公会详情页</x:v>
      </x:c>
      <x:c r="K84" s="9" t="str">
        <x:v>公会长账号状态仍为启用</x:v>
      </x:c>
      <x:c r="L84" s="10" t="str">
        <x:v>FLOW-A69D552849</x:v>
      </x:c>
      <x:c r="M84" s="10" t="str">
        <x:v>未测</x:v>
      </x:c>
      <x:c r="N84" s="10" t="str"/>
      <x:c r="O84" s="9" t="str">
        <x:v>1. 来源（当前证据）：liveshow-proto/MainBasis/统一需求文档.md；位置：REQ-b4b0bab3f928；行3881、REQ-9d62c568e295；行3900
2. 规则：BR-52be695598f4593a
3. 未动态验证</x:v>
      </x:c>
    </x:row>
    <x:row r="85" ht="100" customHeight="1">
      <x:c r="A85" s="10" t="n">
        <x:v>84</x:v>
      </x:c>
      <x:c r="B85" s="10" t="str">
        <x:v>ADMIN-05-0003</x:v>
      </x:c>
      <x:c r="C85" s="10" t="str">
        <x:v>公会管理</x:v>
      </x:c>
      <x:c r="D85" s="10" t="str">
        <x:v>公会详情（平台管理员视角）</x:v>
      </x:c>
      <x:c r="E85" s="10" t="str">
        <x:v>逻辑校验</x:v>
      </x:c>
      <x:c r="F85" s="10" t="str">
        <x:v>P1</x:v>
      </x:c>
      <x:c r="G85" s="9" t="str">
        <x:v>验证停用公会长不修改公会状态</x:v>
      </x:c>
      <x:c r="H85" s="9" t="str">
        <x:v>公会长停用独立</x:v>
      </x:c>
      <x:c r="I85" s="9" t="str">
        <x:v>1. 执行角色为平台管理员
2. 账号具有当前模块访问及本次操作权限
3. 公会启用，公会长账号启用</x:v>
      </x:c>
      <x:c r="J85" s="9" t="str">
        <x:v>1. 进入公会详情页
2. 禁用公会长账号状态开关</x:v>
      </x:c>
      <x:c r="K85" s="9" t="str">
        <x:v>公会状态仍为启用</x:v>
      </x:c>
      <x:c r="L85" s="10" t="str">
        <x:v>FLOW-AEA28E2203</x:v>
      </x:c>
      <x:c r="M85" s="10" t="str">
        <x:v>未测</x:v>
      </x:c>
      <x:c r="N85" s="10" t="str"/>
      <x:c r="O85" s="9" t="str">
        <x:v>1. 来源（当前证据）：liveshow-proto/MainBasis/统一需求文档.md；位置：REQ-9d62c568e295；行3900、REQ-c8d50dae8436；行3914
2. 规则：BR-a3f856679e319036
3. 未动态验证</x:v>
      </x:c>
    </x:row>
    <x:row r="86" ht="85" customHeight="1">
      <x:c r="A86" s="10" t="n">
        <x:v>85</x:v>
      </x:c>
      <x:c r="B86" s="10" t="str">
        <x:v>ADMIN-05-0004</x:v>
      </x:c>
      <x:c r="C86" s="10" t="str">
        <x:v>公会管理</x:v>
      </x:c>
      <x:c r="D86" s="10" t="str">
        <x:v>公会列表（平台管理员视角）</x:v>
      </x:c>
      <x:c r="E86" s="10" t="str">
        <x:v>逻辑校验</x:v>
      </x:c>
      <x:c r="F86" s="10" t="str">
        <x:v>P1</x:v>
      </x:c>
      <x:c r="G86" s="9" t="str">
        <x:v>验证存在未结收益不能解散公会</x:v>
      </x:c>
      <x:c r="H86" s="9" t="str">
        <x:v>公会解散结清门槛</x:v>
      </x:c>
      <x:c r="I86" s="9" t="str">
        <x:v>1. 执行角色为平台管理员
2. 账号具有当前模块访问及本次操作权限
3. 公会至少1名主播未结收益大于0</x:v>
      </x:c>
      <x:c r="J86" s="9" t="str">
        <x:v>1. 进入公会列表页
2. 点击解散</x:v>
      </x:c>
      <x:c r="K86" s="9" t="str">
        <x:v>不能完成公会解散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来源（当前证据）：liveshow-proto/MainBasis/统一需求文档.md；位置：REQ-24899ab93370；行3885
2. 规则：BR-225c2df226253e3c
3. 未动态验证</x:v>
      </x:c>
    </x:row>
    <x:row r="87" ht="85" customHeight="1">
      <x:c r="A87" s="10" t="n">
        <x:v>86</x:v>
      </x:c>
      <x:c r="B87" s="10" t="str">
        <x:v>ADMIN-05-0005</x:v>
      </x:c>
      <x:c r="C87" s="10" t="str">
        <x:v>公会管理</x:v>
      </x:c>
      <x:c r="D87" s="10" t="str">
        <x:v>公会列表（平台管理员视角）</x:v>
      </x:c>
      <x:c r="E87" s="10" t="str">
        <x:v>业务流程</x:v>
      </x:c>
      <x:c r="F87" s="10" t="str">
        <x:v>P0</x:v>
      </x:c>
      <x:c r="G87" s="9" t="str">
        <x:v>验证已结清公会解散后终态</x:v>
      </x:c>
      <x:c r="H87" s="9" t="str">
        <x:v>公会解散状态</x:v>
      </x:c>
      <x:c r="I87" s="9" t="str">
        <x:v>1. 执行角色为平台管理员
2. 账号具有当前模块访问及本次操作权限
3. 公会全部主播未结收益为0</x:v>
      </x:c>
      <x:c r="J87" s="9" t="str">
        <x:v>1. 进入公会列表页
2. 点击解散
3. 点击确认</x:v>
      </x:c>
      <x:c r="K87" s="9" t="str">
        <x:v>公会状态变为已解散</x:v>
      </x:c>
      <x:c r="L87" s="10" t="str">
        <x:v>FLOW-A69D552849</x:v>
      </x:c>
      <x:c r="M87" s="10" t="str">
        <x:v>未测</x:v>
      </x:c>
      <x:c r="N87" s="10" t="str"/>
      <x:c r="O87" s="9" t="str">
        <x:v>1. 来源（当前证据）：liveshow-proto/MainBasis/统一需求文档.md；位置：REQ-00fcb3af14ad；行3879
2. 规则：BR-fee94bdfebde6140
3. 未动态验证</x:v>
      </x:c>
    </x:row>
    <x:row r="88" ht="85" customHeight="1">
      <x:c r="A88" s="10" t="n">
        <x:v>87</x:v>
      </x:c>
      <x:c r="B88" s="10" t="str">
        <x:v>ADMIN-05-0006</x:v>
      </x:c>
      <x:c r="C88" s="10" t="str">
        <x:v>公会管理</x:v>
      </x:c>
      <x:c r="D88" s="10" t="str">
        <x:v>公会详情（平台管理员视角）</x:v>
      </x:c>
      <x:c r="E88" s="10" t="str">
        <x:v>逻辑校验</x:v>
      </x:c>
      <x:c r="F88" s="10" t="str">
        <x:v>P1</x:v>
      </x:c>
      <x:c r="G88" s="9" t="str">
        <x:v>验证新建公会必须填写名称</x:v>
      </x:c>
      <x:c r="H88" s="9" t="str">
        <x:v>新建公会名称必填</x:v>
      </x:c>
      <x:c r="I88" s="9" t="str">
        <x:v>1. 执行角色为平台管理员
2. 账号具有当前模块访问及本次操作权限
3. 当前新建模式，其他字段已准备</x:v>
      </x:c>
      <x:c r="J88" s="9" t="str">
        <x:v>1. 进入公会详情页
2. 清空名称
3. 点击保存</x:v>
      </x:c>
      <x:c r="K88" s="9" t="str">
        <x:v>不能创建缺少必填项的公会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来源（当前证据）：liveshow-proto/MainBasis/统一需求文档.md；位置：REQ-0874c2785ffd；行3896
2. 规则：BR-5e9372ce43df0e6f
3. 未动态验证</x:v>
      </x:c>
    </x:row>
    <x:row r="89" ht="85" customHeight="1">
      <x:c r="A89" s="10" t="n">
        <x:v>88</x:v>
      </x:c>
      <x:c r="B89" s="10" t="str">
        <x:v>ADMIN-05-0007</x:v>
      </x:c>
      <x:c r="C89" s="10" t="str">
        <x:v>公会管理</x:v>
      </x:c>
      <x:c r="D89" s="10" t="str">
        <x:v>公会详情（平台管理员视角）</x:v>
      </x:c>
      <x:c r="E89" s="10" t="str">
        <x:v>逻辑校验</x:v>
      </x:c>
      <x:c r="F89" s="10" t="str">
        <x:v>P1</x:v>
      </x:c>
      <x:c r="G89" s="9" t="str">
        <x:v>验证新建公会必须填写Logo</x:v>
      </x:c>
      <x:c r="H89" s="9" t="str">
        <x:v>新建公会Logo必填</x:v>
      </x:c>
      <x:c r="I89" s="9" t="str">
        <x:v>1. 执行角色为平台管理员
2. 账号具有当前模块访问及本次操作权限
3. 当前新建模式，其他字段已准备</x:v>
      </x:c>
      <x:c r="J89" s="9" t="str">
        <x:v>1. 进入公会详情页
2. 清空Logo
3. 点击保存</x:v>
      </x:c>
      <x:c r="K89" s="9" t="str">
        <x:v>不能创建缺少必填项的公会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来源（当前证据）：liveshow-proto/MainBasis/统一需求文档.md；位置：REQ-0874c2785ffd；行3896
2. 规则：BR-b9780a14b7b4037e
3. 未动态验证</x:v>
      </x:c>
    </x:row>
    <x:row r="90" ht="100" customHeight="1">
      <x:c r="A90" s="10" t="n">
        <x:v>89</x:v>
      </x:c>
      <x:c r="B90" s="10" t="str">
        <x:v>ADMIN-05-0008</x:v>
      </x:c>
      <x:c r="C90" s="10" t="str">
        <x:v>公会管理</x:v>
      </x:c>
      <x:c r="D90" s="10" t="str">
        <x:v>公会详情（平台管理员视角）</x:v>
      </x:c>
      <x:c r="E90" s="10" t="str">
        <x:v>逻辑校验</x:v>
      </x:c>
      <x:c r="F90" s="10" t="str">
        <x:v>P1</x:v>
      </x:c>
      <x:c r="G90" s="9" t="str">
        <x:v>验证新建公会必须填写公会长</x:v>
      </x:c>
      <x:c r="H90" s="9" t="str">
        <x:v>新建公会公会长必填</x:v>
      </x:c>
      <x:c r="I90" s="9" t="str">
        <x:v>1. 执行角色为平台管理员
2. 账号具有当前模块访问及本次操作权限
3. 当前新建模式，其他字段已准备</x:v>
      </x:c>
      <x:c r="J90" s="9" t="str">
        <x:v>1. 进入公会详情页
2. 清空公会长
3. 点击保存</x:v>
      </x:c>
      <x:c r="K90" s="9" t="str">
        <x:v>不能创建缺少必填项的公会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来源（当前证据）：liveshow-proto/MainBasis/统一需求文档.md；位置：REQ-a89b757f821b；行3898、REQ-fe87c3c027d8；行3902
2. 规则：BR-2c3df1767734ff23
3. 未动态验证</x:v>
      </x:c>
    </x:row>
    <x:row r="91" ht="100" customHeight="1">
      <x:c r="A91" s="10" t="n">
        <x:v>90</x:v>
      </x:c>
      <x:c r="B91" s="10" t="str">
        <x:v>ADMIN-05-0009</x:v>
      </x:c>
      <x:c r="C91" s="10" t="str">
        <x:v>公会管理</x:v>
      </x:c>
      <x:c r="D91" s="10" t="str">
        <x:v>公会详情（平台管理员视角）</x:v>
      </x:c>
      <x:c r="E91" s="10" t="str">
        <x:v>逻辑校验</x:v>
      </x:c>
      <x:c r="F91" s="10" t="str">
        <x:v>P1</x:v>
      </x:c>
      <x:c r="G91" s="9" t="str">
        <x:v>验证新建公会必须填写管理账号</x:v>
      </x:c>
      <x:c r="H91" s="9" t="str">
        <x:v>新建公会管理账号必填</x:v>
      </x:c>
      <x:c r="I91" s="9" t="str">
        <x:v>1. 执行角色为平台管理员
2. 账号具有当前模块访问及本次操作权限
3. 当前新建模式，其他字段已准备</x:v>
      </x:c>
      <x:c r="J91" s="9" t="str">
        <x:v>1. 进入公会详情页
2. 清空管理账号
3. 点击保存</x:v>
      </x:c>
      <x:c r="K91" s="9" t="str">
        <x:v>不能创建缺少必填项的公会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来源（当前证据）：liveshow-proto/MainBasis/统一需求文档.md；位置：REQ-a89b757f821b；行3898、REQ-fe87c3c027d8；行3902
2. 规则：BR-1b5bf41497ca4a9c
3. 未动态验证</x:v>
      </x:c>
    </x:row>
    <x:row r="92" ht="85" customHeight="1">
      <x:c r="A92" s="10" t="n">
        <x:v>91</x:v>
      </x:c>
      <x:c r="B92" s="10" t="str">
        <x:v>ADMIN-05-0010</x:v>
      </x:c>
      <x:c r="C92" s="10" t="str">
        <x:v>公会管理</x:v>
      </x:c>
      <x:c r="D92" s="10" t="str">
        <x:v>公会详情（平台管理员视角）</x:v>
      </x:c>
      <x:c r="E92" s="10" t="str">
        <x:v>逻辑校验</x:v>
      </x:c>
      <x:c r="F92" s="10" t="str">
        <x:v>P1</x:v>
      </x:c>
      <x:c r="G92" s="9" t="str">
        <x:v>验证新建公会必须填写初始密码</x:v>
      </x:c>
      <x:c r="H92" s="9" t="str">
        <x:v>新建公会初始密码必填</x:v>
      </x:c>
      <x:c r="I92" s="9" t="str">
        <x:v>1. 执行角色为平台管理员
2. 账号具有当前模块访问及本次操作权限
3. 当前新建模式，其他字段已准备</x:v>
      </x:c>
      <x:c r="J92" s="9" t="str">
        <x:v>1. 进入公会详情页
2. 清空初始密码
3. 点击保存</x:v>
      </x:c>
      <x:c r="K92" s="9" t="str">
        <x:v>不能创建缺少必填项的公会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来源（当前证据）：liveshow-proto/MainBasis/统一需求文档.md；位置：REQ-fe87c3c027d8；行3902
2. 规则：BR-64c081879eaebd77
3. 未动态验证</x:v>
      </x:c>
    </x:row>
    <x:row r="93" ht="85" customHeight="1">
      <x:c r="A93" s="10" t="n">
        <x:v>92</x:v>
      </x:c>
      <x:c r="B93" s="10" t="str">
        <x:v>ADMIN-05-0011</x:v>
      </x:c>
      <x:c r="C93" s="10" t="str">
        <x:v>公会管理</x:v>
      </x:c>
      <x:c r="D93" s="10" t="str">
        <x:v>公会详情（平台管理员视角）</x:v>
      </x:c>
      <x:c r="E93" s="10" t="str">
        <x:v>逻辑校验</x:v>
      </x:c>
      <x:c r="F93" s="10" t="str">
        <x:v>P1</x:v>
      </x:c>
      <x:c r="G93" s="9" t="str">
        <x:v>验证公会管理账号跨公会不可重复</x:v>
      </x:c>
      <x:c r="H93" s="9" t="str">
        <x:v>公会管理账号唯一性</x:v>
      </x:c>
      <x:c r="I93" s="9" t="str">
        <x:v>1. 执行角色为平台管理员
2. 账号具有当前模块访问及本次操作权限
3. 另一个公会已使用账号L，新建资料合法</x:v>
      </x:c>
      <x:c r="J93" s="9" t="str">
        <x:v>1. 进入公会详情页
2. 填写管理账号为L
3. 点击保存</x:v>
      </x:c>
      <x:c r="K93" s="9" t="str">
        <x:v>不能创建重复管理账号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来源（当前证据）：liveshow-proto/MainBasis/统一需求文档.md；位置：REQ-a89b757f821b；行3898
2. 规则：BR-1140b02cb747f210
3. 未动态验证</x:v>
      </x:c>
    </x:row>
    <x:row r="94" ht="85" customHeight="1">
      <x:c r="A94" s="10" t="n">
        <x:v>93</x:v>
      </x:c>
      <x:c r="B94" s="10" t="str">
        <x:v>ADMIN-05-0012</x:v>
      </x:c>
      <x:c r="C94" s="10" t="str">
        <x:v>公会管理</x:v>
      </x:c>
      <x:c r="D94" s="10" t="str">
        <x:v>公会详情（平台管理员视角）</x:v>
      </x:c>
      <x:c r="E94" s="10" t="str">
        <x:v>逻辑校验</x:v>
      </x:c>
      <x:c r="F94" s="10" t="str">
        <x:v>P1</x:v>
      </x:c>
      <x:c r="G94" s="9" t="str">
        <x:v>验证公会长重置密码保留登录账号</x:v>
      </x:c>
      <x:c r="H94" s="9" t="str">
        <x:v>公会密码重置账号保留</x:v>
      </x:c>
      <x:c r="I94" s="9" t="str">
        <x:v>1. 执行角色为平台管理员
2. 账号具有当前模块访问及本次操作权限
3. 现管理账号qa-chief</x:v>
      </x:c>
      <x:c r="J94" s="9" t="str">
        <x:v>1. 进入公会详情页
2. 点击重置密码
3. 填写新密码为QaReset!2026
4. 点击确认</x:v>
      </x:c>
      <x:c r="K94" s="9" t="str">
        <x:v>管理账号仍为qa-chief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来源（当前证据）：liveshow-proto/MainBasis/统一需求文档.md；位置：REQ-c8d50dae8436；行3914
2. 规则：BR-628de02f2715c860
3. 未动态验证</x:v>
      </x:c>
    </x:row>
    <x:row r="95" ht="85" customHeight="1">
      <x:c r="A95" s="10" t="n">
        <x:v>94</x:v>
      </x:c>
      <x:c r="B95" s="10" t="str">
        <x:v>ADMIN-06-0001</x:v>
      </x:c>
      <x:c r="C95" s="10" t="str">
        <x:v>礼物道具</x:v>
      </x:c>
      <x:c r="D95" s="10" t="str">
        <x:v>礼物详情（平台管理员视角）</x:v>
      </x:c>
      <x:c r="E95" s="10" t="str">
        <x:v>逻辑校验</x:v>
      </x:c>
      <x:c r="F95" s="10" t="str">
        <x:v>P1</x:v>
      </x:c>
      <x:c r="G95" s="9" t="str">
        <x:v>验证礼物中文名称必填</x:v>
      </x:c>
      <x:c r="H95" s="9" t="str">
        <x:v>礼物中文名称校验</x:v>
      </x:c>
      <x:c r="I95" s="9" t="str">
        <x:v>1. 执行角色为平台管理员
2. 账号具有当前模块访问及本次操作权限
3. 其他字段和资源均有效</x:v>
      </x:c>
      <x:c r="J95" s="9" t="str">
        <x:v>1. 进入礼物详情页
2. 清空中文名称
3. 点击保存</x:v>
      </x:c>
      <x:c r="K95" s="9" t="str">
        <x:v>不能保存缺少四语名称的配置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来源（当前证据）：liveshow-proto/MainBasis/统一需求文档.md；位置：REQ-d1989da16a8b；行3944
2. 规则：BR-ad62ab8c507039c9
3. 未动态验证</x:v>
      </x:c>
    </x:row>
    <x:row r="96" ht="85" customHeight="1">
      <x:c r="A96" s="10" t="n">
        <x:v>95</x:v>
      </x:c>
      <x:c r="B96" s="10" t="str">
        <x:v>ADMIN-06-0002</x:v>
      </x:c>
      <x:c r="C96" s="10" t="str">
        <x:v>礼物道具</x:v>
      </x:c>
      <x:c r="D96" s="10" t="str">
        <x:v>礼物详情（平台管理员视角）</x:v>
      </x:c>
      <x:c r="E96" s="10" t="str">
        <x:v>逻辑校验</x:v>
      </x:c>
      <x:c r="F96" s="10" t="str">
        <x:v>P1</x:v>
      </x:c>
      <x:c r="G96" s="9" t="str">
        <x:v>验证礼物英语名称必填</x:v>
      </x:c>
      <x:c r="H96" s="9" t="str">
        <x:v>礼物英语名称校验</x:v>
      </x:c>
      <x:c r="I96" s="9" t="str">
        <x:v>1. 执行角色为平台管理员
2. 账号具有当前模块访问及本次操作权限
3. 其他字段和资源均有效</x:v>
      </x:c>
      <x:c r="J96" s="9" t="str">
        <x:v>1. 进入礼物详情页
2. 清空英语名称
3. 点击保存</x:v>
      </x:c>
      <x:c r="K96" s="9" t="str">
        <x:v>不能保存缺少四语名称的配置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来源（当前证据）：liveshow-proto/MainBasis/统一需求文档.md；位置：REQ-d1989da16a8b；行3944
2. 规则：BR-ee85bb5e8a2ba8a1
3. 未动态验证</x:v>
      </x:c>
    </x:row>
    <x:row r="97" ht="85" customHeight="1">
      <x:c r="A97" s="10" t="n">
        <x:v>96</x:v>
      </x:c>
      <x:c r="B97" s="10" t="str">
        <x:v>ADMIN-06-0003</x:v>
      </x:c>
      <x:c r="C97" s="10" t="str">
        <x:v>礼物道具</x:v>
      </x:c>
      <x:c r="D97" s="10" t="str">
        <x:v>礼物详情（平台管理员视角）</x:v>
      </x:c>
      <x:c r="E97" s="10" t="str">
        <x:v>逻辑校验</x:v>
      </x:c>
      <x:c r="F97" s="10" t="str">
        <x:v>P1</x:v>
      </x:c>
      <x:c r="G97" s="9" t="str">
        <x:v>验证礼物印尼语名称必填</x:v>
      </x:c>
      <x:c r="H97" s="9" t="str">
        <x:v>礼物印尼语名称校验</x:v>
      </x:c>
      <x:c r="I97" s="9" t="str">
        <x:v>1. 执行角色为平台管理员
2. 账号具有当前模块访问及本次操作权限
3. 其他字段和资源均有效</x:v>
      </x:c>
      <x:c r="J97" s="9" t="str">
        <x:v>1. 进入礼物详情页
2. 清空印尼语名称
3. 点击保存</x:v>
      </x:c>
      <x:c r="K97" s="9" t="str">
        <x:v>不能保存缺少四语名称的配置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来源（当前证据）：liveshow-proto/MainBasis/统一需求文档.md；位置：REQ-d1989da16a8b；行3944
2. 规则：BR-a4f0d438242f5a45
3. 未动态验证</x:v>
      </x:c>
    </x:row>
    <x:row r="98" ht="85" customHeight="1">
      <x:c r="A98" s="10" t="n">
        <x:v>97</x:v>
      </x:c>
      <x:c r="B98" s="10" t="str">
        <x:v>ADMIN-06-0004</x:v>
      </x:c>
      <x:c r="C98" s="10" t="str">
        <x:v>礼物道具</x:v>
      </x:c>
      <x:c r="D98" s="10" t="str">
        <x:v>礼物详情（平台管理员视角）</x:v>
      </x:c>
      <x:c r="E98" s="10" t="str">
        <x:v>逻辑校验</x:v>
      </x:c>
      <x:c r="F98" s="10" t="str">
        <x:v>P1</x:v>
      </x:c>
      <x:c r="G98" s="9" t="str">
        <x:v>验证礼物马来语名称必填</x:v>
      </x:c>
      <x:c r="H98" s="9" t="str">
        <x:v>礼物马来语名称校验</x:v>
      </x:c>
      <x:c r="I98" s="9" t="str">
        <x:v>1. 执行角色为平台管理员
2. 账号具有当前模块访问及本次操作权限
3. 其他字段和资源均有效</x:v>
      </x:c>
      <x:c r="J98" s="9" t="str">
        <x:v>1. 进入礼物详情页
2. 清空马来语名称
3. 点击保存</x:v>
      </x:c>
      <x:c r="K98" s="9" t="str">
        <x:v>不能保存缺少四语名称的配置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来源（当前证据）：liveshow-proto/MainBasis/统一需求文档.md；位置：REQ-d1989da16a8b；行3944
2. 规则：BR-3366303f721fbed1
3. 未动态验证</x:v>
      </x:c>
    </x:row>
    <x:row r="99" ht="85" customHeight="1">
      <x:c r="A99" s="10" t="n">
        <x:v>98</x:v>
      </x:c>
      <x:c r="B99" s="10" t="str">
        <x:v>ADMIN-06-0005</x:v>
      </x:c>
      <x:c r="C99" s="10" t="str">
        <x:v>礼物道具</x:v>
      </x:c>
      <x:c r="D99" s="10" t="str">
        <x:v>幸运礼物编辑（平台管理员视角）</x:v>
      </x:c>
      <x:c r="E99" s="10" t="str">
        <x:v>逻辑校验</x:v>
      </x:c>
      <x:c r="F99" s="10" t="str">
        <x:v>P1</x:v>
      </x:c>
      <x:c r="G99" s="9" t="str">
        <x:v>验证幸运礼物中文名称必填</x:v>
      </x:c>
      <x:c r="H99" s="9" t="str">
        <x:v>幸运礼物中文名称校验</x:v>
      </x:c>
      <x:c r="I99" s="9" t="str">
        <x:v>1. 执行角色为平台管理员
2. 账号具有当前模块访问及本次操作权限
3. 其他字段和资源均有效</x:v>
      </x:c>
      <x:c r="J99" s="9" t="str">
        <x:v>1. 进入幸运礼物编辑页
2. 清空中文名称
3. 点击保存</x:v>
      </x:c>
      <x:c r="K99" s="9" t="str">
        <x:v>不能保存缺少四语名称的配置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来源（当前证据）：liveshow-proto/MainBasis/统一需求文档.md；位置：REQ-bd189174454a；行4009
2. 规则：BR-ec5c903c72baaba5
3. 未动态验证</x:v>
      </x:c>
    </x:row>
    <x:row r="100" ht="85" customHeight="1">
      <x:c r="A100" s="10" t="n">
        <x:v>99</x:v>
      </x:c>
      <x:c r="B100" s="10" t="str">
        <x:v>ADMIN-06-0006</x:v>
      </x:c>
      <x:c r="C100" s="10" t="str">
        <x:v>礼物道具</x:v>
      </x:c>
      <x:c r="D100" s="10" t="str">
        <x:v>幸运礼物编辑（平台管理员视角）</x:v>
      </x:c>
      <x:c r="E100" s="10" t="str">
        <x:v>逻辑校验</x:v>
      </x:c>
      <x:c r="F100" s="10" t="str">
        <x:v>P1</x:v>
      </x:c>
      <x:c r="G100" s="9" t="str">
        <x:v>验证幸运礼物英语名称必填</x:v>
      </x:c>
      <x:c r="H100" s="9" t="str">
        <x:v>幸运礼物英语名称校验</x:v>
      </x:c>
      <x:c r="I100" s="9" t="str">
        <x:v>1. 执行角色为平台管理员
2. 账号具有当前模块访问及本次操作权限
3. 其他字段和资源均有效</x:v>
      </x:c>
      <x:c r="J100" s="9" t="str">
        <x:v>1. 进入幸运礼物编辑页
2. 清空英语名称
3. 点击保存</x:v>
      </x:c>
      <x:c r="K100" s="9" t="str">
        <x:v>不能保存缺少四语名称的配置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来源（当前证据）：liveshow-proto/MainBasis/统一需求文档.md；位置：REQ-bd189174454a；行4009
2. 规则：BR-c22ae1c308d8187d
3. 未动态验证</x:v>
      </x:c>
    </x:row>
    <x:row r="101" ht="85" customHeight="1">
      <x:c r="A101" s="10" t="n">
        <x:v>100</x:v>
      </x:c>
      <x:c r="B101" s="10" t="str">
        <x:v>ADMIN-06-0007</x:v>
      </x:c>
      <x:c r="C101" s="10" t="str">
        <x:v>礼物道具</x:v>
      </x:c>
      <x:c r="D101" s="10" t="str">
        <x:v>幸运礼物编辑（平台管理员视角）</x:v>
      </x:c>
      <x:c r="E101" s="10" t="str">
        <x:v>逻辑校验</x:v>
      </x:c>
      <x:c r="F101" s="10" t="str">
        <x:v>P1</x:v>
      </x:c>
      <x:c r="G101" s="9" t="str">
        <x:v>验证幸运礼物印尼语名称必填</x:v>
      </x:c>
      <x:c r="H101" s="9" t="str">
        <x:v>幸运礼物印尼语名称校验</x:v>
      </x:c>
      <x:c r="I101" s="9" t="str">
        <x:v>1. 执行角色为平台管理员
2. 账号具有当前模块访问及本次操作权限
3. 其他字段和资源均有效</x:v>
      </x:c>
      <x:c r="J101" s="9" t="str">
        <x:v>1. 进入幸运礼物编辑页
2. 清空印尼语名称
3. 点击保存</x:v>
      </x:c>
      <x:c r="K101" s="9" t="str">
        <x:v>不能保存缺少四语名称的配置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来源（当前证据）：liveshow-proto/MainBasis/统一需求文档.md；位置：REQ-bd189174454a；行4009
2. 规则：BR-41e851e66f472cc3
3. 未动态验证</x:v>
      </x:c>
    </x:row>
    <x:row r="102" ht="85" customHeight="1">
      <x:c r="A102" s="10" t="n">
        <x:v>101</x:v>
      </x:c>
      <x:c r="B102" s="10" t="str">
        <x:v>ADMIN-06-0008</x:v>
      </x:c>
      <x:c r="C102" s="10" t="str">
        <x:v>礼物道具</x:v>
      </x:c>
      <x:c r="D102" s="10" t="str">
        <x:v>幸运礼物编辑（平台管理员视角）</x:v>
      </x:c>
      <x:c r="E102" s="10" t="str">
        <x:v>逻辑校验</x:v>
      </x:c>
      <x:c r="F102" s="10" t="str">
        <x:v>P1</x:v>
      </x:c>
      <x:c r="G102" s="9" t="str">
        <x:v>验证幸运礼物马来语名称必填</x:v>
      </x:c>
      <x:c r="H102" s="9" t="str">
        <x:v>幸运礼物马来语名称校验</x:v>
      </x:c>
      <x:c r="I102" s="9" t="str">
        <x:v>1. 执行角色为平台管理员
2. 账号具有当前模块访问及本次操作权限
3. 其他字段和资源均有效</x:v>
      </x:c>
      <x:c r="J102" s="9" t="str">
        <x:v>1. 进入幸运礼物编辑页
2. 清空马来语名称
3. 点击保存</x:v>
      </x:c>
      <x:c r="K102" s="9" t="str">
        <x:v>不能保存缺少四语名称的配置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来源（当前证据）：liveshow-proto/MainBasis/统一需求文档.md；位置：REQ-bd189174454a；行4009
2. 规则：BR-cd5ab2006eaa23fb
3. 未动态验证</x:v>
      </x:c>
    </x:row>
    <x:row r="103" ht="85" customHeight="1">
      <x:c r="A103" s="10" t="n">
        <x:v>102</x:v>
      </x:c>
      <x:c r="B103" s="10" t="str">
        <x:v>ADMIN-06-0009</x:v>
      </x:c>
      <x:c r="C103" s="10" t="str">
        <x:v>礼物道具</x:v>
      </x:c>
      <x:c r="D103" s="10" t="str">
        <x:v>道具详情（平台管理员视角）</x:v>
      </x:c>
      <x:c r="E103" s="10" t="str">
        <x:v>逻辑校验</x:v>
      </x:c>
      <x:c r="F103" s="10" t="str">
        <x:v>P1</x:v>
      </x:c>
      <x:c r="G103" s="9" t="str">
        <x:v>验证道具中文名称必填</x:v>
      </x:c>
      <x:c r="H103" s="9" t="str">
        <x:v>道具中文名称校验</x:v>
      </x:c>
      <x:c r="I103" s="9" t="str">
        <x:v>1. 执行角色为平台管理员
2. 账号具有当前模块访问及本次操作权限
3. 其他字段和资源均有效</x:v>
      </x:c>
      <x:c r="J103" s="9" t="str">
        <x:v>1. 进入道具详情页
2. 清空中文名称
3. 点击保存</x:v>
      </x:c>
      <x:c r="K103" s="9" t="str">
        <x:v>不能保存缺少四语名称的配置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来源（当前证据）：liveshow-proto/MainBasis/统一需求文档.md；位置：REQ-5091e2b4f960；行4061
2. 规则：BR-d8b123165f2f6256
3. 未动态验证</x:v>
      </x:c>
    </x:row>
    <x:row r="104" ht="85" customHeight="1">
      <x:c r="A104" s="10" t="n">
        <x:v>103</x:v>
      </x:c>
      <x:c r="B104" s="10" t="str">
        <x:v>ADMIN-06-0010</x:v>
      </x:c>
      <x:c r="C104" s="10" t="str">
        <x:v>礼物道具</x:v>
      </x:c>
      <x:c r="D104" s="10" t="str">
        <x:v>道具详情（平台管理员视角）</x:v>
      </x:c>
      <x:c r="E104" s="10" t="str">
        <x:v>逻辑校验</x:v>
      </x:c>
      <x:c r="F104" s="10" t="str">
        <x:v>P1</x:v>
      </x:c>
      <x:c r="G104" s="9" t="str">
        <x:v>验证道具英语名称必填</x:v>
      </x:c>
      <x:c r="H104" s="9" t="str">
        <x:v>道具英语名称校验</x:v>
      </x:c>
      <x:c r="I104" s="9" t="str">
        <x:v>1. 执行角色为平台管理员
2. 账号具有当前模块访问及本次操作权限
3. 其他字段和资源均有效</x:v>
      </x:c>
      <x:c r="J104" s="9" t="str">
        <x:v>1. 进入道具详情页
2. 清空英语名称
3. 点击保存</x:v>
      </x:c>
      <x:c r="K104" s="9" t="str">
        <x:v>不能保存缺少四语名称的配置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来源（当前证据）：liveshow-proto/MainBasis/统一需求文档.md；位置：REQ-5091e2b4f960；行4061
2. 规则：BR-5976637fbf5656af
3. 未动态验证</x:v>
      </x:c>
    </x:row>
    <x:row r="105" ht="85" customHeight="1">
      <x:c r="A105" s="10" t="n">
        <x:v>104</x:v>
      </x:c>
      <x:c r="B105" s="10" t="str">
        <x:v>ADMIN-06-0011</x:v>
      </x:c>
      <x:c r="C105" s="10" t="str">
        <x:v>礼物道具</x:v>
      </x:c>
      <x:c r="D105" s="10" t="str">
        <x:v>道具详情（平台管理员视角）</x:v>
      </x:c>
      <x:c r="E105" s="10" t="str">
        <x:v>逻辑校验</x:v>
      </x:c>
      <x:c r="F105" s="10" t="str">
        <x:v>P1</x:v>
      </x:c>
      <x:c r="G105" s="9" t="str">
        <x:v>验证道具印尼语名称必填</x:v>
      </x:c>
      <x:c r="H105" s="9" t="str">
        <x:v>道具印尼语名称校验</x:v>
      </x:c>
      <x:c r="I105" s="9" t="str">
        <x:v>1. 执行角色为平台管理员
2. 账号具有当前模块访问及本次操作权限
3. 其他字段和资源均有效</x:v>
      </x:c>
      <x:c r="J105" s="9" t="str">
        <x:v>1. 进入道具详情页
2. 清空印尼语名称
3. 点击保存</x:v>
      </x:c>
      <x:c r="K105" s="9" t="str">
        <x:v>不能保存缺少四语名称的配置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来源（当前证据）：liveshow-proto/MainBasis/统一需求文档.md；位置：REQ-5091e2b4f960；行4061
2. 规则：BR-967a3638fde07954
3. 未动态验证</x:v>
      </x:c>
    </x:row>
    <x:row r="106" ht="85" customHeight="1">
      <x:c r="A106" s="10" t="n">
        <x:v>105</x:v>
      </x:c>
      <x:c r="B106" s="10" t="str">
        <x:v>ADMIN-06-0012</x:v>
      </x:c>
      <x:c r="C106" s="10" t="str">
        <x:v>礼物道具</x:v>
      </x:c>
      <x:c r="D106" s="10" t="str">
        <x:v>道具详情（平台管理员视角）</x:v>
      </x:c>
      <x:c r="E106" s="10" t="str">
        <x:v>逻辑校验</x:v>
      </x:c>
      <x:c r="F106" s="10" t="str">
        <x:v>P1</x:v>
      </x:c>
      <x:c r="G106" s="9" t="str">
        <x:v>验证道具马来语名称必填</x:v>
      </x:c>
      <x:c r="H106" s="9" t="str">
        <x:v>道具马来语名称校验</x:v>
      </x:c>
      <x:c r="I106" s="9" t="str">
        <x:v>1. 执行角色为平台管理员
2. 账号具有当前模块访问及本次操作权限
3. 其他字段和资源均有效</x:v>
      </x:c>
      <x:c r="J106" s="9" t="str">
        <x:v>1. 进入道具详情页
2. 清空马来语名称
3. 点击保存</x:v>
      </x:c>
      <x:c r="K106" s="9" t="str">
        <x:v>不能保存缺少四语名称的配置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来源（当前证据）：liveshow-proto/MainBasis/统一需求文档.md；位置：REQ-5091e2b4f960；行4061
2. 规则：BR-7a8a3ac62864d22b
3. 未动态验证</x:v>
      </x:c>
    </x:row>
    <x:row r="107" ht="85" customHeight="1">
      <x:c r="A107" s="10" t="n">
        <x:v>106</x:v>
      </x:c>
      <x:c r="B107" s="10" t="str">
        <x:v>ADMIN-06-0013</x:v>
      </x:c>
      <x:c r="C107" s="10" t="str">
        <x:v>礼物道具</x:v>
      </x:c>
      <x:c r="D107" s="10" t="str">
        <x:v>礼物详情（平台管理员视角）</x:v>
      </x:c>
      <x:c r="E107" s="10" t="str">
        <x:v>逻辑校验</x:v>
      </x:c>
      <x:c r="F107" s="10" t="str">
        <x:v>P1</x:v>
      </x:c>
      <x:c r="G107" s="9" t="str">
        <x:v>验证礼物单价值0不合法</x:v>
      </x:c>
      <x:c r="H107" s="9" t="str">
        <x:v>单价正整数限制</x:v>
      </x:c>
      <x:c r="I107" s="9" t="str">
        <x:v>1. 执行角色为平台管理员
2. 账号具有当前模块访问及本次操作权限
3. 其他字段均有效</x:v>
      </x:c>
      <x:c r="J107" s="9" t="str">
        <x:v>1. 进入礼物详情页
2. 填写单价为0
3. 点击保存</x:v>
      </x:c>
      <x:c r="K107" s="9" t="str">
        <x:v>不能保存单价为0的配置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来源（当前证据）：liveshow-proto/MainBasis/统一需求文档.md；位置：REQ-5606f2e794a3；行3948
2. 规则：BR-63e17f8dc6fe9e87
3. 未动态验证</x:v>
      </x:c>
    </x:row>
    <x:row r="108" ht="85" customHeight="1">
      <x:c r="A108" s="10" t="n">
        <x:v>107</x:v>
      </x:c>
      <x:c r="B108" s="10" t="str">
        <x:v>ADMIN-06-0014</x:v>
      </x:c>
      <x:c r="C108" s="10" t="str">
        <x:v>礼物道具</x:v>
      </x:c>
      <x:c r="D108" s="10" t="str">
        <x:v>礼物详情（平台管理员视角）</x:v>
      </x:c>
      <x:c r="E108" s="10" t="str">
        <x:v>逻辑校验</x:v>
      </x:c>
      <x:c r="F108" s="10" t="str">
        <x:v>P1</x:v>
      </x:c>
      <x:c r="G108" s="9" t="str">
        <x:v>验证礼物单价值-1不合法</x:v>
      </x:c>
      <x:c r="H108" s="9" t="str">
        <x:v>单价正整数限制</x:v>
      </x:c>
      <x:c r="I108" s="9" t="str">
        <x:v>1. 执行角色为平台管理员
2. 账号具有当前模块访问及本次操作权限
3. 其他字段均有效</x:v>
      </x:c>
      <x:c r="J108" s="9" t="str">
        <x:v>1. 进入礼物详情页
2. 填写单价为-1
3. 点击保存</x:v>
      </x:c>
      <x:c r="K108" s="9" t="str">
        <x:v>不能保存单价为-1的配置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来源（当前证据）：liveshow-proto/MainBasis/统一需求文档.md；位置：REQ-5606f2e794a3；行3948
2. 规则：BR-f6a4de0c6bd028dc
3. 未动态验证</x:v>
      </x:c>
    </x:row>
    <x:row r="109" ht="85" customHeight="1">
      <x:c r="A109" s="10" t="n">
        <x:v>108</x:v>
      </x:c>
      <x:c r="B109" s="10" t="str">
        <x:v>ADMIN-06-0015</x:v>
      </x:c>
      <x:c r="C109" s="10" t="str">
        <x:v>礼物道具</x:v>
      </x:c>
      <x:c r="D109" s="10" t="str">
        <x:v>礼物详情（平台管理员视角）</x:v>
      </x:c>
      <x:c r="E109" s="10" t="str">
        <x:v>逻辑校验</x:v>
      </x:c>
      <x:c r="F109" s="10" t="str">
        <x:v>P1</x:v>
      </x:c>
      <x:c r="G109" s="9" t="str">
        <x:v>验证礼物单价值1.5不合法</x:v>
      </x:c>
      <x:c r="H109" s="9" t="str">
        <x:v>单价正整数限制</x:v>
      </x:c>
      <x:c r="I109" s="9" t="str">
        <x:v>1. 执行角色为平台管理员
2. 账号具有当前模块访问及本次操作权限
3. 其他字段均有效</x:v>
      </x:c>
      <x:c r="J109" s="9" t="str">
        <x:v>1. 进入礼物详情页
2. 填写单价为1.5
3. 点击保存</x:v>
      </x:c>
      <x:c r="K109" s="9" t="str">
        <x:v>不能保存单价为1.5的配置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来源（当前证据）：liveshow-proto/MainBasis/统一需求文档.md；位置：REQ-5606f2e794a3；行3948
2. 规则：BR-252f73763e9c04e2
3. 未动态验证</x:v>
      </x:c>
    </x:row>
    <x:row r="110" ht="85" customHeight="1">
      <x:c r="A110" s="10" t="n">
        <x:v>109</x:v>
      </x:c>
      <x:c r="B110" s="10" t="str">
        <x:v>ADMIN-06-0016</x:v>
      </x:c>
      <x:c r="C110" s="10" t="str">
        <x:v>礼物道具</x:v>
      </x:c>
      <x:c r="D110" s="10" t="str">
        <x:v>道具详情（平台管理员视角）</x:v>
      </x:c>
      <x:c r="E110" s="10" t="str">
        <x:v>逻辑校验</x:v>
      </x:c>
      <x:c r="F110" s="10" t="str">
        <x:v>P1</x:v>
      </x:c>
      <x:c r="G110" s="9" t="str">
        <x:v>验证道具单价值0不合法</x:v>
      </x:c>
      <x:c r="H110" s="9" t="str">
        <x:v>单价正整数限制</x:v>
      </x:c>
      <x:c r="I110" s="9" t="str">
        <x:v>1. 执行角色为平台管理员
2. 账号具有当前模块访问及本次操作权限
3. 其他字段均有效</x:v>
      </x:c>
      <x:c r="J110" s="9" t="str">
        <x:v>1. 进入道具详情页
2. 填写单价为0
3. 点击保存</x:v>
      </x:c>
      <x:c r="K110" s="9" t="str">
        <x:v>不能保存单价为0的配置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来源（当前证据）：liveshow-proto/MainBasis/统一需求文档.md；位置：REQ-b10a3ffddb4e；行4065
2. 规则：BR-a660fe74634d58ab
3. 未动态验证</x:v>
      </x:c>
    </x:row>
    <x:row r="111" ht="85" customHeight="1">
      <x:c r="A111" s="10" t="n">
        <x:v>110</x:v>
      </x:c>
      <x:c r="B111" s="10" t="str">
        <x:v>ADMIN-06-0017</x:v>
      </x:c>
      <x:c r="C111" s="10" t="str">
        <x:v>礼物道具</x:v>
      </x:c>
      <x:c r="D111" s="10" t="str">
        <x:v>道具详情（平台管理员视角）</x:v>
      </x:c>
      <x:c r="E111" s="10" t="str">
        <x:v>逻辑校验</x:v>
      </x:c>
      <x:c r="F111" s="10" t="str">
        <x:v>P1</x:v>
      </x:c>
      <x:c r="G111" s="9" t="str">
        <x:v>验证道具单价值-1不合法</x:v>
      </x:c>
      <x:c r="H111" s="9" t="str">
        <x:v>单价正整数限制</x:v>
      </x:c>
      <x:c r="I111" s="9" t="str">
        <x:v>1. 执行角色为平台管理员
2. 账号具有当前模块访问及本次操作权限
3. 其他字段均有效</x:v>
      </x:c>
      <x:c r="J111" s="9" t="str">
        <x:v>1. 进入道具详情页
2. 填写单价为-1
3. 点击保存</x:v>
      </x:c>
      <x:c r="K111" s="9" t="str">
        <x:v>不能保存单价为-1的配置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来源（当前证据）：liveshow-proto/MainBasis/统一需求文档.md；位置：REQ-b10a3ffddb4e；行4065
2. 规则：BR-fd1807d0579efe0b
3. 未动态验证</x:v>
      </x:c>
    </x:row>
    <x:row r="112" ht="85" customHeight="1">
      <x:c r="A112" s="10" t="n">
        <x:v>111</x:v>
      </x:c>
      <x:c r="B112" s="10" t="str">
        <x:v>ADMIN-06-0018</x:v>
      </x:c>
      <x:c r="C112" s="10" t="str">
        <x:v>礼物道具</x:v>
      </x:c>
      <x:c r="D112" s="10" t="str">
        <x:v>道具详情（平台管理员视角）</x:v>
      </x:c>
      <x:c r="E112" s="10" t="str">
        <x:v>逻辑校验</x:v>
      </x:c>
      <x:c r="F112" s="10" t="str">
        <x:v>P1</x:v>
      </x:c>
      <x:c r="G112" s="9" t="str">
        <x:v>验证道具单价值1.5不合法</x:v>
      </x:c>
      <x:c r="H112" s="9" t="str">
        <x:v>单价正整数限制</x:v>
      </x:c>
      <x:c r="I112" s="9" t="str">
        <x:v>1. 执行角色为平台管理员
2. 账号具有当前模块访问及本次操作权限
3. 其他字段均有效</x:v>
      </x:c>
      <x:c r="J112" s="9" t="str">
        <x:v>1. 进入道具详情页
2. 填写单价为1.5
3. 点击保存</x:v>
      </x:c>
      <x:c r="K112" s="9" t="str">
        <x:v>不能保存单价为1.5的配置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来源（当前证据）：liveshow-proto/MainBasis/统一需求文档.md；位置：REQ-b10a3ffddb4e；行4065
2. 规则：BR-023788df098a62c6
3. 未动态验证</x:v>
      </x:c>
    </x:row>
    <x:row r="113" ht="85" customHeight="1">
      <x:c r="A113" s="10" t="n">
        <x:v>112</x:v>
      </x:c>
      <x:c r="B113" s="10" t="str">
        <x:v>ADMIN-06-0019</x:v>
      </x:c>
      <x:c r="C113" s="10" t="str">
        <x:v>礼物道具</x:v>
      </x:c>
      <x:c r="D113" s="10" t="str">
        <x:v>幸运礼物编辑（平台管理员视角）</x:v>
      </x:c>
      <x:c r="E113" s="10" t="str">
        <x:v>逻辑校验</x:v>
      </x:c>
      <x:c r="F113" s="10" t="str">
        <x:v>P1</x:v>
      </x:c>
      <x:c r="G113" s="9" t="str">
        <x:v>验证幸运礼物单次消耗值0不合法</x:v>
      </x:c>
      <x:c r="H113" s="9" t="str">
        <x:v>单次消耗正整数限制</x:v>
      </x:c>
      <x:c r="I113" s="9" t="str">
        <x:v>1. 执行角色为平台管理员
2. 账号具有当前模块访问及本次操作权限
3. 其他字段均有效</x:v>
      </x:c>
      <x:c r="J113" s="9" t="str">
        <x:v>1. 进入幸运礼物编辑页
2. 填写单次消耗为0
3. 点击保存</x:v>
      </x:c>
      <x:c r="K113" s="9" t="str">
        <x:v>不能保存单次消耗为0的配置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来源（当前证据）：liveshow-proto/MainBasis/统一需求文档.md；位置：REQ-34d0c9d5ca9c；行4011
2. 规则：BR-255b5c85595d5d1a
3. 未动态验证</x:v>
      </x:c>
    </x:row>
    <x:row r="114" ht="85" customHeight="1">
      <x:c r="A114" s="10" t="n">
        <x:v>113</x:v>
      </x:c>
      <x:c r="B114" s="10" t="str">
        <x:v>ADMIN-06-0020</x:v>
      </x:c>
      <x:c r="C114" s="10" t="str">
        <x:v>礼物道具</x:v>
      </x:c>
      <x:c r="D114" s="10" t="str">
        <x:v>幸运礼物编辑（平台管理员视角）</x:v>
      </x:c>
      <x:c r="E114" s="10" t="str">
        <x:v>逻辑校验</x:v>
      </x:c>
      <x:c r="F114" s="10" t="str">
        <x:v>P1</x:v>
      </x:c>
      <x:c r="G114" s="9" t="str">
        <x:v>验证幸运礼物单次消耗值-1不合法</x:v>
      </x:c>
      <x:c r="H114" s="9" t="str">
        <x:v>单次消耗正整数限制</x:v>
      </x:c>
      <x:c r="I114" s="9" t="str">
        <x:v>1. 执行角色为平台管理员
2. 账号具有当前模块访问及本次操作权限
3. 其他字段均有效</x:v>
      </x:c>
      <x:c r="J114" s="9" t="str">
        <x:v>1. 进入幸运礼物编辑页
2. 填写单次消耗为-1
3. 点击保存</x:v>
      </x:c>
      <x:c r="K114" s="9" t="str">
        <x:v>不能保存单次消耗为-1的配置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来源（当前证据）：liveshow-proto/MainBasis/统一需求文档.md；位置：REQ-34d0c9d5ca9c；行4011
2. 规则：BR-6a44a2d57d742c2e
3. 未动态验证</x:v>
      </x:c>
    </x:row>
    <x:row r="115" ht="85" customHeight="1">
      <x:c r="A115" s="10" t="n">
        <x:v>114</x:v>
      </x:c>
      <x:c r="B115" s="10" t="str">
        <x:v>ADMIN-06-0021</x:v>
      </x:c>
      <x:c r="C115" s="10" t="str">
        <x:v>礼物道具</x:v>
      </x:c>
      <x:c r="D115" s="10" t="str">
        <x:v>幸运礼物编辑（平台管理员视角）</x:v>
      </x:c>
      <x:c r="E115" s="10" t="str">
        <x:v>逻辑校验</x:v>
      </x:c>
      <x:c r="F115" s="10" t="str">
        <x:v>P1</x:v>
      </x:c>
      <x:c r="G115" s="9" t="str">
        <x:v>验证幸运礼物单次消耗值1.5不合法</x:v>
      </x:c>
      <x:c r="H115" s="9" t="str">
        <x:v>单次消耗正整数限制</x:v>
      </x:c>
      <x:c r="I115" s="9" t="str">
        <x:v>1. 执行角色为平台管理员
2. 账号具有当前模块访问及本次操作权限
3. 其他字段均有效</x:v>
      </x:c>
      <x:c r="J115" s="9" t="str">
        <x:v>1. 进入幸运礼物编辑页
2. 填写单次消耗为1.5
3. 点击保存</x:v>
      </x:c>
      <x:c r="K115" s="9" t="str">
        <x:v>不能保存单次消耗为1.5的配置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来源（当前证据）：liveshow-proto/MainBasis/统一需求文档.md；位置：REQ-34d0c9d5ca9c；行4011
2. 规则：BR-a5f3e51f62e291ff
3. 未动态验证</x:v>
      </x:c>
    </x:row>
    <x:row r="116" ht="85" customHeight="1">
      <x:c r="A116" s="10" t="n">
        <x:v>115</x:v>
      </x:c>
      <x:c r="B116" s="10" t="str">
        <x:v>ADMIN-06-0022</x:v>
      </x:c>
      <x:c r="C116" s="10" t="str">
        <x:v>礼物道具</x:v>
      </x:c>
      <x:c r="D116" s="10" t="str">
        <x:v>幸运礼物编辑（平台管理员视角）</x:v>
      </x:c>
      <x:c r="E116" s="10" t="str">
        <x:v>逻辑校验</x:v>
      </x:c>
      <x:c r="F116" s="10" t="str">
        <x:v>P1</x:v>
      </x:c>
      <x:c r="G116" s="9" t="str">
        <x:v>验证幸运礼物开奖次数值0不合法</x:v>
      </x:c>
      <x:c r="H116" s="9" t="str">
        <x:v>开奖次数正整数限制</x:v>
      </x:c>
      <x:c r="I116" s="9" t="str">
        <x:v>1. 执行角色为平台管理员
2. 账号具有当前模块访问及本次操作权限
3. 其他字段均有效</x:v>
      </x:c>
      <x:c r="J116" s="9" t="str">
        <x:v>1. 进入幸运礼物编辑页
2. 填写开奖次数为0
3. 点击保存</x:v>
      </x:c>
      <x:c r="K116" s="9" t="str">
        <x:v>不能保存开奖次数为0的配置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来源（当前证据）：liveshow-proto/MainBasis/统一需求文档.md；位置：REQ-1c1e2d37fe4b；行4013
2. 规则：BR-04a24f16c852b247
3. 未动态验证</x:v>
      </x:c>
    </x:row>
    <x:row r="117" ht="85" customHeight="1">
      <x:c r="A117" s="10" t="n">
        <x:v>116</x:v>
      </x:c>
      <x:c r="B117" s="10" t="str">
        <x:v>ADMIN-06-0023</x:v>
      </x:c>
      <x:c r="C117" s="10" t="str">
        <x:v>礼物道具</x:v>
      </x:c>
      <x:c r="D117" s="10" t="str">
        <x:v>幸运礼物编辑（平台管理员视角）</x:v>
      </x:c>
      <x:c r="E117" s="10" t="str">
        <x:v>逻辑校验</x:v>
      </x:c>
      <x:c r="F117" s="10" t="str">
        <x:v>P1</x:v>
      </x:c>
      <x:c r="G117" s="9" t="str">
        <x:v>验证幸运礼物开奖次数值-1不合法</x:v>
      </x:c>
      <x:c r="H117" s="9" t="str">
        <x:v>开奖次数正整数限制</x:v>
      </x:c>
      <x:c r="I117" s="9" t="str">
        <x:v>1. 执行角色为平台管理员
2. 账号具有当前模块访问及本次操作权限
3. 其他字段均有效</x:v>
      </x:c>
      <x:c r="J117" s="9" t="str">
        <x:v>1. 进入幸运礼物编辑页
2. 填写开奖次数为-1
3. 点击保存</x:v>
      </x:c>
      <x:c r="K117" s="9" t="str">
        <x:v>不能保存开奖次数为-1的配置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来源（当前证据）：liveshow-proto/MainBasis/统一需求文档.md；位置：REQ-1c1e2d37fe4b；行4013
2. 规则：BR-9190de5522af2968
3. 未动态验证</x:v>
      </x:c>
    </x:row>
    <x:row r="118" ht="85" customHeight="1">
      <x:c r="A118" s="10" t="n">
        <x:v>117</x:v>
      </x:c>
      <x:c r="B118" s="10" t="str">
        <x:v>ADMIN-06-0024</x:v>
      </x:c>
      <x:c r="C118" s="10" t="str">
        <x:v>礼物道具</x:v>
      </x:c>
      <x:c r="D118" s="10" t="str">
        <x:v>幸运礼物编辑（平台管理员视角）</x:v>
      </x:c>
      <x:c r="E118" s="10" t="str">
        <x:v>逻辑校验</x:v>
      </x:c>
      <x:c r="F118" s="10" t="str">
        <x:v>P1</x:v>
      </x:c>
      <x:c r="G118" s="9" t="str">
        <x:v>验证幸运礼物开奖次数值1.5不合法</x:v>
      </x:c>
      <x:c r="H118" s="9" t="str">
        <x:v>开奖次数正整数限制</x:v>
      </x:c>
      <x:c r="I118" s="9" t="str">
        <x:v>1. 执行角色为平台管理员
2. 账号具有当前模块访问及本次操作权限
3. 其他字段均有效</x:v>
      </x:c>
      <x:c r="J118" s="9" t="str">
        <x:v>1. 进入幸运礼物编辑页
2. 填写开奖次数为1.5
3. 点击保存</x:v>
      </x:c>
      <x:c r="K118" s="9" t="str">
        <x:v>不能保存开奖次数为1.5的配置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来源（当前证据）：liveshow-proto/MainBasis/统一需求文档.md；位置：REQ-1c1e2d37fe4b；行4013
2. 规则：BR-481eced8bbcfca09
3. 未动态验证</x:v>
      </x:c>
    </x:row>
    <x:row r="119" ht="85" customHeight="1">
      <x:c r="A119" s="10" t="n">
        <x:v>118</x:v>
      </x:c>
      <x:c r="B119" s="10" t="str">
        <x:v>ADMIN-06-0025</x:v>
      </x:c>
      <x:c r="C119" s="10" t="str">
        <x:v>礼物道具</x:v>
      </x:c>
      <x:c r="D119" s="10" t="str">
        <x:v>礼物详情（平台管理员视角）</x:v>
      </x:c>
      <x:c r="E119" s="10" t="str">
        <x:v>逻辑校验</x:v>
      </x:c>
      <x:c r="F119" s="10" t="str">
        <x:v>P1</x:v>
      </x:c>
      <x:c r="G119" s="9" t="str">
        <x:v>验证删除礼物必填图标后不能保存</x:v>
      </x:c>
      <x:c r="H119" s="9" t="str">
        <x:v>礼物必填图标删除校验</x:v>
      </x:c>
      <x:c r="I119" s="9" t="str">
        <x:v>1. 执行角色为平台管理员
2. 账号具有当前模块访问及本次操作权限
3. 编辑有效礼物</x:v>
      </x:c>
      <x:c r="J119" s="9" t="str">
        <x:v>1. 进入礼物详情页
2. 删除图标
3. 点击保存</x:v>
      </x:c>
      <x:c r="K119" s="9" t="str">
        <x:v>不能保存缺少图标的礼物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来源（当前证据）：liveshow-proto/MainBasis/统一需求文档.md；位置：REQ-6a104f27fd6b；行3946
2. 规则：BR-f1ac5568b8bc4ab1
3. 未动态验证</x:v>
      </x:c>
    </x:row>
    <x:row r="120" ht="85" customHeight="1">
      <x:c r="A120" s="10" t="n">
        <x:v>119</x:v>
      </x:c>
      <x:c r="B120" s="10" t="str">
        <x:v>ADMIN-06-0026</x:v>
      </x:c>
      <x:c r="C120" s="10" t="str">
        <x:v>礼物道具</x:v>
      </x:c>
      <x:c r="D120" s="10" t="str">
        <x:v>礼物详情（平台管理员视角）</x:v>
      </x:c>
      <x:c r="E120" s="10" t="str">
        <x:v>逻辑校验</x:v>
      </x:c>
      <x:c r="F120" s="10" t="str">
        <x:v>P1</x:v>
      </x:c>
      <x:c r="G120" s="9" t="str">
        <x:v>验证已有礼物ID不可修改</x:v>
      </x:c>
      <x:c r="H120" s="9" t="str">
        <x:v>礼物ID编辑只读</x:v>
      </x:c>
      <x:c r="I120" s="9" t="str">
        <x:v>1. 执行角色为平台管理员
2. 账号具有当前模块访问及本次操作权限
3. 当前礼物ID为G001</x:v>
      </x:c>
      <x:c r="J120" s="9" t="str">
        <x:v>1. 进入礼物详情页</x:v>
      </x:c>
      <x:c r="K120" s="9" t="str">
        <x:v>礼物ID不可编辑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来源（当前证据）：liveshow-proto/MainBasis/统一需求文档.md；位置：REQ-11918d0ffd1c；行3942
2. 规则：BR-47927c4f204a48ec
3. 未动态验证</x:v>
      </x:c>
    </x:row>
    <x:row r="121" ht="100" customHeight="1">
      <x:c r="A121" s="10" t="n">
        <x:v>120</x:v>
      </x:c>
      <x:c r="B121" s="10" t="str">
        <x:v>ADMIN-06-0027</x:v>
      </x:c>
      <x:c r="C121" s="10" t="str">
        <x:v>礼物道具</x:v>
      </x:c>
      <x:c r="D121" s="10" t="str">
        <x:v>礼物详情（平台管理员视角）</x:v>
      </x:c>
      <x:c r="E121" s="10" t="str">
        <x:v>业务流程</x:v>
      </x:c>
      <x:c r="F121" s="10" t="str">
        <x:v>P0</x:v>
      </x:c>
      <x:c r="G121" s="9" t="str">
        <x:v>验证保存有效普通礼物配置</x:v>
      </x:c>
      <x:c r="H121" s="9" t="str">
        <x:v>普通礼物价格保存</x:v>
      </x:c>
      <x:c r="I121" s="9" t="str">
        <x:v>1. 执行角色为平台管理员
2. 账号具有当前模块访问及本次操作权限
3. 全部必填资源和四语已填，单价10，排序1</x:v>
      </x:c>
      <x:c r="J121" s="9" t="str">
        <x:v>1. 进入礼物详情页
2. 填写单价为11
3. 点击保存
4. 刷新当前礼物详情</x:v>
      </x:c>
      <x:c r="K121" s="9" t="str">
        <x:v>单价显示11金币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来源（当前证据）：liveshow-proto/MainBasis/统一需求文档.md；位置：REQ-999b54a8fa06；行3958、REQ-5606f2e794a3；行3948
2. 规则：BR-d45fdfeebe6fc2fd
3. 未动态验证</x:v>
      </x:c>
    </x:row>
    <x:row r="122" ht="85" customHeight="1">
      <x:c r="A122" s="10" t="n">
        <x:v>121</x:v>
      </x:c>
      <x:c r="B122" s="10" t="str">
        <x:v>ADMIN-06-0028</x:v>
      </x:c>
      <x:c r="C122" s="10" t="str">
        <x:v>礼物道具</x:v>
      </x:c>
      <x:c r="D122" s="10" t="str">
        <x:v>普通礼物（平台管理员视角）</x:v>
      </x:c>
      <x:c r="E122" s="10" t="str">
        <x:v>功能需求</x:v>
      </x:c>
      <x:c r="F122" s="10" t="str">
        <x:v>P2</x:v>
      </x:c>
      <x:c r="G122" s="9" t="str">
        <x:v>验证礼物权重越大排序越前</x:v>
      </x:c>
      <x:c r="H122" s="9" t="str">
        <x:v>普通礼物排序权重</x:v>
      </x:c>
      <x:c r="I122" s="9" t="str">
        <x:v>1. 执行角色为平台管理员
2. 账号具有当前模块访问及本次操作权限
3. 礼物A权重1、B权重2</x:v>
      </x:c>
      <x:c r="J122" s="9" t="str">
        <x:v>1. 进入普通礼物页</x:v>
      </x:c>
      <x:c r="K122" s="9" t="str">
        <x:v>B排列在A之前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来源（当前证据）：liveshow-proto/MainBasis/统一需求文档.md；位置：REQ-83ed78759892；行3929
2. 规则：BR-6af2b8f4e9770a23
3. 未动态验证</x:v>
      </x:c>
    </x:row>
    <x:row r="123" ht="85" customHeight="1">
      <x:c r="A123" s="10" t="n">
        <x:v>122</x:v>
      </x:c>
      <x:c r="B123" s="10" t="str">
        <x:v>ADMIN-06-0029</x:v>
      </x:c>
      <x:c r="C123" s="10" t="str">
        <x:v>礼物道具</x:v>
      </x:c>
      <x:c r="D123" s="10" t="str">
        <x:v>礼物详情（平台管理员视角）</x:v>
      </x:c>
      <x:c r="E123" s="10" t="str">
        <x:v>逻辑校验</x:v>
      </x:c>
      <x:c r="F123" s="10" t="str">
        <x:v>P1</x:v>
      </x:c>
      <x:c r="G123" s="9" t="str">
        <x:v>验证定制礼物失效时间10:00校验</x:v>
      </x:c>
      <x:c r="H123" s="9" t="str">
        <x:v>定制礼物时间范围</x:v>
      </x:c>
      <x:c r="I123" s="9" t="str">
        <x:v>1. 执行角色为平台管理员
2. 账号具有当前模块访问及本次操作权限
3. 定制礼物其他字段有效，同日生效10:00</x:v>
      </x:c>
      <x:c r="J123" s="9" t="str">
        <x:v>1. 进入礼物详情页
2. 填写失效时间为同日10:00
3. 点击保存</x:v>
      </x:c>
      <x:c r="K123" s="9" t="str">
        <x:v>不能保存失效时间等于生效时间的配置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来源（当前证据）：liveshow-proto/MainBasis/统一需求文档.md；位置：REQ-8104e086ef2d；行3952
2. 规则：BR-cfaf7fff56263db7
3. 未动态验证</x:v>
      </x:c>
    </x:row>
    <x:row r="124" ht="85" customHeight="1">
      <x:c r="A124" s="10" t="n">
        <x:v>123</x:v>
      </x:c>
      <x:c r="B124" s="10" t="str">
        <x:v>ADMIN-06-0030</x:v>
      </x:c>
      <x:c r="C124" s="10" t="str">
        <x:v>礼物道具</x:v>
      </x:c>
      <x:c r="D124" s="10" t="str">
        <x:v>礼物详情（平台管理员视角）</x:v>
      </x:c>
      <x:c r="E124" s="10" t="str">
        <x:v>逻辑校验</x:v>
      </x:c>
      <x:c r="F124" s="10" t="str">
        <x:v>P1</x:v>
      </x:c>
      <x:c r="G124" s="9" t="str">
        <x:v>验证定制礼物失效时间09:59校验</x:v>
      </x:c>
      <x:c r="H124" s="9" t="str">
        <x:v>定制礼物时间范围</x:v>
      </x:c>
      <x:c r="I124" s="9" t="str">
        <x:v>1. 执行角色为平台管理员
2. 账号具有当前模块访问及本次操作权限
3. 定制礼物其他字段有效，同日生效10:00</x:v>
      </x:c>
      <x:c r="J124" s="9" t="str">
        <x:v>1. 进入礼物详情页
2. 填写失效时间为同日09:59
3. 点击保存</x:v>
      </x:c>
      <x:c r="K124" s="9" t="str">
        <x:v>不能保存失效早于生效的配置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来源（当前证据）：liveshow-proto/MainBasis/统一需求文档.md；位置：REQ-8104e086ef2d；行3952
2. 规则：BR-095097c2bc237da2
3. 未动态验证</x:v>
      </x:c>
    </x:row>
    <x:row r="125" ht="85" customHeight="1">
      <x:c r="A125" s="10" t="n">
        <x:v>124</x:v>
      </x:c>
      <x:c r="B125" s="10" t="str">
        <x:v>ADMIN-06-0031</x:v>
      </x:c>
      <x:c r="C125" s="10" t="str">
        <x:v>礼物道具</x:v>
      </x:c>
      <x:c r="D125" s="10" t="str">
        <x:v>定制礼物（平台管理员视角）</x:v>
      </x:c>
      <x:c r="E125" s="10" t="str">
        <x:v>逻辑校验</x:v>
      </x:c>
      <x:c r="F125" s="10" t="str">
        <x:v>P1</x:v>
      </x:c>
      <x:c r="G125" s="9" t="str">
        <x:v>验证定制礼物排期时刻09:59</x:v>
      </x:c>
      <x:c r="H125" s="9" t="str">
        <x:v>定制礼物自动排期状态</x:v>
      </x:c>
      <x:c r="I125" s="9" t="str">
        <x:v>1. 执行角色为平台管理员
2. 账号具有当前模块访问及本次操作权限
3. 生效10:00，失效11:00，测试时钟09:59，未提前下架</x:v>
      </x:c>
      <x:c r="J125" s="9" t="str">
        <x:v>1. 进入定制礼物页</x:v>
      </x:c>
      <x:c r="K125" s="9" t="str">
        <x:v>礼物状态为未生效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来源（当前证据）：liveshow-proto/MainBasis/统一需求文档.md；位置：REQ-d9a4354e134a；行3971
2. 规则：BR-8eb1dfdec8ae00ee
3. 未动态验证</x:v>
      </x:c>
    </x:row>
    <x:row r="126" ht="85" customHeight="1">
      <x:c r="A126" s="10" t="n">
        <x:v>125</x:v>
      </x:c>
      <x:c r="B126" s="10" t="str">
        <x:v>ADMIN-06-0032</x:v>
      </x:c>
      <x:c r="C126" s="10" t="str">
        <x:v>礼物道具</x:v>
      </x:c>
      <x:c r="D126" s="10" t="str">
        <x:v>定制礼物（平台管理员视角）</x:v>
      </x:c>
      <x:c r="E126" s="10" t="str">
        <x:v>逻辑校验</x:v>
      </x:c>
      <x:c r="F126" s="10" t="str">
        <x:v>P1</x:v>
      </x:c>
      <x:c r="G126" s="9" t="str">
        <x:v>验证定制礼物排期时刻10:00</x:v>
      </x:c>
      <x:c r="H126" s="9" t="str">
        <x:v>定制礼物自动排期状态</x:v>
      </x:c>
      <x:c r="I126" s="9" t="str">
        <x:v>1. 执行角色为平台管理员
2. 账号具有当前模块访问及本次操作权限
3. 生效10:00，失效11:00，测试时钟10:00，未提前下架</x:v>
      </x:c>
      <x:c r="J126" s="9" t="str">
        <x:v>1. 进入定制礼物页</x:v>
      </x:c>
      <x:c r="K126" s="9" t="str">
        <x:v>礼物状态为上架中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来源（当前证据）：liveshow-proto/MainBasis/统一需求文档.md；位置：REQ-d9a4354e134a；行3971
2. 规则：BR-ed793a4308a499d6
3. 未动态验证</x:v>
      </x:c>
    </x:row>
    <x:row r="127" ht="85" customHeight="1">
      <x:c r="A127" s="10" t="n">
        <x:v>126</x:v>
      </x:c>
      <x:c r="B127" s="10" t="str">
        <x:v>ADMIN-06-0033</x:v>
      </x:c>
      <x:c r="C127" s="10" t="str">
        <x:v>礼物道具</x:v>
      </x:c>
      <x:c r="D127" s="10" t="str">
        <x:v>定制礼物（平台管理员视角）</x:v>
      </x:c>
      <x:c r="E127" s="10" t="str">
        <x:v>逻辑校验</x:v>
      </x:c>
      <x:c r="F127" s="10" t="str">
        <x:v>P1</x:v>
      </x:c>
      <x:c r="G127" s="9" t="str">
        <x:v>验证定制礼物排期时刻11:00</x:v>
      </x:c>
      <x:c r="H127" s="9" t="str">
        <x:v>定制礼物自动排期状态</x:v>
      </x:c>
      <x:c r="I127" s="9" t="str">
        <x:v>1. 执行角色为平台管理员
2. 账号具有当前模块访问及本次操作权限
3. 生效10:00，失效11:00，测试时钟11:00，未提前下架</x:v>
      </x:c>
      <x:c r="J127" s="9" t="str">
        <x:v>1. 进入定制礼物页</x:v>
      </x:c>
      <x:c r="K127" s="9" t="str">
        <x:v>礼物状态为已下架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来源（当前证据）：liveshow-proto/MainBasis/统一需求文档.md；位置：REQ-d9a4354e134a；行3971
2. 规则：BR-e82cf85912f66890
3. 未动态验证</x:v>
      </x:c>
    </x:row>
    <x:row r="128" ht="85" customHeight="1">
      <x:c r="A128" s="10" t="n">
        <x:v>127</x:v>
      </x:c>
      <x:c r="B128" s="10" t="str">
        <x:v>ADMIN-06-0034</x:v>
      </x:c>
      <x:c r="C128" s="10" t="str">
        <x:v>礼物道具</x:v>
      </x:c>
      <x:c r="D128" s="10" t="str">
        <x:v>定制礼物（平台管理员视角）</x:v>
      </x:c>
      <x:c r="E128" s="10" t="str">
        <x:v>逻辑校验</x:v>
      </x:c>
      <x:c r="F128" s="10" t="str">
        <x:v>P1</x:v>
      </x:c>
      <x:c r="G128" s="9" t="str">
        <x:v>验证定制礼物提前下架不被排期恢复</x:v>
      </x:c>
      <x:c r="H128" s="9" t="str">
        <x:v>定制礼物手动下架优先</x:v>
      </x:c>
      <x:c r="I128" s="9" t="str">
        <x:v>1. 执行角色为平台管理员
2. 账号具有当前模块访问及本次操作权限
3. 礼物已经提前下架，当前处于原排期内</x:v>
      </x:c>
      <x:c r="J128" s="9" t="str">
        <x:v>1. 进入定制礼物页</x:v>
      </x:c>
      <x:c r="K128" s="9" t="str">
        <x:v>礼物状态仍为已下架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来源（当前证据）：liveshow-proto/MainBasis/统一需求文档.md；位置：REQ-d49d62c3629e；行3969
2. 规则：BR-4c8b1c13a01ec057
3. 未动态验证</x:v>
      </x:c>
    </x:row>
    <x:row r="129" ht="100" customHeight="1">
      <x:c r="A129" s="10" t="n">
        <x:v>128</x:v>
      </x:c>
      <x:c r="B129" s="10" t="str">
        <x:v>ADMIN-06-0035</x:v>
      </x:c>
      <x:c r="C129" s="10" t="str">
        <x:v>礼物道具</x:v>
      </x:c>
      <x:c r="D129" s="10" t="str">
        <x:v>幸运礼物（平台管理员视角）</x:v>
      </x:c>
      <x:c r="E129" s="10" t="str">
        <x:v>逻辑校验</x:v>
      </x:c>
      <x:c r="F129" s="10" t="str">
        <x:v>P1</x:v>
      </x:c>
      <x:c r="G129" s="9" t="str">
        <x:v>验证幸运收益比例-1越界</x:v>
      </x:c>
      <x:c r="H129" s="9" t="str">
        <x:v>幸运礼物收益比例范围</x:v>
      </x:c>
      <x:c r="I129" s="9" t="str">
        <x:v>1. 执行角色为平台管理员
2. 账号具有当前模块访问及本次操作权限</x:v>
      </x:c>
      <x:c r="J129" s="9" t="str">
        <x:v>1. 进入幸运礼物页
2. 点击编辑
3. 填写幸运礼物收益比例为-1
4. 点击保存</x:v>
      </x:c>
      <x:c r="K129" s="9" t="str">
        <x:v>不能保存超出0%至100%的比例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来源（当前证据）：liveshow-proto/MainBasis/统一需求文档.md；位置：REQ-2d44490902b2；行3980、REQ-e6f55f39eb06；行4000
2. 规则：BR-4d6d58e6e281c869
3. 未动态验证</x:v>
      </x:c>
    </x:row>
    <x:row r="130" ht="100" customHeight="1">
      <x:c r="A130" s="10" t="n">
        <x:v>129</x:v>
      </x:c>
      <x:c r="B130" s="10" t="str">
        <x:v>ADMIN-06-0036</x:v>
      </x:c>
      <x:c r="C130" s="10" t="str">
        <x:v>礼物道具</x:v>
      </x:c>
      <x:c r="D130" s="10" t="str">
        <x:v>幸运礼物（平台管理员视角）</x:v>
      </x:c>
      <x:c r="E130" s="10" t="str">
        <x:v>逻辑校验</x:v>
      </x:c>
      <x:c r="F130" s="10" t="str">
        <x:v>P1</x:v>
      </x:c>
      <x:c r="G130" s="9" t="str">
        <x:v>验证幸运收益比例101越界</x:v>
      </x:c>
      <x:c r="H130" s="9" t="str">
        <x:v>幸运礼物收益比例范围</x:v>
      </x:c>
      <x:c r="I130" s="9" t="str">
        <x:v>1. 执行角色为平台管理员
2. 账号具有当前模块访问及本次操作权限</x:v>
      </x:c>
      <x:c r="J130" s="9" t="str">
        <x:v>1. 进入幸运礼物页
2. 点击编辑
3. 填写幸运礼物收益比例为101
4. 点击保存</x:v>
      </x:c>
      <x:c r="K130" s="9" t="str">
        <x:v>不能保存超出0%至100%的比例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来源（当前证据）：liveshow-proto/MainBasis/统一需求文档.md；位置：REQ-2d44490902b2；行3980、REQ-e6f55f39eb06；行4000
2. 规则：BR-e4a7f4f985809f78
3. 未动态验证</x:v>
      </x:c>
    </x:row>
    <x:row r="131" ht="100" customHeight="1">
      <x:c r="A131" s="10" t="n">
        <x:v>130</x:v>
      </x:c>
      <x:c r="B131" s="10" t="str">
        <x:v>ADMIN-06-0037</x:v>
      </x:c>
      <x:c r="C131" s="10" t="str">
        <x:v>礼物道具</x:v>
      </x:c>
      <x:c r="D131" s="10" t="str">
        <x:v>幸运礼物（平台管理员视角）</x:v>
      </x:c>
      <x:c r="E131" s="10" t="str">
        <x:v>逻辑校验</x:v>
      </x:c>
      <x:c r="F131" s="10" t="str">
        <x:v>P1</x:v>
      </x:c>
      <x:c r="G131" s="9" t="str">
        <x:v>验证幸运收益比例边界0</x:v>
      </x:c>
      <x:c r="H131" s="9" t="str">
        <x:v>幸运礼物收益比例合法值</x:v>
      </x:c>
      <x:c r="I131" s="9" t="str">
        <x:v>1. 执行角色为平台管理员
2. 账号具有当前模块访问及本次操作权限</x:v>
      </x:c>
      <x:c r="J131" s="9" t="str">
        <x:v>1. 进入幸运礼物页
2. 点击编辑
3. 填写幸运礼物收益比例为0
4. 点击保存</x:v>
      </x:c>
      <x:c r="K131" s="9" t="str">
        <x:v>收益比例显示0%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来源（当前证据）：liveshow-proto/MainBasis/统一需求文档.md；位置：REQ-2d44490902b2；行3980、REQ-e6f55f39eb06；行4000
2. 规则：BR-a76fcb8f1821fd47
3. 未动态验证</x:v>
      </x:c>
    </x:row>
    <x:row r="132" ht="100" customHeight="1">
      <x:c r="A132" s="10" t="n">
        <x:v>131</x:v>
      </x:c>
      <x:c r="B132" s="10" t="str">
        <x:v>ADMIN-06-0038</x:v>
      </x:c>
      <x:c r="C132" s="10" t="str">
        <x:v>礼物道具</x:v>
      </x:c>
      <x:c r="D132" s="10" t="str">
        <x:v>幸运礼物（平台管理员视角）</x:v>
      </x:c>
      <x:c r="E132" s="10" t="str">
        <x:v>逻辑校验</x:v>
      </x:c>
      <x:c r="F132" s="10" t="str">
        <x:v>P1</x:v>
      </x:c>
      <x:c r="G132" s="9" t="str">
        <x:v>验证幸运收益比例边界1</x:v>
      </x:c>
      <x:c r="H132" s="9" t="str">
        <x:v>幸运礼物收益比例合法值</x:v>
      </x:c>
      <x:c r="I132" s="9" t="str">
        <x:v>1. 执行角色为平台管理员
2. 账号具有当前模块访问及本次操作权限</x:v>
      </x:c>
      <x:c r="J132" s="9" t="str">
        <x:v>1. 进入幸运礼物页
2. 点击编辑
3. 填写幸运礼物收益比例为1
4. 点击保存</x:v>
      </x:c>
      <x:c r="K132" s="9" t="str">
        <x:v>收益比例显示1%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来源（当前证据）：liveshow-proto/MainBasis/统一需求文档.md；位置：REQ-2d44490902b2；行3980、REQ-e6f55f39eb06；行4000
2. 规则：BR-4cac24af03092085
3. 未动态验证</x:v>
      </x:c>
    </x:row>
    <x:row r="133" ht="100" customHeight="1">
      <x:c r="A133" s="10" t="n">
        <x:v>132</x:v>
      </x:c>
      <x:c r="B133" s="10" t="str">
        <x:v>ADMIN-06-0039</x:v>
      </x:c>
      <x:c r="C133" s="10" t="str">
        <x:v>礼物道具</x:v>
      </x:c>
      <x:c r="D133" s="10" t="str">
        <x:v>幸运礼物（平台管理员视角）</x:v>
      </x:c>
      <x:c r="E133" s="10" t="str">
        <x:v>逻辑校验</x:v>
      </x:c>
      <x:c r="F133" s="10" t="str">
        <x:v>P1</x:v>
      </x:c>
      <x:c r="G133" s="9" t="str">
        <x:v>验证幸运收益比例边界100</x:v>
      </x:c>
      <x:c r="H133" s="9" t="str">
        <x:v>幸运礼物收益比例合法值</x:v>
      </x:c>
      <x:c r="I133" s="9" t="str">
        <x:v>1. 执行角色为平台管理员
2. 账号具有当前模块访问及本次操作权限</x:v>
      </x:c>
      <x:c r="J133" s="9" t="str">
        <x:v>1. 进入幸运礼物页
2. 点击编辑
3. 填写幸运礼物收益比例为100
4. 点击保存</x:v>
      </x:c>
      <x:c r="K133" s="9" t="str">
        <x:v>收益比例显示100%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来源（当前证据）：liveshow-proto/MainBasis/统一需求文档.md；位置：REQ-2d44490902b2；行3980、REQ-e6f55f39eb06；行4000
2. 规则：BR-7f78932988aefb55
3. 未动态验证</x:v>
      </x:c>
    </x:row>
    <x:row r="134" ht="85" customHeight="1">
      <x:c r="A134" s="10" t="n">
        <x:v>133</x:v>
      </x:c>
      <x:c r="B134" s="10" t="str">
        <x:v>ADMIN-06-0040</x:v>
      </x:c>
      <x:c r="C134" s="10" t="str">
        <x:v>礼物道具</x:v>
      </x:c>
      <x:c r="D134" s="10" t="str">
        <x:v>幸运礼物编辑（平台管理员视角）</x:v>
      </x:c>
      <x:c r="E134" s="10" t="str">
        <x:v>逻辑校验</x:v>
      </x:c>
      <x:c r="F134" s="10" t="str">
        <x:v>P1</x:v>
      </x:c>
      <x:c r="G134" s="9" t="str">
        <x:v>验证幸运礼物单价包含全部开奖次数</x:v>
      </x:c>
      <x:c r="H134" s="9" t="str">
        <x:v>幸运礼物总价公式</x:v>
      </x:c>
      <x:c r="I134" s="9" t="str">
        <x:v>1. 执行角色为平台管理员
2. 账号具有当前模块访问及本次操作权限
3. 其他字段有效</x:v>
      </x:c>
      <x:c r="J134" s="9" t="str">
        <x:v>1. 进入幸运礼物编辑页
2. 填写单次消耗为10
3. 填写开奖次数为100</x:v>
      </x:c>
      <x:c r="K134" s="9" t="str">
        <x:v>礼物单价 = 1000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来源（当前证据）：liveshow-proto/MainBasis/统一需求文档.md；位置：REQ-1c1e2d37fe4b；行4013
2. 规则：BR-87a5c17881f02ea6
3. 未动态验证</x:v>
      </x:c>
    </x:row>
    <x:row r="135" ht="85" customHeight="1">
      <x:c r="A135" s="10" t="n">
        <x:v>134</x:v>
      </x:c>
      <x:c r="B135" s="10" t="str">
        <x:v>ADMIN-06-0041</x:v>
      </x:c>
      <x:c r="C135" s="10" t="str">
        <x:v>礼物道具</x:v>
      </x:c>
      <x:c r="D135" s="10" t="str">
        <x:v>幸运礼物编辑（平台管理员视角）</x:v>
      </x:c>
      <x:c r="E135" s="10" t="str">
        <x:v>逻辑校验</x:v>
      </x:c>
      <x:c r="F135" s="10" t="str">
        <x:v>P1</x:v>
      </x:c>
      <x:c r="G135" s="9" t="str">
        <x:v>验证奖励金币-1不合法</x:v>
      </x:c>
      <x:c r="H135" s="9" t="str">
        <x:v>幸运奖励金额校验</x:v>
      </x:c>
      <x:c r="I135" s="9" t="str">
        <x:v>1. 执行角色为平台管理员
2. 账号具有当前模块访问及本次操作权限
3. 其他配置有效</x:v>
      </x:c>
      <x:c r="J135" s="9" t="str">
        <x:v>1. 进入幸运礼物编辑页
2. 填写奖励金币为-1
3. 点击保存</x:v>
      </x:c>
      <x:c r="K135" s="9" t="str">
        <x:v>不能保存非负整数以外的奖励金币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来源（当前证据）：liveshow-proto/MainBasis/统一需求文档.md；位置：REQ-22388921c69d；行4015
2. 规则：BR-0c3f790feee856da
3. 未动态验证</x:v>
      </x:c>
    </x:row>
    <x:row r="136" ht="85" customHeight="1">
      <x:c r="A136" s="10" t="n">
        <x:v>135</x:v>
      </x:c>
      <x:c r="B136" s="10" t="str">
        <x:v>ADMIN-06-0042</x:v>
      </x:c>
      <x:c r="C136" s="10" t="str">
        <x:v>礼物道具</x:v>
      </x:c>
      <x:c r="D136" s="10" t="str">
        <x:v>幸运礼物编辑（平台管理员视角）</x:v>
      </x:c>
      <x:c r="E136" s="10" t="str">
        <x:v>逻辑校验</x:v>
      </x:c>
      <x:c r="F136" s="10" t="str">
        <x:v>P1</x:v>
      </x:c>
      <x:c r="G136" s="9" t="str">
        <x:v>验证奖励金币1.5不合法</x:v>
      </x:c>
      <x:c r="H136" s="9" t="str">
        <x:v>幸运奖励金额校验</x:v>
      </x:c>
      <x:c r="I136" s="9" t="str">
        <x:v>1. 执行角色为平台管理员
2. 账号具有当前模块访问及本次操作权限
3. 其他配置有效</x:v>
      </x:c>
      <x:c r="J136" s="9" t="str">
        <x:v>1. 进入幸运礼物编辑页
2. 填写奖励金币为1.5
3. 点击保存</x:v>
      </x:c>
      <x:c r="K136" s="9" t="str">
        <x:v>不能保存非负整数以外的奖励金币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来源（当前证据）：liveshow-proto/MainBasis/统一需求文档.md；位置：REQ-22388921c69d；行4015
2. 规则：BR-d5707612368803f8
3. 未动态验证</x:v>
      </x:c>
    </x:row>
    <x:row r="137" ht="85" customHeight="1">
      <x:c r="A137" s="10" t="n">
        <x:v>136</x:v>
      </x:c>
      <x:c r="B137" s="10" t="str">
        <x:v>ADMIN-06-0043</x:v>
      </x:c>
      <x:c r="C137" s="10" t="str">
        <x:v>礼物道具</x:v>
      </x:c>
      <x:c r="D137" s="10" t="str">
        <x:v>幸运礼物编辑（平台管理员视角）</x:v>
      </x:c>
      <x:c r="E137" s="10" t="str">
        <x:v>逻辑校验</x:v>
      </x:c>
      <x:c r="F137" s="10" t="str">
        <x:v>P1</x:v>
      </x:c>
      <x:c r="G137" s="9" t="str">
        <x:v>验证幸运奖励档位金额不可重复</x:v>
      </x:c>
      <x:c r="H137" s="9" t="str">
        <x:v>幸运奖励档位唯一性</x:v>
      </x:c>
      <x:c r="I137" s="9" t="str">
        <x:v>1. 执行角色为平台管理员
2. 账号具有当前模块访问及本次操作权限
3. 已有10金币档位</x:v>
      </x:c>
      <x:c r="J137" s="9" t="str">
        <x:v>1. 进入幸运礼物编辑页
2. 点击添加档位
3. 填写奖励金币为10
4. 点击保存</x:v>
      </x:c>
      <x:c r="K137" s="9" t="str">
        <x:v>不能保存重复奖励档位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来源（当前证据）：liveshow-proto/MainBasis/统一需求文档.md；位置：REQ-22388921c69d；行4015
2. 规则：BR-4913992ab3be0446
3. 未动态验证</x:v>
      </x:c>
    </x:row>
    <x:row r="138" ht="85" customHeight="1">
      <x:c r="A138" s="10" t="n">
        <x:v>137</x:v>
      </x:c>
      <x:c r="B138" s="10" t="str">
        <x:v>ADMIN-06-0044</x:v>
      </x:c>
      <x:c r="C138" s="10" t="str">
        <x:v>礼物道具</x:v>
      </x:c>
      <x:c r="D138" s="10" t="str">
        <x:v>幸运礼物编辑（平台管理员视角）</x:v>
      </x:c>
      <x:c r="E138" s="10" t="str">
        <x:v>逻辑校验</x:v>
      </x:c>
      <x:c r="F138" s="10" t="str">
        <x:v>P1</x:v>
      </x:c>
      <x:c r="G138" s="9" t="str">
        <x:v>验证中奖概率合计99不能生效</x:v>
      </x:c>
      <x:c r="H138" s="9" t="str">
        <x:v>幸运概率合计校验</x:v>
      </x:c>
      <x:c r="I138" s="9" t="str">
        <x:v>1. 执行角色为平台管理员
2. 账号具有当前模块访问及本次操作权限
3. 所有概率均在0%至100%内，合计99%，其他配置有效</x:v>
      </x:c>
      <x:c r="J138" s="9" t="str">
        <x:v>1. 进入幸运礼物编辑页
2. 点击保存</x:v>
      </x:c>
      <x:c r="K138" s="9" t="str">
        <x:v>不能保存概率合计非100%的配置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来源（当前证据）：liveshow-proto/MainBasis/统一需求文档.md；位置：REQ-e77b64c0cbe2；行4017
2. 规则：BR-5c7f662e3e74a100
3. 未动态验证</x:v>
      </x:c>
    </x:row>
    <x:row r="139" ht="85" customHeight="1">
      <x:c r="A139" s="10" t="n">
        <x:v>138</x:v>
      </x:c>
      <x:c r="B139" s="10" t="str">
        <x:v>ADMIN-06-0045</x:v>
      </x:c>
      <x:c r="C139" s="10" t="str">
        <x:v>礼物道具</x:v>
      </x:c>
      <x:c r="D139" s="10" t="str">
        <x:v>幸运礼物编辑（平台管理员视角）</x:v>
      </x:c>
      <x:c r="E139" s="10" t="str">
        <x:v>逻辑校验</x:v>
      </x:c>
      <x:c r="F139" s="10" t="str">
        <x:v>P1</x:v>
      </x:c>
      <x:c r="G139" s="9" t="str">
        <x:v>验证中奖概率合计101不能生效</x:v>
      </x:c>
      <x:c r="H139" s="9" t="str">
        <x:v>幸运概率合计校验</x:v>
      </x:c>
      <x:c r="I139" s="9" t="str">
        <x:v>1. 执行角色为平台管理员
2. 账号具有当前模块访问及本次操作权限
3. 所有概率均在0%至100%内，合计101%，其他配置有效</x:v>
      </x:c>
      <x:c r="J139" s="9" t="str">
        <x:v>1. 进入幸运礼物编辑页
2. 点击保存</x:v>
      </x:c>
      <x:c r="K139" s="9" t="str">
        <x:v>不能保存概率合计非100%的配置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来源（当前证据）：liveshow-proto/MainBasis/统一需求文档.md；位置：REQ-e77b64c0cbe2；行4017
2. 规则：BR-63325be0b3c166bf
3. 未动态验证</x:v>
      </x:c>
    </x:row>
    <x:row r="140" ht="100" customHeight="1">
      <x:c r="A140" s="10" t="n">
        <x:v>139</x:v>
      </x:c>
      <x:c r="B140" s="10" t="str">
        <x:v>ADMIN-06-0046</x:v>
      </x:c>
      <x:c r="C140" s="10" t="str">
        <x:v>礼物道具</x:v>
      </x:c>
      <x:c r="D140" s="10" t="str">
        <x:v>幸运礼物编辑（平台管理员视角）</x:v>
      </x:c>
      <x:c r="E140" s="10" t="str">
        <x:v>逻辑校验</x:v>
      </x:c>
      <x:c r="F140" s="10" t="str">
        <x:v>P1</x:v>
      </x:c>
      <x:c r="G140" s="9" t="str">
        <x:v>验证RTP按单次消耗而非整包单价计算</x:v>
      </x:c>
      <x:c r="H140" s="9" t="str">
        <x:v>幸运RTP分母</x:v>
      </x:c>
      <x:c r="I140" s="9" t="str">
        <x:v>1. 执行角色为平台管理员
2. 账号具有当前模块访问及本次操作权限
3. 每次消耗10金币，100次开奖，奖励0金币概率50%、20金币概率50%</x:v>
      </x:c>
      <x:c r="J140" s="9" t="str">
        <x:v>1. 进入幸运礼物编辑页</x:v>
      </x:c>
      <x:c r="K140" s="9" t="str">
        <x:v>RTP = 100%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来源（当前证据）：liveshow-proto/MainBasis/统一需求文档.md；位置：REQ-9a630a558353；行4019
2. 规则：BR-a5e7f2aae8ee3360
3. 未动态验证</x:v>
      </x:c>
    </x:row>
    <x:row r="141" ht="100" customHeight="1">
      <x:c r="A141" s="10" t="n">
        <x:v>140</x:v>
      </x:c>
      <x:c r="B141" s="10" t="str">
        <x:v>ADMIN-06-0047</x:v>
      </x:c>
      <x:c r="C141" s="10" t="str">
        <x:v>礼物道具</x:v>
      </x:c>
      <x:c r="D141" s="10" t="str">
        <x:v>幸运礼物编辑（平台管理员视角）</x:v>
      </x:c>
      <x:c r="E141" s="10" t="str">
        <x:v>逻辑校验</x:v>
      </x:c>
      <x:c r="F141" s="10" t="str">
        <x:v>P1</x:v>
      </x:c>
      <x:c r="G141" s="9" t="str">
        <x:v>验证RTP不足一位小数向上取整</x:v>
      </x:c>
      <x:c r="H141" s="9" t="str">
        <x:v>幸运RTP取整</x:v>
      </x:c>
      <x:c r="I141" s="9" t="str">
        <x:v>1. 执行角色为平台管理员
2. 账号具有当前模块访问及本次操作权限
3. 单次消耗3金币，奖励0概率0%、奖励1概率100%，其他配置有效</x:v>
      </x:c>
      <x:c r="J141" s="9" t="str">
        <x:v>1. 进入幸运礼物编辑页</x:v>
      </x:c>
      <x:c r="K141" s="9" t="str">
        <x:v>RTP = 33.4%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来源（当前证据）：liveshow-proto/MainBasis/统一需求文档.md；位置：REQ-9a630a558353；行4019
2. 规则：BR-d832e434f7cd9903
3. 未动态验证</x:v>
      </x:c>
    </x:row>
    <x:row r="142" ht="100" customHeight="1">
      <x:c r="A142" s="10" t="n">
        <x:v>141</x:v>
      </x:c>
      <x:c r="B142" s="10" t="str">
        <x:v>ADMIN-06-0048</x:v>
      </x:c>
      <x:c r="C142" s="10" t="str">
        <x:v>礼物道具</x:v>
      </x:c>
      <x:c r="D142" s="10" t="str">
        <x:v>道具详情（平台管理员视角）</x:v>
      </x:c>
      <x:c r="E142" s="10" t="str">
        <x:v>逻辑校验</x:v>
      </x:c>
      <x:c r="F142" s="10" t="str">
        <x:v>P1</x:v>
      </x:c>
      <x:c r="G142" s="9" t="str">
        <x:v>验证道具不能新增客户端不支持类型</x:v>
      </x:c>
      <x:c r="H142" s="9" t="str">
        <x:v>道具类型范围</x:v>
      </x:c>
      <x:c r="I142" s="9" t="str">
        <x:v>1. 执行角色为平台管理员
2. 账号具有当前模块访问及本次操作权限</x:v>
      </x:c>
      <x:c r="J142" s="9" t="str">
        <x:v>1. 进入道具详情页
2. 点击道具类型</x:v>
      </x:c>
      <x:c r="K142" s="9" t="str">
        <x:v>只可选择勋章、气泡、头像框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来源（当前证据）：liveshow-proto/MainBasis/统一需求文档.md；位置：REQ-b87fdc31a151；行4063、REQ-a15539e59804；行4034
2. 规则：BR-0ada5df177882082
3. 未动态验证</x:v>
      </x:c>
    </x:row>
    <x:row r="143" ht="85" customHeight="1">
      <x:c r="A143" s="10" t="n">
        <x:v>142</x:v>
      </x:c>
      <x:c r="B143" s="10" t="str">
        <x:v>ADMIN-06-0049</x:v>
      </x:c>
      <x:c r="C143" s="10" t="str">
        <x:v>礼物道具</x:v>
      </x:c>
      <x:c r="D143" s="10" t="str">
        <x:v>道具详情（平台管理员视角）</x:v>
      </x:c>
      <x:c r="E143" s="10" t="str">
        <x:v>逻辑校验</x:v>
      </x:c>
      <x:c r="F143" s="10" t="str">
        <x:v>P1</x:v>
      </x:c>
      <x:c r="G143" s="9" t="str">
        <x:v>验证道具期限开始早于今天</x:v>
      </x:c>
      <x:c r="H143" s="9" t="str">
        <x:v>道具可佩戴期限校验</x:v>
      </x:c>
      <x:c r="I143" s="9" t="str">
        <x:v>1. 执行角色为平台管理员
2. 账号具有当前模块访问及本次操作权限
3. 其他字段和资源有效</x:v>
      </x:c>
      <x:c r="J143" s="9" t="str">
        <x:v>1. 进入道具详情页
2. 填写开始日期为昨天
3. 填写结束日期为明天
4. 点击保存</x:v>
      </x:c>
      <x:c r="K143" s="9" t="str">
        <x:v>不能保存不合法的可佩戴期限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来源（当前证据）：liveshow-proto/MainBasis/统一需求文档.md；位置：REQ-711d6073fe10；行4073
2. 规则：BR-11327fe180aca86c
3. 未动态验证</x:v>
      </x:c>
    </x:row>
    <x:row r="144" ht="85" customHeight="1">
      <x:c r="A144" s="10" t="n">
        <x:v>143</x:v>
      </x:c>
      <x:c r="B144" s="10" t="str">
        <x:v>ADMIN-06-0050</x:v>
      </x:c>
      <x:c r="C144" s="10" t="str">
        <x:v>礼物道具</x:v>
      </x:c>
      <x:c r="D144" s="10" t="str">
        <x:v>道具详情（平台管理员视角）</x:v>
      </x:c>
      <x:c r="E144" s="10" t="str">
        <x:v>逻辑校验</x:v>
      </x:c>
      <x:c r="F144" s="10" t="str">
        <x:v>P1</x:v>
      </x:c>
      <x:c r="G144" s="9" t="str">
        <x:v>验证道具期限结束等于开始</x:v>
      </x:c>
      <x:c r="H144" s="9" t="str">
        <x:v>道具可佩戴期限校验</x:v>
      </x:c>
      <x:c r="I144" s="9" t="str">
        <x:v>1. 执行角色为平台管理员
2. 账号具有当前模块访问及本次操作权限
3. 其他字段和资源有效</x:v>
      </x:c>
      <x:c r="J144" s="9" t="str">
        <x:v>1. 进入道具详情页
2. 填写开始日期为今天
3. 填写结束日期为今天
4. 点击保存</x:v>
      </x:c>
      <x:c r="K144" s="9" t="str">
        <x:v>不能保存不合法的可佩戴期限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来源（当前证据）：liveshow-proto/MainBasis/统一需求文档.md；位置：REQ-711d6073fe10；行4073
2. 规则：BR-f0a45508c079ab33
3. 未动态验证</x:v>
      </x:c>
    </x:row>
    <x:row r="145" ht="85" customHeight="1">
      <x:c r="A145" s="10" t="n">
        <x:v>144</x:v>
      </x:c>
      <x:c r="B145" s="10" t="str">
        <x:v>ADMIN-06-0051</x:v>
      </x:c>
      <x:c r="C145" s="10" t="str">
        <x:v>礼物道具</x:v>
      </x:c>
      <x:c r="D145" s="10" t="str">
        <x:v>道具详情（平台管理员视角）</x:v>
      </x:c>
      <x:c r="E145" s="10" t="str">
        <x:v>逻辑校验</x:v>
      </x:c>
      <x:c r="F145" s="10" t="str">
        <x:v>P1</x:v>
      </x:c>
      <x:c r="G145" s="9" t="str">
        <x:v>验证道具可佩戴期限设为永久</x:v>
      </x:c>
      <x:c r="H145" s="9" t="str">
        <x:v>道具永久期限</x:v>
      </x:c>
      <x:c r="I145" s="9" t="str">
        <x:v>1. 执行角色为平台管理员
2. 账号具有当前模块访问及本次操作权限
3. 其他字段和资源有效</x:v>
      </x:c>
      <x:c r="J145" s="9" t="str">
        <x:v>1. 进入道具详情页
2. 选择可佩戴期限为不限
3. 点击保存</x:v>
      </x:c>
      <x:c r="K145" s="9" t="str">
        <x:v>期限显示不限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来源（当前证据）：liveshow-proto/MainBasis/统一需求文档.md；位置：REQ-711d6073fe10；行4073
2. 规则：BR-6139c124edbffbb9
3. 未动态验证</x:v>
      </x:c>
    </x:row>
    <x:row r="146" ht="85" customHeight="1">
      <x:c r="A146" s="10" t="n">
        <x:v>145</x:v>
      </x:c>
      <x:c r="B146" s="10" t="str">
        <x:v>ADMIN-06-0052</x:v>
      </x:c>
      <x:c r="C146" s="10" t="str">
        <x:v>礼物道具</x:v>
      </x:c>
      <x:c r="D146" s="10" t="str">
        <x:v>购买份数配置详情（平台管理员视角）</x:v>
      </x:c>
      <x:c r="E146" s="10" t="str">
        <x:v>逻辑校验</x:v>
      </x:c>
      <x:c r="F146" s="10" t="str">
        <x:v>P1</x:v>
      </x:c>
      <x:c r="G146" s="9" t="str">
        <x:v>验证赠送数量配置0不合法</x:v>
      </x:c>
      <x:c r="H146" s="9" t="str">
        <x:v>礼物赠送数量约束</x:v>
      </x:c>
      <x:c r="I146" s="9" t="str">
        <x:v>1. 执行角色为平台管理员
2. 账号具有当前模块访问及本次操作权限
3. 至少1个适用礼物已选</x:v>
      </x:c>
      <x:c r="J146" s="9" t="str">
        <x:v>1. 进入购买份数配置详情页
2. 填写赠送数量为0
3. 点击保存</x:v>
      </x:c>
      <x:c r="K146" s="9" t="str">
        <x:v>不能保存包含非正整数或重复数量的规则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来源（当前证据）：liveshow-proto/MainBasis/统一需求文档.md；位置：REQ-646b7bbc7593；行4103
2. 规则：BR-3613adf8e2fb7bb0
3. 未动态验证</x:v>
      </x:c>
    </x:row>
    <x:row r="147" ht="85" customHeight="1">
      <x:c r="A147" s="10" t="n">
        <x:v>146</x:v>
      </x:c>
      <x:c r="B147" s="10" t="str">
        <x:v>ADMIN-06-0053</x:v>
      </x:c>
      <x:c r="C147" s="10" t="str">
        <x:v>礼物道具</x:v>
      </x:c>
      <x:c r="D147" s="10" t="str">
        <x:v>购买份数配置详情（平台管理员视角）</x:v>
      </x:c>
      <x:c r="E147" s="10" t="str">
        <x:v>逻辑校验</x:v>
      </x:c>
      <x:c r="F147" s="10" t="str">
        <x:v>P1</x:v>
      </x:c>
      <x:c r="G147" s="9" t="str">
        <x:v>验证赠送数量配置-1不合法</x:v>
      </x:c>
      <x:c r="H147" s="9" t="str">
        <x:v>礼物赠送数量约束</x:v>
      </x:c>
      <x:c r="I147" s="9" t="str">
        <x:v>1. 执行角色为平台管理员
2. 账号具有当前模块访问及本次操作权限
3. 至少1个适用礼物已选</x:v>
      </x:c>
      <x:c r="J147" s="9" t="str">
        <x:v>1. 进入购买份数配置详情页
2. 填写赠送数量为-1
3. 点击保存</x:v>
      </x:c>
      <x:c r="K147" s="9" t="str">
        <x:v>不能保存包含非正整数或重复数量的规则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来源（当前证据）：liveshow-proto/MainBasis/统一需求文档.md；位置：REQ-646b7bbc7593；行4103
2. 规则：BR-b0f3a7c93b354697
3. 未动态验证</x:v>
      </x:c>
    </x:row>
    <x:row r="148" ht="85" customHeight="1">
      <x:c r="A148" s="10" t="n">
        <x:v>147</x:v>
      </x:c>
      <x:c r="B148" s="10" t="str">
        <x:v>ADMIN-06-0054</x:v>
      </x:c>
      <x:c r="C148" s="10" t="str">
        <x:v>礼物道具</x:v>
      </x:c>
      <x:c r="D148" s="10" t="str">
        <x:v>购买份数配置详情（平台管理员视角）</x:v>
      </x:c>
      <x:c r="E148" s="10" t="str">
        <x:v>逻辑校验</x:v>
      </x:c>
      <x:c r="F148" s="10" t="str">
        <x:v>P1</x:v>
      </x:c>
      <x:c r="G148" s="9" t="str">
        <x:v>验证赠送数量配置1.5不合法</x:v>
      </x:c>
      <x:c r="H148" s="9" t="str">
        <x:v>礼物赠送数量约束</x:v>
      </x:c>
      <x:c r="I148" s="9" t="str">
        <x:v>1. 执行角色为平台管理员
2. 账号具有当前模块访问及本次操作权限
3. 至少1个适用礼物已选</x:v>
      </x:c>
      <x:c r="J148" s="9" t="str">
        <x:v>1. 进入购买份数配置详情页
2. 填写赠送数量为1.5
3. 点击保存</x:v>
      </x:c>
      <x:c r="K148" s="9" t="str">
        <x:v>不能保存包含非正整数或重复数量的规则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来源（当前证据）：liveshow-proto/MainBasis/统一需求文档.md；位置：REQ-646b7bbc7593；行4103
2. 规则：BR-75b5dc246ee7a3bd
3. 未动态验证</x:v>
      </x:c>
    </x:row>
    <x:row r="149" ht="85" customHeight="1">
      <x:c r="A149" s="10" t="n">
        <x:v>148</x:v>
      </x:c>
      <x:c r="B149" s="10" t="str">
        <x:v>ADMIN-06-0055</x:v>
      </x:c>
      <x:c r="C149" s="10" t="str">
        <x:v>礼物道具</x:v>
      </x:c>
      <x:c r="D149" s="10" t="str">
        <x:v>购买份数配置详情（平台管理员视角）</x:v>
      </x:c>
      <x:c r="E149" s="10" t="str">
        <x:v>逻辑校验</x:v>
      </x:c>
      <x:c r="F149" s="10" t="str">
        <x:v>P1</x:v>
      </x:c>
      <x:c r="G149" s="9" t="str">
        <x:v>验证赠送数量配置1,1不合法</x:v>
      </x:c>
      <x:c r="H149" s="9" t="str">
        <x:v>礼物赠送数量约束</x:v>
      </x:c>
      <x:c r="I149" s="9" t="str">
        <x:v>1. 执行角色为平台管理员
2. 账号具有当前模块访问及本次操作权限
3. 至少1个适用礼物已选</x:v>
      </x:c>
      <x:c r="J149" s="9" t="str">
        <x:v>1. 进入购买份数配置详情页
2. 填写赠送数量为1,1
3. 点击保存</x:v>
      </x:c>
      <x:c r="K149" s="9" t="str">
        <x:v>不能保存包含非正整数或重复数量的规则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来源（当前证据）：liveshow-proto/MainBasis/统一需求文档.md；位置：REQ-646b7bbc7593；行4103
2. 规则：BR-93fb5986a5544d24
3. 未动态验证</x:v>
      </x:c>
    </x:row>
    <x:row r="150" ht="85" customHeight="1">
      <x:c r="A150" s="10" t="n">
        <x:v>149</x:v>
      </x:c>
      <x:c r="B150" s="10" t="str">
        <x:v>ADMIN-06-0056</x:v>
      </x:c>
      <x:c r="C150" s="10" t="str">
        <x:v>礼物道具</x:v>
      </x:c>
      <x:c r="D150" s="10" t="str">
        <x:v>购买份数配置详情（平台管理员视角）</x:v>
      </x:c>
      <x:c r="E150" s="10" t="str">
        <x:v>逻辑校验</x:v>
      </x:c>
      <x:c r="F150" s="10" t="str">
        <x:v>P1</x:v>
      </x:c>
      <x:c r="G150" s="9" t="str">
        <x:v>验证赠送数量配置不可为空</x:v>
      </x:c>
      <x:c r="H150" s="9" t="str">
        <x:v>礼物数量规则必填</x:v>
      </x:c>
      <x:c r="I150" s="9" t="str">
        <x:v>1. 执行角色为平台管理员
2. 账号具有当前模块访问及本次操作权限
3. 已选择适用礼物</x:v>
      </x:c>
      <x:c r="J150" s="9" t="str">
        <x:v>1. 进入购买份数配置详情页
2. 删除全部赠送数量
3. 点击保存</x:v>
      </x:c>
      <x:c r="K150" s="9" t="str">
        <x:v>不能保存空赠送数量列表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来源（当前证据）：liveshow-proto/MainBasis/统一需求文档.md；位置：REQ-646b7bbc7593；行4103
2. 规则：BR-7df28ca56d858a63
3. 未动态验证</x:v>
      </x:c>
    </x:row>
    <x:row r="151" ht="85" customHeight="1">
      <x:c r="A151" s="10" t="n">
        <x:v>150</x:v>
      </x:c>
      <x:c r="B151" s="10" t="str">
        <x:v>ADMIN-06-0057</x:v>
      </x:c>
      <x:c r="C151" s="10" t="str">
        <x:v>礼物道具</x:v>
      </x:c>
      <x:c r="D151" s="10" t="str">
        <x:v>购买份数配置详情（平台管理员视角）</x:v>
      </x:c>
      <x:c r="E151" s="10" t="str">
        <x:v>功能需求</x:v>
      </x:c>
      <x:c r="F151" s="10" t="str">
        <x:v>P2</x:v>
      </x:c>
      <x:c r="G151" s="9" t="str">
        <x:v>验证调整赠送数量顺序并保存</x:v>
      </x:c>
      <x:c r="H151" s="9" t="str">
        <x:v>赠送数量配置顺序</x:v>
      </x:c>
      <x:c r="I151" s="9" t="str">
        <x:v>1. 执行角色为平台管理员
2. 账号具有当前模块访问及本次操作权限
3. 原顺序1、10、100，至少1个适用礼物</x:v>
      </x:c>
      <x:c r="J151" s="9" t="str">
        <x:v>1. 进入购买份数配置详情页
2. 拖动数量100到数量10之前
3. 点击保存</x:v>
      </x:c>
      <x:c r="K151" s="9" t="str">
        <x:v>保存后数量顺序为1、100、10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来源（当前证据）：liveshow-proto/MainBasis/统一需求文档.md；位置：REQ-646b7bbc7593；行4103
2. 规则：BR-7a04ed1de3fb5e68
3. 未动态验证</x:v>
      </x:c>
    </x:row>
    <x:row r="152" ht="85" customHeight="1">
      <x:c r="A152" s="10" t="n">
        <x:v>151</x:v>
      </x:c>
      <x:c r="B152" s="10" t="str">
        <x:v>ADMIN-06-0058</x:v>
      </x:c>
      <x:c r="C152" s="10" t="str">
        <x:v>礼物道具</x:v>
      </x:c>
      <x:c r="D152" s="10" t="str">
        <x:v>购买份数配置详情（平台管理员视角）</x:v>
      </x:c>
      <x:c r="E152" s="10" t="str">
        <x:v>逻辑校验</x:v>
      </x:c>
      <x:c r="F152" s="10" t="str">
        <x:v>P1</x:v>
      </x:c>
      <x:c r="G152" s="9" t="str">
        <x:v>验证同一礼物不能关联两条启用数量规则</x:v>
      </x:c>
      <x:c r="H152" s="9" t="str">
        <x:v>礼物数量启用冲突</x:v>
      </x:c>
      <x:c r="I152" s="9" t="str">
        <x:v>1. 执行角色为平台管理员
2. 账号具有当前模块访问及本次操作权限
3. 礼物G已关联启用规则A，新规则B也选中G</x:v>
      </x:c>
      <x:c r="J152" s="9" t="str">
        <x:v>1. 进入购买份数配置详情页
2. 选择状态为启用
3. 点击保存</x:v>
      </x:c>
      <x:c r="K152" s="9" t="str">
        <x:v>不能启用与规则A冲突的规则B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来源（当前证据）：liveshow-proto/MainBasis/统一需求文档.md；位置：REQ-45e435ce7336；行4105
2. 规则：BR-d2666f811232c265
3. 未动态验证</x:v>
      </x:c>
    </x:row>
    <x:row r="153" ht="85" customHeight="1">
      <x:c r="A153" s="10" t="n">
        <x:v>152</x:v>
      </x:c>
      <x:c r="B153" s="10" t="str">
        <x:v>ADMIN-07-0001</x:v>
      </x:c>
      <x:c r="C153" s="10" t="str">
        <x:v>运营配置</x:v>
      </x:c>
      <x:c r="D153" s="10" t="str">
        <x:v>展位配置（平台管理员视角）</x:v>
      </x:c>
      <x:c r="E153" s="10" t="str">
        <x:v>逻辑校验</x:v>
      </x:c>
      <x:c r="F153" s="10" t="str">
        <x:v>P1</x:v>
      </x:c>
      <x:c r="G153" s="9" t="str">
        <x:v>验证展示位置只含已定义两种入口</x:v>
      </x:c>
      <x:c r="H153" s="9" t="str">
        <x:v>运营展位类型范围</x:v>
      </x:c>
      <x:c r="I153" s="9" t="str">
        <x:v>1. 执行角色为平台管理员
2. 账号具有当前模块访问及本次操作权限</x:v>
      </x:c>
      <x:c r="J153" s="9" t="str">
        <x:v>1. 进入展位配置页
2. 点击展示位置筛选</x:v>
      </x:c>
      <x:c r="K153" s="9" t="str">
        <x:v>仅提供直播广场运营位、福利中心轮播位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来源（当前证据）：liveshow-proto/MainBasis/统一需求文档.md；位置：REQ-fddcb57e1394；行4116
2. 规则：BR-746cb630f280fd73
3. 未动态验证</x:v>
      </x:c>
    </x:row>
    <x:row r="154" ht="85" customHeight="1">
      <x:c r="A154" s="10" t="n">
        <x:v>153</x:v>
      </x:c>
      <x:c r="B154" s="10" t="str">
        <x:v>ADMIN-07-0002</x:v>
      </x:c>
      <x:c r="C154" s="10" t="str">
        <x:v>运营配置</x:v>
      </x:c>
      <x:c r="D154" s="10" t="str">
        <x:v>展位配置（平台管理员视角）</x:v>
      </x:c>
      <x:c r="E154" s="10" t="str">
        <x:v>逻辑校验</x:v>
      </x:c>
      <x:c r="F154" s="10" t="str">
        <x:v>P1</x:v>
      </x:c>
      <x:c r="G154" s="9" t="str">
        <x:v>验证展示周期开始日仍有效</x:v>
      </x:c>
      <x:c r="H154" s="9" t="str">
        <x:v>展示周期闭区间</x:v>
      </x:c>
      <x:c r="I154" s="9" t="str">
        <x:v>1. 执行角色为平台管理员
2. 账号具有当前模块访问及本次操作权限
3. 配置启用，当前日期等于开始日</x:v>
      </x:c>
      <x:c r="J154" s="9" t="str">
        <x:v>1. 进入展位配置页</x:v>
      </x:c>
      <x:c r="K154" s="9" t="str">
        <x:v>配置状态显示展示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来源（当前证据）：liveshow-proto/MainBasis/统一需求文档.md；位置：REQ-803bf20b1fd4；行4120
2. 规则：BR-2c142859aad1591c
3. 未动态验证</x:v>
      </x:c>
    </x:row>
    <x:row r="155" ht="85" customHeight="1">
      <x:c r="A155" s="10" t="n">
        <x:v>154</x:v>
      </x:c>
      <x:c r="B155" s="10" t="str">
        <x:v>ADMIN-07-0003</x:v>
      </x:c>
      <x:c r="C155" s="10" t="str">
        <x:v>运营配置</x:v>
      </x:c>
      <x:c r="D155" s="10" t="str">
        <x:v>展位配置（平台管理员视角）</x:v>
      </x:c>
      <x:c r="E155" s="10" t="str">
        <x:v>逻辑校验</x:v>
      </x:c>
      <x:c r="F155" s="10" t="str">
        <x:v>P1</x:v>
      </x:c>
      <x:c r="G155" s="9" t="str">
        <x:v>验证展示周期结束日仍有效</x:v>
      </x:c>
      <x:c r="H155" s="9" t="str">
        <x:v>展示周期闭区间</x:v>
      </x:c>
      <x:c r="I155" s="9" t="str">
        <x:v>1. 执行角色为平台管理员
2. 账号具有当前模块访问及本次操作权限
3. 配置启用，当前日期等于结束日</x:v>
      </x:c>
      <x:c r="J155" s="9" t="str">
        <x:v>1. 进入展位配置页</x:v>
      </x:c>
      <x:c r="K155" s="9" t="str">
        <x:v>配置状态显示展示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来源（当前证据）：liveshow-proto/MainBasis/统一需求文档.md；位置：REQ-803bf20b1fd4；行4120
2. 规则：BR-0cd6ddd3d6318691
3. 未动态验证</x:v>
      </x:c>
    </x:row>
    <x:row r="156" ht="85" customHeight="1">
      <x:c r="A156" s="10" t="n">
        <x:v>155</x:v>
      </x:c>
      <x:c r="B156" s="10" t="str">
        <x:v>ADMIN-07-0004</x:v>
      </x:c>
      <x:c r="C156" s="10" t="str">
        <x:v>运营配置</x:v>
      </x:c>
      <x:c r="D156" s="10" t="str">
        <x:v>展示素材编辑（平台管理员视角）</x:v>
      </x:c>
      <x:c r="E156" s="10" t="str">
        <x:v>逻辑校验</x:v>
      </x:c>
      <x:c r="F156" s="10" t="str">
        <x:v>P1</x:v>
      </x:c>
      <x:c r="G156" s="9" t="str">
        <x:v>验证相同展位排期重叠不能保存</x:v>
      </x:c>
      <x:c r="H156" s="9" t="str">
        <x:v>展位排期冲突</x:v>
      </x:c>
      <x:c r="I156" s="9" t="str">
        <x:v>1. 执行角色为平台管理员
2. 账号具有当前模块访问及本次操作权限
3. 展位A已有9月1日至10日配置，新增同展位9月10日至20日</x:v>
      </x:c>
      <x:c r="J156" s="9" t="str">
        <x:v>1. 进入展示素材编辑页
2. 点击保存</x:v>
      </x:c>
      <x:c r="K156" s="9" t="str">
        <x:v>不能保存与现有配置重叠的排期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来源（当前证据）：liveshow-proto/MainBasis/统一需求文档.md；位置：REQ-1312ebd01239；行4145
2. 规则：BR-7f30e04bf51151c8
3. 未动态验证</x:v>
      </x:c>
    </x:row>
    <x:row r="157" ht="85" customHeight="1">
      <x:c r="A157" s="10" t="n">
        <x:v>156</x:v>
      </x:c>
      <x:c r="B157" s="10" t="str">
        <x:v>ADMIN-07-0005</x:v>
      </x:c>
      <x:c r="C157" s="10" t="str">
        <x:v>运营配置</x:v>
      </x:c>
      <x:c r="D157" s="10" t="str">
        <x:v>展示素材编辑（平台管理员视角）</x:v>
      </x:c>
      <x:c r="E157" s="10" t="str">
        <x:v>逻辑校验</x:v>
      </x:c>
      <x:c r="F157" s="10" t="str">
        <x:v>P1</x:v>
      </x:c>
      <x:c r="G157" s="9" t="str">
        <x:v>验证同配置多素材共用排期不冲突</x:v>
      </x:c>
      <x:c r="H157" s="9" t="str">
        <x:v>轮播素材共用排期</x:v>
      </x:c>
      <x:c r="I157" s="9" t="str">
        <x:v>1. 执行角色为平台管理员
2. 账号具有当前模块访问及本次操作权限
3. 当前配置3项素材目标均完整，排期与其他配置不重叠</x:v>
      </x:c>
      <x:c r="J157" s="9" t="str">
        <x:v>1. 进入展示素材编辑页
2. 点击保存</x:v>
      </x:c>
      <x:c r="K157" s="9" t="str">
        <x:v>3项内容保存成功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来源（当前证据）：liveshow-proto/MainBasis/统一需求文档.md；位置：REQ-1312ebd01239；行4145
2. 规则：BR-8bac3fa1ff9ecc3f
3. 未动态验证</x:v>
      </x:c>
    </x:row>
    <x:row r="158" ht="85" customHeight="1">
      <x:c r="A158" s="10" t="n">
        <x:v>157</x:v>
      </x:c>
      <x:c r="B158" s="10" t="str">
        <x:v>ADMIN-07-0006</x:v>
      </x:c>
      <x:c r="C158" s="10" t="str">
        <x:v>运营配置</x:v>
      </x:c>
      <x:c r="D158" s="10" t="str">
        <x:v>展示素材编辑（平台管理员视角）</x:v>
      </x:c>
      <x:c r="E158" s="10" t="str">
        <x:v>逻辑校验</x:v>
      </x:c>
      <x:c r="F158" s="10" t="str">
        <x:v>P1</x:v>
      </x:c>
      <x:c r="G158" s="9" t="str">
        <x:v>验证轮播内容最多5项</x:v>
      </x:c>
      <x:c r="H158" s="9" t="str">
        <x:v>轮播内容数量上限</x:v>
      </x:c>
      <x:c r="I158" s="9" t="str">
        <x:v>1. 执行角色为平台管理员
2. 账号具有当前模块访问及本次操作权限
3. 当前已有5项轮播内容</x:v>
      </x:c>
      <x:c r="J158" s="9" t="str">
        <x:v>1. 进入展示素材编辑页
2. 点击添加</x:v>
      </x:c>
      <x:c r="K158" s="9" t="str">
        <x:v>不能添加第6项轮播内容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来源（当前证据）：liveshow-proto/MainBasis/统一需求文档.md；位置：REQ-e6533c82295c；行4135
2. 规则：BR-0252cf70a1c21626
3. 未动态验证</x:v>
      </x:c>
    </x:row>
    <x:row r="159" ht="85" customHeight="1">
      <x:c r="A159" s="10" t="n">
        <x:v>158</x:v>
      </x:c>
      <x:c r="B159" s="10" t="str">
        <x:v>ADMIN-07-0007</x:v>
      </x:c>
      <x:c r="C159" s="10" t="str">
        <x:v>运营配置</x:v>
      </x:c>
      <x:c r="D159" s="10" t="str">
        <x:v>展示素材编辑（平台管理员视角）</x:v>
      </x:c>
      <x:c r="E159" s="10" t="str">
        <x:v>逻辑校验</x:v>
      </x:c>
      <x:c r="F159" s="10" t="str">
        <x:v>P1</x:v>
      </x:c>
      <x:c r="G159" s="9" t="str">
        <x:v>验证最后1项轮播内容不能删除</x:v>
      </x:c>
      <x:c r="H159" s="9" t="str">
        <x:v>轮播内容数量下限</x:v>
      </x:c>
      <x:c r="I159" s="9" t="str">
        <x:v>1. 执行角色为平台管理员
2. 账号具有当前模块访问及本次操作权限
3. 当前仅1项内容</x:v>
      </x:c>
      <x:c r="J159" s="9" t="str">
        <x:v>1. 进入展示素材编辑页
2. 点击删除该项</x:v>
      </x:c>
      <x:c r="K159" s="9" t="str">
        <x:v>该项内容仍保留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来源（当前证据）：liveshow-proto/MainBasis/统一需求文档.md；位置：REQ-e2540fa05ceb；行4147
2. 规则：BR-ef1fd4451c991722
3. 未动态验证</x:v>
      </x:c>
    </x:row>
    <x:row r="160" ht="85" customHeight="1">
      <x:c r="A160" s="10" t="n">
        <x:v>159</x:v>
      </x:c>
      <x:c r="B160" s="10" t="str">
        <x:v>ADMIN-07-0008</x:v>
      </x:c>
      <x:c r="C160" s="10" t="str">
        <x:v>运营配置</x:v>
      </x:c>
      <x:c r="D160" s="10" t="str">
        <x:v>展示素材编辑（平台管理员视角）</x:v>
      </x:c>
      <x:c r="E160" s="10" t="str">
        <x:v>逻辑校验</x:v>
      </x:c>
      <x:c r="F160" s="10" t="str">
        <x:v>P1</x:v>
      </x:c>
      <x:c r="G160" s="9" t="str">
        <x:v>验证已保存素材删除流程</x:v>
      </x:c>
      <x:c r="H160" s="9" t="str">
        <x:v>轮播内容删除确认</x:v>
      </x:c>
      <x:c r="I160" s="9" t="str">
        <x:v>1. 执行角色为平台管理员
2. 账号具有当前模块访问及本次操作权限
3. 当前2项内容，目标项已保存</x:v>
      </x:c>
      <x:c r="J160" s="9" t="str">
        <x:v>1. 进入展示素材编辑页
2. 点击目标项删除</x:v>
      </x:c>
      <x:c r="K160" s="9" t="str">
        <x:v>显示删除确认弹窗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来源（当前证据）：liveshow-proto/MainBasis/统一需求文档.md；位置：REQ-e2540fa05ceb；行4147
2. 规则：BR-7932efe709334455
3. 未动态验证</x:v>
      </x:c>
    </x:row>
    <x:row r="161" ht="85" customHeight="1">
      <x:c r="A161" s="10" t="n">
        <x:v>160</x:v>
      </x:c>
      <x:c r="B161" s="10" t="str">
        <x:v>ADMIN-07-0009</x:v>
      </x:c>
      <x:c r="C161" s="10" t="str">
        <x:v>运营配置</x:v>
      </x:c>
      <x:c r="D161" s="10" t="str">
        <x:v>展示素材编辑（平台管理员视角）</x:v>
      </x:c>
      <x:c r="E161" s="10" t="str">
        <x:v>逻辑校验</x:v>
      </x:c>
      <x:c r="F161" s="10" t="str">
        <x:v>P1</x:v>
      </x:c>
      <x:c r="G161" s="9" t="str">
        <x:v>验证未保存素材删除流程</x:v>
      </x:c>
      <x:c r="H161" s="9" t="str">
        <x:v>轮播内容删除确认</x:v>
      </x:c>
      <x:c r="I161" s="9" t="str">
        <x:v>1. 执行角色为平台管理员
2. 账号具有当前模块访问及本次操作权限
3. 当前2项内容，目标项新添加尚未保存</x:v>
      </x:c>
      <x:c r="J161" s="9" t="str">
        <x:v>1. 进入展示素材编辑页
2. 点击目标项删除</x:v>
      </x:c>
      <x:c r="K161" s="9" t="str">
        <x:v>目标项直接从编辑列表移除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来源（当前证据）：liveshow-proto/MainBasis/统一需求文档.md；位置：REQ-e2540fa05ceb；行4147
2. 规则：BR-6de3a1934e3576cd
3. 未动态验证</x:v>
      </x:c>
    </x:row>
    <x:row r="162" ht="85" customHeight="1">
      <x:c r="A162" s="10" t="n">
        <x:v>161</x:v>
      </x:c>
      <x:c r="B162" s="10" t="str">
        <x:v>ADMIN-07-0010</x:v>
      </x:c>
      <x:c r="C162" s="10" t="str">
        <x:v>运营配置</x:v>
      </x:c>
      <x:c r="D162" s="10" t="str">
        <x:v>展示素材编辑（平台管理员视角）</x:v>
      </x:c>
      <x:c r="E162" s="10" t="str">
        <x:v>逻辑校验</x:v>
      </x:c>
      <x:c r="F162" s="10" t="str">
        <x:v>P1</x:v>
      </x:c>
      <x:c r="G162" s="9" t="str">
        <x:v>验证APP已有页面未填写对应目标内容</x:v>
      </x:c>
      <x:c r="H162" s="9" t="str">
        <x:v>展位跳转目标必填</x:v>
      </x:c>
      <x:c r="I162" s="9" t="str">
        <x:v>1. 执行角色为平台管理员
2. 账号具有当前模块访问及本次操作权限
3. 素材已上传，其他内容完整</x:v>
      </x:c>
      <x:c r="J162" s="9" t="str">
        <x:v>1. 进入展示素材编辑页
2. 选择跳转类型为APP已有页面
3. 清空目标页面
4. 点击保存</x:v>
      </x:c>
      <x:c r="K162" s="9" t="str">
        <x:v>不能保存缺少目标页面的轮播项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来源（当前证据）：liveshow-proto/MainBasis/统一需求文档.md；位置：REQ-bcc06f97ec4a；行4141
2. 规则：BR-2397e62149241ca6
3. 未动态验证</x:v>
      </x:c>
    </x:row>
    <x:row r="163" ht="85" customHeight="1">
      <x:c r="A163" s="10" t="n">
        <x:v>162</x:v>
      </x:c>
      <x:c r="B163" s="10" t="str">
        <x:v>ADMIN-07-0011</x:v>
      </x:c>
      <x:c r="C163" s="10" t="str">
        <x:v>运营配置</x:v>
      </x:c>
      <x:c r="D163" s="10" t="str">
        <x:v>展示素材编辑（平台管理员视角）</x:v>
      </x:c>
      <x:c r="E163" s="10" t="str">
        <x:v>逻辑校验</x:v>
      </x:c>
      <x:c r="F163" s="10" t="str">
        <x:v>P1</x:v>
      </x:c>
      <x:c r="G163" s="9" t="str">
        <x:v>验证活动长图页面未填写对应目标内容</x:v>
      </x:c>
      <x:c r="H163" s="9" t="str">
        <x:v>展位跳转目标必填</x:v>
      </x:c>
      <x:c r="I163" s="9" t="str">
        <x:v>1. 执行角色为平台管理员
2. 账号具有当前模块访问及本次操作权限
3. 素材已上传，其他内容完整</x:v>
      </x:c>
      <x:c r="J163" s="9" t="str">
        <x:v>1. 进入展示素材编辑页
2. 选择跳转类型为活动长图页面
3. 清空详情长图
4. 点击保存</x:v>
      </x:c>
      <x:c r="K163" s="9" t="str">
        <x:v>不能保存缺少详情长图的轮播项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来源（当前证据）：liveshow-proto/MainBasis/统一需求文档.md；位置：REQ-bcc06f97ec4a；行4141
2. 规则：BR-7216029b256bde26
3. 未动态验证</x:v>
      </x:c>
    </x:row>
    <x:row r="164" ht="85" customHeight="1">
      <x:c r="A164" s="10" t="n">
        <x:v>163</x:v>
      </x:c>
      <x:c r="B164" s="10" t="str">
        <x:v>ADMIN-07-0012</x:v>
      </x:c>
      <x:c r="C164" s="10" t="str">
        <x:v>运营配置</x:v>
      </x:c>
      <x:c r="D164" s="10" t="str">
        <x:v>展示素材编辑（平台管理员视角）</x:v>
      </x:c>
      <x:c r="E164" s="10" t="str">
        <x:v>逻辑校验</x:v>
      </x:c>
      <x:c r="F164" s="10" t="str">
        <x:v>P1</x:v>
      </x:c>
      <x:c r="G164" s="9" t="str">
        <x:v>验证轮播第二行缺素材定位错误</x:v>
      </x:c>
      <x:c r="H164" s="9" t="str">
        <x:v>轮播逐项校验定位</x:v>
      </x:c>
      <x:c r="I164" s="9" t="str">
        <x:v>1. 执行角色为平台管理员
2. 账号具有当前模块访问及本次操作权限
3. 共3行，仅第2行素材为空</x:v>
      </x:c>
      <x:c r="J164" s="9" t="str">
        <x:v>1. 进入展示素材编辑页
2. 点击保存</x:v>
      </x:c>
      <x:c r="K164" s="9" t="str">
        <x:v>错误定位到第2行展示素材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来源（当前证据）：liveshow-proto/MainBasis/统一需求文档.md；位置：REQ-52bea7986f91；行4153
2. 规则：BR-1cb886fea91b739c
3. 未动态验证</x:v>
      </x:c>
    </x:row>
    <x:row r="165" ht="85" customHeight="1">
      <x:c r="A165" s="10" t="n">
        <x:v>164</x:v>
      </x:c>
      <x:c r="B165" s="10" t="str">
        <x:v>ADMIN-07-0013</x:v>
      </x:c>
      <x:c r="C165" s="10" t="str">
        <x:v>运营配置</x:v>
      </x:c>
      <x:c r="D165" s="10" t="str">
        <x:v>展示素材编辑（平台管理员视角）</x:v>
      </x:c>
      <x:c r="E165" s="10" t="str">
        <x:v>功能需求</x:v>
      </x:c>
      <x:c r="F165" s="10" t="str">
        <x:v>P2</x:v>
      </x:c>
      <x:c r="G165" s="9" t="str">
        <x:v>验证拖动素材后保存轮播顺序</x:v>
      </x:c>
      <x:c r="H165" s="9" t="str">
        <x:v>轮播顺序持久化</x:v>
      </x:c>
      <x:c r="I165" s="9" t="str">
        <x:v>1. 执行角色为平台管理员
2. 账号具有当前模块访问及本次操作权限
3. 原内容顺序A、B、C</x:v>
      </x:c>
      <x:c r="J165" s="9" t="str">
        <x:v>1. 进入展示素材编辑页
2. 拖动C到A之前
3. 点击保存</x:v>
      </x:c>
      <x:c r="K165" s="9" t="str">
        <x:v>保存后的顺序为C、A、B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来源（当前证据）：liveshow-proto/MainBasis/统一需求文档.md；位置：REQ-52bea7986f91；行4153
2. 规则：BR-46347cd5c7ed91b7
3. 未动态验证</x:v>
      </x:c>
    </x:row>
    <x:row r="166" ht="85" customHeight="1">
      <x:c r="A166" s="10" t="n">
        <x:v>165</x:v>
      </x:c>
      <x:c r="B166" s="10" t="str">
        <x:v>ADMIN-07-0014</x:v>
      </x:c>
      <x:c r="C166" s="10" t="str">
        <x:v>运营配置</x:v>
      </x:c>
      <x:c r="D166" s="10" t="str">
        <x:v>推送编辑（平台管理员视角）</x:v>
      </x:c>
      <x:c r="E166" s="10" t="str">
        <x:v>逻辑校验</x:v>
      </x:c>
      <x:c r="F166" s="10" t="str">
        <x:v>P1</x:v>
      </x:c>
      <x:c r="G166" s="9" t="str">
        <x:v>验证推送中文标题不能为空</x:v>
      </x:c>
      <x:c r="H166" s="9" t="str">
        <x:v>推送中文标题校验</x:v>
      </x:c>
      <x:c r="I166" s="9" t="str">
        <x:v>1. 执行角色为平台管理员
2. 账号具有当前模块访问及本次操作权限
3. 目标用户有效，其他四语字段完整</x:v>
      </x:c>
      <x:c r="J166" s="9" t="str">
        <x:v>1. 进入推送编辑页
2. 清空中文标题
3. 点击立即发送</x:v>
      </x:c>
      <x:c r="K166" s="9" t="str">
        <x:v>不能发送缺少四语文案的任务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来源（当前证据）：liveshow-proto/MainBasis/统一需求文档.md；位置：REQ-44ae8f223463；行4179
2. 规则：BR-1697885ee090a433
3. 未动态验证</x:v>
      </x:c>
    </x:row>
    <x:row r="167" ht="85" customHeight="1">
      <x:c r="A167" s="10" t="n">
        <x:v>166</x:v>
      </x:c>
      <x:c r="B167" s="10" t="str">
        <x:v>ADMIN-07-0015</x:v>
      </x:c>
      <x:c r="C167" s="10" t="str">
        <x:v>运营配置</x:v>
      </x:c>
      <x:c r="D167" s="10" t="str">
        <x:v>推送编辑（平台管理员视角）</x:v>
      </x:c>
      <x:c r="E167" s="10" t="str">
        <x:v>逻辑校验</x:v>
      </x:c>
      <x:c r="F167" s="10" t="str">
        <x:v>P1</x:v>
      </x:c>
      <x:c r="G167" s="9" t="str">
        <x:v>验证推送中文内容不能为空</x:v>
      </x:c>
      <x:c r="H167" s="9" t="str">
        <x:v>推送中文内容校验</x:v>
      </x:c>
      <x:c r="I167" s="9" t="str">
        <x:v>1. 执行角色为平台管理员
2. 账号具有当前模块访问及本次操作权限
3. 目标用户有效，其他四语字段完整</x:v>
      </x:c>
      <x:c r="J167" s="9" t="str">
        <x:v>1. 进入推送编辑页
2. 清空中文内容
3. 点击立即发送</x:v>
      </x:c>
      <x:c r="K167" s="9" t="str">
        <x:v>不能发送缺少四语文案的任务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来源（当前证据）：liveshow-proto/MainBasis/统一需求文档.md；位置：REQ-44ae8f223463；行4179
2. 规则：BR-0d92b014289c924d
3. 未动态验证</x:v>
      </x:c>
    </x:row>
    <x:row r="168" ht="85" customHeight="1">
      <x:c r="A168" s="10" t="n">
        <x:v>167</x:v>
      </x:c>
      <x:c r="B168" s="10" t="str">
        <x:v>ADMIN-07-0016</x:v>
      </x:c>
      <x:c r="C168" s="10" t="str">
        <x:v>运营配置</x:v>
      </x:c>
      <x:c r="D168" s="10" t="str">
        <x:v>推送编辑（平台管理员视角）</x:v>
      </x:c>
      <x:c r="E168" s="10" t="str">
        <x:v>逻辑校验</x:v>
      </x:c>
      <x:c r="F168" s="10" t="str">
        <x:v>P1</x:v>
      </x:c>
      <x:c r="G168" s="9" t="str">
        <x:v>验证推送英语标题不能为空</x:v>
      </x:c>
      <x:c r="H168" s="9" t="str">
        <x:v>推送英语标题校验</x:v>
      </x:c>
      <x:c r="I168" s="9" t="str">
        <x:v>1. 执行角色为平台管理员
2. 账号具有当前模块访问及本次操作权限
3. 目标用户有效，其他四语字段完整</x:v>
      </x:c>
      <x:c r="J168" s="9" t="str">
        <x:v>1. 进入推送编辑页
2. 清空英语标题
3. 点击立即发送</x:v>
      </x:c>
      <x:c r="K168" s="9" t="str">
        <x:v>不能发送缺少四语文案的任务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来源（当前证据）：liveshow-proto/MainBasis/统一需求文档.md；位置：REQ-44ae8f223463；行4179
2. 规则：BR-6dcf64d3dd521a36
3. 未动态验证</x:v>
      </x:c>
    </x:row>
    <x:row r="169" ht="85" customHeight="1">
      <x:c r="A169" s="10" t="n">
        <x:v>168</x:v>
      </x:c>
      <x:c r="B169" s="10" t="str">
        <x:v>ADMIN-07-0017</x:v>
      </x:c>
      <x:c r="C169" s="10" t="str">
        <x:v>运营配置</x:v>
      </x:c>
      <x:c r="D169" s="10" t="str">
        <x:v>推送编辑（平台管理员视角）</x:v>
      </x:c>
      <x:c r="E169" s="10" t="str">
        <x:v>逻辑校验</x:v>
      </x:c>
      <x:c r="F169" s="10" t="str">
        <x:v>P1</x:v>
      </x:c>
      <x:c r="G169" s="9" t="str">
        <x:v>验证推送英语内容不能为空</x:v>
      </x:c>
      <x:c r="H169" s="9" t="str">
        <x:v>推送英语内容校验</x:v>
      </x:c>
      <x:c r="I169" s="9" t="str">
        <x:v>1. 执行角色为平台管理员
2. 账号具有当前模块访问及本次操作权限
3. 目标用户有效，其他四语字段完整</x:v>
      </x:c>
      <x:c r="J169" s="9" t="str">
        <x:v>1. 进入推送编辑页
2. 清空英语内容
3. 点击立即发送</x:v>
      </x:c>
      <x:c r="K169" s="9" t="str">
        <x:v>不能发送缺少四语文案的任务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来源（当前证据）：liveshow-proto/MainBasis/统一需求文档.md；位置：REQ-44ae8f223463；行4179
2. 规则：BR-d5499e16d04ae99c
3. 未动态验证</x:v>
      </x:c>
    </x:row>
    <x:row r="170" ht="85" customHeight="1">
      <x:c r="A170" s="10" t="n">
        <x:v>169</x:v>
      </x:c>
      <x:c r="B170" s="10" t="str">
        <x:v>ADMIN-07-0018</x:v>
      </x:c>
      <x:c r="C170" s="10" t="str">
        <x:v>运营配置</x:v>
      </x:c>
      <x:c r="D170" s="10" t="str">
        <x:v>推送编辑（平台管理员视角）</x:v>
      </x:c>
      <x:c r="E170" s="10" t="str">
        <x:v>逻辑校验</x:v>
      </x:c>
      <x:c r="F170" s="10" t="str">
        <x:v>P1</x:v>
      </x:c>
      <x:c r="G170" s="9" t="str">
        <x:v>验证推送印尼语标题不能为空</x:v>
      </x:c>
      <x:c r="H170" s="9" t="str">
        <x:v>推送印尼语标题校验</x:v>
      </x:c>
      <x:c r="I170" s="9" t="str">
        <x:v>1. 执行角色为平台管理员
2. 账号具有当前模块访问及本次操作权限
3. 目标用户有效，其他四语字段完整</x:v>
      </x:c>
      <x:c r="J170" s="9" t="str">
        <x:v>1. 进入推送编辑页
2. 清空印尼语标题
3. 点击立即发送</x:v>
      </x:c>
      <x:c r="K170" s="9" t="str">
        <x:v>不能发送缺少四语文案的任务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来源（当前证据）：liveshow-proto/MainBasis/统一需求文档.md；位置：REQ-44ae8f223463；行4179
2. 规则：BR-08be3c167d085357
3. 未动态验证</x:v>
      </x:c>
    </x:row>
    <x:row r="171" ht="85" customHeight="1">
      <x:c r="A171" s="10" t="n">
        <x:v>170</x:v>
      </x:c>
      <x:c r="B171" s="10" t="str">
        <x:v>ADMIN-07-0019</x:v>
      </x:c>
      <x:c r="C171" s="10" t="str">
        <x:v>运营配置</x:v>
      </x:c>
      <x:c r="D171" s="10" t="str">
        <x:v>推送编辑（平台管理员视角）</x:v>
      </x:c>
      <x:c r="E171" s="10" t="str">
        <x:v>逻辑校验</x:v>
      </x:c>
      <x:c r="F171" s="10" t="str">
        <x:v>P1</x:v>
      </x:c>
      <x:c r="G171" s="9" t="str">
        <x:v>验证推送印尼语内容不能为空</x:v>
      </x:c>
      <x:c r="H171" s="9" t="str">
        <x:v>推送印尼语内容校验</x:v>
      </x:c>
      <x:c r="I171" s="9" t="str">
        <x:v>1. 执行角色为平台管理员
2. 账号具有当前模块访问及本次操作权限
3. 目标用户有效，其他四语字段完整</x:v>
      </x:c>
      <x:c r="J171" s="9" t="str">
        <x:v>1. 进入推送编辑页
2. 清空印尼语内容
3. 点击立即发送</x:v>
      </x:c>
      <x:c r="K171" s="9" t="str">
        <x:v>不能发送缺少四语文案的任务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来源（当前证据）：liveshow-proto/MainBasis/统一需求文档.md；位置：REQ-44ae8f223463；行4179
2. 规则：BR-c8904cf62f3ab2cb
3. 未动态验证</x:v>
      </x:c>
    </x:row>
    <x:row r="172" ht="85" customHeight="1">
      <x:c r="A172" s="10" t="n">
        <x:v>171</x:v>
      </x:c>
      <x:c r="B172" s="10" t="str">
        <x:v>ADMIN-07-0020</x:v>
      </x:c>
      <x:c r="C172" s="10" t="str">
        <x:v>运营配置</x:v>
      </x:c>
      <x:c r="D172" s="10" t="str">
        <x:v>推送编辑（平台管理员视角）</x:v>
      </x:c>
      <x:c r="E172" s="10" t="str">
        <x:v>逻辑校验</x:v>
      </x:c>
      <x:c r="F172" s="10" t="str">
        <x:v>P1</x:v>
      </x:c>
      <x:c r="G172" s="9" t="str">
        <x:v>验证推送马来语标题不能为空</x:v>
      </x:c>
      <x:c r="H172" s="9" t="str">
        <x:v>推送马来语标题校验</x:v>
      </x:c>
      <x:c r="I172" s="9" t="str">
        <x:v>1. 执行角色为平台管理员
2. 账号具有当前模块访问及本次操作权限
3. 目标用户有效，其他四语字段完整</x:v>
      </x:c>
      <x:c r="J172" s="9" t="str">
        <x:v>1. 进入推送编辑页
2. 清空马来语标题
3. 点击立即发送</x:v>
      </x:c>
      <x:c r="K172" s="9" t="str">
        <x:v>不能发送缺少四语文案的任务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来源（当前证据）：liveshow-proto/MainBasis/统一需求文档.md；位置：REQ-44ae8f223463；行4179
2. 规则：BR-8e4fdbd06bd3b22a
3. 未动态验证</x:v>
      </x:c>
    </x:row>
    <x:row r="173" ht="85" customHeight="1">
      <x:c r="A173" s="10" t="n">
        <x:v>172</x:v>
      </x:c>
      <x:c r="B173" s="10" t="str">
        <x:v>ADMIN-07-0021</x:v>
      </x:c>
      <x:c r="C173" s="10" t="str">
        <x:v>运营配置</x:v>
      </x:c>
      <x:c r="D173" s="10" t="str">
        <x:v>推送编辑（平台管理员视角）</x:v>
      </x:c>
      <x:c r="E173" s="10" t="str">
        <x:v>逻辑校验</x:v>
      </x:c>
      <x:c r="F173" s="10" t="str">
        <x:v>P1</x:v>
      </x:c>
      <x:c r="G173" s="9" t="str">
        <x:v>验证推送马来语内容不能为空</x:v>
      </x:c>
      <x:c r="H173" s="9" t="str">
        <x:v>推送马来语内容校验</x:v>
      </x:c>
      <x:c r="I173" s="9" t="str">
        <x:v>1. 执行角色为平台管理员
2. 账号具有当前模块访问及本次操作权限
3. 目标用户有效，其他四语字段完整</x:v>
      </x:c>
      <x:c r="J173" s="9" t="str">
        <x:v>1. 进入推送编辑页
2. 清空马来语内容
3. 点击立即发送</x:v>
      </x:c>
      <x:c r="K173" s="9" t="str">
        <x:v>不能发送缺少四语文案的任务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来源（当前证据）：liveshow-proto/MainBasis/统一需求文档.md；位置：REQ-44ae8f223463；行4179
2. 规则：BR-4f86bead68b1eac1
3. 未动态验证</x:v>
      </x:c>
    </x:row>
    <x:row r="174" ht="85" customHeight="1">
      <x:c r="A174" s="10" t="n">
        <x:v>173</x:v>
      </x:c>
      <x:c r="B174" s="10" t="str">
        <x:v>ADMIN-07-0022</x:v>
      </x:c>
      <x:c r="C174" s="10" t="str">
        <x:v>运营配置</x:v>
      </x:c>
      <x:c r="D174" s="10" t="str">
        <x:v>推送编辑（平台管理员视角）</x:v>
      </x:c>
      <x:c r="E174" s="10" t="str">
        <x:v>逻辑校验</x:v>
      </x:c>
      <x:c r="F174" s="10" t="str">
        <x:v>P1</x:v>
      </x:c>
      <x:c r="G174" s="9" t="str">
        <x:v>验证定向推送必须选择有效公会</x:v>
      </x:c>
      <x:c r="H174" s="9" t="str">
        <x:v>推送目标公会有效性</x:v>
      </x:c>
      <x:c r="I174" s="9" t="str">
        <x:v>1. 执行角色为平台管理员
2. 账号具有当前模块访问及本次操作权限
3. 文案完整，目标类型为公会</x:v>
      </x:c>
      <x:c r="J174" s="9" t="str">
        <x:v>1. 进入推送编辑页
2. 清空目标公会
3. 点击立即发送</x:v>
      </x:c>
      <x:c r="K174" s="9" t="str">
        <x:v>不能发送未指定公会的定向任务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来源（当前证据）：liveshow-proto/MainBasis/统一需求文档.md；位置：REQ-2814c68c7817；行4181
2. 规则：BR-d74d4f6315ffb585
3. 未动态验证</x:v>
      </x:c>
    </x:row>
    <x:row r="175" ht="130" customHeight="1">
      <x:c r="A175" s="10" t="n">
        <x:v>174</x:v>
      </x:c>
      <x:c r="B175" s="10" t="str">
        <x:v>ADMIN-07-0023</x:v>
      </x:c>
      <x:c r="C175" s="10" t="str">
        <x:v>运营配置</x:v>
      </x:c>
      <x:c r="D175" s="10" t="str">
        <x:v>推送编辑（平台管理员视角）</x:v>
      </x:c>
      <x:c r="E175" s="10" t="str">
        <x:v>业务流程</x:v>
      </x:c>
      <x:c r="F175" s="10" t="str">
        <x:v>P0</x:v>
      </x:c>
      <x:c r="G175" s="9" t="str">
        <x:v>验证有效推送发送后只读</x:v>
      </x:c>
      <x:c r="H175" s="9" t="str">
        <x:v>推送发送终态</x:v>
      </x:c>
      <x:c r="I175" s="9" t="str">
        <x:v>1. 执行角色为平台管理员
2. 账号具有当前模块访问及本次操作权限
3. 四语标题正文及目标用户有效
4. 环境准备：测试推送通道可用并能返回发送结果；原型仅模拟发送</x:v>
      </x:c>
      <x:c r="J175" s="9" t="str">
        <x:v>1. 进入推送编辑页
2. 点击立即发送</x:v>
      </x:c>
      <x:c r="K175" s="9" t="str">
        <x:v>当前推送编辑页变为只读</x:v>
      </x:c>
      <x:c r="L175" s="10" t="str">
        <x:v>FLOW-17AE44CAF5</x:v>
      </x:c>
      <x:c r="M175" s="10" t="str">
        <x:v>未测</x:v>
      </x:c>
      <x:c r="N175" s="10" t="str"/>
      <x:c r="O175" s="9" t="str">
        <x:v>1. 来源（当前证据）：liveshow-proto/MainBasis/统一需求文档.md；位置：REQ-844672cd70f7；行4185
2. 规则：BR-27e129959acf92cc
3. 未动态验证</x:v>
      </x:c>
    </x:row>
    <x:row r="176" ht="85" customHeight="1">
      <x:c r="A176" s="10" t="n">
        <x:v>175</x:v>
      </x:c>
      <x:c r="B176" s="10" t="str">
        <x:v>ADMIN-07-0024</x:v>
      </x:c>
      <x:c r="C176" s="10" t="str">
        <x:v>运营配置</x:v>
      </x:c>
      <x:c r="D176" s="10" t="str">
        <x:v>推送管理（平台管理员视角）</x:v>
      </x:c>
      <x:c r="E176" s="10" t="str">
        <x:v>逻辑校验</x:v>
      </x:c>
      <x:c r="F176" s="10" t="str">
        <x:v>P1</x:v>
      </x:c>
      <x:c r="G176" s="9" t="str">
        <x:v>验证推送人数按成功账号去重</x:v>
      </x:c>
      <x:c r="H176" s="9" t="str">
        <x:v>推送成功人数</x:v>
      </x:c>
      <x:c r="I176" s="9" t="str">
        <x:v>1. 执行角色为平台管理员
2. 账号具有当前模块访问及本次操作权限
3. 用户甲成功2次回执、乙成功1次、丙失败</x:v>
      </x:c>
      <x:c r="J176" s="9" t="str">
        <x:v>1. 进入推送管理页</x:v>
      </x:c>
      <x:c r="K176" s="9" t="str">
        <x:v>发送人数显示2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来源（当前证据）：liveshow-proto/MainBasis/统一需求文档.md；位置：REQ-f339c8fa382b；行4164
2. 规则：BR-178d05af39dbfdea
3. 未动态验证</x:v>
      </x:c>
    </x:row>
    <x:row r="177" ht="85" customHeight="1">
      <x:c r="A177" s="10" t="n">
        <x:v>176</x:v>
      </x:c>
      <x:c r="B177" s="10" t="str">
        <x:v>ADMIN-07-0025</x:v>
      </x:c>
      <x:c r="C177" s="10" t="str">
        <x:v>运营配置</x:v>
      </x:c>
      <x:c r="D177" s="10" t="str">
        <x:v>充值套餐编辑（平台管理员视角）</x:v>
      </x:c>
      <x:c r="E177" s="10" t="str">
        <x:v>逻辑校验</x:v>
      </x:c>
      <x:c r="F177" s="10" t="str">
        <x:v>P1</x:v>
      </x:c>
      <x:c r="G177" s="9" t="str">
        <x:v>验证充值套餐两个平台都关闭不能保存</x:v>
      </x:c>
      <x:c r="H177" s="9" t="str">
        <x:v>套餐平台至少一个</x:v>
      </x:c>
      <x:c r="I177" s="9" t="str">
        <x:v>1. 执行角色为平台管理员
2. 账号具有当前模块访问及本次操作权限</x:v>
      </x:c>
      <x:c r="J177" s="9" t="str">
        <x:v>1. 进入充值套餐编辑页
2. 关闭iOS平台
3. 关闭Android平台
4. 点击保存</x:v>
      </x:c>
      <x:c r="K177" s="9" t="str">
        <x:v>不能保存未启用任何平台的套餐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来源（当前证据）：liveshow-proto/MainBasis/统一需求文档.md；位置：REQ-b6e63b69aae4；行4225
2. 规则：BR-c4d46b80838dfc71
3. 未动态验证</x:v>
      </x:c>
    </x:row>
    <x:row r="178" ht="85" customHeight="1">
      <x:c r="A178" s="10" t="n">
        <x:v>177</x:v>
      </x:c>
      <x:c r="B178" s="10" t="str">
        <x:v>ADMIN-07-0026</x:v>
      </x:c>
      <x:c r="C178" s="10" t="str">
        <x:v>运营配置</x:v>
      </x:c>
      <x:c r="D178" s="10" t="str">
        <x:v>充值套餐编辑（平台管理员视角）</x:v>
      </x:c>
      <x:c r="E178" s="10" t="str">
        <x:v>逻辑校验</x:v>
      </x:c>
      <x:c r="F178" s="10" t="str">
        <x:v>P1</x:v>
      </x:c>
      <x:c r="G178" s="9" t="str">
        <x:v>验证iOS启用未选商品不能保存</x:v>
      </x:c>
      <x:c r="H178" s="9" t="str">
        <x:v>iOS商品必选</x:v>
      </x:c>
      <x:c r="I178" s="9" t="str">
        <x:v>1. 执行角色为平台管理员
2. 账号具有当前模块访问及本次操作权限
3. 其他配置完整</x:v>
      </x:c>
      <x:c r="J178" s="9" t="str">
        <x:v>1. 进入充值套餐编辑页
2. 启用iOS平台
3. 清空iOS商品
4. 点击保存</x:v>
      </x:c>
      <x:c r="K178" s="9" t="str">
        <x:v>不能保存缺少商品的启用平台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来源（当前证据）：liveshow-proto/MainBasis/统一需求文档.md；位置：REQ-b6e63b69aae4；行4225
2. 规则：BR-1785f6dec8eade17
3. 未动态验证</x:v>
      </x:c>
    </x:row>
    <x:row r="179" ht="85" customHeight="1">
      <x:c r="A179" s="10" t="n">
        <x:v>178</x:v>
      </x:c>
      <x:c r="B179" s="10" t="str">
        <x:v>ADMIN-07-0027</x:v>
      </x:c>
      <x:c r="C179" s="10" t="str">
        <x:v>运营配置</x:v>
      </x:c>
      <x:c r="D179" s="10" t="str">
        <x:v>充值套餐编辑（平台管理员视角）</x:v>
      </x:c>
      <x:c r="E179" s="10" t="str">
        <x:v>逻辑校验</x:v>
      </x:c>
      <x:c r="F179" s="10" t="str">
        <x:v>P1</x:v>
      </x:c>
      <x:c r="G179" s="9" t="str">
        <x:v>验证iOS未选商品不能输入金币</x:v>
      </x:c>
      <x:c r="H179" s="9" t="str">
        <x:v>iOS金币输入前置</x:v>
      </x:c>
      <x:c r="I179" s="9" t="str">
        <x:v>1. 执行角色为平台管理员
2. 账号具有当前模块访问及本次操作权限
3. iOS平台已启用但未选商品</x:v>
      </x:c>
      <x:c r="J179" s="9" t="str">
        <x:v>1. 进入充值套餐编辑页</x:v>
      </x:c>
      <x:c r="K179" s="9" t="str">
        <x:v>iOS金币输入不可用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来源（当前证据）：liveshow-proto/MainBasis/统一需求文档.md；位置：REQ-61cdebdb8329；行4237
2. 规则：BR-60a8d97bb384a4e7
3. 未动态验证</x:v>
      </x:c>
    </x:row>
    <x:row r="180" ht="85" customHeight="1">
      <x:c r="A180" s="10" t="n">
        <x:v>179</x:v>
      </x:c>
      <x:c r="B180" s="10" t="str">
        <x:v>ADMIN-07-0028</x:v>
      </x:c>
      <x:c r="C180" s="10" t="str">
        <x:v>运营配置</x:v>
      </x:c>
      <x:c r="D180" s="10" t="str">
        <x:v>充值套餐编辑（平台管理员视角）</x:v>
      </x:c>
      <x:c r="E180" s="10" t="str">
        <x:v>逻辑校验</x:v>
      </x:c>
      <x:c r="F180" s="10" t="str">
        <x:v>P1</x:v>
      </x:c>
      <x:c r="G180" s="9" t="str">
        <x:v>验证iOS商品不允许重复绑定</x:v>
      </x:c>
      <x:c r="H180" s="9" t="str">
        <x:v>iOS商店商品唯一绑定</x:v>
      </x:c>
      <x:c r="I180" s="9" t="str">
        <x:v>1. 执行角色为平台管理员
2. 账号具有当前模块访问及本次操作权限
3. iOS商品S已绑定另一个套餐，其他输入完整</x:v>
      </x:c>
      <x:c r="J180" s="9" t="str">
        <x:v>1. 进入充值套餐编辑页
2. 选择iOS商品为S
3. 点击保存</x:v>
      </x:c>
      <x:c r="K180" s="9" t="str">
        <x:v>不能保存重复商品绑定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来源（当前证据）：liveshow-proto/MainBasis/统一需求文档.md；位置：REQ-c6debf4e6c39；行4227
2. 规则：BR-af7ce9af2ad82bb3
3. 未动态验证</x:v>
      </x:c>
    </x:row>
    <x:row r="181" ht="85" customHeight="1">
      <x:c r="A181" s="10" t="n">
        <x:v>180</x:v>
      </x:c>
      <x:c r="B181" s="10" t="str">
        <x:v>ADMIN-07-0029</x:v>
      </x:c>
      <x:c r="C181" s="10" t="str">
        <x:v>运营配置</x:v>
      </x:c>
      <x:c r="D181" s="10" t="str">
        <x:v>充值套餐编辑（平台管理员视角）</x:v>
      </x:c>
      <x:c r="E181" s="10" t="str">
        <x:v>逻辑校验</x:v>
      </x:c>
      <x:c r="F181" s="10" t="str">
        <x:v>P1</x:v>
      </x:c>
      <x:c r="G181" s="9" t="str">
        <x:v>验证关闭iOS禁用商品配置</x:v>
      </x:c>
      <x:c r="H181" s="9" t="str">
        <x:v>iOS关闭后输入状态</x:v>
      </x:c>
      <x:c r="I181" s="9" t="str">
        <x:v>1. 执行角色为平台管理员
2. 账号具有当前模块访问及本次操作权限
3. 另一平台已启用并配置完整</x:v>
      </x:c>
      <x:c r="J181" s="9" t="str">
        <x:v>1. 进入充值套餐编辑页
2. 关闭iOS平台</x:v>
      </x:c>
      <x:c r="K181" s="9" t="str">
        <x:v>iOS商品及金币输入不可用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来源（当前证据）：liveshow-proto/MainBasis/统一需求文档.md；位置：REQ-8708af26b46a；行4243
2. 规则：BR-8b569180d3d9843f
3. 未动态验证</x:v>
      </x:c>
    </x:row>
    <x:row r="182" ht="85" customHeight="1">
      <x:c r="A182" s="10" t="n">
        <x:v>181</x:v>
      </x:c>
      <x:c r="B182" s="10" t="str">
        <x:v>ADMIN-07-0030</x:v>
      </x:c>
      <x:c r="C182" s="10" t="str">
        <x:v>运营配置</x:v>
      </x:c>
      <x:c r="D182" s="10" t="str">
        <x:v>充值套餐编辑（平台管理员视角）</x:v>
      </x:c>
      <x:c r="E182" s="10" t="str">
        <x:v>逻辑校验</x:v>
      </x:c>
      <x:c r="F182" s="10" t="str">
        <x:v>P1</x:v>
      </x:c>
      <x:c r="G182" s="9" t="str">
        <x:v>验证Android启用未选商品不能保存</x:v>
      </x:c>
      <x:c r="H182" s="9" t="str">
        <x:v>Android商品必选</x:v>
      </x:c>
      <x:c r="I182" s="9" t="str">
        <x:v>1. 执行角色为平台管理员
2. 账号具有当前模块访问及本次操作权限
3. 其他配置完整</x:v>
      </x:c>
      <x:c r="J182" s="9" t="str">
        <x:v>1. 进入充值套餐编辑页
2. 启用Android平台
3. 清空Android商品
4. 点击保存</x:v>
      </x:c>
      <x:c r="K182" s="9" t="str">
        <x:v>不能保存缺少商品的启用平台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来源（当前证据）：liveshow-proto/MainBasis/统一需求文档.md；位置：REQ-b6e63b69aae4；行4225
2. 规则：BR-6a67a8bed79eb866
3. 未动态验证</x:v>
      </x:c>
    </x:row>
    <x:row r="183" ht="85" customHeight="1">
      <x:c r="A183" s="10" t="n">
        <x:v>182</x:v>
      </x:c>
      <x:c r="B183" s="10" t="str">
        <x:v>ADMIN-07-0031</x:v>
      </x:c>
      <x:c r="C183" s="10" t="str">
        <x:v>运营配置</x:v>
      </x:c>
      <x:c r="D183" s="10" t="str">
        <x:v>充值套餐编辑（平台管理员视角）</x:v>
      </x:c>
      <x:c r="E183" s="10" t="str">
        <x:v>逻辑校验</x:v>
      </x:c>
      <x:c r="F183" s="10" t="str">
        <x:v>P1</x:v>
      </x:c>
      <x:c r="G183" s="9" t="str">
        <x:v>验证Android未选商品不能输入金币</x:v>
      </x:c>
      <x:c r="H183" s="9" t="str">
        <x:v>Android金币输入前置</x:v>
      </x:c>
      <x:c r="I183" s="9" t="str">
        <x:v>1. 执行角色为平台管理员
2. 账号具有当前模块访问及本次操作权限
3. Android平台已启用但未选商品</x:v>
      </x:c>
      <x:c r="J183" s="9" t="str">
        <x:v>1. 进入充值套餐编辑页</x:v>
      </x:c>
      <x:c r="K183" s="9" t="str">
        <x:v>Android金币输入不可用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来源（当前证据）：liveshow-proto/MainBasis/统一需求文档.md；位置：REQ-61cdebdb8329；行4237
2. 规则：BR-74d757feae3df87a
3. 未动态验证</x:v>
      </x:c>
    </x:row>
    <x:row r="184" ht="85" customHeight="1">
      <x:c r="A184" s="10" t="n">
        <x:v>183</x:v>
      </x:c>
      <x:c r="B184" s="10" t="str">
        <x:v>ADMIN-07-0032</x:v>
      </x:c>
      <x:c r="C184" s="10" t="str">
        <x:v>运营配置</x:v>
      </x:c>
      <x:c r="D184" s="10" t="str">
        <x:v>充值套餐编辑（平台管理员视角）</x:v>
      </x:c>
      <x:c r="E184" s="10" t="str">
        <x:v>逻辑校验</x:v>
      </x:c>
      <x:c r="F184" s="10" t="str">
        <x:v>P1</x:v>
      </x:c>
      <x:c r="G184" s="9" t="str">
        <x:v>验证Android商品不允许重复绑定</x:v>
      </x:c>
      <x:c r="H184" s="9" t="str">
        <x:v>Android商店商品唯一绑定</x:v>
      </x:c>
      <x:c r="I184" s="9" t="str">
        <x:v>1. 执行角色为平台管理员
2. 账号具有当前模块访问及本次操作权限
3. Android商品S已绑定另一个套餐，其他输入完整</x:v>
      </x:c>
      <x:c r="J184" s="9" t="str">
        <x:v>1. 进入充值套餐编辑页
2. 选择Android商品为S
3. 点击保存</x:v>
      </x:c>
      <x:c r="K184" s="9" t="str">
        <x:v>不能保存重复商品绑定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来源（当前证据）：liveshow-proto/MainBasis/统一需求文档.md；位置：REQ-c6debf4e6c39；行4227
2. 规则：BR-2fada1082648c94f
3. 未动态验证</x:v>
      </x:c>
    </x:row>
    <x:row r="185" ht="85" customHeight="1">
      <x:c r="A185" s="10" t="n">
        <x:v>184</x:v>
      </x:c>
      <x:c r="B185" s="10" t="str">
        <x:v>ADMIN-07-0033</x:v>
      </x:c>
      <x:c r="C185" s="10" t="str">
        <x:v>运营配置</x:v>
      </x:c>
      <x:c r="D185" s="10" t="str">
        <x:v>充值套餐编辑（平台管理员视角）</x:v>
      </x:c>
      <x:c r="E185" s="10" t="str">
        <x:v>逻辑校验</x:v>
      </x:c>
      <x:c r="F185" s="10" t="str">
        <x:v>P1</x:v>
      </x:c>
      <x:c r="G185" s="9" t="str">
        <x:v>验证关闭Android禁用商品配置</x:v>
      </x:c>
      <x:c r="H185" s="9" t="str">
        <x:v>Android关闭后输入状态</x:v>
      </x:c>
      <x:c r="I185" s="9" t="str">
        <x:v>1. 执行角色为平台管理员
2. 账号具有当前模块访问及本次操作权限
3. 另一平台已启用并配置完整</x:v>
      </x:c>
      <x:c r="J185" s="9" t="str">
        <x:v>1. 进入充值套餐编辑页
2. 关闭Android平台</x:v>
      </x:c>
      <x:c r="K185" s="9" t="str">
        <x:v>Android商品及金币输入不可用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来源（当前证据）：liveshow-proto/MainBasis/统一需求文档.md；位置：REQ-8708af26b46a；行4243
2. 规则：BR-6ccb40b11191bbb4
3. 未动态验证</x:v>
      </x:c>
    </x:row>
    <x:row r="186" ht="100" customHeight="1">
      <x:c r="A186" s="10" t="n">
        <x:v>185</x:v>
      </x:c>
      <x:c r="B186" s="10" t="str">
        <x:v>ADMIN-07-0034</x:v>
      </x:c>
      <x:c r="C186" s="10" t="str">
        <x:v>运营配置</x:v>
      </x:c>
      <x:c r="D186" s="10" t="str">
        <x:v>充值套餐编辑（平台管理员视角）</x:v>
      </x:c>
      <x:c r="E186" s="10" t="str">
        <x:v>逻辑校验</x:v>
      </x:c>
      <x:c r="F186" s="10" t="str">
        <x:v>P1</x:v>
      </x:c>
      <x:c r="G186" s="9" t="str">
        <x:v>验证双平台商品档位不同不允许保存</x:v>
      </x:c>
      <x:c r="H186" s="9" t="str">
        <x:v>充值双端商品档位一致性</x:v>
      </x:c>
      <x:c r="I186" s="9" t="str">
        <x:v>1. 执行角色为平台管理员
2. 账号具有当前模块访问及本次操作权限
3. 两平台商品均来自可用商店目录，仅商品档位不同，其余配置有效</x:v>
      </x:c>
      <x:c r="J186" s="9" t="str">
        <x:v>1. 进入充值套餐编辑页
2. 点击保存</x:v>
      </x:c>
      <x:c r="K186" s="9" t="str">
        <x:v>不能保存双平台商品档位不一致的套餐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来源（当前证据）：liveshow-proto/MainBasis/统一需求文档.md；位置：REQ-087ce2d2c963；行4229
2. 规则：BR-2209024bab2e070b
3. 未动态验证</x:v>
      </x:c>
    </x:row>
    <x:row r="187" ht="100" customHeight="1">
      <x:c r="A187" s="10" t="n">
        <x:v>186</x:v>
      </x:c>
      <x:c r="B187" s="10" t="str">
        <x:v>ADMIN-07-0035</x:v>
      </x:c>
      <x:c r="C187" s="10" t="str">
        <x:v>运营配置</x:v>
      </x:c>
      <x:c r="D187" s="10" t="str">
        <x:v>充值套餐编辑（平台管理员视角）</x:v>
      </x:c>
      <x:c r="E187" s="10" t="str">
        <x:v>逻辑校验</x:v>
      </x:c>
      <x:c r="F187" s="10" t="str">
        <x:v>P1</x:v>
      </x:c>
      <x:c r="G187" s="9" t="str">
        <x:v>验证双平台价格不同不允许保存</x:v>
      </x:c>
      <x:c r="H187" s="9" t="str">
        <x:v>充值双端价格一致性</x:v>
      </x:c>
      <x:c r="I187" s="9" t="str">
        <x:v>1. 执行角色为平台管理员
2. 账号具有当前模块访问及本次操作权限
3. 两平台商品均来自可用商店目录，仅价格不同，其余配置有效</x:v>
      </x:c>
      <x:c r="J187" s="9" t="str">
        <x:v>1. 进入充值套餐编辑页
2. 点击保存</x:v>
      </x:c>
      <x:c r="K187" s="9" t="str">
        <x:v>不能保存双平台价格不一致的套餐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来源（当前证据）：liveshow-proto/MainBasis/统一需求文档.md；位置：REQ-087ce2d2c963；行4229
2. 规则：BR-d6f4fd79fb46f690
3. 未动态验证</x:v>
      </x:c>
    </x:row>
    <x:row r="188" ht="100" customHeight="1">
      <x:c r="A188" s="10" t="n">
        <x:v>187</x:v>
      </x:c>
      <x:c r="B188" s="10" t="str">
        <x:v>ADMIN-07-0036</x:v>
      </x:c>
      <x:c r="C188" s="10" t="str">
        <x:v>运营配置</x:v>
      </x:c>
      <x:c r="D188" s="10" t="str">
        <x:v>充值套餐编辑（平台管理员视角）</x:v>
      </x:c>
      <x:c r="E188" s="10" t="str">
        <x:v>逻辑校验</x:v>
      </x:c>
      <x:c r="F188" s="10" t="str">
        <x:v>P1</x:v>
      </x:c>
      <x:c r="G188" s="9" t="str">
        <x:v>验证双平台币种不同不允许保存</x:v>
      </x:c>
      <x:c r="H188" s="9" t="str">
        <x:v>充值双端币种一致性</x:v>
      </x:c>
      <x:c r="I188" s="9" t="str">
        <x:v>1. 执行角色为平台管理员
2. 账号具有当前模块访问及本次操作权限
3. 两平台商品均来自可用商店目录，仅币种不同，其余配置有效</x:v>
      </x:c>
      <x:c r="J188" s="9" t="str">
        <x:v>1. 进入充值套餐编辑页
2. 点击保存</x:v>
      </x:c>
      <x:c r="K188" s="9" t="str">
        <x:v>不能保存双平台币种不一致的套餐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来源（当前证据）：liveshow-proto/MainBasis/统一需求文档.md；位置：REQ-087ce2d2c963；行4229
2. 规则：BR-409c5dffdfacc76a
3. 未动态验证</x:v>
      </x:c>
    </x:row>
    <x:row r="189" ht="100" customHeight="1">
      <x:c r="A189" s="10" t="n">
        <x:v>188</x:v>
      </x:c>
      <x:c r="B189" s="10" t="str">
        <x:v>ADMIN-07-0037</x:v>
      </x:c>
      <x:c r="C189" s="10" t="str">
        <x:v>运营配置</x:v>
      </x:c>
      <x:c r="D189" s="10" t="str">
        <x:v>充值套餐编辑（平台管理员视角）</x:v>
      </x:c>
      <x:c r="E189" s="10" t="str">
        <x:v>逻辑校验</x:v>
      </x:c>
      <x:c r="F189" s="10" t="str">
        <x:v>P1</x:v>
      </x:c>
      <x:c r="G189" s="9" t="str">
        <x:v>验证双平台地区不同不允许保存</x:v>
      </x:c>
      <x:c r="H189" s="9" t="str">
        <x:v>充值双端地区一致性</x:v>
      </x:c>
      <x:c r="I189" s="9" t="str">
        <x:v>1. 执行角色为平台管理员
2. 账号具有当前模块访问及本次操作权限
3. 两平台商品均来自可用商店目录，仅地区不同，其余配置有效</x:v>
      </x:c>
      <x:c r="J189" s="9" t="str">
        <x:v>1. 进入充值套餐编辑页
2. 点击保存</x:v>
      </x:c>
      <x:c r="K189" s="9" t="str">
        <x:v>不能保存双平台地区不一致的套餐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来源（当前证据）：liveshow-proto/MainBasis/统一需求文档.md；位置：REQ-087ce2d2c963；行4229
2. 规则：BR-d698586100dbe08d
3. 未动态验证</x:v>
      </x:c>
    </x:row>
    <x:row r="190" ht="100" customHeight="1">
      <x:c r="A190" s="10" t="n">
        <x:v>189</x:v>
      </x:c>
      <x:c r="B190" s="10" t="str">
        <x:v>ADMIN-07-0038</x:v>
      </x:c>
      <x:c r="C190" s="10" t="str">
        <x:v>运营配置</x:v>
      </x:c>
      <x:c r="D190" s="10" t="str">
        <x:v>充值套餐编辑（平台管理员视角）</x:v>
      </x:c>
      <x:c r="E190" s="10" t="str">
        <x:v>业务流程</x:v>
      </x:c>
      <x:c r="F190" s="10" t="str">
        <x:v>P0</x:v>
      </x:c>
      <x:c r="G190" s="9" t="str">
        <x:v>验证双端商品ID不同但同档允许保存</x:v>
      </x:c>
      <x:c r="H190" s="9" t="str">
        <x:v>充值双平台商品关联</x:v>
      </x:c>
      <x:c r="I190" s="9" t="str">
        <x:v>1. 执行角色为平台管理员
2. 账号具有当前模块访问及本次操作权限
3. iOS商品I1、Android商品A1，档位价格币种地区一致，金币与公共字段有效</x:v>
      </x:c>
      <x:c r="J190" s="9" t="str">
        <x:v>1. 进入充值套餐编辑页
2. 点击保存</x:v>
      </x:c>
      <x:c r="K190" s="9" t="str">
        <x:v>保存成功后留在当前页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来源（当前证据）：liveshow-proto/MainBasis/统一需求文档.md；位置：REQ-087ce2d2c963；行4229
2. 规则：BR-4d25d02518085d19
3. 未动态验证</x:v>
      </x:c>
    </x:row>
    <x:row r="191" ht="85" customHeight="1">
      <x:c r="A191" s="10" t="n">
        <x:v>190</x:v>
      </x:c>
      <x:c r="B191" s="10" t="str">
        <x:v>ADMIN-07-0039</x:v>
      </x:c>
      <x:c r="C191" s="10" t="str">
        <x:v>运营配置</x:v>
      </x:c>
      <x:c r="D191" s="10" t="str">
        <x:v>充值套餐编辑（平台管理员视角）</x:v>
      </x:c>
      <x:c r="E191" s="10" t="str">
        <x:v>逻辑校验</x:v>
      </x:c>
      <x:c r="F191" s="10" t="str">
        <x:v>P1</x:v>
      </x:c>
      <x:c r="G191" s="9" t="str">
        <x:v>验证充值金币填写0不能保存</x:v>
      </x:c>
      <x:c r="H191" s="9" t="str">
        <x:v>套餐充值金币约束</x:v>
      </x:c>
      <x:c r="I191" s="9" t="str">
        <x:v>1. 执行角色为平台管理员
2. 账号具有当前模块访问及本次操作权限
3. iOS已选择商品，其他字段有效</x:v>
      </x:c>
      <x:c r="J191" s="9" t="str">
        <x:v>1. 进入充值套餐编辑页
2. 填写iOS充值金币为0
3. 点击保存</x:v>
      </x:c>
      <x:c r="K191" s="9" t="str">
        <x:v>不能保存金币配置不合法的套餐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来源（当前证据）：liveshow-proto/MainBasis/统一需求文档.md；位置：REQ-adbeef94f7fc；行4223
2. 规则：BR-b31b8251919188e5
3. 未动态验证</x:v>
      </x:c>
    </x:row>
    <x:row r="192" ht="85" customHeight="1">
      <x:c r="A192" s="10" t="n">
        <x:v>191</x:v>
      </x:c>
      <x:c r="B192" s="10" t="str">
        <x:v>ADMIN-07-0040</x:v>
      </x:c>
      <x:c r="C192" s="10" t="str">
        <x:v>运营配置</x:v>
      </x:c>
      <x:c r="D192" s="10" t="str">
        <x:v>充值套餐编辑（平台管理员视角）</x:v>
      </x:c>
      <x:c r="E192" s="10" t="str">
        <x:v>逻辑校验</x:v>
      </x:c>
      <x:c r="F192" s="10" t="str">
        <x:v>P1</x:v>
      </x:c>
      <x:c r="G192" s="9" t="str">
        <x:v>验证充值金币填写-1不能保存</x:v>
      </x:c>
      <x:c r="H192" s="9" t="str">
        <x:v>套餐充值金币约束</x:v>
      </x:c>
      <x:c r="I192" s="9" t="str">
        <x:v>1. 执行角色为平台管理员
2. 账号具有当前模块访问及本次操作权限
3. iOS已选择商品，其他字段有效</x:v>
      </x:c>
      <x:c r="J192" s="9" t="str">
        <x:v>1. 进入充值套餐编辑页
2. 填写iOS充值金币为-1
3. 点击保存</x:v>
      </x:c>
      <x:c r="K192" s="9" t="str">
        <x:v>不能保存金币配置不合法的套餐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来源（当前证据）：liveshow-proto/MainBasis/统一需求文档.md；位置：REQ-adbeef94f7fc；行4223
2. 规则：BR-84c65b329974f2bd
3. 未动态验证</x:v>
      </x:c>
    </x:row>
    <x:row r="193" ht="85" customHeight="1">
      <x:c r="A193" s="10" t="n">
        <x:v>192</x:v>
      </x:c>
      <x:c r="B193" s="10" t="str">
        <x:v>ADMIN-07-0041</x:v>
      </x:c>
      <x:c r="C193" s="10" t="str">
        <x:v>运营配置</x:v>
      </x:c>
      <x:c r="D193" s="10" t="str">
        <x:v>充值套餐编辑（平台管理员视角）</x:v>
      </x:c>
      <x:c r="E193" s="10" t="str">
        <x:v>逻辑校验</x:v>
      </x:c>
      <x:c r="F193" s="10" t="str">
        <x:v>P1</x:v>
      </x:c>
      <x:c r="G193" s="9" t="str">
        <x:v>验证充值金币填写1.5不能保存</x:v>
      </x:c>
      <x:c r="H193" s="9" t="str">
        <x:v>套餐充值金币约束</x:v>
      </x:c>
      <x:c r="I193" s="9" t="str">
        <x:v>1. 执行角色为平台管理员
2. 账号具有当前模块访问及本次操作权限
3. iOS已选择商品，其他字段有效</x:v>
      </x:c>
      <x:c r="J193" s="9" t="str">
        <x:v>1. 进入充值套餐编辑页
2. 填写iOS充值金币为1.5
3. 点击保存</x:v>
      </x:c>
      <x:c r="K193" s="9" t="str">
        <x:v>不能保存金币配置不合法的套餐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来源（当前证据）：liveshow-proto/MainBasis/统一需求文档.md；位置：REQ-adbeef94f7fc；行4223
2. 规则：BR-72bbee534def2eb5
3. 未动态验证</x:v>
      </x:c>
    </x:row>
    <x:row r="194" ht="85" customHeight="1">
      <x:c r="A194" s="10" t="n">
        <x:v>193</x:v>
      </x:c>
      <x:c r="B194" s="10" t="str">
        <x:v>ADMIN-07-0042</x:v>
      </x:c>
      <x:c r="C194" s="10" t="str">
        <x:v>运营配置</x:v>
      </x:c>
      <x:c r="D194" s="10" t="str">
        <x:v>充值套餐编辑（平台管理员视角）</x:v>
      </x:c>
      <x:c r="E194" s="10" t="str">
        <x:v>逻辑校验</x:v>
      </x:c>
      <x:c r="F194" s="10" t="str">
        <x:v>P1</x:v>
      </x:c>
      <x:c r="G194" s="9" t="str">
        <x:v>验证赠送金币填写-1不能保存</x:v>
      </x:c>
      <x:c r="H194" s="9" t="str">
        <x:v>套餐赠送金币约束</x:v>
      </x:c>
      <x:c r="I194" s="9" t="str">
        <x:v>1. 执行角色为平台管理员
2. 账号具有当前模块访问及本次操作权限
3. iOS已选择商品，其他字段有效</x:v>
      </x:c>
      <x:c r="J194" s="9" t="str">
        <x:v>1. 进入充值套餐编辑页
2. 填写iOS赠送金币为-1
3. 点击保存</x:v>
      </x:c>
      <x:c r="K194" s="9" t="str">
        <x:v>不能保存金币配置不合法的套餐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来源（当前证据）：liveshow-proto/MainBasis/统一需求文档.md；位置：REQ-adbeef94f7fc；行4223
2. 规则：BR-1ba72507c6e5bd29
3. 未动态验证</x:v>
      </x:c>
    </x:row>
    <x:row r="195" ht="85" customHeight="1">
      <x:c r="A195" s="10" t="n">
        <x:v>194</x:v>
      </x:c>
      <x:c r="B195" s="10" t="str">
        <x:v>ADMIN-07-0043</x:v>
      </x:c>
      <x:c r="C195" s="10" t="str">
        <x:v>运营配置</x:v>
      </x:c>
      <x:c r="D195" s="10" t="str">
        <x:v>充值套餐编辑（平台管理员视角）</x:v>
      </x:c>
      <x:c r="E195" s="10" t="str">
        <x:v>逻辑校验</x:v>
      </x:c>
      <x:c r="F195" s="10" t="str">
        <x:v>P1</x:v>
      </x:c>
      <x:c r="G195" s="9" t="str">
        <x:v>验证赠送金币填写1.5不能保存</x:v>
      </x:c>
      <x:c r="H195" s="9" t="str">
        <x:v>套餐赠送金币约束</x:v>
      </x:c>
      <x:c r="I195" s="9" t="str">
        <x:v>1. 执行角色为平台管理员
2. 账号具有当前模块访问及本次操作权限
3. iOS已选择商品，其他字段有效</x:v>
      </x:c>
      <x:c r="J195" s="9" t="str">
        <x:v>1. 进入充值套餐编辑页
2. 填写iOS赠送金币为1.5
3. 点击保存</x:v>
      </x:c>
      <x:c r="K195" s="9" t="str">
        <x:v>不能保存金币配置不合法的套餐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来源（当前证据）：liveshow-proto/MainBasis/统一需求文档.md；位置：REQ-adbeef94f7fc；行4223
2. 规则：BR-edcd440e20b8e5fa
3. 未动态验证</x:v>
      </x:c>
    </x:row>
    <x:row r="196" ht="85" customHeight="1">
      <x:c r="A196" s="10" t="n">
        <x:v>195</x:v>
      </x:c>
      <x:c r="B196" s="10" t="str">
        <x:v>ADMIN-07-0044</x:v>
      </x:c>
      <x:c r="C196" s="10" t="str">
        <x:v>运营配置</x:v>
      </x:c>
      <x:c r="D196" s="10" t="str">
        <x:v>充值套餐编辑（平台管理员视角）</x:v>
      </x:c>
      <x:c r="E196" s="10" t="str">
        <x:v>逻辑校验</x:v>
      </x:c>
      <x:c r="F196" s="10" t="str">
        <x:v>P1</x:v>
      </x:c>
      <x:c r="G196" s="9" t="str">
        <x:v>验证充值套餐允许赠送0金币</x:v>
      </x:c>
      <x:c r="H196" s="9" t="str">
        <x:v>充值套餐赠送零值</x:v>
      </x:c>
      <x:c r="I196" s="9" t="str">
        <x:v>1. 执行角色为平台管理员
2. 账号具有当前模块访问及本次操作权限
3. iOS商品已选，充值金币100，其他配置有效</x:v>
      </x:c>
      <x:c r="J196" s="9" t="str">
        <x:v>1. 进入充值套餐编辑页
2. 填写iOS赠送金币为0
3. 点击保存</x:v>
      </x:c>
      <x:c r="K196" s="9" t="str">
        <x:v>套餐保存成功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来源（当前证据）：liveshow-proto/MainBasis/统一需求文档.md；位置：REQ-adbeef94f7fc；行4223
2. 规则：BR-1e7021fbf2347535
3. 未动态验证</x:v>
      </x:c>
    </x:row>
    <x:row r="197" ht="85" customHeight="1">
      <x:c r="A197" s="10" t="n">
        <x:v>196</x:v>
      </x:c>
      <x:c r="B197" s="10" t="str">
        <x:v>ADMIN-07-0045</x:v>
      </x:c>
      <x:c r="C197" s="10" t="str">
        <x:v>运营配置</x:v>
      </x:c>
      <x:c r="D197" s="10" t="str">
        <x:v>充值套餐编辑（平台管理员视角）</x:v>
      </x:c>
      <x:c r="E197" s="10" t="str">
        <x:v>逻辑校验</x:v>
      </x:c>
      <x:c r="F197" s="10" t="str">
        <x:v>P1</x:v>
      </x:c>
      <x:c r="G197" s="9" t="str">
        <x:v>验证商店商品价格地区仅回显</x:v>
      </x:c>
      <x:c r="H197" s="9" t="str">
        <x:v>充值商店定价只读</x:v>
      </x:c>
      <x:c r="I197" s="9" t="str">
        <x:v>1. 执行角色为平台管理员
2. 账号具有当前模块访问及本次操作权限
3. 已选择有效商店商品</x:v>
      </x:c>
      <x:c r="J197" s="9" t="str">
        <x:v>1. 进入充值套餐编辑页</x:v>
      </x:c>
      <x:c r="K197" s="9" t="str">
        <x:v>销售价格和地区不可编辑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来源（当前证据）：liveshow-proto/MainBasis/统一需求文档.md；位置：REQ-0c66a74e8279；行4213
2. 规则：BR-41574e9895394214
3. 未动态验证</x:v>
      </x:c>
    </x:row>
    <x:row r="198" ht="85" customHeight="1">
      <x:c r="A198" s="10" t="n">
        <x:v>197</x:v>
      </x:c>
      <x:c r="B198" s="10" t="str">
        <x:v>ADMIN-07-0046</x:v>
      </x:c>
      <x:c r="C198" s="10" t="str">
        <x:v>运营配置</x:v>
      </x:c>
      <x:c r="D198" s="10" t="str">
        <x:v>充值套餐编辑（平台管理员视角）</x:v>
      </x:c>
      <x:c r="E198" s="10" t="str">
        <x:v>功能需求</x:v>
      </x:c>
      <x:c r="F198" s="10" t="str">
        <x:v>P2</x:v>
      </x:c>
      <x:c r="G198" s="9" t="str">
        <x:v>验证常规套餐期限限购不限</x:v>
      </x:c>
      <x:c r="H198" s="9" t="str">
        <x:v>常规套餐销售限制</x:v>
      </x:c>
      <x:c r="I198" s="9" t="str">
        <x:v>1. 执行角色为平台管理员
2. 账号具有当前模块访问及本次操作权限</x:v>
      </x:c>
      <x:c r="J198" s="9" t="str">
        <x:v>1. 进入充值套餐编辑页
2. 选择套餐类型为常规</x:v>
      </x:c>
      <x:c r="K198" s="9" t="str">
        <x:v>限购次数和有效时间显示不限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来源（当前证据）：liveshow-proto/MainBasis/统一需求文档.md；位置：REQ-8227bce6a116；行4233
2. 规则：BR-72dcf43b291cbcdd
3. 未动态验证</x:v>
      </x:c>
    </x:row>
    <x:row r="199" ht="85" customHeight="1">
      <x:c r="A199" s="10" t="n">
        <x:v>198</x:v>
      </x:c>
      <x:c r="B199" s="10" t="str">
        <x:v>ADMIN-07-0047</x:v>
      </x:c>
      <x:c r="C199" s="10" t="str">
        <x:v>运营配置</x:v>
      </x:c>
      <x:c r="D199" s="10" t="str">
        <x:v>充值套餐编辑（平台管理员视角）</x:v>
      </x:c>
      <x:c r="E199" s="10" t="str">
        <x:v>逻辑校验</x:v>
      </x:c>
      <x:c r="F199" s="10" t="str">
        <x:v>P1</x:v>
      </x:c>
      <x:c r="G199" s="9" t="str">
        <x:v>验证活动套餐默认单用户限购1次</x:v>
      </x:c>
      <x:c r="H199" s="9" t="str">
        <x:v>活动套餐默认限购</x:v>
      </x:c>
      <x:c r="I199" s="9" t="str">
        <x:v>1. 执行角色为平台管理员
2. 账号具有当前模块访问及本次操作权限</x:v>
      </x:c>
      <x:c r="J199" s="9" t="str">
        <x:v>1. 进入充值套餐编辑页
2. 选择套餐类型为活动</x:v>
      </x:c>
      <x:c r="K199" s="9" t="str">
        <x:v>单用户限购次数为1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来源（当前证据）：liveshow-proto/MainBasis/统一需求文档.md；位置：REQ-dccf743d40a1；行4235
2. 规则：BR-9f538beba489935b
3. 未动态验证</x:v>
      </x:c>
    </x:row>
    <x:row r="200" ht="100" customHeight="1">
      <x:c r="A200" s="10" t="n">
        <x:v>199</x:v>
      </x:c>
      <x:c r="B200" s="10" t="str">
        <x:v>ADMIN-07-0048</x:v>
      </x:c>
      <x:c r="C200" s="10" t="str">
        <x:v>运营配置</x:v>
      </x:c>
      <x:c r="D200" s="10" t="str">
        <x:v>充值套餐编辑（平台管理员视角）</x:v>
      </x:c>
      <x:c r="E200" s="10" t="str">
        <x:v>逻辑校验</x:v>
      </x:c>
      <x:c r="F200" s="10" t="str">
        <x:v>P1</x:v>
      </x:c>
      <x:c r="G200" s="9" t="str">
        <x:v>验证活动套餐默认一个月有效期</x:v>
      </x:c>
      <x:c r="H200" s="9" t="str">
        <x:v>活动套餐默认期限</x:v>
      </x:c>
      <x:c r="I200" s="9" t="str">
        <x:v>1. 执行角色为平台管理员
2. 账号具有当前模块访问及本次操作权限
3. 测试时钟为2026年9月16日10:00</x:v>
      </x:c>
      <x:c r="J200" s="9" t="str">
        <x:v>1. 进入充值套餐编辑页
2. 选择套餐类型为活动</x:v>
      </x:c>
      <x:c r="K200" s="9" t="str">
        <x:v>有效期为2026年9月16日10:00至10月16日10:00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来源（当前证据）：liveshow-proto/MainBasis/统一需求文档.md；位置：REQ-bd78198f3cbc；行4217、REQ-dccf743d40a1；行4235
2. 规则：BR-39f14753b2295ff1
3. 未动态验证</x:v>
      </x:c>
    </x:row>
    <x:row r="201" ht="85" customHeight="1">
      <x:c r="A201" s="10" t="n">
        <x:v>200</x:v>
      </x:c>
      <x:c r="B201" s="10" t="str">
        <x:v>ADMIN-07-0049</x:v>
      </x:c>
      <x:c r="C201" s="10" t="str">
        <x:v>运营配置</x:v>
      </x:c>
      <x:c r="D201" s="10" t="str">
        <x:v>任务编辑（平台管理员视角）</x:v>
      </x:c>
      <x:c r="E201" s="10" t="str">
        <x:v>逻辑校验</x:v>
      </x:c>
      <x:c r="F201" s="10" t="str">
        <x:v>P1</x:v>
      </x:c>
      <x:c r="G201" s="9" t="str">
        <x:v>验证任务中文名称必填</x:v>
      </x:c>
      <x:c r="H201" s="9" t="str">
        <x:v>任务中文名称校验</x:v>
      </x:c>
      <x:c r="I201" s="9" t="str">
        <x:v>1. 执行角色为平台管理员
2. 账号具有当前模块访问及本次操作权限
3. 其他字段均有效</x:v>
      </x:c>
      <x:c r="J201" s="9" t="str">
        <x:v>1. 进入任务编辑页
2. 清空中文名称
3. 点击保存</x:v>
      </x:c>
      <x:c r="K201" s="9" t="str">
        <x:v>不能保存缺少四语名称的任务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来源（当前证据）：liveshow-proto/MainBasis/统一需求文档.md；位置：REQ-0d1b175fbd0b；行4269
2. 规则：BR-818f03934cbca77a
3. 未动态验证</x:v>
      </x:c>
    </x:row>
    <x:row r="202" ht="85" customHeight="1">
      <x:c r="A202" s="10" t="n">
        <x:v>201</x:v>
      </x:c>
      <x:c r="B202" s="10" t="str">
        <x:v>ADMIN-07-0050</x:v>
      </x:c>
      <x:c r="C202" s="10" t="str">
        <x:v>运营配置</x:v>
      </x:c>
      <x:c r="D202" s="10" t="str">
        <x:v>任务编辑（平台管理员视角）</x:v>
      </x:c>
      <x:c r="E202" s="10" t="str">
        <x:v>逻辑校验</x:v>
      </x:c>
      <x:c r="F202" s="10" t="str">
        <x:v>P1</x:v>
      </x:c>
      <x:c r="G202" s="9" t="str">
        <x:v>验证任务英语名称必填</x:v>
      </x:c>
      <x:c r="H202" s="9" t="str">
        <x:v>任务英语名称校验</x:v>
      </x:c>
      <x:c r="I202" s="9" t="str">
        <x:v>1. 执行角色为平台管理员
2. 账号具有当前模块访问及本次操作权限
3. 其他字段均有效</x:v>
      </x:c>
      <x:c r="J202" s="9" t="str">
        <x:v>1. 进入任务编辑页
2. 清空英语名称
3. 点击保存</x:v>
      </x:c>
      <x:c r="K202" s="9" t="str">
        <x:v>不能保存缺少四语名称的任务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来源（当前证据）：liveshow-proto/MainBasis/统一需求文档.md；位置：REQ-0d1b175fbd0b；行4269
2. 规则：BR-51baa8000035b78c
3. 未动态验证</x:v>
      </x:c>
    </x:row>
    <x:row r="203" ht="85" customHeight="1">
      <x:c r="A203" s="10" t="n">
        <x:v>202</x:v>
      </x:c>
      <x:c r="B203" s="10" t="str">
        <x:v>ADMIN-07-0051</x:v>
      </x:c>
      <x:c r="C203" s="10" t="str">
        <x:v>运营配置</x:v>
      </x:c>
      <x:c r="D203" s="10" t="str">
        <x:v>任务编辑（平台管理员视角）</x:v>
      </x:c>
      <x:c r="E203" s="10" t="str">
        <x:v>逻辑校验</x:v>
      </x:c>
      <x:c r="F203" s="10" t="str">
        <x:v>P1</x:v>
      </x:c>
      <x:c r="G203" s="9" t="str">
        <x:v>验证任务印尼语名称必填</x:v>
      </x:c>
      <x:c r="H203" s="9" t="str">
        <x:v>任务印尼语名称校验</x:v>
      </x:c>
      <x:c r="I203" s="9" t="str">
        <x:v>1. 执行角色为平台管理员
2. 账号具有当前模块访问及本次操作权限
3. 其他字段均有效</x:v>
      </x:c>
      <x:c r="J203" s="9" t="str">
        <x:v>1. 进入任务编辑页
2. 清空印尼语名称
3. 点击保存</x:v>
      </x:c>
      <x:c r="K203" s="9" t="str">
        <x:v>不能保存缺少四语名称的任务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来源（当前证据）：liveshow-proto/MainBasis/统一需求文档.md；位置：REQ-0d1b175fbd0b；行4269
2. 规则：BR-702a3e617835371a
3. 未动态验证</x:v>
      </x:c>
    </x:row>
    <x:row r="204" ht="85" customHeight="1">
      <x:c r="A204" s="10" t="n">
        <x:v>203</x:v>
      </x:c>
      <x:c r="B204" s="10" t="str">
        <x:v>ADMIN-07-0052</x:v>
      </x:c>
      <x:c r="C204" s="10" t="str">
        <x:v>运营配置</x:v>
      </x:c>
      <x:c r="D204" s="10" t="str">
        <x:v>任务编辑（平台管理员视角）</x:v>
      </x:c>
      <x:c r="E204" s="10" t="str">
        <x:v>逻辑校验</x:v>
      </x:c>
      <x:c r="F204" s="10" t="str">
        <x:v>P1</x:v>
      </x:c>
      <x:c r="G204" s="9" t="str">
        <x:v>验证任务马来语名称必填</x:v>
      </x:c>
      <x:c r="H204" s="9" t="str">
        <x:v>任务马来语名称校验</x:v>
      </x:c>
      <x:c r="I204" s="9" t="str">
        <x:v>1. 执行角色为平台管理员
2. 账号具有当前模块访问及本次操作权限
3. 其他字段均有效</x:v>
      </x:c>
      <x:c r="J204" s="9" t="str">
        <x:v>1. 进入任务编辑页
2. 清空马来语名称
3. 点击保存</x:v>
      </x:c>
      <x:c r="K204" s="9" t="str">
        <x:v>不能保存缺少四语名称的任务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来源（当前证据）：liveshow-proto/MainBasis/统一需求文档.md；位置：REQ-0d1b175fbd0b；行4269
2. 规则：BR-4a75d663b83a49e0
3. 未动态验证</x:v>
      </x:c>
    </x:row>
    <x:row r="205" ht="85" customHeight="1">
      <x:c r="A205" s="10" t="n">
        <x:v>204</x:v>
      </x:c>
      <x:c r="B205" s="10" t="str">
        <x:v>ADMIN-07-0053</x:v>
      </x:c>
      <x:c r="C205" s="10" t="str">
        <x:v>运营配置</x:v>
      </x:c>
      <x:c r="D205" s="10" t="str">
        <x:v>任务编辑（平台管理员视角）</x:v>
      </x:c>
      <x:c r="E205" s="10" t="str">
        <x:v>逻辑校验</x:v>
      </x:c>
      <x:c r="F205" s="10" t="str">
        <x:v>P1</x:v>
      </x:c>
      <x:c r="G205" s="9" t="str">
        <x:v>验证任务不能删除全部达成条件</x:v>
      </x:c>
      <x:c r="H205" s="9" t="str">
        <x:v>任务条件最少数量</x:v>
      </x:c>
      <x:c r="I205" s="9" t="str">
        <x:v>1. 执行角色为平台管理员
2. 账号具有当前模块访问及本次操作权限
3. 已有1条达成条件，其他字段有效</x:v>
      </x:c>
      <x:c r="J205" s="9" t="str">
        <x:v>1. 进入任务编辑页
2. 删除达成条件
3. 点击保存</x:v>
      </x:c>
      <x:c r="K205" s="9" t="str">
        <x:v>不能保存无达成条件的任务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来源（当前证据）：liveshow-proto/MainBasis/统一需求文档.md；位置：REQ-3252e7c24370；行4277
2. 规则：BR-2005c9d4ba4c2584
3. 未动态验证</x:v>
      </x:c>
    </x:row>
    <x:row r="206" ht="85" customHeight="1">
      <x:c r="A206" s="10" t="n">
        <x:v>205</x:v>
      </x:c>
      <x:c r="B206" s="10" t="str">
        <x:v>ADMIN-07-0054</x:v>
      </x:c>
      <x:c r="C206" s="10" t="str">
        <x:v>运营配置</x:v>
      </x:c>
      <x:c r="D206" s="10" t="str">
        <x:v>任务编辑（平台管理员视角）</x:v>
      </x:c>
      <x:c r="E206" s="10" t="str">
        <x:v>逻辑校验</x:v>
      </x:c>
      <x:c r="F206" s="10" t="str">
        <x:v>P1</x:v>
      </x:c>
      <x:c r="G206" s="9" t="str">
        <x:v>验证任务阈值0不能保存</x:v>
      </x:c>
      <x:c r="H206" s="9" t="str">
        <x:v>任务阈值正数限制</x:v>
      </x:c>
      <x:c r="I206" s="9" t="str">
        <x:v>1. 执行角色为平台管理员
2. 账号具有当前模块访问及本次操作权限
3. 其他配置有效</x:v>
      </x:c>
      <x:c r="J206" s="9" t="str">
        <x:v>1. 进入任务编辑页
2. 填写达成阈值为0
3. 点击保存</x:v>
      </x:c>
      <x:c r="K206" s="9" t="str">
        <x:v>不能保存非正阈值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来源（当前证据）：liveshow-proto/MainBasis/统一需求文档.md；位置：REQ-3252e7c24370；行4277
2. 规则：BR-70164d23dbd35ef0
3. 未动态验证</x:v>
      </x:c>
    </x:row>
    <x:row r="207" ht="85" customHeight="1">
      <x:c r="A207" s="10" t="n">
        <x:v>206</x:v>
      </x:c>
      <x:c r="B207" s="10" t="str">
        <x:v>ADMIN-07-0055</x:v>
      </x:c>
      <x:c r="C207" s="10" t="str">
        <x:v>运营配置</x:v>
      </x:c>
      <x:c r="D207" s="10" t="str">
        <x:v>任务编辑（平台管理员视角）</x:v>
      </x:c>
      <x:c r="E207" s="10" t="str">
        <x:v>逻辑校验</x:v>
      </x:c>
      <x:c r="F207" s="10" t="str">
        <x:v>P1</x:v>
      </x:c>
      <x:c r="G207" s="9" t="str">
        <x:v>验证任务阈值-1不能保存</x:v>
      </x:c>
      <x:c r="H207" s="9" t="str">
        <x:v>任务阈值正数限制</x:v>
      </x:c>
      <x:c r="I207" s="9" t="str">
        <x:v>1. 执行角色为平台管理员
2. 账号具有当前模块访问及本次操作权限
3. 其他配置有效</x:v>
      </x:c>
      <x:c r="J207" s="9" t="str">
        <x:v>1. 进入任务编辑页
2. 填写达成阈值为-1
3. 点击保存</x:v>
      </x:c>
      <x:c r="K207" s="9" t="str">
        <x:v>不能保存非正阈值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来源（当前证据）：liveshow-proto/MainBasis/统一需求文档.md；位置：REQ-3252e7c24370；行4277
2. 规则：BR-1cea7362a1814465
3. 未动态验证</x:v>
      </x:c>
    </x:row>
    <x:row r="208" ht="85" customHeight="1">
      <x:c r="A208" s="10" t="n">
        <x:v>207</x:v>
      </x:c>
      <x:c r="B208" s="10" t="str">
        <x:v>ADMIN-07-0056</x:v>
      </x:c>
      <x:c r="C208" s="10" t="str">
        <x:v>运营配置</x:v>
      </x:c>
      <x:c r="D208" s="10" t="str">
        <x:v>任务编辑（平台管理员视角）</x:v>
      </x:c>
      <x:c r="E208" s="10" t="str">
        <x:v>逻辑校验</x:v>
      </x:c>
      <x:c r="F208" s="10" t="str">
        <x:v>P1</x:v>
      </x:c>
      <x:c r="G208" s="9" t="str">
        <x:v>验证任务同一阈值不能配置两次</x:v>
      </x:c>
      <x:c r="H208" s="9" t="str">
        <x:v>任务阈值唯一性</x:v>
      </x:c>
      <x:c r="I208" s="9" t="str">
        <x:v>1. 执行角色为平台管理员
2. 账号具有当前模块访问及本次操作权限
3. 同一任务已配置阈值10</x:v>
      </x:c>
      <x:c r="J208" s="9" t="str">
        <x:v>1. 进入任务编辑页
2. 点击添加达成条件
3. 填写新条件阈值为10
4. 点击保存</x:v>
      </x:c>
      <x:c r="K208" s="9" t="str">
        <x:v>不能保存重复阈值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来源（当前证据）：liveshow-proto/MainBasis/统一需求文档.md；位置：REQ-3252e7c24370；行4277
2. 规则：BR-44f2543afcf56fd5
3. 未动态验证</x:v>
      </x:c>
    </x:row>
    <x:row r="209" ht="85" customHeight="1">
      <x:c r="A209" s="10" t="n">
        <x:v>208</x:v>
      </x:c>
      <x:c r="B209" s="10" t="str">
        <x:v>ADMIN-07-0057</x:v>
      </x:c>
      <x:c r="C209" s="10" t="str">
        <x:v>运营配置</x:v>
      </x:c>
      <x:c r="D209" s="10" t="str">
        <x:v>任务编辑（平台管理员视角）</x:v>
      </x:c>
      <x:c r="E209" s="10" t="str">
        <x:v>逻辑校验</x:v>
      </x:c>
      <x:c r="F209" s="10" t="str">
        <x:v>P1</x:v>
      </x:c>
      <x:c r="G209" s="9" t="str">
        <x:v>验证任务奖励0金币不合法</x:v>
      </x:c>
      <x:c r="H209" s="9" t="str">
        <x:v>任务金币奖励约束</x:v>
      </x:c>
      <x:c r="I209" s="9" t="str">
        <x:v>1. 执行角色为平台管理员
2. 账号具有当前模块访问及本次操作权限
3. 其他配置有效</x:v>
      </x:c>
      <x:c r="J209" s="9" t="str">
        <x:v>1. 进入任务编辑页
2. 填写达成奖励为0
3. 点击保存</x:v>
      </x:c>
      <x:c r="K209" s="9" t="str">
        <x:v>不能保存非正整数奖励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来源（当前证据）：liveshow-proto/MainBasis/统一需求文档.md；位置：REQ-cc77c6820c53；行4279
2. 规则：BR-befe41013efef924
3. 未动态验证</x:v>
      </x:c>
    </x:row>
    <x:row r="210" ht="85" customHeight="1">
      <x:c r="A210" s="10" t="n">
        <x:v>209</x:v>
      </x:c>
      <x:c r="B210" s="10" t="str">
        <x:v>ADMIN-07-0058</x:v>
      </x:c>
      <x:c r="C210" s="10" t="str">
        <x:v>运营配置</x:v>
      </x:c>
      <x:c r="D210" s="10" t="str">
        <x:v>任务编辑（平台管理员视角）</x:v>
      </x:c>
      <x:c r="E210" s="10" t="str">
        <x:v>逻辑校验</x:v>
      </x:c>
      <x:c r="F210" s="10" t="str">
        <x:v>P1</x:v>
      </x:c>
      <x:c r="G210" s="9" t="str">
        <x:v>验证任务奖励-1金币不合法</x:v>
      </x:c>
      <x:c r="H210" s="9" t="str">
        <x:v>任务金币奖励约束</x:v>
      </x:c>
      <x:c r="I210" s="9" t="str">
        <x:v>1. 执行角色为平台管理员
2. 账号具有当前模块访问及本次操作权限
3. 其他配置有效</x:v>
      </x:c>
      <x:c r="J210" s="9" t="str">
        <x:v>1. 进入任务编辑页
2. 填写达成奖励为-1
3. 点击保存</x:v>
      </x:c>
      <x:c r="K210" s="9" t="str">
        <x:v>不能保存非正整数奖励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来源（当前证据）：liveshow-proto/MainBasis/统一需求文档.md；位置：REQ-cc77c6820c53；行4279
2. 规则：BR-1cba6d061a75307e
3. 未动态验证</x:v>
      </x:c>
    </x:row>
    <x:row r="211" ht="85" customHeight="1">
      <x:c r="A211" s="10" t="n">
        <x:v>210</x:v>
      </x:c>
      <x:c r="B211" s="10" t="str">
        <x:v>ADMIN-07-0059</x:v>
      </x:c>
      <x:c r="C211" s="10" t="str">
        <x:v>运营配置</x:v>
      </x:c>
      <x:c r="D211" s="10" t="str">
        <x:v>任务编辑（平台管理员视角）</x:v>
      </x:c>
      <x:c r="E211" s="10" t="str">
        <x:v>逻辑校验</x:v>
      </x:c>
      <x:c r="F211" s="10" t="str">
        <x:v>P1</x:v>
      </x:c>
      <x:c r="G211" s="9" t="str">
        <x:v>验证任务奖励1.5金币不合法</x:v>
      </x:c>
      <x:c r="H211" s="9" t="str">
        <x:v>任务金币奖励约束</x:v>
      </x:c>
      <x:c r="I211" s="9" t="str">
        <x:v>1. 执行角色为平台管理员
2. 账号具有当前模块访问及本次操作权限
3. 其他配置有效</x:v>
      </x:c>
      <x:c r="J211" s="9" t="str">
        <x:v>1. 进入任务编辑页
2. 填写达成奖励为1.5
3. 点击保存</x:v>
      </x:c>
      <x:c r="K211" s="9" t="str">
        <x:v>不能保存非正整数奖励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来源（当前证据）：liveshow-proto/MainBasis/统一需求文档.md；位置：REQ-cc77c6820c53；行4279
2. 规则：BR-3c18b9defc08d615
3. 未动态验证</x:v>
      </x:c>
    </x:row>
    <x:row r="212" ht="85" customHeight="1">
      <x:c r="A212" s="10" t="n">
        <x:v>211</x:v>
      </x:c>
      <x:c r="B212" s="10" t="str">
        <x:v>ADMIN-07-0060</x:v>
      </x:c>
      <x:c r="C212" s="10" t="str">
        <x:v>运营配置</x:v>
      </x:c>
      <x:c r="D212" s="10" t="str">
        <x:v>任务编辑（平台管理员视角）</x:v>
      </x:c>
      <x:c r="E212" s="10" t="str">
        <x:v>逻辑校验</x:v>
      </x:c>
      <x:c r="F212" s="10" t="str">
        <x:v>P1</x:v>
      </x:c>
      <x:c r="G212" s="9" t="str">
        <x:v>验证任务切换动作更新指标周期</x:v>
      </x:c>
      <x:c r="H212" s="9" t="str">
        <x:v>任务动作指标联动</x:v>
      </x:c>
      <x:c r="I212" s="9" t="str">
        <x:v>1. 执行角色为平台管理员
2. 账号具有当前模块访问及本次操作权限
3. 当前动作已有指标和周期选择</x:v>
      </x:c>
      <x:c r="J212" s="9" t="str">
        <x:v>1. 进入任务编辑页
2. 切换用户动作为另一预置动作</x:v>
      </x:c>
      <x:c r="K212" s="9" t="str">
        <x:v>指标与周期重置为新动作支持的选项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来源（当前证据）：liveshow-proto/MainBasis/统一需求文档.md；位置：REQ-d93c44224736；行4283
2. 规则：BR-8aa0e347e7ae0aaf
3. 未动态验证</x:v>
      </x:c>
    </x:row>
    <x:row r="213" ht="85" customHeight="1">
      <x:c r="A213" s="10" t="n">
        <x:v>212</x:v>
      </x:c>
      <x:c r="B213" s="10" t="str">
        <x:v>ADMIN-07-0061</x:v>
      </x:c>
      <x:c r="C213" s="10" t="str">
        <x:v>运营配置</x:v>
      </x:c>
      <x:c r="D213" s="10" t="str">
        <x:v>任务编辑（平台管理员视角）</x:v>
      </x:c>
      <x:c r="E213" s="10" t="str">
        <x:v>逻辑校验</x:v>
      </x:c>
      <x:c r="F213" s="10" t="str">
        <x:v>P1</x:v>
      </x:c>
      <x:c r="G213" s="9" t="str">
        <x:v>验证任务结束时间不得等于开始</x:v>
      </x:c>
      <x:c r="H213" s="9" t="str">
        <x:v>任务生效时间校验</x:v>
      </x:c>
      <x:c r="I213" s="9" t="str">
        <x:v>1. 执行角色为平台管理员
2. 账号具有当前模块访问及本次操作权限
3. 其他配置有效</x:v>
      </x:c>
      <x:c r="J213" s="9" t="str">
        <x:v>1. 进入任务编辑页
2. 填写开始时间为9月16日10:00
3. 填写结束时间为9月16日10:00
4. 点击保存</x:v>
      </x:c>
      <x:c r="K213" s="9" t="str">
        <x:v>不能保存零时长任务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来源（当前证据）：liveshow-proto/MainBasis/统一需求文档.md；位置：REQ-fc1d202f34ef；行4271
2. 规则：BR-f0bec5ea00598b51
3. 未动态验证</x:v>
      </x:c>
    </x:row>
    <x:row r="214" ht="85" customHeight="1">
      <x:c r="A214" s="10" t="n">
        <x:v>213</x:v>
      </x:c>
      <x:c r="B214" s="10" t="str">
        <x:v>ADMIN-07-0062</x:v>
      </x:c>
      <x:c r="C214" s="10" t="str">
        <x:v>运营配置</x:v>
      </x:c>
      <x:c r="D214" s="10" t="str">
        <x:v>公会推荐编辑（平台管理员视角）</x:v>
      </x:c>
      <x:c r="E214" s="10" t="str">
        <x:v>逻辑校验</x:v>
      </x:c>
      <x:c r="F214" s="10" t="str">
        <x:v>P1</x:v>
      </x:c>
      <x:c r="G214" s="9" t="str">
        <x:v>验证已推荐公会不能重复推荐</x:v>
      </x:c>
      <x:c r="H214" s="9" t="str">
        <x:v>推荐公会唯一性</x:v>
      </x:c>
      <x:c r="I214" s="9" t="str">
        <x:v>1. 执行角色为平台管理员
2. 账号具有当前模块访问及本次操作权限
3. 公会A有效且已存在推荐配置</x:v>
      </x:c>
      <x:c r="J214" s="9" t="str">
        <x:v>1. 进入公会推荐编辑页
2. 选择推荐公会为A
3. 点击保存</x:v>
      </x:c>
      <x:c r="K214" s="9" t="str">
        <x:v>不能保存重复公会推荐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来源（当前证据）：liveshow-proto/MainBasis/统一需求文档.md；位置：REQ-59953fab8b22；行4305
2. 规则：BR-21613331d2807fcc
3. 未动态验证</x:v>
      </x:c>
    </x:row>
    <x:row r="215" ht="85" customHeight="1">
      <x:c r="A215" s="10" t="n">
        <x:v>214</x:v>
      </x:c>
      <x:c r="B215" s="10" t="str">
        <x:v>ADMIN-07-0063</x:v>
      </x:c>
      <x:c r="C215" s="10" t="str">
        <x:v>运营配置</x:v>
      </x:c>
      <x:c r="D215" s="10" t="str">
        <x:v>公会推荐编辑（平台管理员视角）</x:v>
      </x:c>
      <x:c r="E215" s="10" t="str">
        <x:v>逻辑校验</x:v>
      </x:c>
      <x:c r="F215" s="10" t="str">
        <x:v>P1</x:v>
      </x:c>
      <x:c r="G215" s="9" t="str">
        <x:v>验证推荐权重0不合法</x:v>
      </x:c>
      <x:c r="H215" s="9" t="str">
        <x:v>公会推荐权重校验</x:v>
      </x:c>
      <x:c r="I215" s="9" t="str">
        <x:v>1. 执行角色为平台管理员
2. 账号具有当前模块访问及本次操作权限
3. 已选择有效未推荐公会</x:v>
      </x:c>
      <x:c r="J215" s="9" t="str">
        <x:v>1. 进入公会推荐编辑页
2. 填写排序权重为0
3. 点击保存</x:v>
      </x:c>
      <x:c r="K215" s="9" t="str">
        <x:v>不能保存非正整数权重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来源（当前证据）：liveshow-proto/MainBasis/统一需求文档.md；位置：REQ-e5c8bd6e30f2；行4307
2. 规则：BR-088eb58096dbc15e
3. 未动态验证</x:v>
      </x:c>
    </x:row>
    <x:row r="216" ht="85" customHeight="1">
      <x:c r="A216" s="10" t="n">
        <x:v>215</x:v>
      </x:c>
      <x:c r="B216" s="10" t="str">
        <x:v>ADMIN-07-0064</x:v>
      </x:c>
      <x:c r="C216" s="10" t="str">
        <x:v>运营配置</x:v>
      </x:c>
      <x:c r="D216" s="10" t="str">
        <x:v>公会推荐编辑（平台管理员视角）</x:v>
      </x:c>
      <x:c r="E216" s="10" t="str">
        <x:v>逻辑校验</x:v>
      </x:c>
      <x:c r="F216" s="10" t="str">
        <x:v>P1</x:v>
      </x:c>
      <x:c r="G216" s="9" t="str">
        <x:v>验证推荐权重-1不合法</x:v>
      </x:c>
      <x:c r="H216" s="9" t="str">
        <x:v>公会推荐权重校验</x:v>
      </x:c>
      <x:c r="I216" s="9" t="str">
        <x:v>1. 执行角色为平台管理员
2. 账号具有当前模块访问及本次操作权限
3. 已选择有效未推荐公会</x:v>
      </x:c>
      <x:c r="J216" s="9" t="str">
        <x:v>1. 进入公会推荐编辑页
2. 填写排序权重为-1
3. 点击保存</x:v>
      </x:c>
      <x:c r="K216" s="9" t="str">
        <x:v>不能保存非正整数权重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来源（当前证据）：liveshow-proto/MainBasis/统一需求文档.md；位置：REQ-e5c8bd6e30f2；行4307
2. 规则：BR-88bb9177a27fa69d
3. 未动态验证</x:v>
      </x:c>
    </x:row>
    <x:row r="217" ht="85" customHeight="1">
      <x:c r="A217" s="10" t="n">
        <x:v>216</x:v>
      </x:c>
      <x:c r="B217" s="10" t="str">
        <x:v>ADMIN-07-0065</x:v>
      </x:c>
      <x:c r="C217" s="10" t="str">
        <x:v>运营配置</x:v>
      </x:c>
      <x:c r="D217" s="10" t="str">
        <x:v>公会推荐编辑（平台管理员视角）</x:v>
      </x:c>
      <x:c r="E217" s="10" t="str">
        <x:v>逻辑校验</x:v>
      </x:c>
      <x:c r="F217" s="10" t="str">
        <x:v>P1</x:v>
      </x:c>
      <x:c r="G217" s="9" t="str">
        <x:v>验证推荐权重1.5不合法</x:v>
      </x:c>
      <x:c r="H217" s="9" t="str">
        <x:v>公会推荐权重校验</x:v>
      </x:c>
      <x:c r="I217" s="9" t="str">
        <x:v>1. 执行角色为平台管理员
2. 账号具有当前模块访问及本次操作权限
3. 已选择有效未推荐公会</x:v>
      </x:c>
      <x:c r="J217" s="9" t="str">
        <x:v>1. 进入公会推荐编辑页
2. 填写排序权重为1.5
3. 点击保存</x:v>
      </x:c>
      <x:c r="K217" s="9" t="str">
        <x:v>不能保存非正整数权重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来源（当前证据）：liveshow-proto/MainBasis/统一需求文档.md；位置：REQ-e5c8bd6e30f2；行4307
2. 规则：BR-84611d1c0b17dba3
3. 未动态验证</x:v>
      </x:c>
    </x:row>
    <x:row r="218" ht="100" customHeight="1">
      <x:c r="A218" s="10" t="n">
        <x:v>217</x:v>
      </x:c>
      <x:c r="B218" s="10" t="str">
        <x:v>ADMIN-05-0013</x:v>
      </x:c>
      <x:c r="C218" s="10" t="str">
        <x:v>公会管理</x:v>
      </x:c>
      <x:c r="D218" s="10" t="str">
        <x:v>公会列表（平台管理员视角）</x:v>
      </x:c>
      <x:c r="E218" s="10" t="str">
        <x:v>逻辑校验</x:v>
      </x:c>
      <x:c r="F218" s="10" t="str">
        <x:v>P1</x:v>
      </x:c>
      <x:c r="G218" s="9" t="str">
        <x:v>验证取消推荐保留公会启用状态</x:v>
      </x:c>
      <x:c r="H218" s="9" t="str">
        <x:v>推荐与公会状态独立</x:v>
      </x:c>
      <x:c r="I218" s="9" t="str">
        <x:v>1. 执行角色为平台管理员
2. 账号具有当前模块访问及本次操作权限
3. 公会A启用且已推荐</x:v>
      </x:c>
      <x:c r="J218" s="9" t="str">
        <x:v>1. 进入公会推荐页
2. 点击公会A移除
3. 点击确认
4. 进入公会列表页</x:v>
      </x:c>
      <x:c r="K218" s="9" t="str">
        <x:v>公会A状态仍为启用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来源（当前证据）：liveshow-proto/MainBasis/统一需求文档.md；位置：REQ-c75a1ad2560c；行4296、REQ-00fcb3af14ad；行3879
2. 规则：BR-2129815df78c681b
3. 未动态验证</x:v>
      </x:c>
    </x:row>
    <x:row r="219" ht="85" customHeight="1">
      <x:c r="A219" s="10" t="n">
        <x:v>218</x:v>
      </x:c>
      <x:c r="B219" s="10" t="str">
        <x:v>ADMIN-07-0066</x:v>
      </x:c>
      <x:c r="C219" s="10" t="str">
        <x:v>运营配置</x:v>
      </x:c>
      <x:c r="D219" s="10" t="str">
        <x:v>等级配置（平台管理员视角）</x:v>
      </x:c>
      <x:c r="E219" s="10" t="str">
        <x:v>逻辑校验</x:v>
      </x:c>
      <x:c r="F219" s="10" t="str">
        <x:v>P1</x:v>
      </x:c>
      <x:c r="G219" s="9" t="str">
        <x:v>验证主播等级基础门槛固定0</x:v>
      </x:c>
      <x:c r="H219" s="9" t="str">
        <x:v>主播等级1级门槛</x:v>
      </x:c>
      <x:c r="I219" s="9" t="str">
        <x:v>1. 执行角色为平台管理员
2. 账号具有当前模块访问及本次操作权限</x:v>
      </x:c>
      <x:c r="J219" s="9" t="str">
        <x:v>1. 进入等级配置页
2. 切换主播等级</x:v>
      </x:c>
      <x:c r="K219" s="9" t="str">
        <x:v>1级门槛为0且不可修改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来源（当前证据）：liveshow-proto/MainBasis/统一需求文档.md；位置：REQ-9376b0d200c0；行4338
2. 规则：BR-aeb8a8526f5973a3
3. 未动态验证</x:v>
      </x:c>
    </x:row>
    <x:row r="220" ht="85" customHeight="1">
      <x:c r="A220" s="10" t="n">
        <x:v>219</x:v>
      </x:c>
      <x:c r="B220" s="10" t="str">
        <x:v>ADMIN-07-0067</x:v>
      </x:c>
      <x:c r="C220" s="10" t="str">
        <x:v>运营配置</x:v>
      </x:c>
      <x:c r="D220" s="10" t="str">
        <x:v>等级配置（平台管理员视角）</x:v>
      </x:c>
      <x:c r="E220" s="10" t="str">
        <x:v>功能需求</x:v>
      </x:c>
      <x:c r="F220" s="10" t="str">
        <x:v>P2</x:v>
      </x:c>
      <x:c r="G220" s="9" t="str">
        <x:v>验证主播等级新增等级自动连续编号</x:v>
      </x:c>
      <x:c r="H220" s="9" t="str">
        <x:v>主播等级新增编号</x:v>
      </x:c>
      <x:c r="I220" s="9" t="str">
        <x:v>1. 执行角色为平台管理员
2. 账号具有当前模块访问及本次操作权限
3. 当前主播等级最高等级为3</x:v>
      </x:c>
      <x:c r="J220" s="9" t="str">
        <x:v>1. 进入等级配置页
2. 切换主播等级
3. 点击新增等级</x:v>
      </x:c>
      <x:c r="K220" s="9" t="str">
        <x:v>新等级编号为4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来源（当前证据）：liveshow-proto/MainBasis/统一需求文档.md；位置：REQ-fb5475333eb2；行4340
2. 规则：BR-f31d9e2af8a7e6c6
3. 未动态验证</x:v>
      </x:c>
    </x:row>
    <x:row r="221" ht="85" customHeight="1">
      <x:c r="A221" s="10" t="n">
        <x:v>220</x:v>
      </x:c>
      <x:c r="B221" s="10" t="str">
        <x:v>ADMIN-07-0068</x:v>
      </x:c>
      <x:c r="C221" s="10" t="str">
        <x:v>运营配置</x:v>
      </x:c>
      <x:c r="D221" s="10" t="str">
        <x:v>等级配置（平台管理员视角）</x:v>
      </x:c>
      <x:c r="E221" s="10" t="str">
        <x:v>逻辑校验</x:v>
      </x:c>
      <x:c r="F221" s="10" t="str">
        <x:v>P1</x:v>
      </x:c>
      <x:c r="G221" s="9" t="str">
        <x:v>验证主播等级门槛等于上级不能保存</x:v>
      </x:c>
      <x:c r="H221" s="9" t="str">
        <x:v>主播等级门槛递增</x:v>
      </x:c>
      <x:c r="I221" s="9" t="str">
        <x:v>1. 执行角色为平台管理员
2. 账号具有当前模块访问及本次操作权限
3. 2级门槛100，3级门槛100，图片完整</x:v>
      </x:c>
      <x:c r="J221" s="9" t="str">
        <x:v>1. 进入等级配置页
2. 切换主播等级
3. 点击保存</x:v>
      </x:c>
      <x:c r="K221" s="9" t="str">
        <x:v>错误定位到3级门槛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来源（当前证据）：liveshow-proto/MainBasis/统一需求文档.md；位置：REQ-9376b0d200c0；行4338
2. 规则：BR-4ada691d7f815478
3. 未动态验证</x:v>
      </x:c>
    </x:row>
    <x:row r="222" ht="85" customHeight="1">
      <x:c r="A222" s="10" t="n">
        <x:v>221</x:v>
      </x:c>
      <x:c r="B222" s="10" t="str">
        <x:v>ADMIN-07-0069</x:v>
      </x:c>
      <x:c r="C222" s="10" t="str">
        <x:v>运营配置</x:v>
      </x:c>
      <x:c r="D222" s="10" t="str">
        <x:v>等级配置（平台管理员视角）</x:v>
      </x:c>
      <x:c r="E222" s="10" t="str">
        <x:v>逻辑校验</x:v>
      </x:c>
      <x:c r="F222" s="10" t="str">
        <x:v>P1</x:v>
      </x:c>
      <x:c r="G222" s="9" t="str">
        <x:v>验证主播等级缺图不能保存</x:v>
      </x:c>
      <x:c r="H222" s="9" t="str">
        <x:v>主播等级勋章图必填</x:v>
      </x:c>
      <x:c r="I222" s="9" t="str">
        <x:v>1. 执行角色为平台管理员
2. 账号具有当前模块访问及本次操作权限
3. 2级门槛合法但未上传图片</x:v>
      </x:c>
      <x:c r="J222" s="9" t="str">
        <x:v>1. 进入等级配置页
2. 切换主播等级
3. 点击保存</x:v>
      </x:c>
      <x:c r="K222" s="9" t="str">
        <x:v>提示2级缺少勋章图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来源（当前证据）：liveshow-proto/MainBasis/统一需求文档.md；位置：REQ-983fffee488e；行4342
2. 规则：BR-53bb3fe676cb24fe
3. 未动态验证</x:v>
      </x:c>
    </x:row>
    <x:row r="223" ht="85" customHeight="1">
      <x:c r="A223" s="10" t="n">
        <x:v>222</x:v>
      </x:c>
      <x:c r="B223" s="10" t="str">
        <x:v>ADMIN-07-0070</x:v>
      </x:c>
      <x:c r="C223" s="10" t="str">
        <x:v>运营配置</x:v>
      </x:c>
      <x:c r="D223" s="10" t="str">
        <x:v>等级配置（平台管理员视角）</x:v>
      </x:c>
      <x:c r="E223" s="10" t="str">
        <x:v>逻辑校验</x:v>
      </x:c>
      <x:c r="F223" s="10" t="str">
        <x:v>P1</x:v>
      </x:c>
      <x:c r="G223" s="9" t="str">
        <x:v>验证财富等级基础门槛固定0</x:v>
      </x:c>
      <x:c r="H223" s="9" t="str">
        <x:v>财富等级1级门槛</x:v>
      </x:c>
      <x:c r="I223" s="9" t="str">
        <x:v>1. 执行角色为平台管理员
2. 账号具有当前模块访问及本次操作权限</x:v>
      </x:c>
      <x:c r="J223" s="9" t="str">
        <x:v>1. 进入等级配置页
2. 切换财富等级</x:v>
      </x:c>
      <x:c r="K223" s="9" t="str">
        <x:v>1级门槛为0且不可修改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来源（当前证据）：liveshow-proto/MainBasis/统一需求文档.md；位置：REQ-9376b0d200c0；行4338
2. 规则：BR-7e5b9baaa46a7c07
3. 未动态验证</x:v>
      </x:c>
    </x:row>
    <x:row r="224" ht="85" customHeight="1">
      <x:c r="A224" s="10" t="n">
        <x:v>223</x:v>
      </x:c>
      <x:c r="B224" s="10" t="str">
        <x:v>ADMIN-07-0071</x:v>
      </x:c>
      <x:c r="C224" s="10" t="str">
        <x:v>运营配置</x:v>
      </x:c>
      <x:c r="D224" s="10" t="str">
        <x:v>等级配置（平台管理员视角）</x:v>
      </x:c>
      <x:c r="E224" s="10" t="str">
        <x:v>功能需求</x:v>
      </x:c>
      <x:c r="F224" s="10" t="str">
        <x:v>P2</x:v>
      </x:c>
      <x:c r="G224" s="9" t="str">
        <x:v>验证财富等级新增等级自动连续编号</x:v>
      </x:c>
      <x:c r="H224" s="9" t="str">
        <x:v>财富等级新增编号</x:v>
      </x:c>
      <x:c r="I224" s="9" t="str">
        <x:v>1. 执行角色为平台管理员
2. 账号具有当前模块访问及本次操作权限
3. 当前财富等级最高等级为3</x:v>
      </x:c>
      <x:c r="J224" s="9" t="str">
        <x:v>1. 进入等级配置页
2. 切换财富等级
3. 点击新增等级</x:v>
      </x:c>
      <x:c r="K224" s="9" t="str">
        <x:v>新等级编号为4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来源（当前证据）：liveshow-proto/MainBasis/统一需求文档.md；位置：REQ-fb5475333eb2；行4340
2. 规则：BR-87d5840823679ad3
3. 未动态验证</x:v>
      </x:c>
    </x:row>
    <x:row r="225" ht="85" customHeight="1">
      <x:c r="A225" s="10" t="n">
        <x:v>224</x:v>
      </x:c>
      <x:c r="B225" s="10" t="str">
        <x:v>ADMIN-07-0072</x:v>
      </x:c>
      <x:c r="C225" s="10" t="str">
        <x:v>运营配置</x:v>
      </x:c>
      <x:c r="D225" s="10" t="str">
        <x:v>等级配置（平台管理员视角）</x:v>
      </x:c>
      <x:c r="E225" s="10" t="str">
        <x:v>逻辑校验</x:v>
      </x:c>
      <x:c r="F225" s="10" t="str">
        <x:v>P1</x:v>
      </x:c>
      <x:c r="G225" s="9" t="str">
        <x:v>验证财富等级门槛等于上级不能保存</x:v>
      </x:c>
      <x:c r="H225" s="9" t="str">
        <x:v>财富等级门槛递增</x:v>
      </x:c>
      <x:c r="I225" s="9" t="str">
        <x:v>1. 执行角色为平台管理员
2. 账号具有当前模块访问及本次操作权限
3. 2级门槛100，3级门槛100，图片完整</x:v>
      </x:c>
      <x:c r="J225" s="9" t="str">
        <x:v>1. 进入等级配置页
2. 切换财富等级
3. 点击保存</x:v>
      </x:c>
      <x:c r="K225" s="9" t="str">
        <x:v>错误定位到3级门槛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来源（当前证据）：liveshow-proto/MainBasis/统一需求文档.md；位置：REQ-9376b0d200c0；行4338
2. 规则：BR-bf33f582339e7a4a
3. 未动态验证</x:v>
      </x:c>
    </x:row>
    <x:row r="226" ht="85" customHeight="1">
      <x:c r="A226" s="10" t="n">
        <x:v>225</x:v>
      </x:c>
      <x:c r="B226" s="10" t="str">
        <x:v>ADMIN-07-0073</x:v>
      </x:c>
      <x:c r="C226" s="10" t="str">
        <x:v>运营配置</x:v>
      </x:c>
      <x:c r="D226" s="10" t="str">
        <x:v>等级配置（平台管理员视角）</x:v>
      </x:c>
      <x:c r="E226" s="10" t="str">
        <x:v>逻辑校验</x:v>
      </x:c>
      <x:c r="F226" s="10" t="str">
        <x:v>P1</x:v>
      </x:c>
      <x:c r="G226" s="9" t="str">
        <x:v>验证财富等级缺图不能保存</x:v>
      </x:c>
      <x:c r="H226" s="9" t="str">
        <x:v>财富等级勋章图必填</x:v>
      </x:c>
      <x:c r="I226" s="9" t="str">
        <x:v>1. 执行角色为平台管理员
2. 账号具有当前模块访问及本次操作权限
3. 2级门槛合法但未上传图片</x:v>
      </x:c>
      <x:c r="J226" s="9" t="str">
        <x:v>1. 进入等级配置页
2. 切换财富等级
3. 点击保存</x:v>
      </x:c>
      <x:c r="K226" s="9" t="str">
        <x:v>提示2级缺少勋章图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来源（当前证据）：liveshow-proto/MainBasis/统一需求文档.md；位置：REQ-983fffee488e；行4342
2. 规则：BR-3055f6a8abe41380
3. 未动态验证</x:v>
      </x:c>
    </x:row>
    <x:row r="227" ht="85" customHeight="1">
      <x:c r="A227" s="10" t="n">
        <x:v>226</x:v>
      </x:c>
      <x:c r="B227" s="10" t="str">
        <x:v>ADMIN-07-0074</x:v>
      </x:c>
      <x:c r="C227" s="10" t="str">
        <x:v>运营配置</x:v>
      </x:c>
      <x:c r="D227" s="10" t="str">
        <x:v>等级配置（平台管理员视角）</x:v>
      </x:c>
      <x:c r="E227" s="10" t="str">
        <x:v>逻辑校验</x:v>
      </x:c>
      <x:c r="F227" s="10" t="str">
        <x:v>P1</x:v>
      </x:c>
      <x:c r="G227" s="9" t="str">
        <x:v>验证粉丝等级基础门槛固定0</x:v>
      </x:c>
      <x:c r="H227" s="9" t="str">
        <x:v>粉丝等级1级门槛</x:v>
      </x:c>
      <x:c r="I227" s="9" t="str">
        <x:v>1. 执行角色为平台管理员
2. 账号具有当前模块访问及本次操作权限</x:v>
      </x:c>
      <x:c r="J227" s="9" t="str">
        <x:v>1. 进入等级配置页
2. 切换粉丝等级</x:v>
      </x:c>
      <x:c r="K227" s="9" t="str">
        <x:v>1级门槛为0且不可修改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来源（当前证据）：liveshow-proto/MainBasis/统一需求文档.md；位置：REQ-9376b0d200c0；行4338
2. 规则：BR-f6c8fc4919effd24
3. 未动态验证</x:v>
      </x:c>
    </x:row>
    <x:row r="228" ht="85" customHeight="1">
      <x:c r="A228" s="10" t="n">
        <x:v>227</x:v>
      </x:c>
      <x:c r="B228" s="10" t="str">
        <x:v>ADMIN-07-0075</x:v>
      </x:c>
      <x:c r="C228" s="10" t="str">
        <x:v>运营配置</x:v>
      </x:c>
      <x:c r="D228" s="10" t="str">
        <x:v>等级配置（平台管理员视角）</x:v>
      </x:c>
      <x:c r="E228" s="10" t="str">
        <x:v>功能需求</x:v>
      </x:c>
      <x:c r="F228" s="10" t="str">
        <x:v>P2</x:v>
      </x:c>
      <x:c r="G228" s="9" t="str">
        <x:v>验证粉丝等级新增等级自动连续编号</x:v>
      </x:c>
      <x:c r="H228" s="9" t="str">
        <x:v>粉丝等级新增编号</x:v>
      </x:c>
      <x:c r="I228" s="9" t="str">
        <x:v>1. 执行角色为平台管理员
2. 账号具有当前模块访问及本次操作权限
3. 当前粉丝等级最高等级为3</x:v>
      </x:c>
      <x:c r="J228" s="9" t="str">
        <x:v>1. 进入等级配置页
2. 切换粉丝等级
3. 点击新增等级</x:v>
      </x:c>
      <x:c r="K228" s="9" t="str">
        <x:v>新等级编号为4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来源（当前证据）：liveshow-proto/MainBasis/统一需求文档.md；位置：REQ-fb5475333eb2；行4340
2. 规则：BR-62b5c5ea8b03e7c8
3. 未动态验证</x:v>
      </x:c>
    </x:row>
    <x:row r="229" ht="85" customHeight="1">
      <x:c r="A229" s="10" t="n">
        <x:v>228</x:v>
      </x:c>
      <x:c r="B229" s="10" t="str">
        <x:v>ADMIN-07-0076</x:v>
      </x:c>
      <x:c r="C229" s="10" t="str">
        <x:v>运营配置</x:v>
      </x:c>
      <x:c r="D229" s="10" t="str">
        <x:v>等级配置（平台管理员视角）</x:v>
      </x:c>
      <x:c r="E229" s="10" t="str">
        <x:v>逻辑校验</x:v>
      </x:c>
      <x:c r="F229" s="10" t="str">
        <x:v>P1</x:v>
      </x:c>
      <x:c r="G229" s="9" t="str">
        <x:v>验证粉丝等级门槛等于上级不能保存</x:v>
      </x:c>
      <x:c r="H229" s="9" t="str">
        <x:v>粉丝等级门槛递增</x:v>
      </x:c>
      <x:c r="I229" s="9" t="str">
        <x:v>1. 执行角色为平台管理员
2. 账号具有当前模块访问及本次操作权限
3. 2级门槛100，3级门槛100，图片完整</x:v>
      </x:c>
      <x:c r="J229" s="9" t="str">
        <x:v>1. 进入等级配置页
2. 切换粉丝等级
3. 点击保存</x:v>
      </x:c>
      <x:c r="K229" s="9" t="str">
        <x:v>错误定位到3级门槛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来源（当前证据）：liveshow-proto/MainBasis/统一需求文档.md；位置：REQ-9376b0d200c0；行4338
2. 规则：BR-965c965453cf66e2
3. 未动态验证</x:v>
      </x:c>
    </x:row>
    <x:row r="230" ht="85" customHeight="1">
      <x:c r="A230" s="10" t="n">
        <x:v>229</x:v>
      </x:c>
      <x:c r="B230" s="10" t="str">
        <x:v>ADMIN-07-0077</x:v>
      </x:c>
      <x:c r="C230" s="10" t="str">
        <x:v>运营配置</x:v>
      </x:c>
      <x:c r="D230" s="10" t="str">
        <x:v>等级配置（平台管理员视角）</x:v>
      </x:c>
      <x:c r="E230" s="10" t="str">
        <x:v>逻辑校验</x:v>
      </x:c>
      <x:c r="F230" s="10" t="str">
        <x:v>P1</x:v>
      </x:c>
      <x:c r="G230" s="9" t="str">
        <x:v>验证粉丝等级缺图不能保存</x:v>
      </x:c>
      <x:c r="H230" s="9" t="str">
        <x:v>粉丝等级勋章图必填</x:v>
      </x:c>
      <x:c r="I230" s="9" t="str">
        <x:v>1. 执行角色为平台管理员
2. 账号具有当前模块访问及本次操作权限
3. 2级门槛合法但未上传图片</x:v>
      </x:c>
      <x:c r="J230" s="9" t="str">
        <x:v>1. 进入等级配置页
2. 切换粉丝等级
3. 点击保存</x:v>
      </x:c>
      <x:c r="K230" s="9" t="str">
        <x:v>提示2级缺少勋章图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来源（当前证据）：liveshow-proto/MainBasis/统一需求文档.md；位置：REQ-983fffee488e；行4342
2. 规则：BR-ec03ae7986502578
3. 未动态验证</x:v>
      </x:c>
    </x:row>
    <x:row r="231" ht="85" customHeight="1">
      <x:c r="A231" s="10" t="n">
        <x:v>230</x:v>
      </x:c>
      <x:c r="B231" s="10" t="str">
        <x:v>ADMIN-07-0078</x:v>
      </x:c>
      <x:c r="C231" s="10" t="str">
        <x:v>运营配置</x:v>
      </x:c>
      <x:c r="D231" s="10" t="str">
        <x:v>等级配置（平台管理员视角）</x:v>
      </x:c>
      <x:c r="E231" s="10" t="str">
        <x:v>逻辑校验</x:v>
      </x:c>
      <x:c r="F231" s="10" t="str">
        <x:v>P1</x:v>
      </x:c>
      <x:c r="G231" s="9" t="str">
        <x:v>验证粉丝团等级基础门槛固定0</x:v>
      </x:c>
      <x:c r="H231" s="9" t="str">
        <x:v>粉丝团等级1级门槛</x:v>
      </x:c>
      <x:c r="I231" s="9" t="str">
        <x:v>1. 执行角色为平台管理员
2. 账号具有当前模块访问及本次操作权限</x:v>
      </x:c>
      <x:c r="J231" s="9" t="str">
        <x:v>1. 进入等级配置页
2. 切换粉丝团等级</x:v>
      </x:c>
      <x:c r="K231" s="9" t="str">
        <x:v>1级门槛为0且不可修改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来源（当前证据）：liveshow-proto/MainBasis/统一需求文档.md；位置：REQ-9376b0d200c0；行4338
2. 规则：BR-95d3a2e8d4c6757e
3. 未动态验证</x:v>
      </x:c>
    </x:row>
    <x:row r="232" ht="85" customHeight="1">
      <x:c r="A232" s="10" t="n">
        <x:v>231</x:v>
      </x:c>
      <x:c r="B232" s="10" t="str">
        <x:v>ADMIN-07-0079</x:v>
      </x:c>
      <x:c r="C232" s="10" t="str">
        <x:v>运营配置</x:v>
      </x:c>
      <x:c r="D232" s="10" t="str">
        <x:v>等级配置（平台管理员视角）</x:v>
      </x:c>
      <x:c r="E232" s="10" t="str">
        <x:v>功能需求</x:v>
      </x:c>
      <x:c r="F232" s="10" t="str">
        <x:v>P2</x:v>
      </x:c>
      <x:c r="G232" s="9" t="str">
        <x:v>验证粉丝团等级新增等级自动连续编号</x:v>
      </x:c>
      <x:c r="H232" s="9" t="str">
        <x:v>粉丝团等级新增编号</x:v>
      </x:c>
      <x:c r="I232" s="9" t="str">
        <x:v>1. 执行角色为平台管理员
2. 账号具有当前模块访问及本次操作权限
3. 当前粉丝团等级最高等级为3</x:v>
      </x:c>
      <x:c r="J232" s="9" t="str">
        <x:v>1. 进入等级配置页
2. 切换粉丝团等级
3. 点击新增等级</x:v>
      </x:c>
      <x:c r="K232" s="9" t="str">
        <x:v>新等级编号为4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来源（当前证据）：liveshow-proto/MainBasis/统一需求文档.md；位置：REQ-fb5475333eb2；行4340
2. 规则：BR-d31428f51e1dbcd9
3. 未动态验证</x:v>
      </x:c>
    </x:row>
    <x:row r="233" ht="85" customHeight="1">
      <x:c r="A233" s="10" t="n">
        <x:v>232</x:v>
      </x:c>
      <x:c r="B233" s="10" t="str">
        <x:v>ADMIN-07-0080</x:v>
      </x:c>
      <x:c r="C233" s="10" t="str">
        <x:v>运营配置</x:v>
      </x:c>
      <x:c r="D233" s="10" t="str">
        <x:v>等级配置（平台管理员视角）</x:v>
      </x:c>
      <x:c r="E233" s="10" t="str">
        <x:v>逻辑校验</x:v>
      </x:c>
      <x:c r="F233" s="10" t="str">
        <x:v>P1</x:v>
      </x:c>
      <x:c r="G233" s="9" t="str">
        <x:v>验证粉丝团等级门槛等于上级不能保存</x:v>
      </x:c>
      <x:c r="H233" s="9" t="str">
        <x:v>粉丝团等级门槛递增</x:v>
      </x:c>
      <x:c r="I233" s="9" t="str">
        <x:v>1. 执行角色为平台管理员
2. 账号具有当前模块访问及本次操作权限
3. 2级门槛100，3级门槛100，图片完整</x:v>
      </x:c>
      <x:c r="J233" s="9" t="str">
        <x:v>1. 进入等级配置页
2. 切换粉丝团等级
3. 点击保存</x:v>
      </x:c>
      <x:c r="K233" s="9" t="str">
        <x:v>错误定位到3级门槛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来源（当前证据）：liveshow-proto/MainBasis/统一需求文档.md；位置：REQ-9376b0d200c0；行4338
2. 规则：BR-5c2360b4031e6f7c
3. 未动态验证</x:v>
      </x:c>
    </x:row>
    <x:row r="234" ht="85" customHeight="1">
      <x:c r="A234" s="10" t="n">
        <x:v>233</x:v>
      </x:c>
      <x:c r="B234" s="10" t="str">
        <x:v>ADMIN-07-0081</x:v>
      </x:c>
      <x:c r="C234" s="10" t="str">
        <x:v>运营配置</x:v>
      </x:c>
      <x:c r="D234" s="10" t="str">
        <x:v>等级配置（平台管理员视角）</x:v>
      </x:c>
      <x:c r="E234" s="10" t="str">
        <x:v>逻辑校验</x:v>
      </x:c>
      <x:c r="F234" s="10" t="str">
        <x:v>P1</x:v>
      </x:c>
      <x:c r="G234" s="9" t="str">
        <x:v>验证粉丝团等级缺图不能保存</x:v>
      </x:c>
      <x:c r="H234" s="9" t="str">
        <x:v>粉丝团等级勋章图必填</x:v>
      </x:c>
      <x:c r="I234" s="9" t="str">
        <x:v>1. 执行角色为平台管理员
2. 账号具有当前模块访问及本次操作权限
3. 2级门槛合法但未上传图片</x:v>
      </x:c>
      <x:c r="J234" s="9" t="str">
        <x:v>1. 进入等级配置页
2. 切换粉丝团等级
3. 点击保存</x:v>
      </x:c>
      <x:c r="K234" s="9" t="str">
        <x:v>提示2级缺少勋章图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来源（当前证据）：liveshow-proto/MainBasis/统一需求文档.md；位置：REQ-983fffee488e；行4342
2. 规则：BR-63df33b508346cc1
3. 未动态验证</x:v>
      </x:c>
    </x:row>
    <x:row r="235" ht="85" customHeight="1">
      <x:c r="A235" s="10" t="n">
        <x:v>234</x:v>
      </x:c>
      <x:c r="B235" s="10" t="str">
        <x:v>ADMIN-07-0082</x:v>
      </x:c>
      <x:c r="C235" s="10" t="str">
        <x:v>运营配置</x:v>
      </x:c>
      <x:c r="D235" s="10" t="str">
        <x:v>等级配置（平台管理员视角）</x:v>
      </x:c>
      <x:c r="E235" s="10" t="str">
        <x:v>逻辑校验</x:v>
      </x:c>
      <x:c r="F235" s="10" t="str">
        <x:v>P1</x:v>
      </x:c>
      <x:c r="G235" s="9" t="str">
        <x:v>验证保存财富等级不被其他Tab错误阻断</x:v>
      </x:c>
      <x:c r="H235" s="9" t="str">
        <x:v>等级保存范围</x:v>
      </x:c>
      <x:c r="I235" s="9" t="str">
        <x:v>1. 执行角色为平台管理员
2. 账号具有当前模块访问及本次操作权限
3. 财富等级完整有效，主播等级存在未保存空门槛</x:v>
      </x:c>
      <x:c r="J235" s="9" t="str">
        <x:v>1. 进入等级配置页
2. 切换财富等级
3. 点击保存</x:v>
      </x:c>
      <x:c r="K235" s="9" t="str">
        <x:v>财富等级保存成功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来源（当前证据）：liveshow-proto/MainBasis/统一需求文档.md；位置：REQ-983fffee488e；行4342
2. 规则：BR-6db58c2c6b2a245e
3. 未动态验证</x:v>
      </x:c>
    </x:row>
    <x:row r="236" ht="85" customHeight="1">
      <x:c r="A236" s="10" t="n">
        <x:v>235</x:v>
      </x:c>
      <x:c r="B236" s="10" t="str">
        <x:v>ADMIN-07-0083</x:v>
      </x:c>
      <x:c r="C236" s="10" t="str">
        <x:v>运营配置</x:v>
      </x:c>
      <x:c r="D236" s="10" t="str">
        <x:v>等级配置（平台管理员视角）</x:v>
      </x:c>
      <x:c r="E236" s="10" t="str">
        <x:v>逻辑校验</x:v>
      </x:c>
      <x:c r="F236" s="10" t="str">
        <x:v>P1</x:v>
      </x:c>
      <x:c r="G236" s="9" t="str">
        <x:v>验证等级Tab切换保留未保存编辑</x:v>
      </x:c>
      <x:c r="H236" s="9" t="str">
        <x:v>等级Tab草稿保留</x:v>
      </x:c>
      <x:c r="I236" s="9" t="str">
        <x:v>1. 执行角色为平台管理员
2. 账号具有当前模块访问及本次操作权限
3. 财富等级2级原门槛100</x:v>
      </x:c>
      <x:c r="J236" s="9" t="str">
        <x:v>1. 进入等级配置页
2. 切换财富等级
3. 填写2级门槛为200
4. 切换主播等级
5. 切换财富等级</x:v>
      </x:c>
      <x:c r="K236" s="9" t="str">
        <x:v>2级门槛仍为未保存的200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来源（当前证据）：liveshow-proto/MainBasis/统一需求文档.md；位置：REQ-983fffee488e；行4342
2. 规则：BR-d4d7d86734c9142b
3. 未动态验证</x:v>
      </x:c>
    </x:row>
    <x:row r="237" ht="85" customHeight="1">
      <x:c r="A237" s="10" t="n">
        <x:v>236</x:v>
      </x:c>
      <x:c r="B237" s="10" t="str">
        <x:v>ADMIN-07-0084</x:v>
      </x:c>
      <x:c r="C237" s="10" t="str">
        <x:v>运营配置</x:v>
      </x:c>
      <x:c r="D237" s="10" t="str">
        <x:v>等级配置（平台管理员视角）</x:v>
      </x:c>
      <x:c r="E237" s="10" t="str">
        <x:v>功能需求</x:v>
      </x:c>
      <x:c r="F237" s="10" t="str">
        <x:v>P2</x:v>
      </x:c>
      <x:c r="G237" s="9" t="str">
        <x:v>验证取消更换勋章图保留原图</x:v>
      </x:c>
      <x:c r="H237" s="9" t="str">
        <x:v>等级图片取消选择</x:v>
      </x:c>
      <x:c r="I237" s="9" t="str">
        <x:v>1. 执行角色为平台管理员
2. 账号具有当前模块访问及本次操作权限
3. 当前等级有有效图片A</x:v>
      </x:c>
      <x:c r="J237" s="9" t="str">
        <x:v>1. 进入等级配置页
2. 点击更换图片
3. 取消文件选择</x:v>
      </x:c>
      <x:c r="K237" s="9" t="str">
        <x:v>该等级仍预览图片A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来源（当前证据）：liveshow-proto/MainBasis/统一需求文档.md；位置：REQ-1785b566a51e；行4346
2. 规则：BR-fdda6082c3e4817e
3. 未动态验证</x:v>
      </x:c>
    </x:row>
    <x:row r="238" ht="85" customHeight="1">
      <x:c r="A238" s="10" t="n">
        <x:v>237</x:v>
      </x:c>
      <x:c r="B238" s="10" t="str">
        <x:v>ADMIN-07-0085</x:v>
      </x:c>
      <x:c r="C238" s="10" t="str">
        <x:v>运营配置</x:v>
      </x:c>
      <x:c r="D238" s="10" t="str">
        <x:v>等级配置（平台管理员视角）</x:v>
      </x:c>
      <x:c r="E238" s="10" t="str">
        <x:v>逻辑校验</x:v>
      </x:c>
      <x:c r="F238" s="10" t="str">
        <x:v>P1</x:v>
      </x:c>
      <x:c r="G238" s="9" t="str">
        <x:v>验证等级上传qa.txt保留原有效图片</x:v>
      </x:c>
      <x:c r="H238" s="9" t="str">
        <x:v>等级非法图片处理</x:v>
      </x:c>
      <x:c r="I238" s="9" t="str">
        <x:v>1. 执行角色为平台管理员
2. 账号具有当前模块访问及本次操作权限
3. 当前等级有有效图片A
4. 准备qa.txt</x:v>
      </x:c>
      <x:c r="J238" s="9" t="str">
        <x:v>1. 进入等级配置页
2. 上传勋章图选择qa.txt</x:v>
      </x:c>
      <x:c r="K238" s="9" t="str">
        <x:v>原有效图片A被保留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来源（当前证据）：liveshow-proto/MainBasis/统一需求文档.md；位置：REQ-1785b566a51e；行4346
2. 规则：BR-69c3868f6e356fb5
3. 未动态验证</x:v>
      </x:c>
    </x:row>
    <x:row r="239" ht="85" customHeight="1">
      <x:c r="A239" s="10" t="n">
        <x:v>238</x:v>
      </x:c>
      <x:c r="B239" s="10" t="str">
        <x:v>ADMIN-07-0086</x:v>
      </x:c>
      <x:c r="C239" s="10" t="str">
        <x:v>运营配置</x:v>
      </x:c>
      <x:c r="D239" s="10" t="str">
        <x:v>等级配置（平台管理员视角）</x:v>
      </x:c>
      <x:c r="E239" s="10" t="str">
        <x:v>逻辑校验</x:v>
      </x:c>
      <x:c r="F239" s="10" t="str">
        <x:v>P1</x:v>
      </x:c>
      <x:c r="G239" s="9" t="str">
        <x:v>验证等级上传损坏的qa.png保留原有效图片</x:v>
      </x:c>
      <x:c r="H239" s="9" t="str">
        <x:v>等级非法图片处理</x:v>
      </x:c>
      <x:c r="I239" s="9" t="str">
        <x:v>1. 执行角色为平台管理员
2. 账号具有当前模块访问及本次操作权限
3. 当前等级有有效图片A
4. 准备损坏的qa.png</x:v>
      </x:c>
      <x:c r="J239" s="9" t="str">
        <x:v>1. 进入等级配置页
2. 上传勋章图选择损坏的qa.png</x:v>
      </x:c>
      <x:c r="K239" s="9" t="str">
        <x:v>原有效图片A被保留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来源（当前证据）：liveshow-proto/MainBasis/统一需求文档.md；位置：REQ-1785b566a51e；行4346
2. 规则：BR-576de04938809032
3. 未动态验证</x:v>
      </x:c>
    </x:row>
    <x:row r="240" ht="115" customHeight="1">
      <x:c r="A240" s="10" t="n">
        <x:v>239</x:v>
      </x:c>
      <x:c r="B240" s="10" t="str">
        <x:v>ADMIN-07-0087</x:v>
      </x:c>
      <x:c r="C240" s="10" t="str">
        <x:v>运营配置</x:v>
      </x:c>
      <x:c r="D240" s="10" t="str">
        <x:v>直播类型（平台管理员视角）</x:v>
      </x:c>
      <x:c r="E240" s="10" t="str">
        <x:v>逻辑校验</x:v>
      </x:c>
      <x:c r="F240" s="10" t="str">
        <x:v>P1</x:v>
      </x:c>
      <x:c r="G240" s="9" t="str">
        <x:v>验证直播类型中文名称必填</x:v>
      </x:c>
      <x:c r="H240" s="9" t="str">
        <x:v>直播类型中文校验</x:v>
      </x:c>
      <x:c r="I240" s="9" t="str">
        <x:v>1. 执行角色为平台管理员
2. 账号具有当前模块访问及本次操作权限
3. 测试名称在各语言下均未被使用</x:v>
      </x:c>
      <x:c r="J240" s="9" t="str">
        <x:v>1. 进入直播类型页
2. 点击新建
3. 填写英语名称为QA-英语
4. 填写印尼语名称为QA-印尼语
5. 填写马来语名称为QA-马来语
6. 清空中文名称
7. 点击保存</x:v>
      </x:c>
      <x:c r="K240" s="9" t="str">
        <x:v>不能保存缺少四语名称的类型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来源（当前证据）：liveshow-proto/MainBasis/统一需求文档.md；位置：REQ-df2a9afe3f5f；行4363
2. 规则：BR-f1c36e3f0904a47d
3. 未动态验证</x:v>
      </x:c>
    </x:row>
    <x:row r="241" ht="115" customHeight="1">
      <x:c r="A241" s="10" t="n">
        <x:v>240</x:v>
      </x:c>
      <x:c r="B241" s="10" t="str">
        <x:v>ADMIN-07-0088</x:v>
      </x:c>
      <x:c r="C241" s="10" t="str">
        <x:v>运营配置</x:v>
      </x:c>
      <x:c r="D241" s="10" t="str">
        <x:v>直播类型（平台管理员视角）</x:v>
      </x:c>
      <x:c r="E241" s="10" t="str">
        <x:v>逻辑校验</x:v>
      </x:c>
      <x:c r="F241" s="10" t="str">
        <x:v>P1</x:v>
      </x:c>
      <x:c r="G241" s="9" t="str">
        <x:v>验证直播类型英语名称必填</x:v>
      </x:c>
      <x:c r="H241" s="9" t="str">
        <x:v>直播类型英语校验</x:v>
      </x:c>
      <x:c r="I241" s="9" t="str">
        <x:v>1. 执行角色为平台管理员
2. 账号具有当前模块访问及本次操作权限
3. 测试名称在各语言下均未被使用</x:v>
      </x:c>
      <x:c r="J241" s="9" t="str">
        <x:v>1. 进入直播类型页
2. 点击新建
3. 填写中文名称为QA-中文
4. 填写印尼语名称为QA-印尼语
5. 填写马来语名称为QA-马来语
6. 清空英语名称
7. 点击保存</x:v>
      </x:c>
      <x:c r="K241" s="9" t="str">
        <x:v>不能保存缺少四语名称的类型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来源（当前证据）：liveshow-proto/MainBasis/统一需求文档.md；位置：REQ-df2a9afe3f5f；行4363
2. 规则：BR-8f44c14ddd8febe1
3. 未动态验证</x:v>
      </x:c>
    </x:row>
    <x:row r="242" ht="115" customHeight="1">
      <x:c r="A242" s="10" t="n">
        <x:v>241</x:v>
      </x:c>
      <x:c r="B242" s="10" t="str">
        <x:v>ADMIN-07-0089</x:v>
      </x:c>
      <x:c r="C242" s="10" t="str">
        <x:v>运营配置</x:v>
      </x:c>
      <x:c r="D242" s="10" t="str">
        <x:v>直播类型（平台管理员视角）</x:v>
      </x:c>
      <x:c r="E242" s="10" t="str">
        <x:v>逻辑校验</x:v>
      </x:c>
      <x:c r="F242" s="10" t="str">
        <x:v>P1</x:v>
      </x:c>
      <x:c r="G242" s="9" t="str">
        <x:v>验证直播类型印尼语名称必填</x:v>
      </x:c>
      <x:c r="H242" s="9" t="str">
        <x:v>直播类型印尼语校验</x:v>
      </x:c>
      <x:c r="I242" s="9" t="str">
        <x:v>1. 执行角色为平台管理员
2. 账号具有当前模块访问及本次操作权限
3. 测试名称在各语言下均未被使用</x:v>
      </x:c>
      <x:c r="J242" s="9" t="str">
        <x:v>1. 进入直播类型页
2. 点击新建
3. 填写中文名称为QA-中文
4. 填写英语名称为QA-英语
5. 填写马来语名称为QA-马来语
6. 清空印尼语名称
7. 点击保存</x:v>
      </x:c>
      <x:c r="K242" s="9" t="str">
        <x:v>不能保存缺少四语名称的类型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来源（当前证据）：liveshow-proto/MainBasis/统一需求文档.md；位置：REQ-df2a9afe3f5f；行4363
2. 规则：BR-089bd6e018be2589
3. 未动态验证</x:v>
      </x:c>
    </x:row>
    <x:row r="243" ht="115" customHeight="1">
      <x:c r="A243" s="10" t="n">
        <x:v>242</x:v>
      </x:c>
      <x:c r="B243" s="10" t="str">
        <x:v>ADMIN-07-0090</x:v>
      </x:c>
      <x:c r="C243" s="10" t="str">
        <x:v>运营配置</x:v>
      </x:c>
      <x:c r="D243" s="10" t="str">
        <x:v>直播类型（平台管理员视角）</x:v>
      </x:c>
      <x:c r="E243" s="10" t="str">
        <x:v>逻辑校验</x:v>
      </x:c>
      <x:c r="F243" s="10" t="str">
        <x:v>P1</x:v>
      </x:c>
      <x:c r="G243" s="9" t="str">
        <x:v>验证直播类型马来语名称必填</x:v>
      </x:c>
      <x:c r="H243" s="9" t="str">
        <x:v>直播类型马来语校验</x:v>
      </x:c>
      <x:c r="I243" s="9" t="str">
        <x:v>1. 执行角色为平台管理员
2. 账号具有当前模块访问及本次操作权限
3. 测试名称在各语言下均未被使用</x:v>
      </x:c>
      <x:c r="J243" s="9" t="str">
        <x:v>1. 进入直播类型页
2. 点击新建
3. 填写中文名称为QA-中文
4. 填写英语名称为QA-英语
5. 填写印尼语名称为QA-印尼语
6. 清空马来语名称
7. 点击保存</x:v>
      </x:c>
      <x:c r="K243" s="9" t="str">
        <x:v>不能保存缺少四语名称的类型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来源（当前证据）：liveshow-proto/MainBasis/统一需求文档.md；位置：REQ-df2a9afe3f5f；行4363
2. 规则：BR-bc3b847a6c9d95d6
3. 未动态验证</x:v>
      </x:c>
    </x:row>
    <x:row r="244" ht="115" customHeight="1">
      <x:c r="A244" s="10" t="n">
        <x:v>243</x:v>
      </x:c>
      <x:c r="B244" s="10" t="str">
        <x:v>ADMIN-07-0091</x:v>
      </x:c>
      <x:c r="C244" s="10" t="str">
        <x:v>运营配置</x:v>
      </x:c>
      <x:c r="D244" s="10" t="str">
        <x:v>直播类型（平台管理员视角）</x:v>
      </x:c>
      <x:c r="E244" s="10" t="str">
        <x:v>逻辑校验</x:v>
      </x:c>
      <x:c r="F244" s="10" t="str">
        <x:v>P1</x:v>
      </x:c>
      <x:c r="G244" s="9" t="str">
        <x:v>验证同语种直播类型名称不得重复</x:v>
      </x:c>
      <x:c r="H244" s="9" t="str">
        <x:v>直播类型名称唯一性</x:v>
      </x:c>
      <x:c r="I244" s="9" t="str">
        <x:v>1. 执行角色为平台管理员
2. 账号具有当前模块访问及本次操作权限
3. 已有中文类型A；其余三语测试名称均未被使用</x:v>
      </x:c>
      <x:c r="J244" s="9" t="str">
        <x:v>1. 进入直播类型页
2. 点击新建
3. 填写中文名称为A
4. 填写英语名称为QA-英语
5. 填写印尼语名称为QA-印尼语
6. 填写马来语名称为QA-马来语
7. 点击保存</x:v>
      </x:c>
      <x:c r="K244" s="9" t="str">
        <x:v>不能保存同语言重复名称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来源（当前证据）：liveshow-proto/MainBasis/统一需求文档.md；位置：REQ-df2a9afe3f5f；行4363
2. 规则：BR-d48eea20ff370758
3. 未动态验证</x:v>
      </x:c>
    </x:row>
    <x:row r="245" ht="85" customHeight="1">
      <x:c r="A245" s="10" t="n">
        <x:v>244</x:v>
      </x:c>
      <x:c r="B245" s="10" t="str">
        <x:v>ADMIN-07-0092</x:v>
      </x:c>
      <x:c r="C245" s="10" t="str">
        <x:v>运营配置</x:v>
      </x:c>
      <x:c r="D245" s="10" t="str">
        <x:v>直播房型（平台管理员视角）</x:v>
      </x:c>
      <x:c r="E245" s="10" t="str">
        <x:v>逻辑校验</x:v>
      </x:c>
      <x:c r="F245" s="10" t="str">
        <x:v>P1</x:v>
      </x:c>
      <x:c r="G245" s="9" t="str">
        <x:v>验证直播房型只提供系统预置项</x:v>
      </x:c>
      <x:c r="H245" s="9" t="str">
        <x:v>直播房型不可自定义</x:v>
      </x:c>
      <x:c r="I245" s="9" t="str">
        <x:v>1. 执行角色为平台管理员
2. 账号具有当前模块访问及本次操作权限</x:v>
      </x:c>
      <x:c r="J245" s="9" t="str">
        <x:v>1. 进入直播房型页</x:v>
      </x:c>
      <x:c r="K245" s="9" t="str">
        <x:v>不提供新增或编辑房型名称入口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来源（当前证据）：liveshow-proto/MainBasis/统一需求文档.md；位置：REQ-a4e04eaafd6e；行4376
2. 规则：BR-6abc9bf8ed51bd35
3. 未动态验证</x:v>
      </x:c>
    </x:row>
    <x:row r="246" ht="85" customHeight="1">
      <x:c r="A246" s="10" t="n">
        <x:v>245</x:v>
      </x:c>
      <x:c r="B246" s="10" t="str">
        <x:v>ADMIN-07-0093</x:v>
      </x:c>
      <x:c r="C246" s="10" t="str">
        <x:v>运营配置</x:v>
      </x:c>
      <x:c r="D246" s="10" t="str">
        <x:v>直播房型（平台管理员视角）</x:v>
      </x:c>
      <x:c r="E246" s="10" t="str">
        <x:v>逻辑校验</x:v>
      </x:c>
      <x:c r="F246" s="10" t="str">
        <x:v>P1</x:v>
      </x:c>
      <x:c r="G246" s="9" t="str">
        <x:v>验证关闭门票房功能状态</x:v>
      </x:c>
      <x:c r="H246" s="9" t="str">
        <x:v>后台房型关闭</x:v>
      </x:c>
      <x:c r="I246" s="9" t="str">
        <x:v>1. 执行角色为平台管理员
2. 账号具有当前模块访问及本次操作权限
3. 门票房当前开启</x:v>
      </x:c>
      <x:c r="J246" s="9" t="str">
        <x:v>1. 进入直播房型页
2. 关闭门票房开关</x:v>
      </x:c>
      <x:c r="K246" s="9" t="str">
        <x:v>门票房状态为关闭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来源（当前证据）：liveshow-proto/MainBasis/统一需求文档.md；位置：REQ-5c2437cc4eb8；行4384
2. 规则：BR-9535addbb81809a3
3. 未动态验证</x:v>
      </x:c>
    </x:row>
    <x:row r="247" ht="85" customHeight="1">
      <x:c r="A247" s="10" t="n">
        <x:v>246</x:v>
      </x:c>
      <x:c r="B247" s="10" t="str">
        <x:v>ADMIN-07-0094</x:v>
      </x:c>
      <x:c r="C247" s="10" t="str">
        <x:v>运营配置</x:v>
      </x:c>
      <x:c r="D247" s="10" t="str">
        <x:v>直播房型（平台管理员视角）</x:v>
      </x:c>
      <x:c r="E247" s="10" t="str">
        <x:v>逻辑校验</x:v>
      </x:c>
      <x:c r="F247" s="10" t="str">
        <x:v>P1</x:v>
      </x:c>
      <x:c r="G247" s="9" t="str">
        <x:v>验证关闭密码房功能状态</x:v>
      </x:c>
      <x:c r="H247" s="9" t="str">
        <x:v>后台房型关闭</x:v>
      </x:c>
      <x:c r="I247" s="9" t="str">
        <x:v>1. 执行角色为平台管理员
2. 账号具有当前模块访问及本次操作权限
3. 密码房当前开启</x:v>
      </x:c>
      <x:c r="J247" s="9" t="str">
        <x:v>1. 进入直播房型页
2. 关闭密码房开关</x:v>
      </x:c>
      <x:c r="K247" s="9" t="str">
        <x:v>密码房状态为关闭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来源（当前证据）：liveshow-proto/MainBasis/统一需求文档.md；位置：REQ-5c2437cc4eb8；行4384
2. 规则：BR-89b716d735f80118
3. 未动态验证</x:v>
      </x:c>
    </x:row>
    <x:row r="248" ht="85" customHeight="1">
      <x:c r="A248" s="10" t="n">
        <x:v>247</x:v>
      </x:c>
      <x:c r="B248" s="10" t="str">
        <x:v>ADMIN-07-0095</x:v>
      </x:c>
      <x:c r="C248" s="10" t="str">
        <x:v>运营配置</x:v>
      </x:c>
      <x:c r="D248" s="10" t="str">
        <x:v>门票价格档位（平台管理员视角）</x:v>
      </x:c>
      <x:c r="E248" s="10" t="str">
        <x:v>逻辑校验</x:v>
      </x:c>
      <x:c r="F248" s="10" t="str">
        <x:v>P1</x:v>
      </x:c>
      <x:c r="G248" s="9" t="str">
        <x:v>验证最后一个启用门票档位不能停用</x:v>
      </x:c>
      <x:c r="H248" s="9" t="str">
        <x:v>门票至少一个有效价格</x:v>
      </x:c>
      <x:c r="I248" s="9" t="str">
        <x:v>1. 执行角色为平台管理员
2. 账号具有当前模块访问及本次操作权限
3. 仅价格10金币档位启用</x:v>
      </x:c>
      <x:c r="J248" s="9" t="str">
        <x:v>1. 进入门票价格档位页
2. 点击10金币档位停用</x:v>
      </x:c>
      <x:c r="K248" s="9" t="str">
        <x:v>10金币档位仍启用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来源（当前证据）：liveshow-proto/MainBasis/统一需求文档.md；位置：REQ-0ed87f5918f5；行4401
2. 规则：BR-a9369519d5c81c96
3. 未动态验证</x:v>
      </x:c>
    </x:row>
    <x:row r="249" ht="100" customHeight="1">
      <x:c r="A249" s="10" t="n">
        <x:v>248</x:v>
      </x:c>
      <x:c r="B249" s="10" t="str">
        <x:v>ADMIN-07-0096</x:v>
      </x:c>
      <x:c r="C249" s="10" t="str">
        <x:v>运营配置</x:v>
      </x:c>
      <x:c r="D249" s="10" t="str">
        <x:v>门票价格档位编辑（平台管理员视角）</x:v>
      </x:c>
      <x:c r="E249" s="10" t="str">
        <x:v>逻辑校验</x:v>
      </x:c>
      <x:c r="F249" s="10" t="str">
        <x:v>P1</x:v>
      </x:c>
      <x:c r="G249" s="9" t="str">
        <x:v>验证门票价格填写0不合法</x:v>
      </x:c>
      <x:c r="H249" s="9" t="str">
        <x:v>门票门票价格校验</x:v>
      </x:c>
      <x:c r="I249" s="9" t="str">
        <x:v>1. 执行角色为平台管理员
2. 账号具有当前模块访问及本次操作权限
3. 其他配置有效</x:v>
      </x:c>
      <x:c r="J249" s="9" t="str">
        <x:v>1. 进入门票价格档位编辑页
2. 填写门票价格为0
3. 点击保存</x:v>
      </x:c>
      <x:c r="K249" s="9" t="str">
        <x:v>不能保存非正整数配置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来源（当前证据）：liveshow-proto/MainBasis/统一需求文档.md；位置：REQ-90dc1e92d97d；行4410、REQ-038dcd1bdbef；行4412
2. 规则：BR-5c3d356a4c796ee1
3. 未动态验证</x:v>
      </x:c>
    </x:row>
    <x:row r="250" ht="100" customHeight="1">
      <x:c r="A250" s="10" t="n">
        <x:v>249</x:v>
      </x:c>
      <x:c r="B250" s="10" t="str">
        <x:v>ADMIN-07-0097</x:v>
      </x:c>
      <x:c r="C250" s="10" t="str">
        <x:v>运营配置</x:v>
      </x:c>
      <x:c r="D250" s="10" t="str">
        <x:v>门票价格档位编辑（平台管理员视角）</x:v>
      </x:c>
      <x:c r="E250" s="10" t="str">
        <x:v>逻辑校验</x:v>
      </x:c>
      <x:c r="F250" s="10" t="str">
        <x:v>P1</x:v>
      </x:c>
      <x:c r="G250" s="9" t="str">
        <x:v>验证门票价格填写-1不合法</x:v>
      </x:c>
      <x:c r="H250" s="9" t="str">
        <x:v>门票门票价格校验</x:v>
      </x:c>
      <x:c r="I250" s="9" t="str">
        <x:v>1. 执行角色为平台管理员
2. 账号具有当前模块访问及本次操作权限
3. 其他配置有效</x:v>
      </x:c>
      <x:c r="J250" s="9" t="str">
        <x:v>1. 进入门票价格档位编辑页
2. 填写门票价格为-1
3. 点击保存</x:v>
      </x:c>
      <x:c r="K250" s="9" t="str">
        <x:v>不能保存非正整数配置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来源（当前证据）：liveshow-proto/MainBasis/统一需求文档.md；位置：REQ-90dc1e92d97d；行4410、REQ-038dcd1bdbef；行4412
2. 规则：BR-d98fd52640cf1e8b
3. 未动态验证</x:v>
      </x:c>
    </x:row>
    <x:row r="251" ht="100" customHeight="1">
      <x:c r="A251" s="10" t="n">
        <x:v>250</x:v>
      </x:c>
      <x:c r="B251" s="10" t="str">
        <x:v>ADMIN-07-0098</x:v>
      </x:c>
      <x:c r="C251" s="10" t="str">
        <x:v>运营配置</x:v>
      </x:c>
      <x:c r="D251" s="10" t="str">
        <x:v>门票价格档位编辑（平台管理员视角）</x:v>
      </x:c>
      <x:c r="E251" s="10" t="str">
        <x:v>逻辑校验</x:v>
      </x:c>
      <x:c r="F251" s="10" t="str">
        <x:v>P1</x:v>
      </x:c>
      <x:c r="G251" s="9" t="str">
        <x:v>验证门票价格填写1.5不合法</x:v>
      </x:c>
      <x:c r="H251" s="9" t="str">
        <x:v>门票门票价格校验</x:v>
      </x:c>
      <x:c r="I251" s="9" t="str">
        <x:v>1. 执行角色为平台管理员
2. 账号具有当前模块访问及本次操作权限
3. 其他配置有效</x:v>
      </x:c>
      <x:c r="J251" s="9" t="str">
        <x:v>1. 进入门票价格档位编辑页
2. 填写门票价格为1.5
3. 点击保存</x:v>
      </x:c>
      <x:c r="K251" s="9" t="str">
        <x:v>不能保存非正整数配置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来源（当前证据）：liveshow-proto/MainBasis/统一需求文档.md；位置：REQ-90dc1e92d97d；行4410、REQ-038dcd1bdbef；行4412
2. 规则：BR-8f7c8cb0d85deb5b
3. 未动态验证</x:v>
      </x:c>
    </x:row>
    <x:row r="252" ht="100" customHeight="1">
      <x:c r="A252" s="10" t="n">
        <x:v>251</x:v>
      </x:c>
      <x:c r="B252" s="10" t="str">
        <x:v>ADMIN-07-0099</x:v>
      </x:c>
      <x:c r="C252" s="10" t="str">
        <x:v>运营配置</x:v>
      </x:c>
      <x:c r="D252" s="10" t="str">
        <x:v>门票价格档位编辑（平台管理员视角）</x:v>
      </x:c>
      <x:c r="E252" s="10" t="str">
        <x:v>逻辑校验</x:v>
      </x:c>
      <x:c r="F252" s="10" t="str">
        <x:v>P1</x:v>
      </x:c>
      <x:c r="G252" s="9" t="str">
        <x:v>验证排序填写0不合法</x:v>
      </x:c>
      <x:c r="H252" s="9" t="str">
        <x:v>门票排序校验</x:v>
      </x:c>
      <x:c r="I252" s="9" t="str">
        <x:v>1. 执行角色为平台管理员
2. 账号具有当前模块访问及本次操作权限
3. 其他配置有效</x:v>
      </x:c>
      <x:c r="J252" s="9" t="str">
        <x:v>1. 进入门票价格档位编辑页
2. 填写排序为0
3. 点击保存</x:v>
      </x:c>
      <x:c r="K252" s="9" t="str">
        <x:v>不能保存非正整数配置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来源（当前证据）：liveshow-proto/MainBasis/统一需求文档.md；位置：REQ-90dc1e92d97d；行4410、REQ-038dcd1bdbef；行4412
2. 规则：BR-87ed4e02b82a67f7
3. 未动态验证</x:v>
      </x:c>
    </x:row>
    <x:row r="253" ht="100" customHeight="1">
      <x:c r="A253" s="10" t="n">
        <x:v>252</x:v>
      </x:c>
      <x:c r="B253" s="10" t="str">
        <x:v>ADMIN-07-0100</x:v>
      </x:c>
      <x:c r="C253" s="10" t="str">
        <x:v>运营配置</x:v>
      </x:c>
      <x:c r="D253" s="10" t="str">
        <x:v>门票价格档位编辑（平台管理员视角）</x:v>
      </x:c>
      <x:c r="E253" s="10" t="str">
        <x:v>逻辑校验</x:v>
      </x:c>
      <x:c r="F253" s="10" t="str">
        <x:v>P1</x:v>
      </x:c>
      <x:c r="G253" s="9" t="str">
        <x:v>验证排序填写-1不合法</x:v>
      </x:c>
      <x:c r="H253" s="9" t="str">
        <x:v>门票排序校验</x:v>
      </x:c>
      <x:c r="I253" s="9" t="str">
        <x:v>1. 执行角色为平台管理员
2. 账号具有当前模块访问及本次操作权限
3. 其他配置有效</x:v>
      </x:c>
      <x:c r="J253" s="9" t="str">
        <x:v>1. 进入门票价格档位编辑页
2. 填写排序为-1
3. 点击保存</x:v>
      </x:c>
      <x:c r="K253" s="9" t="str">
        <x:v>不能保存非正整数配置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来源（当前证据）：liveshow-proto/MainBasis/统一需求文档.md；位置：REQ-90dc1e92d97d；行4410、REQ-038dcd1bdbef；行4412
2. 规则：BR-aa6f33232cdeef0d
3. 未动态验证</x:v>
      </x:c>
    </x:row>
    <x:row r="254" ht="100" customHeight="1">
      <x:c r="A254" s="10" t="n">
        <x:v>253</x:v>
      </x:c>
      <x:c r="B254" s="10" t="str">
        <x:v>ADMIN-07-0101</x:v>
      </x:c>
      <x:c r="C254" s="10" t="str">
        <x:v>运营配置</x:v>
      </x:c>
      <x:c r="D254" s="10" t="str">
        <x:v>门票价格档位编辑（平台管理员视角）</x:v>
      </x:c>
      <x:c r="E254" s="10" t="str">
        <x:v>逻辑校验</x:v>
      </x:c>
      <x:c r="F254" s="10" t="str">
        <x:v>P1</x:v>
      </x:c>
      <x:c r="G254" s="9" t="str">
        <x:v>验证排序填写1.5不合法</x:v>
      </x:c>
      <x:c r="H254" s="9" t="str">
        <x:v>门票排序校验</x:v>
      </x:c>
      <x:c r="I254" s="9" t="str">
        <x:v>1. 执行角色为平台管理员
2. 账号具有当前模块访问及本次操作权限
3. 其他配置有效</x:v>
      </x:c>
      <x:c r="J254" s="9" t="str">
        <x:v>1. 进入门票价格档位编辑页
2. 填写排序为1.5
3. 点击保存</x:v>
      </x:c>
      <x:c r="K254" s="9" t="str">
        <x:v>不能保存非正整数配置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来源（当前证据）：liveshow-proto/MainBasis/统一需求文档.md；位置：REQ-90dc1e92d97d；行4410、REQ-038dcd1bdbef；行4412
2. 规则：BR-486578f774700cbb
3. 未动态验证</x:v>
      </x:c>
    </x:row>
    <x:row r="255" ht="85" customHeight="1">
      <x:c r="A255" s="10" t="n">
        <x:v>254</x:v>
      </x:c>
      <x:c r="B255" s="10" t="str">
        <x:v>ADMIN-07-0102</x:v>
      </x:c>
      <x:c r="C255" s="10" t="str">
        <x:v>运营配置</x:v>
      </x:c>
      <x:c r="D255" s="10" t="str">
        <x:v>门票价格档位编辑（平台管理员视角）</x:v>
      </x:c>
      <x:c r="E255" s="10" t="str">
        <x:v>逻辑校验</x:v>
      </x:c>
      <x:c r="F255" s="10" t="str">
        <x:v>P1</x:v>
      </x:c>
      <x:c r="G255" s="9" t="str">
        <x:v>验证门票价格不能重复配置</x:v>
      </x:c>
      <x:c r="H255" s="9" t="str">
        <x:v>门票价格唯一性</x:v>
      </x:c>
      <x:c r="I255" s="9" t="str">
        <x:v>1. 执行角色为平台管理员
2. 账号具有当前模块访问及本次操作权限
3. 已有10金币档位</x:v>
      </x:c>
      <x:c r="J255" s="9" t="str">
        <x:v>1. 进入门票价格档位编辑页
2. 填写门票价格为10
3. 点击保存</x:v>
      </x:c>
      <x:c r="K255" s="9" t="str">
        <x:v>不能保存重复门票价格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来源（当前证据）：liveshow-proto/MainBasis/统一需求文档.md；位置：REQ-90dc1e92d97d；行4410
2. 规则：BR-ddb2c610254d73b3
3. 未动态验证</x:v>
      </x:c>
    </x:row>
    <x:row r="256" ht="85" customHeight="1">
      <x:c r="A256" s="10" t="n">
        <x:v>255</x:v>
      </x:c>
      <x:c r="B256" s="10" t="str">
        <x:v>ADMIN-07-0103</x:v>
      </x:c>
      <x:c r="C256" s="10" t="str">
        <x:v>运营配置</x:v>
      </x:c>
      <x:c r="D256" s="10" t="str">
        <x:v>敏感词编辑（平台管理员视角）</x:v>
      </x:c>
      <x:c r="E256" s="10" t="str">
        <x:v>逻辑校验</x:v>
      </x:c>
      <x:c r="F256" s="10" t="str">
        <x:v>P1</x:v>
      </x:c>
      <x:c r="G256" s="9" t="str">
        <x:v>验证敏感词规则敏感词必填</x:v>
      </x:c>
      <x:c r="H256" s="9" t="str">
        <x:v>敏感词敏感词校验</x:v>
      </x:c>
      <x:c r="I256" s="9" t="str">
        <x:v>1. 执行角色为平台管理员
2. 账号具有当前模块访问及本次操作权限
3. 其他字段和场景已填写</x:v>
      </x:c>
      <x:c r="J256" s="9" t="str">
        <x:v>1. 进入敏感词编辑页
2. 清空敏感词
3. 点击保存</x:v>
      </x:c>
      <x:c r="K256" s="9" t="str">
        <x:v>不能保存缺少必填项的敏感词规则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来源（当前证据）：liveshow-proto/MainBasis/统一需求文档.md；位置：REQ-affce27eecc6；行4444
2. 规则：BR-d1b25c5bd628e86c
3. 未动态验证</x:v>
      </x:c>
    </x:row>
    <x:row r="257" ht="85" customHeight="1">
      <x:c r="A257" s="10" t="n">
        <x:v>256</x:v>
      </x:c>
      <x:c r="B257" s="10" t="str">
        <x:v>ADMIN-07-0104</x:v>
      </x:c>
      <x:c r="C257" s="10" t="str">
        <x:v>运营配置</x:v>
      </x:c>
      <x:c r="D257" s="10" t="str">
        <x:v>敏感词编辑（平台管理员视角）</x:v>
      </x:c>
      <x:c r="E257" s="10" t="str">
        <x:v>逻辑校验</x:v>
      </x:c>
      <x:c r="F257" s="10" t="str">
        <x:v>P1</x:v>
      </x:c>
      <x:c r="G257" s="9" t="str">
        <x:v>验证敏感词规则分类必填</x:v>
      </x:c>
      <x:c r="H257" s="9" t="str">
        <x:v>敏感词分类校验</x:v>
      </x:c>
      <x:c r="I257" s="9" t="str">
        <x:v>1. 执行角色为平台管理员
2. 账号具有当前模块访问及本次操作权限
3. 其他字段和场景已填写</x:v>
      </x:c>
      <x:c r="J257" s="9" t="str">
        <x:v>1. 进入敏感词编辑页
2. 清空分类
3. 点击保存</x:v>
      </x:c>
      <x:c r="K257" s="9" t="str">
        <x:v>不能保存缺少必填项的敏感词规则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来源（当前证据）：liveshow-proto/MainBasis/统一需求文档.md；位置：REQ-affce27eecc6；行4444
2. 规则：BR-ca4cd7529fea34b4
3. 未动态验证</x:v>
      </x:c>
    </x:row>
    <x:row r="258" ht="85" customHeight="1">
      <x:c r="A258" s="10" t="n">
        <x:v>257</x:v>
      </x:c>
      <x:c r="B258" s="10" t="str">
        <x:v>ADMIN-07-0105</x:v>
      </x:c>
      <x:c r="C258" s="10" t="str">
        <x:v>运营配置</x:v>
      </x:c>
      <x:c r="D258" s="10" t="str">
        <x:v>敏感词编辑（平台管理员视角）</x:v>
      </x:c>
      <x:c r="E258" s="10" t="str">
        <x:v>逻辑校验</x:v>
      </x:c>
      <x:c r="F258" s="10" t="str">
        <x:v>P1</x:v>
      </x:c>
      <x:c r="G258" s="9" t="str">
        <x:v>验证敏感词规则替换内容必填</x:v>
      </x:c>
      <x:c r="H258" s="9" t="str">
        <x:v>敏感词替换内容校验</x:v>
      </x:c>
      <x:c r="I258" s="9" t="str">
        <x:v>1. 执行角色为平台管理员
2. 账号具有当前模块访问及本次操作权限
3. 其他字段和场景已填写</x:v>
      </x:c>
      <x:c r="J258" s="9" t="str">
        <x:v>1. 进入敏感词编辑页
2. 清空替换内容
3. 点击保存</x:v>
      </x:c>
      <x:c r="K258" s="9" t="str">
        <x:v>不能保存缺少必填项的敏感词规则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来源（当前证据）：liveshow-proto/MainBasis/统一需求文档.md；位置：REQ-40d324f06aa0；行4450
2. 规则：BR-8b472dc88e54a7ea
3. 未动态验证</x:v>
      </x:c>
    </x:row>
    <x:row r="259" ht="85" customHeight="1">
      <x:c r="A259" s="10" t="n">
        <x:v>258</x:v>
      </x:c>
      <x:c r="B259" s="10" t="str">
        <x:v>ADMIN-07-0106</x:v>
      </x:c>
      <x:c r="C259" s="10" t="str">
        <x:v>运营配置</x:v>
      </x:c>
      <x:c r="D259" s="10" t="str">
        <x:v>敏感词编辑（平台管理员视角）</x:v>
      </x:c>
      <x:c r="E259" s="10" t="str">
        <x:v>逻辑校验</x:v>
      </x:c>
      <x:c r="F259" s="10" t="str">
        <x:v>P1</x:v>
      </x:c>
      <x:c r="G259" s="9" t="str">
        <x:v>验证敏感词规则至少一个使用场景</x:v>
      </x:c>
      <x:c r="H259" s="9" t="str">
        <x:v>敏感词场景必选</x:v>
      </x:c>
      <x:c r="I259" s="9" t="str">
        <x:v>1. 执行角色为平台管理员
2. 账号具有当前模块访问及本次操作权限
3. 词条分类替换内容完整</x:v>
      </x:c>
      <x:c r="J259" s="9" t="str">
        <x:v>1. 进入敏感词编辑页
2. 清空使用场景
3. 点击保存</x:v>
      </x:c>
      <x:c r="K259" s="9" t="str">
        <x:v>不能保存无使用场景的规则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来源（当前证据）：liveshow-proto/MainBasis/统一需求文档.md；位置：REQ-62d66da4c13f；行4448
2. 规则：BR-7795a39478800a45
3. 未动态验证</x:v>
      </x:c>
    </x:row>
    <x:row r="260" ht="85" customHeight="1">
      <x:c r="A260" s="10" t="n">
        <x:v>259</x:v>
      </x:c>
      <x:c r="B260" s="10" t="str">
        <x:v>ADMIN-07-0107</x:v>
      </x:c>
      <x:c r="C260" s="10" t="str">
        <x:v>运营配置</x:v>
      </x:c>
      <x:c r="D260" s="10" t="str">
        <x:v>敏感词编辑（平台管理员视角）</x:v>
      </x:c>
      <x:c r="E260" s="10" t="str">
        <x:v>逻辑校验</x:v>
      </x:c>
      <x:c r="F260" s="10" t="str">
        <x:v>P1</x:v>
      </x:c>
      <x:c r="G260" s="9" t="str">
        <x:v>验证同匹配规则下敏感词去重</x:v>
      </x:c>
      <x:c r="H260" s="9" t="str">
        <x:v>敏感词规则唯一性</x:v>
      </x:c>
      <x:c r="I260" s="9" t="str">
        <x:v>1. 执行角色为平台管理员
2. 账号具有当前模块访问及本次操作权限
3. 已有包含匹配词条QA</x:v>
      </x:c>
      <x:c r="J260" s="9" t="str">
        <x:v>1. 进入敏感词编辑页
2. 填写敏感词为QA
3. 选择匹配规则为包含匹配
4. 点击保存</x:v>
      </x:c>
      <x:c r="K260" s="9" t="str">
        <x:v>不能保存重复包含匹配词条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来源（当前证据）：liveshow-proto/MainBasis/统一需求文档.md；位置：REQ-affce27eecc6；行4444
2. 规则：BR-6ecc54356de6a8b6
3. 未动态验证</x:v>
      </x:c>
    </x:row>
    <x:row r="261" ht="85" customHeight="1">
      <x:c r="A261" s="10" t="n">
        <x:v>260</x:v>
      </x:c>
      <x:c r="B261" s="10" t="str">
        <x:v>ADMIN-08-0001</x:v>
      </x:c>
      <x:c r="C261" s="10" t="str">
        <x:v>订单管理</x:v>
      </x:c>
      <x:c r="D261" s="10" t="str">
        <x:v>充值订单详情（平台管理员视角）</x:v>
      </x:c>
      <x:c r="E261" s="10" t="str">
        <x:v>逻辑校验</x:v>
      </x:c>
      <x:c r="F261" s="10" t="str">
        <x:v>P1</x:v>
      </x:c>
      <x:c r="G261" s="9" t="str">
        <x:v>验证充值到账包含赠送金币</x:v>
      </x:c>
      <x:c r="H261" s="9" t="str">
        <x:v>后台充值总到账</x:v>
      </x:c>
      <x:c r="I261" s="9" t="str">
        <x:v>1. 执行角色为平台管理员
2. 账号具有当前模块访问及本次操作权限
3. 原订单基础1000金币、赠送100金币</x:v>
      </x:c>
      <x:c r="J261" s="9" t="str">
        <x:v>1. 进入充值订单详情页</x:v>
      </x:c>
      <x:c r="K261" s="9" t="str">
        <x:v>总到账金币 = 1100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来源（当前证据）：liveshow-proto/MainBasis/统一需求文档.md；位置：REQ-00f1bdc8a4a4；行4486
2. 规则：BR-f89b4cd1a9be527a
3. 未动态验证</x:v>
      </x:c>
    </x:row>
    <x:row r="262" ht="85" customHeight="1">
      <x:c r="A262" s="10" t="n">
        <x:v>261</x:v>
      </x:c>
      <x:c r="B262" s="10" t="str">
        <x:v>ADMIN-08-0002</x:v>
      </x:c>
      <x:c r="C262" s="10" t="str">
        <x:v>订单管理</x:v>
      </x:c>
      <x:c r="D262" s="10" t="str">
        <x:v>充值订单详情（平台管理员视角）</x:v>
      </x:c>
      <x:c r="E262" s="10" t="str">
        <x:v>业务流程</x:v>
      </x:c>
      <x:c r="F262" s="10" t="str">
        <x:v>P0</x:v>
      </x:c>
      <x:c r="G262" s="9" t="str">
        <x:v>验证充值退款按实付金额全退</x:v>
      </x:c>
      <x:c r="H262" s="9" t="str">
        <x:v>后台退款金额口径</x:v>
      </x:c>
      <x:c r="I262" s="9" t="str">
        <x:v>1. 执行角色为平台管理员
2. 账号具有当前模块访问及本次操作权限
3. 订单标价10USD，实付8USD，支付成功且未退款</x:v>
      </x:c>
      <x:c r="J262" s="9" t="str">
        <x:v>1. 进入充值订单详情页
2. 点击手动退款
3. 填写原因为测试退款
4. 点击确认</x:v>
      </x:c>
      <x:c r="K262" s="9" t="str">
        <x:v>退款金额显示8USD</x:v>
      </x:c>
      <x:c r="L262" s="10" t="str">
        <x:v>FLOW-2BA2481A2F</x:v>
      </x:c>
      <x:c r="M262" s="10" t="str">
        <x:v>未测</x:v>
      </x:c>
      <x:c r="N262" s="10" t="str"/>
      <x:c r="O262" s="9" t="str">
        <x:v>1. 来源（当前证据）：liveshow-proto/MainBasis/统一需求文档.md；位置：REQ-64e74d191e3c；行4488
2. 规则：BR-8e693154f55b1eea
3. 未动态验证</x:v>
      </x:c>
    </x:row>
    <x:row r="263" ht="85" customHeight="1">
      <x:c r="A263" s="10" t="n">
        <x:v>262</x:v>
      </x:c>
      <x:c r="B263" s="10" t="str">
        <x:v>ADMIN-08-0003</x:v>
      </x:c>
      <x:c r="C263" s="10" t="str">
        <x:v>订单管理</x:v>
      </x:c>
      <x:c r="D263" s="10" t="str">
        <x:v>充值订单详情（平台管理员视角）</x:v>
      </x:c>
      <x:c r="E263" s="10" t="str">
        <x:v>逻辑校验</x:v>
      </x:c>
      <x:c r="F263" s="10" t="str">
        <x:v>P1</x:v>
      </x:c>
      <x:c r="G263" s="9" t="str">
        <x:v>验证已退款订单不能重复退款</x:v>
      </x:c>
      <x:c r="H263" s="9" t="str">
        <x:v>充值退款幂等</x:v>
      </x:c>
      <x:c r="I263" s="9" t="str">
        <x:v>1. 执行角色为平台管理员
2. 账号具有当前模块访问及本次操作权限
3. 订单已经完成全额退款</x:v>
      </x:c>
      <x:c r="J263" s="9" t="str">
        <x:v>1. 进入充值订单详情页</x:v>
      </x:c>
      <x:c r="K263" s="9" t="str">
        <x:v>不允许再次执行手动退款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来源（当前证据）：liveshow-proto/MainBasis/统一需求文档.md；位置：REQ-e502dcaa4789；行4494
2. 规则：BR-7f05f1e5124c3dc0
3. 未动态验证</x:v>
      </x:c>
    </x:row>
    <x:row r="264" ht="85" customHeight="1">
      <x:c r="A264" s="10" t="n">
        <x:v>263</x:v>
      </x:c>
      <x:c r="B264" s="10" t="str">
        <x:v>ADMIN-08-0004</x:v>
      </x:c>
      <x:c r="C264" s="10" t="str">
        <x:v>订单管理</x:v>
      </x:c>
      <x:c r="D264" s="10" t="str">
        <x:v>充值订单详情（平台管理员视角）</x:v>
      </x:c>
      <x:c r="E264" s="10" t="str">
        <x:v>逻辑校验</x:v>
      </x:c>
      <x:c r="F264" s="10" t="str">
        <x:v>P1</x:v>
      </x:c>
      <x:c r="G264" s="9" t="str">
        <x:v>验证充值不提供部分金额退款</x:v>
      </x:c>
      <x:c r="H264" s="9" t="str">
        <x:v>充值全额退款限制</x:v>
      </x:c>
      <x:c r="I264" s="9" t="str">
        <x:v>1. 执行角色为平台管理员
2. 账号具有当前模块访问及本次操作权限
3. 订单支付成功未退款</x:v>
      </x:c>
      <x:c r="J264" s="9" t="str">
        <x:v>1. 进入充值订单详情页
2. 点击手动退款</x:v>
      </x:c>
      <x:c r="K264" s="9" t="str">
        <x:v>退款金额固定为原实付金额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来源（当前证据）：liveshow-proto/MainBasis/统一需求文档.md；位置：REQ-64e74d191e3c；行4488
2. 规则：BR-17282318e998b57f
3. 未动态验证</x:v>
      </x:c>
    </x:row>
    <x:row r="265" ht="85" customHeight="1">
      <x:c r="A265" s="10" t="n">
        <x:v>264</x:v>
      </x:c>
      <x:c r="B265" s="10" t="str">
        <x:v>ADMIN-08-0005</x:v>
      </x:c>
      <x:c r="C265" s="10" t="str">
        <x:v>订单管理</x:v>
      </x:c>
      <x:c r="D265" s="10" t="str">
        <x:v>充值订单详情（平台管理员视角）</x:v>
      </x:c>
      <x:c r="E265" s="10" t="str">
        <x:v>逻辑校验</x:v>
      </x:c>
      <x:c r="F265" s="10" t="str">
        <x:v>P1</x:v>
      </x:c>
      <x:c r="G265" s="9" t="str">
        <x:v>验证充值手动退款原因必填</x:v>
      </x:c>
      <x:c r="H265" s="9" t="str">
        <x:v>充值退款原因校验</x:v>
      </x:c>
      <x:c r="I265" s="9" t="str">
        <x:v>1. 执行角色为平台管理员
2. 账号具有当前模块访问及本次操作权限
3. 订单可退款</x:v>
      </x:c>
      <x:c r="J265" s="9" t="str">
        <x:v>1. 进入充值订单详情页
2. 点击手动退款
3. 清空原因
4. 点击确认</x:v>
      </x:c>
      <x:c r="K265" s="9" t="str">
        <x:v>不能提交缺少原因的退款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来源（当前证据）：liveshow-proto/MainBasis/统一需求文档.md；位置：REQ-6dce44b86571；行4500
2. 规则：BR-a57ce5d79eada205
3. 未动态验证</x:v>
      </x:c>
    </x:row>
    <x:row r="266" ht="85" customHeight="1">
      <x:c r="A266" s="10" t="n">
        <x:v>265</x:v>
      </x:c>
      <x:c r="B266" s="10" t="str">
        <x:v>ADMIN-08-0006</x:v>
      </x:c>
      <x:c r="C266" s="10" t="str">
        <x:v>订单管理</x:v>
      </x:c>
      <x:c r="D266" s="10" t="str">
        <x:v>充值订单详情（平台管理员视角）</x:v>
      </x:c>
      <x:c r="E266" s="10" t="str">
        <x:v>逻辑校验</x:v>
      </x:c>
      <x:c r="F266" s="10" t="str">
        <x:v>P1</x:v>
      </x:c>
      <x:c r="G266" s="9" t="str">
        <x:v>验证退款扣回基础及赠送金币</x:v>
      </x:c>
      <x:c r="H266" s="9" t="str">
        <x:v>充值退款扣回范围</x:v>
      </x:c>
      <x:c r="I266" s="9" t="str">
        <x:v>1. 执行角色为平台管理员
2. 账号具有当前模块访问及本次操作权限
3. 原订单基础1000金币、赠送100金币，退款已完成</x:v>
      </x:c>
      <x:c r="J266" s="9" t="str">
        <x:v>1. 进入充值订单详情页</x:v>
      </x:c>
      <x:c r="K266" s="9" t="str">
        <x:v>扣回金币 = 1100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来源（当前证据）：liveshow-proto/MainBasis/统一需求文档.md；位置：REQ-b6b84ff173c8；行4490
2. 规则：BR-546272801a9e55b8
3. 未动态验证</x:v>
      </x:c>
    </x:row>
    <x:row r="267" ht="85" customHeight="1">
      <x:c r="A267" s="10" t="n">
        <x:v>266</x:v>
      </x:c>
      <x:c r="B267" s="10" t="str">
        <x:v>ADMIN-08-0007</x:v>
      </x:c>
      <x:c r="C267" s="10" t="str">
        <x:v>订单管理</x:v>
      </x:c>
      <x:c r="D267" s="10" t="str">
        <x:v>充值订单（平台管理员视角）</x:v>
      </x:c>
      <x:c r="E267" s="10" t="str">
        <x:v>功能需求</x:v>
      </x:c>
      <x:c r="F267" s="10" t="str">
        <x:v>P2</x:v>
      </x:c>
      <x:c r="G267" s="9" t="str">
        <x:v>验证导出充值订单保留筛选</x:v>
      </x:c>
      <x:c r="H267" s="9" t="str">
        <x:v>充值订单导出范围</x:v>
      </x:c>
      <x:c r="I267" s="9" t="str">
        <x:v>1. 执行角色为平台管理员
2. 账号具有当前模块访问及本次操作权限
3. 当前筛选仅订单A和B</x:v>
      </x:c>
      <x:c r="J267" s="9" t="str">
        <x:v>1. 进入充值订单页
2. 点击导出</x:v>
      </x:c>
      <x:c r="K267" s="9" t="str">
        <x:v>导出仅包含订单A和B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来源（当前证据）：liveshow-proto/MainBasis/统一需求文档.md；位置：REQ-24c272481a4b；行4475
2. 规则：BR-dfde5357e81fc094
3. 未动态验证</x:v>
      </x:c>
    </x:row>
    <x:row r="268" ht="85" customHeight="1">
      <x:c r="A268" s="10" t="n">
        <x:v>267</x:v>
      </x:c>
      <x:c r="B268" s="10" t="str">
        <x:v>ADMIN-08-0008</x:v>
      </x:c>
      <x:c r="C268" s="10" t="str">
        <x:v>订单管理</x:v>
      </x:c>
      <x:c r="D268" s="10" t="str">
        <x:v>消费订单详情（平台管理员视角）</x:v>
      </x:c>
      <x:c r="E268" s="10" t="str">
        <x:v>逻辑校验</x:v>
      </x:c>
      <x:c r="F268" s="10" t="str">
        <x:v>P1</x:v>
      </x:c>
      <x:c r="G268" s="9" t="str">
        <x:v>验证修改礼物价格不改历史消费单价</x:v>
      </x:c>
      <x:c r="H268" s="9" t="str">
        <x:v>消费订单商品快照</x:v>
      </x:c>
      <x:c r="I268" s="9" t="str">
        <x:v>1. 执行角色为平台管理员
2. 账号具有当前模块访问及本次操作权限
3. 订单成交单价10金币，配置后来改为20</x:v>
      </x:c>
      <x:c r="J268" s="9" t="str">
        <x:v>1. 进入消费订单详情页</x:v>
      </x:c>
      <x:c r="K268" s="9" t="str">
        <x:v>订单商品单价仍为10金币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来源（当前证据）：liveshow-proto/MainBasis/统一需求文档.md；位置：REQ-8ea130fa961d；行4530
2. 规则：BR-af8242cd042645e6
3. 未动态验证</x:v>
      </x:c>
    </x:row>
    <x:row r="269" ht="85" customHeight="1">
      <x:c r="A269" s="10" t="n">
        <x:v>268</x:v>
      </x:c>
      <x:c r="B269" s="10" t="str">
        <x:v>ADMIN-08-0009</x:v>
      </x:c>
      <x:c r="C269" s="10" t="str">
        <x:v>订单管理</x:v>
      </x:c>
      <x:c r="D269" s="10" t="str">
        <x:v>消费订单详情（平台管理员视角）</x:v>
      </x:c>
      <x:c r="E269" s="10" t="str">
        <x:v>逻辑校验</x:v>
      </x:c>
      <x:c r="F269" s="10" t="str">
        <x:v>P1</x:v>
      </x:c>
      <x:c r="G269" s="9" t="str">
        <x:v>验证消费扣减按历史单价和数量</x:v>
      </x:c>
      <x:c r="H269" s="9" t="str">
        <x:v>消费订单扣减公式</x:v>
      </x:c>
      <x:c r="I269" s="9" t="str">
        <x:v>1. 执行角色为平台管理员
2. 账号具有当前模块访问及本次操作权限
3. 订单快照单价10金币、数量20</x:v>
      </x:c>
      <x:c r="J269" s="9" t="str">
        <x:v>1. 进入消费订单详情页</x:v>
      </x:c>
      <x:c r="K269" s="9" t="str">
        <x:v>扣减金币 = 200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来源（当前证据）：liveshow-proto/MainBasis/统一需求文档.md；位置：REQ-84cd8caf2fa7；行4532
2. 规则：BR-e8d0466124dd753e
3. 未动态验证</x:v>
      </x:c>
    </x:row>
    <x:row r="270" ht="85" customHeight="1">
      <x:c r="A270" s="10" t="n">
        <x:v>269</x:v>
      </x:c>
      <x:c r="B270" s="10" t="str">
        <x:v>ADMIN-08-0010</x:v>
      </x:c>
      <x:c r="C270" s="10" t="str">
        <x:v>订单管理</x:v>
      </x:c>
      <x:c r="D270" s="10" t="str">
        <x:v>消费订单详情（平台管理员视角）</x:v>
      </x:c>
      <x:c r="E270" s="10" t="str">
        <x:v>逻辑校验</x:v>
      </x:c>
      <x:c r="F270" s="10" t="str">
        <x:v>P1</x:v>
      </x:c>
      <x:c r="G270" s="9" t="str">
        <x:v>验证幸运返奖超过扣减时净消耗为负</x:v>
      </x:c>
      <x:c r="H270" s="9" t="str">
        <x:v>幸运订单净消耗</x:v>
      </x:c>
      <x:c r="I270" s="9" t="str">
        <x:v>1. 执行角色为平台管理员
2. 账号具有当前模块访问及本次操作权限
3. 订单扣减100金币、实际返奖1000金币</x:v>
      </x:c>
      <x:c r="J270" s="9" t="str">
        <x:v>1. 进入消费订单详情页</x:v>
      </x:c>
      <x:c r="K270" s="9" t="str">
        <x:v>用户净消耗 = -900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来源（当前证据）：liveshow-proto/MainBasis/统一需求文档.md；位置：REQ-4fc49544167b；行4536
2. 规则：BR-c64df5060e49cd17
3. 未动态验证</x:v>
      </x:c>
    </x:row>
    <x:row r="271" ht="85" customHeight="1">
      <x:c r="A271" s="10" t="n">
        <x:v>270</x:v>
      </x:c>
      <x:c r="B271" s="10" t="str">
        <x:v>ADMIN-08-0011</x:v>
      </x:c>
      <x:c r="C271" s="10" t="str">
        <x:v>订单管理</x:v>
      </x:c>
      <x:c r="D271" s="10" t="str">
        <x:v>消费订单详情（平台管理员视角）</x:v>
      </x:c>
      <x:c r="E271" s="10" t="str">
        <x:v>逻辑校验</x:v>
      </x:c>
      <x:c r="F271" s="10" t="str">
        <x:v>P1</x:v>
      </x:c>
      <x:c r="G271" s="9" t="str">
        <x:v>验证幸运收益不按用户净消费计提</x:v>
      </x:c>
      <x:c r="H271" s="9" t="str">
        <x:v>后台幸运主播收益</x:v>
      </x:c>
      <x:c r="I271" s="9" t="str">
        <x:v>1. 执行角色为平台管理员
2. 账号具有当前模块访问及本次操作权限
3. 订单礼物价值1000金币，快照收益比例1%，返奖2000金币</x:v>
      </x:c>
      <x:c r="J271" s="9" t="str">
        <x:v>1. 进入消费订单详情页</x:v>
      </x:c>
      <x:c r="K271" s="9" t="str">
        <x:v>主播收益 = 10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来源（当前证据）：liveshow-proto/MainBasis/统一需求文档.md；位置：REQ-f543da3978a0；行4538
2. 规则：BR-39e3c3b880396b30
3. 未动态验证</x:v>
      </x:c>
    </x:row>
    <x:row r="272" ht="85" customHeight="1">
      <x:c r="A272" s="10" t="n">
        <x:v>271</x:v>
      </x:c>
      <x:c r="B272" s="10" t="str">
        <x:v>ADMIN-08-0012</x:v>
      </x:c>
      <x:c r="C272" s="10" t="str">
        <x:v>订单管理</x:v>
      </x:c>
      <x:c r="D272" s="10" t="str">
        <x:v>消费订单详情（平台管理员视角）</x:v>
      </x:c>
      <x:c r="E272" s="10" t="str">
        <x:v>逻辑校验</x:v>
      </x:c>
      <x:c r="F272" s="10" t="str">
        <x:v>P1</x:v>
      </x:c>
      <x:c r="G272" s="9" t="str">
        <x:v>验证普通礼物收益按实际扣减入账</x:v>
      </x:c>
      <x:c r="H272" s="9" t="str">
        <x:v>普通礼物后台收益口径</x:v>
      </x:c>
      <x:c r="I272" s="9" t="str">
        <x:v>1. 执行角色为平台管理员
2. 账号具有当前模块访问及本次操作权限
3. 普通礼物订单实际扣减100金币</x:v>
      </x:c>
      <x:c r="J272" s="9" t="str">
        <x:v>1. 进入消费订单详情页</x:v>
      </x:c>
      <x:c r="K272" s="9" t="str">
        <x:v>主播收益显示100金币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来源（当前证据）：liveshow-proto/MainBasis/统一需求文档.md；位置：REQ-f543da3978a0；行4538
2. 规则：BR-9308244bbb9f4b8e
3. 未动态验证</x:v>
      </x:c>
    </x:row>
    <x:row r="273" ht="85" customHeight="1">
      <x:c r="A273" s="10" t="n">
        <x:v>272</x:v>
      </x:c>
      <x:c r="B273" s="10" t="str">
        <x:v>ADMIN-08-0013</x:v>
      </x:c>
      <x:c r="C273" s="10" t="str">
        <x:v>订单管理</x:v>
      </x:c>
      <x:c r="D273" s="10" t="str">
        <x:v>消费订单详情（平台管理员视角）</x:v>
      </x:c>
      <x:c r="E273" s="10" t="str">
        <x:v>逻辑校验</x:v>
      </x:c>
      <x:c r="F273" s="10" t="str">
        <x:v>P1</x:v>
      </x:c>
      <x:c r="G273" s="9" t="str">
        <x:v>验证定制礼物收益按实际扣减入账</x:v>
      </x:c>
      <x:c r="H273" s="9" t="str">
        <x:v>定制礼物后台收益口径</x:v>
      </x:c>
      <x:c r="I273" s="9" t="str">
        <x:v>1. 执行角色为平台管理员
2. 账号具有当前模块访问及本次操作权限
3. 定制礼物订单实际扣减100金币</x:v>
      </x:c>
      <x:c r="J273" s="9" t="str">
        <x:v>1. 进入消费订单详情页</x:v>
      </x:c>
      <x:c r="K273" s="9" t="str">
        <x:v>主播收益显示100金币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来源（当前证据）：liveshow-proto/MainBasis/统一需求文档.md；位置：REQ-f543da3978a0；行4538
2. 规则：BR-48b26548e247ea1b
3. 未动态验证</x:v>
      </x:c>
    </x:row>
    <x:row r="274" ht="85" customHeight="1">
      <x:c r="A274" s="10" t="n">
        <x:v>273</x:v>
      </x:c>
      <x:c r="B274" s="10" t="str">
        <x:v>ADMIN-08-0014</x:v>
      </x:c>
      <x:c r="C274" s="10" t="str">
        <x:v>订单管理</x:v>
      </x:c>
      <x:c r="D274" s="10" t="str">
        <x:v>消费订单详情（平台管理员视角）</x:v>
      </x:c>
      <x:c r="E274" s="10" t="str">
        <x:v>逻辑校验</x:v>
      </x:c>
      <x:c r="F274" s="10" t="str">
        <x:v>P1</x:v>
      </x:c>
      <x:c r="G274" s="9" t="str">
        <x:v>验证门票收益按实际扣减入账</x:v>
      </x:c>
      <x:c r="H274" s="9" t="str">
        <x:v>门票后台收益口径</x:v>
      </x:c>
      <x:c r="I274" s="9" t="str">
        <x:v>1. 执行角色为平台管理员
2. 账号具有当前模块访问及本次操作权限
3. 门票订单实际扣减100金币</x:v>
      </x:c>
      <x:c r="J274" s="9" t="str">
        <x:v>1. 进入消费订单详情页</x:v>
      </x:c>
      <x:c r="K274" s="9" t="str">
        <x:v>主播收益显示100金币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来源（当前证据）：liveshow-proto/MainBasis/统一需求文档.md；位置：REQ-f543da3978a0；行4538
2. 规则：BR-9a8b5b07654ea131
3. 未动态验证</x:v>
      </x:c>
    </x:row>
    <x:row r="275" ht="85" customHeight="1">
      <x:c r="A275" s="10" t="n">
        <x:v>274</x:v>
      </x:c>
      <x:c r="B275" s="10" t="str">
        <x:v>ADMIN-08-0015</x:v>
      </x:c>
      <x:c r="C275" s="10" t="str">
        <x:v>订单管理</x:v>
      </x:c>
      <x:c r="D275" s="10" t="str">
        <x:v>消费订单详情（平台管理员视角）</x:v>
      </x:c>
      <x:c r="E275" s="10" t="str">
        <x:v>逻辑校验</x:v>
      </x:c>
      <x:c r="F275" s="10" t="str">
        <x:v>P1</x:v>
      </x:c>
      <x:c r="G275" s="9" t="str">
        <x:v>验证消费订单详情无退款操作</x:v>
      </x:c>
      <x:c r="H275" s="9" t="str">
        <x:v>消费退款入口限制</x:v>
      </x:c>
      <x:c r="I275" s="9" t="str">
        <x:v>1. 执行角色为平台管理员
2. 账号具有当前模块访问及本次操作权限
3. 已支付消费订单</x:v>
      </x:c>
      <x:c r="J275" s="9" t="str">
        <x:v>1. 进入消费订单详情页</x:v>
      </x:c>
      <x:c r="K275" s="9" t="str">
        <x:v>不提供退款操作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来源（当前证据）：liveshow-proto/MainBasis/统一需求文档.md；位置：REQ-df427512f920；行4542
2. 规则：BR-258e0c23f2d1d4c4
3. 未动态验证</x:v>
      </x:c>
    </x:row>
    <x:row r="276" ht="85" customHeight="1">
      <x:c r="A276" s="10" t="n">
        <x:v>275</x:v>
      </x:c>
      <x:c r="B276" s="10" t="str">
        <x:v>ADMIN-08-0016</x:v>
      </x:c>
      <x:c r="C276" s="10" t="str">
        <x:v>订单管理</x:v>
      </x:c>
      <x:c r="D276" s="10" t="str">
        <x:v>退款订单（平台管理员视角）</x:v>
      </x:c>
      <x:c r="E276" s="10" t="str">
        <x:v>逻辑校验</x:v>
      </x:c>
      <x:c r="F276" s="10" t="str">
        <x:v>P1</x:v>
      </x:c>
      <x:c r="G276" s="9" t="str">
        <x:v>验证渠道退款正确标记被动类型</x:v>
      </x:c>
      <x:c r="H276" s="9" t="str">
        <x:v>后台被动退款类型</x:v>
      </x:c>
      <x:c r="I276" s="9" t="str">
        <x:v>1. 执行角色为平台管理员
2. 账号具有当前模块访问及本次操作权限
3. 渠道已成功退回一笔充值订单</x:v>
      </x:c>
      <x:c r="J276" s="9" t="str">
        <x:v>1. 进入退款订单页</x:v>
      </x:c>
      <x:c r="K276" s="9" t="str">
        <x:v>该记录类型为被动退款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来源（当前证据）：liveshow-proto/MainBasis/统一需求文档.md；位置：REQ-0b03bdfdbba2；行4555
2. 规则：BR-f85c1adf02774dde
3. 未动态验证</x:v>
      </x:c>
    </x:row>
    <x:row r="277" ht="85" customHeight="1">
      <x:c r="A277" s="10" t="n">
        <x:v>276</x:v>
      </x:c>
      <x:c r="B277" s="10" t="str">
        <x:v>ADMIN-08-0017</x:v>
      </x:c>
      <x:c r="C277" s="10" t="str">
        <x:v>订单管理</x:v>
      </x:c>
      <x:c r="D277" s="10" t="str">
        <x:v>退款订单（平台管理员视角）</x:v>
      </x:c>
      <x:c r="E277" s="10" t="str">
        <x:v>功能需求</x:v>
      </x:c>
      <x:c r="F277" s="10" t="str">
        <x:v>P2</x:v>
      </x:c>
      <x:c r="G277" s="9" t="str">
        <x:v>验证退款订单关联原充值订单</x:v>
      </x:c>
      <x:c r="H277" s="9" t="str">
        <x:v>退款订单关联跳转</x:v>
      </x:c>
      <x:c r="I277" s="9" t="str">
        <x:v>1. 执行角色为平台管理员
2. 账号具有当前模块访问及本次操作权限
3. 退款R关联充值C</x:v>
      </x:c>
      <x:c r="J277" s="9" t="str">
        <x:v>1. 进入退款订单页
2. 点击退款R查看</x:v>
      </x:c>
      <x:c r="K277" s="9" t="str">
        <x:v>打开充值C详情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来源（当前证据）：liveshow-proto/MainBasis/统一需求文档.md；位置：REQ-18f1267c96d9；行4565
2. 规则：BR-73dabbb7d18f9abe
3. 未动态验证</x:v>
      </x:c>
    </x:row>
    <x:row r="278" ht="100" customHeight="1">
      <x:c r="A278" s="10" t="n">
        <x:v>277</x:v>
      </x:c>
      <x:c r="B278" s="10" t="str">
        <x:v>ADMIN-09-0001</x:v>
      </x:c>
      <x:c r="C278" s="10" t="str">
        <x:v>财务分成</x:v>
      </x:c>
      <x:c r="D278" s="10" t="str">
        <x:v>主播分成记录（平台管理员视角）</x:v>
      </x:c>
      <x:c r="E278" s="10" t="str">
        <x:v>业务流程</x:v>
      </x:c>
      <x:c r="F278" s="10" t="str">
        <x:v>P0</x:v>
      </x:c>
      <x:c r="G278" s="9" t="str">
        <x:v>验证主播分成导入XLSX有效模板</x:v>
      </x:c>
      <x:c r="H278" s="9" t="str">
        <x:v>主播分成支持文件格式</x:v>
      </x:c>
      <x:c r="I278" s="9" t="str">
        <x:v>1. 执行角色为平台管理员
2. 账号具有当前模块访问及本次操作权限
3. 准备符合当前模板的XLSX文件，仅主播H存在于主播账户余额中，金额10USD</x:v>
      </x:c>
      <x:c r="J278" s="9" t="str">
        <x:v>1. 进入主播分成记录页
2. 点击上传
3. 填写分成备注为QA分成
4. 上传文件选择qa.xlsx
5. 点击确认上传</x:v>
      </x:c>
      <x:c r="K278" s="9" t="str">
        <x:v>确认后直接生成一条锁定的分成记录</x:v>
      </x:c>
      <x:c r="L278" s="10" t="str">
        <x:v>FLOW-3A2F6811F8</x:v>
      </x:c>
      <x:c r="M278" s="10" t="str">
        <x:v>未测</x:v>
      </x:c>
      <x:c r="N278" s="10" t="str"/>
      <x:c r="O278" s="9" t="str">
        <x:v>1. 来源（当前证据）：liveshow-proto/MainBasis/统一需求文档.md；位置：REQ-1e9cec750847；行4578、REQ-92a4b06086a3；行4592
2. 规则：BR-9c7d61d205ae866b
3. 未动态验证</x:v>
      </x:c>
    </x:row>
    <x:row r="279" ht="100" customHeight="1">
      <x:c r="A279" s="10" t="n">
        <x:v>278</x:v>
      </x:c>
      <x:c r="B279" s="10" t="str">
        <x:v>ADMIN-09-0002</x:v>
      </x:c>
      <x:c r="C279" s="10" t="str">
        <x:v>财务分成</x:v>
      </x:c>
      <x:c r="D279" s="10" t="str">
        <x:v>主播分成记录（平台管理员视角）</x:v>
      </x:c>
      <x:c r="E279" s="10" t="str">
        <x:v>业务流程</x:v>
      </x:c>
      <x:c r="F279" s="10" t="str">
        <x:v>P0</x:v>
      </x:c>
      <x:c r="G279" s="9" t="str">
        <x:v>验证主播分成导入XLS有效模板</x:v>
      </x:c>
      <x:c r="H279" s="9" t="str">
        <x:v>主播分成支持文件格式</x:v>
      </x:c>
      <x:c r="I279" s="9" t="str">
        <x:v>1. 执行角色为平台管理员
2. 账号具有当前模块访问及本次操作权限
3. 准备符合当前模板的XLS文件，仅主播H存在于主播账户余额中，金额10USD</x:v>
      </x:c>
      <x:c r="J279" s="9" t="str">
        <x:v>1. 进入主播分成记录页
2. 点击上传
3. 填写分成备注为QA分成
4. 上传文件选择qa.xls
5. 点击确认上传</x:v>
      </x:c>
      <x:c r="K279" s="9" t="str">
        <x:v>确认后直接生成一条锁定的分成记录</x:v>
      </x:c>
      <x:c r="L279" s="10" t="str">
        <x:v>FLOW-3A2F6811F8</x:v>
      </x:c>
      <x:c r="M279" s="10" t="str">
        <x:v>未测</x:v>
      </x:c>
      <x:c r="N279" s="10" t="str"/>
      <x:c r="O279" s="9" t="str">
        <x:v>1. 来源（当前证据）：liveshow-proto/MainBasis/统一需求文档.md；位置：REQ-1e9cec750847；行4578、REQ-92a4b06086a3；行4592
2. 规则：BR-21fff45c5953c90e
3. 未动态验证</x:v>
      </x:c>
    </x:row>
    <x:row r="280" ht="100" customHeight="1">
      <x:c r="A280" s="10" t="n">
        <x:v>279</x:v>
      </x:c>
      <x:c r="B280" s="10" t="str">
        <x:v>ADMIN-09-0003</x:v>
      </x:c>
      <x:c r="C280" s="10" t="str">
        <x:v>财务分成</x:v>
      </x:c>
      <x:c r="D280" s="10" t="str">
        <x:v>主播分成记录（平台管理员视角）</x:v>
      </x:c>
      <x:c r="E280" s="10" t="str">
        <x:v>业务流程</x:v>
      </x:c>
      <x:c r="F280" s="10" t="str">
        <x:v>P0</x:v>
      </x:c>
      <x:c r="G280" s="9" t="str">
        <x:v>验证主播分成导入CSV有效模板</x:v>
      </x:c>
      <x:c r="H280" s="9" t="str">
        <x:v>主播分成支持文件格式</x:v>
      </x:c>
      <x:c r="I280" s="9" t="str">
        <x:v>1. 执行角色为平台管理员
2. 账号具有当前模块访问及本次操作权限
3. 准备符合当前模板的CSV文件，仅主播H存在于主播账户余额中，金额10USD</x:v>
      </x:c>
      <x:c r="J280" s="9" t="str">
        <x:v>1. 进入主播分成记录页
2. 点击上传
3. 填写分成备注为QA分成
4. 上传文件选择qa.csv
5. 点击确认上传</x:v>
      </x:c>
      <x:c r="K280" s="9" t="str">
        <x:v>确认后直接生成一条锁定的分成记录</x:v>
      </x:c>
      <x:c r="L280" s="10" t="str">
        <x:v>FLOW-3A2F6811F8</x:v>
      </x:c>
      <x:c r="M280" s="10" t="str">
        <x:v>未测</x:v>
      </x:c>
      <x:c r="N280" s="10" t="str"/>
      <x:c r="O280" s="9" t="str">
        <x:v>1. 来源（当前证据）：liveshow-proto/MainBasis/统一需求文档.md；位置：REQ-1e9cec750847；行4578、REQ-92a4b06086a3；行4592
2. 规则：BR-34605aabf049be31
3. 未动态验证</x:v>
      </x:c>
    </x:row>
    <x:row r="281" ht="100" customHeight="1">
      <x:c r="A281" s="10" t="n">
        <x:v>280</x:v>
      </x:c>
      <x:c r="B281" s="10" t="str">
        <x:v>ADMIN-09-0004</x:v>
      </x:c>
      <x:c r="C281" s="10" t="str">
        <x:v>财务分成</x:v>
      </x:c>
      <x:c r="D281" s="10" t="str">
        <x:v>主播分成记录（平台管理员视角）</x:v>
      </x:c>
      <x:c r="E281" s="10" t="str">
        <x:v>逻辑校验</x:v>
      </x:c>
      <x:c r="F281" s="10" t="str">
        <x:v>P1</x:v>
      </x:c>
      <x:c r="G281" s="9" t="str">
        <x:v>验证主播导入混合有效无效ID整批拒绝</x:v>
      </x:c>
      <x:c r="H281" s="9" t="str">
        <x:v>主播分成整批校验</x:v>
      </x:c>
      <x:c r="I281" s="9" t="str">
        <x:v>1. 执行角色为平台管理员
2. 账号具有当前模块访问及本次操作权限
3. 文件第2行主播H有效，第8行主播ID77219999不存在于主播账户余额</x:v>
      </x:c>
      <x:c r="J281" s="9" t="str">
        <x:v>1. 进入主播分成记录页
2. 点击上传
3. 填写分成备注为QA失败批次
4. 上传文件选择混合测试文件
5. 点击确认上传</x:v>
      </x:c>
      <x:c r="K281" s="9" t="str">
        <x:v>本批次不生成分成记录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来源（当前证据）：liveshow-proto/MainBasis/统一需求文档.md；位置：REQ-bdb32771de0f；行4586
2. 规则：BR-ec4190756511f849
3. 未动态验证</x:v>
      </x:c>
    </x:row>
    <x:row r="282" ht="100" customHeight="1">
      <x:c r="A282" s="10" t="n">
        <x:v>281</x:v>
      </x:c>
      <x:c r="B282" s="10" t="str">
        <x:v>ADMIN-09-0005</x:v>
      </x:c>
      <x:c r="C282" s="10" t="str">
        <x:v>财务分成</x:v>
      </x:c>
      <x:c r="D282" s="10" t="str">
        <x:v>主播账户余额（平台管理员视角）</x:v>
      </x:c>
      <x:c r="E282" s="10" t="str">
        <x:v>逻辑校验</x:v>
      </x:c>
      <x:c r="F282" s="10" t="str">
        <x:v>P1</x:v>
      </x:c>
      <x:c r="G282" s="9" t="str">
        <x:v>验证失败主播分成批次不部分入账</x:v>
      </x:c>
      <x:c r="H282" s="9" t="str">
        <x:v>分成失败原子性</x:v>
      </x:c>
      <x:c r="I282" s="9" t="str">
        <x:v>1. 执行角色为平台管理员
2. 账号具有当前模块访问及本次操作权限
3. 混合文件含有效H金额10USD及不存在ID，H原余额20USD</x:v>
      </x:c>
      <x:c r="J282" s="9" t="str">
        <x:v>1. 进入主播分成记录页
2. 点击上传
3. 填写分成备注为QA失败批次
4. 上传文件选择混合测试文件
5. 点击确认上传
6. 进入主播账户余额页</x:v>
      </x:c>
      <x:c r="K282" s="9" t="str">
        <x:v>H账户余额仍为20USD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来源（当前证据）：liveshow-proto/MainBasis/统一需求文档.md；位置：REQ-3a790e478831；行4588、REQ-7a95d2af56d1；行4620
2. 规则：BR-5aa1f55efb5e83bd
3. 未动态验证</x:v>
      </x:c>
    </x:row>
    <x:row r="283" ht="85" customHeight="1">
      <x:c r="A283" s="10" t="n">
        <x:v>282</x:v>
      </x:c>
      <x:c r="B283" s="10" t="str">
        <x:v>ADMIN-09-0006</x:v>
      </x:c>
      <x:c r="C283" s="10" t="str">
        <x:v>财务分成</x:v>
      </x:c>
      <x:c r="D283" s="10" t="str">
        <x:v>主播分成记录（平台管理员视角）</x:v>
      </x:c>
      <x:c r="E283" s="10" t="str">
        <x:v>逻辑校验</x:v>
      </x:c>
      <x:c r="F283" s="10" t="str">
        <x:v>P1</x:v>
      </x:c>
      <x:c r="G283" s="9" t="str">
        <x:v>验证主播分成错误明确行号与ID</x:v>
      </x:c>
      <x:c r="H283" s="9" t="str">
        <x:v>分成导入错误定位</x:v>
      </x:c>
      <x:c r="I283" s="9" t="str">
        <x:v>1. 执行角色为平台管理员
2. 账号具有当前模块访问及本次操作权限
3. 文件仅第8行ID77219999不存在</x:v>
      </x:c>
      <x:c r="J283" s="9" t="str">
        <x:v>1. 进入主播分成记录页
2. 点击上传
3. 填写分成备注为QA错误数据
4. 上传文件选择测试文件
5. 点击确认上传</x:v>
      </x:c>
      <x:c r="K283" s="9" t="str">
        <x:v>错误数据包含“第8行，未查询到主播ID77219999”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来源（当前证据）：liveshow-proto/MainBasis/统一需求文档.md；位置：REQ-e22b37b2dd0d；行4580
2. 规则：BR-9576976c315e6005
3. 未动态验证</x:v>
      </x:c>
    </x:row>
    <x:row r="284" ht="85" customHeight="1">
      <x:c r="A284" s="10" t="n">
        <x:v>283</x:v>
      </x:c>
      <x:c r="B284" s="10" t="str">
        <x:v>ADMIN-09-0007</x:v>
      </x:c>
      <x:c r="C284" s="10" t="str">
        <x:v>财务分成</x:v>
      </x:c>
      <x:c r="D284" s="10" t="str">
        <x:v>主播分成记录（平台管理员视角）</x:v>
      </x:c>
      <x:c r="E284" s="10" t="str">
        <x:v>功能需求</x:v>
      </x:c>
      <x:c r="F284" s="10" t="str">
        <x:v>P2</x:v>
      </x:c>
      <x:c r="G284" s="9" t="str">
        <x:v>验证失败主播分成错误数据可复制</x:v>
      </x:c>
      <x:c r="H284" s="9" t="str">
        <x:v>分成导入错误文本复制</x:v>
      </x:c>
      <x:c r="I284" s="9" t="str">
        <x:v>1. 执行角色为平台管理员
2. 账号具有当前模块访问及本次操作权限
3. 上传弹窗已显示失败行号和ID</x:v>
      </x:c>
      <x:c r="J284" s="9" t="str">
        <x:v>1. 复制错误数据文本
2. 查看系统剪贴板</x:v>
      </x:c>
      <x:c r="K284" s="9" t="str">
        <x:v>复制内容包含失败行号和主播ID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来源（当前证据）：liveshow-proto/MainBasis/统一需求文档.md；位置：REQ-3f8ff60b6b4c；行4594
2. 规则：BR-f42eaaab862de5df
3. 未动态验证</x:v>
      </x:c>
    </x:row>
    <x:row r="285" ht="85" customHeight="1">
      <x:c r="A285" s="10" t="n">
        <x:v>284</x:v>
      </x:c>
      <x:c r="B285" s="10" t="str">
        <x:v>ADMIN-09-0008</x:v>
      </x:c>
      <x:c r="C285" s="10" t="str">
        <x:v>财务分成</x:v>
      </x:c>
      <x:c r="D285" s="10" t="str">
        <x:v>主播分成记录（平台管理员视角）</x:v>
      </x:c>
      <x:c r="E285" s="10" t="str">
        <x:v>功能需求</x:v>
      </x:c>
      <x:c r="F285" s="10" t="str">
        <x:v>P2</x:v>
      </x:c>
      <x:c r="G285" s="9" t="str">
        <x:v>验证失败主播分成重新上传保留备注</x:v>
      </x:c>
      <x:c r="H285" s="9" t="str">
        <x:v>分成导入重试备注</x:v>
      </x:c>
      <x:c r="I285" s="9" t="str">
        <x:v>1. 执行角色为平台管理员
2. 账号具有当前模块访问及本次操作权限
3. 弹窗失败，分成备注QA原备注</x:v>
      </x:c>
      <x:c r="J285" s="9" t="str">
        <x:v>1. 点击重新上传</x:v>
      </x:c>
      <x:c r="K285" s="9" t="str">
        <x:v>分成备注仍为QA原备注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来源（当前证据）：liveshow-proto/MainBasis/统一需求文档.md；位置：REQ-28aa6a118019；行4596
2. 规则：BR-88e80e460aaf2a57
3. 未动态验证</x:v>
      </x:c>
    </x:row>
    <x:row r="286" ht="85" customHeight="1">
      <x:c r="A286" s="10" t="n">
        <x:v>285</x:v>
      </x:c>
      <x:c r="B286" s="10" t="str">
        <x:v>ADMIN-09-0009</x:v>
      </x:c>
      <x:c r="C286" s="10" t="str">
        <x:v>财务分成</x:v>
      </x:c>
      <x:c r="D286" s="10" t="str">
        <x:v>主播分成记录（平台管理员视角）</x:v>
      </x:c>
      <x:c r="E286" s="10" t="str">
        <x:v>功能需求</x:v>
      </x:c>
      <x:c r="F286" s="10" t="str">
        <x:v>P2</x:v>
      </x:c>
      <x:c r="G286" s="9" t="str">
        <x:v>验证重新上传清空失败文件</x:v>
      </x:c>
      <x:c r="H286" s="9" t="str">
        <x:v>分成导入重试文件清空</x:v>
      </x:c>
      <x:c r="I286" s="9" t="str">
        <x:v>1. 执行角色为平台管理员
2. 账号具有当前模块访问及本次操作权限
3. 弹窗当前存在失败文件</x:v>
      </x:c>
      <x:c r="J286" s="9" t="str">
        <x:v>1. 点击重新上传</x:v>
      </x:c>
      <x:c r="K286" s="9" t="str">
        <x:v>文件选择为空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来源（当前证据）：liveshow-proto/MainBasis/统一需求文档.md；位置：REQ-28aa6a118019；行4596
2. 规则：BR-ef156f3c0d7aece9
3. 未动态验证</x:v>
      </x:c>
    </x:row>
    <x:row r="287" ht="85" customHeight="1">
      <x:c r="A287" s="10" t="n">
        <x:v>286</x:v>
      </x:c>
      <x:c r="B287" s="10" t="str">
        <x:v>ADMIN-09-0010</x:v>
      </x:c>
      <x:c r="C287" s="10" t="str">
        <x:v>财务分成</x:v>
      </x:c>
      <x:c r="D287" s="10" t="str">
        <x:v>主播分成记录（平台管理员视角）</x:v>
      </x:c>
      <x:c r="E287" s="10" t="str">
        <x:v>逻辑校验</x:v>
      </x:c>
      <x:c r="F287" s="10" t="str">
        <x:v>P1</x:v>
      </x:c>
      <x:c r="G287" s="9" t="str">
        <x:v>验证主播分成上传备注必填</x:v>
      </x:c>
      <x:c r="H287" s="9" t="str">
        <x:v>主播分成备注校验</x:v>
      </x:c>
      <x:c r="I287" s="9" t="str">
        <x:v>1. 执行角色为平台管理员
2. 账号具有当前模块访问及本次操作权限
3. 当前上传弹窗已打开且有效文件已选</x:v>
      </x:c>
      <x:c r="J287" s="9" t="str">
        <x:v>1. 清空分成备注
2. 点击确认上传</x:v>
      </x:c>
      <x:c r="K287" s="9" t="str">
        <x:v>不能上传缺少分成备注的结果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来源（当前证据）：liveshow-proto/MainBasis/统一需求文档.md；位置：REQ-8d751d5b5859；行4572
2. 规则：BR-bf511dd8d507e180
3. 未动态验证</x:v>
      </x:c>
    </x:row>
    <x:row r="288" ht="85" customHeight="1">
      <x:c r="A288" s="10" t="n">
        <x:v>287</x:v>
      </x:c>
      <x:c r="B288" s="10" t="str">
        <x:v>ADMIN-09-0011</x:v>
      </x:c>
      <x:c r="C288" s="10" t="str">
        <x:v>财务分成</x:v>
      </x:c>
      <x:c r="D288" s="10" t="str">
        <x:v>主播分成记录（平台管理员视角）</x:v>
      </x:c>
      <x:c r="E288" s="10" t="str">
        <x:v>逻辑校验</x:v>
      </x:c>
      <x:c r="F288" s="10" t="str">
        <x:v>P1</x:v>
      </x:c>
      <x:c r="G288" s="9" t="str">
        <x:v>验证主播分成备注101字不允许</x:v>
      </x:c>
      <x:c r="H288" s="9" t="str">
        <x:v>主播分成备注上限</x:v>
      </x:c>
      <x:c r="I288" s="9" t="str">
        <x:v>1. 执行角色为平台管理员
2. 账号具有当前模块访问及本次操作权限
3. 当前上传弹窗已打开且有效文件已选</x:v>
      </x:c>
      <x:c r="J288" s="9" t="str">
        <x:v>1. 填写分成备注为101个A
2. 点击确认上传</x:v>
      </x:c>
      <x:c r="K288" s="9" t="str">
        <x:v>不能保存超过100字的分成备注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来源（当前证据）：liveshow-proto/MainBasis/统一需求文档.md；位置：REQ-8d751d5b5859；行4572
2. 规则：BR-171e548f9c227ff0
3. 未动态验证</x:v>
      </x:c>
    </x:row>
    <x:row r="289" ht="100" customHeight="1">
      <x:c r="A289" s="10" t="n">
        <x:v>288</x:v>
      </x:c>
      <x:c r="B289" s="10" t="str">
        <x:v>ADMIN-09-0012</x:v>
      </x:c>
      <x:c r="C289" s="10" t="str">
        <x:v>财务分成</x:v>
      </x:c>
      <x:c r="D289" s="10" t="str">
        <x:v>主播分成记录详情（平台管理员视角）</x:v>
      </x:c>
      <x:c r="E289" s="10" t="str">
        <x:v>逻辑校验</x:v>
      </x:c>
      <x:c r="F289" s="10" t="str">
        <x:v>P1</x:v>
      </x:c>
      <x:c r="G289" s="9" t="str">
        <x:v>验证主播已导入分成详情不可修改</x:v>
      </x:c>
      <x:c r="H289" s="9" t="str">
        <x:v>主播分成批次只读</x:v>
      </x:c>
      <x:c r="I289" s="9" t="str">
        <x:v>1. 执行角色为平台管理员
2. 账号具有当前模块访问及本次操作权限
3. 该批次导入成功</x:v>
      </x:c>
      <x:c r="J289" s="9" t="str">
        <x:v>1. 进入主播分成记录详情页</x:v>
      </x:c>
      <x:c r="K289" s="9" t="str">
        <x:v>不提供编辑或删除批次操作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来源（当前证据）：liveshow-proto/MainBasis/统一需求文档.md；位置：REQ-b8f1fd0b545e；行4603、REQ-c8ab010bbd23；行4613
2. 规则：BR-988ebd4ead2c068a
3. 未动态验证</x:v>
      </x:c>
    </x:row>
    <x:row r="290" ht="85" customHeight="1">
      <x:c r="A290" s="10" t="n">
        <x:v>289</x:v>
      </x:c>
      <x:c r="B290" s="10" t="str">
        <x:v>ADMIN-09-0013</x:v>
      </x:c>
      <x:c r="C290" s="10" t="str">
        <x:v>财务分成</x:v>
      </x:c>
      <x:c r="D290" s="10" t="str">
        <x:v>主播分成记录详情（平台管理员视角）</x:v>
      </x:c>
      <x:c r="E290" s="10" t="str">
        <x:v>逻辑校验</x:v>
      </x:c>
      <x:c r="F290" s="10" t="str">
        <x:v>P1</x:v>
      </x:c>
      <x:c r="G290" s="9" t="str">
        <x:v>验证主播分成批次总额等于明细和</x:v>
      </x:c>
      <x:c r="H290" s="9" t="str">
        <x:v>主播分成总额核对</x:v>
      </x:c>
      <x:c r="I290" s="9" t="str">
        <x:v>1. 执行角色为平台管理员
2. 账号具有当前模块访问及本次操作权限
3. 有效批次明细甲10USD、乙20USD</x:v>
      </x:c>
      <x:c r="J290" s="9" t="str">
        <x:v>1. 进入主播分成记录详情页</x:v>
      </x:c>
      <x:c r="K290" s="9" t="str">
        <x:v>分成总金额 = 30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来源（当前证据）：liveshow-proto/MainBasis/统一需求文档.md；位置：REQ-3dc7d8857b17；行4611
2. 规则：BR-2e0c794f386989d5
3. 未动态验证</x:v>
      </x:c>
    </x:row>
    <x:row r="291" ht="85" customHeight="1">
      <x:c r="A291" s="10" t="n">
        <x:v>290</x:v>
      </x:c>
      <x:c r="B291" s="10" t="str">
        <x:v>ADMIN-09-0014</x:v>
      </x:c>
      <x:c r="C291" s="10" t="str">
        <x:v>财务分成</x:v>
      </x:c>
      <x:c r="D291" s="10" t="str">
        <x:v>主播账户余额（平台管理员视角）</x:v>
      </x:c>
      <x:c r="E291" s="10" t="str">
        <x:v>逻辑校验</x:v>
      </x:c>
      <x:c r="F291" s="10" t="str">
        <x:v>P1</x:v>
      </x:c>
      <x:c r="G291" s="9" t="str">
        <x:v>验证主播余额汇总只算筛选范围</x:v>
      </x:c>
      <x:c r="H291" s="9" t="str">
        <x:v>主播余额筛选汇总</x:v>
      </x:c>
      <x:c r="I291" s="9" t="str">
        <x:v>1. 执行角色为平台管理员
2. 账号具有当前模块访问及本次操作权限
3. 筛选命中甲10USD和乙20USD，丙100USD不在结果</x:v>
      </x:c>
      <x:c r="J291" s="9" t="str">
        <x:v>1. 进入主播账户余额页
2. 点击查询</x:v>
      </x:c>
      <x:c r="K291" s="9" t="str">
        <x:v>汇总余额 = 30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来源（当前证据）：liveshow-proto/MainBasis/统一需求文档.md；位置：REQ-316e1ea331df；行4622
2. 规则：BR-69be48bd8d53860e
3. 未动态验证</x:v>
      </x:c>
    </x:row>
    <x:row r="292" ht="85" customHeight="1">
      <x:c r="A292" s="10" t="n">
        <x:v>291</x:v>
      </x:c>
      <x:c r="B292" s="10" t="str">
        <x:v>ADMIN-09-0015</x:v>
      </x:c>
      <x:c r="C292" s="10" t="str">
        <x:v>财务分成</x:v>
      </x:c>
      <x:c r="D292" s="10" t="str">
        <x:v>主播余额变更记录（平台管理员视角）</x:v>
      </x:c>
      <x:c r="E292" s="10" t="str">
        <x:v>逻辑校验</x:v>
      </x:c>
      <x:c r="F292" s="10" t="str">
        <x:v>P1</x:v>
      </x:c>
      <x:c r="G292" s="9" t="str">
        <x:v>验证主播余额修正金额0不合法</x:v>
      </x:c>
      <x:c r="H292" s="9" t="str">
        <x:v>主播修正金额校验</x:v>
      </x:c>
      <x:c r="I292" s="9" t="str">
        <x:v>1. 执行角色为平台管理员
2. 账号具有当前模块访问及本次操作权限
3. 当前对象有可修正余额</x:v>
      </x:c>
      <x:c r="J292" s="9" t="str">
        <x:v>1. 进入主播余额变更记录页
2. 点击余额变更
3. 填写备注为QA修正
4. 填写变更金额为0
5. 点击确认</x:v>
      </x:c>
      <x:c r="K292" s="9" t="str">
        <x:v>不能保存该修正金额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来源（当前证据）：liveshow-proto/MainBasis/统一需求文档.md；位置：REQ-16db62f507d7；行4633
2. 规则：BR-9923d3a4e9db4cf9
3. 未动态验证</x:v>
      </x:c>
    </x:row>
    <x:row r="293" ht="85" customHeight="1">
      <x:c r="A293" s="10" t="n">
        <x:v>292</x:v>
      </x:c>
      <x:c r="B293" s="10" t="str">
        <x:v>ADMIN-09-0016</x:v>
      </x:c>
      <x:c r="C293" s="10" t="str">
        <x:v>财务分成</x:v>
      </x:c>
      <x:c r="D293" s="10" t="str">
        <x:v>主播余额变更记录（平台管理员视角）</x:v>
      </x:c>
      <x:c r="E293" s="10" t="str">
        <x:v>逻辑校验</x:v>
      </x:c>
      <x:c r="F293" s="10" t="str">
        <x:v>P1</x:v>
      </x:c>
      <x:c r="G293" s="9" t="str">
        <x:v>验证主播余额修正金额1.001不合法</x:v>
      </x:c>
      <x:c r="H293" s="9" t="str">
        <x:v>主播修正金额校验</x:v>
      </x:c>
      <x:c r="I293" s="9" t="str">
        <x:v>1. 执行角色为平台管理员
2. 账号具有当前模块访问及本次操作权限
3. 当前对象有可修正余额</x:v>
      </x:c>
      <x:c r="J293" s="9" t="str">
        <x:v>1. 进入主播余额变更记录页
2. 点击余额变更
3. 填写备注为QA修正
4. 填写变更金额为1.001
5. 点击确认</x:v>
      </x:c>
      <x:c r="K293" s="9" t="str">
        <x:v>不能保存该修正金额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来源（当前证据）：liveshow-proto/MainBasis/统一需求文档.md；位置：REQ-16db62f507d7；行4633
2. 规则：BR-194b69183a2876d7
3. 未动态验证</x:v>
      </x:c>
    </x:row>
    <x:row r="294" ht="85" customHeight="1">
      <x:c r="A294" s="10" t="n">
        <x:v>293</x:v>
      </x:c>
      <x:c r="B294" s="10" t="str">
        <x:v>ADMIN-09-0017</x:v>
      </x:c>
      <x:c r="C294" s="10" t="str">
        <x:v>财务分成</x:v>
      </x:c>
      <x:c r="D294" s="10" t="str">
        <x:v>主播余额变更记录（平台管理员视角）</x:v>
      </x:c>
      <x:c r="E294" s="10" t="str">
        <x:v>逻辑校验</x:v>
      </x:c>
      <x:c r="F294" s="10" t="str">
        <x:v>P1</x:v>
      </x:c>
      <x:c r="G294" s="9" t="str">
        <x:v>验证主播余额修正备注必填</x:v>
      </x:c>
      <x:c r="H294" s="9" t="str">
        <x:v>主播余额修正原因</x:v>
      </x:c>
      <x:c r="I294" s="9" t="str">
        <x:v>1. 执行角色为平台管理员
2. 账号具有当前模块访问及本次操作权限
3. 当前对象有可修正余额</x:v>
      </x:c>
      <x:c r="J294" s="9" t="str">
        <x:v>1. 进入主播余额变更记录页
2. 点击余额变更
3. 填写变更金额为10
4. 清空备注
5. 点击确认</x:v>
      </x:c>
      <x:c r="K294" s="9" t="str">
        <x:v>不能保存无备注的修正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来源（当前证据）：liveshow-proto/MainBasis/统一需求文档.md；位置：REQ-b79e6cbbcf5a；行4637
2. 规则：BR-cd793159423c96dc
3. 未动态验证</x:v>
      </x:c>
    </x:row>
    <x:row r="295" ht="85" customHeight="1">
      <x:c r="A295" s="10" t="n">
        <x:v>294</x:v>
      </x:c>
      <x:c r="B295" s="10" t="str">
        <x:v>ADMIN-09-0018</x:v>
      </x:c>
      <x:c r="C295" s="10" t="str">
        <x:v>财务分成</x:v>
      </x:c>
      <x:c r="D295" s="10" t="str">
        <x:v>主播余额变更记录（平台管理员视角）</x:v>
      </x:c>
      <x:c r="E295" s="10" t="str">
        <x:v>逻辑校验</x:v>
      </x:c>
      <x:c r="F295" s="10" t="str">
        <x:v>P1</x:v>
      </x:c>
      <x:c r="G295" s="9" t="str">
        <x:v>验证主播余额修正10美元</x:v>
      </x:c>
      <x:c r="H295" s="9" t="str">
        <x:v>主播有符号余额变更</x:v>
      </x:c>
      <x:c r="I295" s="9" t="str">
        <x:v>1. 执行角色为平台管理员
2. 账号具有当前模块访问及本次操作权限
3. 原余额20USD</x:v>
      </x:c>
      <x:c r="J295" s="9" t="str">
        <x:v>1. 进入主播余额变更记录页
2. 点击余额变更
3. 填写变更金额为10
4. 填写备注为QA核对
5. 点击确认</x:v>
      </x:c>
      <x:c r="K295" s="9" t="str">
        <x:v>变更后余额 = 30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来源（当前证据）：liveshow-proto/MainBasis/统一需求文档.md；位置：REQ-5fe2c7deddb0；行4635
2. 规则：BR-c2e0efd12d25dd41
3. 未动态验证</x:v>
      </x:c>
    </x:row>
    <x:row r="296" ht="85" customHeight="1">
      <x:c r="A296" s="10" t="n">
        <x:v>295</x:v>
      </x:c>
      <x:c r="B296" s="10" t="str">
        <x:v>ADMIN-09-0019</x:v>
      </x:c>
      <x:c r="C296" s="10" t="str">
        <x:v>财务分成</x:v>
      </x:c>
      <x:c r="D296" s="10" t="str">
        <x:v>主播余额变更记录（平台管理员视角）</x:v>
      </x:c>
      <x:c r="E296" s="10" t="str">
        <x:v>逻辑校验</x:v>
      </x:c>
      <x:c r="F296" s="10" t="str">
        <x:v>P1</x:v>
      </x:c>
      <x:c r="G296" s="9" t="str">
        <x:v>验证主播余额修正-5美元</x:v>
      </x:c>
      <x:c r="H296" s="9" t="str">
        <x:v>主播有符号余额变更</x:v>
      </x:c>
      <x:c r="I296" s="9" t="str">
        <x:v>1. 执行角色为平台管理员
2. 账号具有当前模块访问及本次操作权限
3. 原余额20USD</x:v>
      </x:c>
      <x:c r="J296" s="9" t="str">
        <x:v>1. 进入主播余额变更记录页
2. 点击余额变更
3. 填写变更金额为-5
4. 填写备注为QA核对
5. 点击确认</x:v>
      </x:c>
      <x:c r="K296" s="9" t="str">
        <x:v>变更后余额 = 15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来源（当前证据）：liveshow-proto/MainBasis/统一需求文档.md；位置：REQ-5fe2c7deddb0；行4635
2. 规则：BR-5ddad372850e9698
3. 未动态验证</x:v>
      </x:c>
    </x:row>
    <x:row r="297" ht="85" customHeight="1">
      <x:c r="A297" s="10" t="n">
        <x:v>296</x:v>
      </x:c>
      <x:c r="B297" s="10" t="str">
        <x:v>ADMIN-09-0020</x:v>
      </x:c>
      <x:c r="C297" s="10" t="str">
        <x:v>财务分成</x:v>
      </x:c>
      <x:c r="D297" s="10" t="str">
        <x:v>公会分成记录（平台管理员视角）</x:v>
      </x:c>
      <x:c r="E297" s="10" t="str">
        <x:v>逻辑校验</x:v>
      </x:c>
      <x:c r="F297" s="10" t="str">
        <x:v>P1</x:v>
      </x:c>
      <x:c r="G297" s="9" t="str">
        <x:v>验证公会分成上传备注必填</x:v>
      </x:c>
      <x:c r="H297" s="9" t="str">
        <x:v>公会分成备注校验</x:v>
      </x:c>
      <x:c r="I297" s="9" t="str">
        <x:v>1. 执行角色为平台管理员
2. 账号具有当前模块访问及本次操作权限
3. 当前上传弹窗已打开且有效文件已选</x:v>
      </x:c>
      <x:c r="J297" s="9" t="str">
        <x:v>1. 清空分成备注
2. 点击确认上传</x:v>
      </x:c>
      <x:c r="K297" s="9" t="str">
        <x:v>不能上传缺少分成备注的结果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来源（当前证据）：liveshow-proto/MainBasis/统一需求文档.md；位置：REQ-1944526022b7；行4648
2. 规则：BR-914676e9c8bfab55
3. 未动态验证</x:v>
      </x:c>
    </x:row>
    <x:row r="298" ht="85" customHeight="1">
      <x:c r="A298" s="10" t="n">
        <x:v>297</x:v>
      </x:c>
      <x:c r="B298" s="10" t="str">
        <x:v>ADMIN-09-0021</x:v>
      </x:c>
      <x:c r="C298" s="10" t="str">
        <x:v>财务分成</x:v>
      </x:c>
      <x:c r="D298" s="10" t="str">
        <x:v>公会分成记录（平台管理员视角）</x:v>
      </x:c>
      <x:c r="E298" s="10" t="str">
        <x:v>逻辑校验</x:v>
      </x:c>
      <x:c r="F298" s="10" t="str">
        <x:v>P1</x:v>
      </x:c>
      <x:c r="G298" s="9" t="str">
        <x:v>验证公会分成备注101字不允许</x:v>
      </x:c>
      <x:c r="H298" s="9" t="str">
        <x:v>公会分成备注上限</x:v>
      </x:c>
      <x:c r="I298" s="9" t="str">
        <x:v>1. 执行角色为平台管理员
2. 账号具有当前模块访问及本次操作权限
3. 当前上传弹窗已打开且有效文件已选</x:v>
      </x:c>
      <x:c r="J298" s="9" t="str">
        <x:v>1. 填写分成备注为101个A
2. 点击确认上传</x:v>
      </x:c>
      <x:c r="K298" s="9" t="str">
        <x:v>不能保存超过100字的分成备注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来源（当前证据）：liveshow-proto/MainBasis/统一需求文档.md；位置：REQ-1944526022b7；行4648
2. 规则：BR-270804b1480e14c7
3. 未动态验证</x:v>
      </x:c>
    </x:row>
    <x:row r="299" ht="100" customHeight="1">
      <x:c r="A299" s="10" t="n">
        <x:v>298</x:v>
      </x:c>
      <x:c r="B299" s="10" t="str">
        <x:v>ADMIN-09-0022</x:v>
      </x:c>
      <x:c r="C299" s="10" t="str">
        <x:v>财务分成</x:v>
      </x:c>
      <x:c r="D299" s="10" t="str">
        <x:v>公会分成记录详情（平台管理员视角）</x:v>
      </x:c>
      <x:c r="E299" s="10" t="str">
        <x:v>逻辑校验</x:v>
      </x:c>
      <x:c r="F299" s="10" t="str">
        <x:v>P1</x:v>
      </x:c>
      <x:c r="G299" s="9" t="str">
        <x:v>验证公会已导入分成详情不可修改</x:v>
      </x:c>
      <x:c r="H299" s="9" t="str">
        <x:v>公会分成批次只读</x:v>
      </x:c>
      <x:c r="I299" s="9" t="str">
        <x:v>1. 执行角色为平台管理员
2. 账号具有当前模块访问及本次操作权限
3. 该批次导入成功</x:v>
      </x:c>
      <x:c r="J299" s="9" t="str">
        <x:v>1. 进入公会分成记录详情页</x:v>
      </x:c>
      <x:c r="K299" s="9" t="str">
        <x:v>不提供编辑或删除批次操作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来源（当前证据）：liveshow-proto/MainBasis/统一需求文档.md；位置：REQ-d1a2072c5de3；行4666、REQ-0551d482e695；行4676
2. 规则：BR-61e35678a469d872
3. 未动态验证</x:v>
      </x:c>
    </x:row>
    <x:row r="300" ht="85" customHeight="1">
      <x:c r="A300" s="10" t="n">
        <x:v>299</x:v>
      </x:c>
      <x:c r="B300" s="10" t="str">
        <x:v>ADMIN-09-0023</x:v>
      </x:c>
      <x:c r="C300" s="10" t="str">
        <x:v>财务分成</x:v>
      </x:c>
      <x:c r="D300" s="10" t="str">
        <x:v>公会分成记录详情（平台管理员视角）</x:v>
      </x:c>
      <x:c r="E300" s="10" t="str">
        <x:v>逻辑校验</x:v>
      </x:c>
      <x:c r="F300" s="10" t="str">
        <x:v>P1</x:v>
      </x:c>
      <x:c r="G300" s="9" t="str">
        <x:v>验证公会分成批次总额等于明细和</x:v>
      </x:c>
      <x:c r="H300" s="9" t="str">
        <x:v>公会分成总额核对</x:v>
      </x:c>
      <x:c r="I300" s="9" t="str">
        <x:v>1. 执行角色为平台管理员
2. 账号具有当前模块访问及本次操作权限
3. 有效批次明细甲10USD、乙20USD</x:v>
      </x:c>
      <x:c r="J300" s="9" t="str">
        <x:v>1. 进入公会分成记录详情页</x:v>
      </x:c>
      <x:c r="K300" s="9" t="str">
        <x:v>分成总金额 = 30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来源（当前证据）：liveshow-proto/MainBasis/统一需求文档.md；位置：REQ-da4277723ecb；行4674
2. 规则：BR-637747dddb8facab
3. 未动态验证</x:v>
      </x:c>
    </x:row>
    <x:row r="301" ht="85" customHeight="1">
      <x:c r="A301" s="10" t="n">
        <x:v>300</x:v>
      </x:c>
      <x:c r="B301" s="10" t="str">
        <x:v>ADMIN-09-0024</x:v>
      </x:c>
      <x:c r="C301" s="10" t="str">
        <x:v>财务分成</x:v>
      </x:c>
      <x:c r="D301" s="10" t="str">
        <x:v>公会账户余额（平台管理员视角）</x:v>
      </x:c>
      <x:c r="E301" s="10" t="str">
        <x:v>逻辑校验</x:v>
      </x:c>
      <x:c r="F301" s="10" t="str">
        <x:v>P1</x:v>
      </x:c>
      <x:c r="G301" s="9" t="str">
        <x:v>验证公会余额汇总只算筛选范围</x:v>
      </x:c>
      <x:c r="H301" s="9" t="str">
        <x:v>公会余额筛选汇总</x:v>
      </x:c>
      <x:c r="I301" s="9" t="str">
        <x:v>1. 执行角色为平台管理员
2. 账号具有当前模块访问及本次操作权限
3. 筛选命中甲10USD和乙20USD，丙100USD不在结果</x:v>
      </x:c>
      <x:c r="J301" s="9" t="str">
        <x:v>1. 进入公会账户余额页
2. 点击查询</x:v>
      </x:c>
      <x:c r="K301" s="9" t="str">
        <x:v>汇总余额 = 30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来源（当前证据）：liveshow-proto/MainBasis/统一需求文档.md；位置：REQ-d16587607d09；行4685
2. 规则：BR-ddfc67b03ce13403
3. 未动态验证</x:v>
      </x:c>
    </x:row>
    <x:row r="302" ht="85" customHeight="1">
      <x:c r="A302" s="10" t="n">
        <x:v>301</x:v>
      </x:c>
      <x:c r="B302" s="10" t="str">
        <x:v>ADMIN-09-0025</x:v>
      </x:c>
      <x:c r="C302" s="10" t="str">
        <x:v>财务分成</x:v>
      </x:c>
      <x:c r="D302" s="10" t="str">
        <x:v>公会余额变更记录（平台管理员视角）</x:v>
      </x:c>
      <x:c r="E302" s="10" t="str">
        <x:v>逻辑校验</x:v>
      </x:c>
      <x:c r="F302" s="10" t="str">
        <x:v>P1</x:v>
      </x:c>
      <x:c r="G302" s="9" t="str">
        <x:v>验证公会余额修正金额0不合法</x:v>
      </x:c>
      <x:c r="H302" s="9" t="str">
        <x:v>公会修正金额校验</x:v>
      </x:c>
      <x:c r="I302" s="9" t="str">
        <x:v>1. 执行角色为平台管理员
2. 账号具有当前模块访问及本次操作权限
3. 当前对象有可修正余额</x:v>
      </x:c>
      <x:c r="J302" s="9" t="str">
        <x:v>1. 进入公会余额变更记录页
2. 点击余额变更
3. 填写备注为QA修正
4. 填写变更金额为0
5. 点击确认</x:v>
      </x:c>
      <x:c r="K302" s="9" t="str">
        <x:v>不能保存该修正金额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来源（当前证据）：liveshow-proto/MainBasis/统一需求文档.md；位置：REQ-c35cb0b004fc；行4696
2. 规则：BR-bac6dadf2d1c90f5
3. 未动态验证</x:v>
      </x:c>
    </x:row>
    <x:row r="303" ht="85" customHeight="1">
      <x:c r="A303" s="10" t="n">
        <x:v>302</x:v>
      </x:c>
      <x:c r="B303" s="10" t="str">
        <x:v>ADMIN-09-0026</x:v>
      </x:c>
      <x:c r="C303" s="10" t="str">
        <x:v>财务分成</x:v>
      </x:c>
      <x:c r="D303" s="10" t="str">
        <x:v>公会余额变更记录（平台管理员视角）</x:v>
      </x:c>
      <x:c r="E303" s="10" t="str">
        <x:v>逻辑校验</x:v>
      </x:c>
      <x:c r="F303" s="10" t="str">
        <x:v>P1</x:v>
      </x:c>
      <x:c r="G303" s="9" t="str">
        <x:v>验证公会余额修正金额1.001不合法</x:v>
      </x:c>
      <x:c r="H303" s="9" t="str">
        <x:v>公会修正金额校验</x:v>
      </x:c>
      <x:c r="I303" s="9" t="str">
        <x:v>1. 执行角色为平台管理员
2. 账号具有当前模块访问及本次操作权限
3. 当前对象有可修正余额</x:v>
      </x:c>
      <x:c r="J303" s="9" t="str">
        <x:v>1. 进入公会余额变更记录页
2. 点击余额变更
3. 填写备注为QA修正
4. 填写变更金额为1.001
5. 点击确认</x:v>
      </x:c>
      <x:c r="K303" s="9" t="str">
        <x:v>不能保存该修正金额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来源（当前证据）：liveshow-proto/MainBasis/统一需求文档.md；位置：REQ-c35cb0b004fc；行4696
2. 规则：BR-551c9fad7966c491
3. 未动态验证</x:v>
      </x:c>
    </x:row>
    <x:row r="304" ht="85" customHeight="1">
      <x:c r="A304" s="10" t="n">
        <x:v>303</x:v>
      </x:c>
      <x:c r="B304" s="10" t="str">
        <x:v>ADMIN-09-0027</x:v>
      </x:c>
      <x:c r="C304" s="10" t="str">
        <x:v>财务分成</x:v>
      </x:c>
      <x:c r="D304" s="10" t="str">
        <x:v>公会余额变更记录（平台管理员视角）</x:v>
      </x:c>
      <x:c r="E304" s="10" t="str">
        <x:v>逻辑校验</x:v>
      </x:c>
      <x:c r="F304" s="10" t="str">
        <x:v>P1</x:v>
      </x:c>
      <x:c r="G304" s="9" t="str">
        <x:v>验证公会余额修正备注必填</x:v>
      </x:c>
      <x:c r="H304" s="9" t="str">
        <x:v>公会余额修正原因</x:v>
      </x:c>
      <x:c r="I304" s="9" t="str">
        <x:v>1. 执行角色为平台管理员
2. 账号具有当前模块访问及本次操作权限
3. 当前对象有可修正余额</x:v>
      </x:c>
      <x:c r="J304" s="9" t="str">
        <x:v>1. 进入公会余额变更记录页
2. 点击余额变更
3. 填写变更金额为10
4. 清空备注
5. 点击确认</x:v>
      </x:c>
      <x:c r="K304" s="9" t="str">
        <x:v>不能保存无备注的修正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来源（当前证据）：liveshow-proto/MainBasis/统一需求文档.md；位置：REQ-209f252aeed4；行4700
2. 规则：BR-1de037185dbe113f
3. 未动态验证</x:v>
      </x:c>
    </x:row>
    <x:row r="305" ht="85" customHeight="1">
      <x:c r="A305" s="10" t="n">
        <x:v>304</x:v>
      </x:c>
      <x:c r="B305" s="10" t="str">
        <x:v>ADMIN-09-0028</x:v>
      </x:c>
      <x:c r="C305" s="10" t="str">
        <x:v>财务分成</x:v>
      </x:c>
      <x:c r="D305" s="10" t="str">
        <x:v>公会余额变更记录（平台管理员视角）</x:v>
      </x:c>
      <x:c r="E305" s="10" t="str">
        <x:v>逻辑校验</x:v>
      </x:c>
      <x:c r="F305" s="10" t="str">
        <x:v>P1</x:v>
      </x:c>
      <x:c r="G305" s="9" t="str">
        <x:v>验证公会余额修正10美元</x:v>
      </x:c>
      <x:c r="H305" s="9" t="str">
        <x:v>公会有符号余额变更</x:v>
      </x:c>
      <x:c r="I305" s="9" t="str">
        <x:v>1. 执行角色为平台管理员
2. 账号具有当前模块访问及本次操作权限
3. 原余额20USD</x:v>
      </x:c>
      <x:c r="J305" s="9" t="str">
        <x:v>1. 进入公会余额变更记录页
2. 点击余额变更
3. 填写变更金额为10
4. 填写备注为QA核对
5. 点击确认</x:v>
      </x:c>
      <x:c r="K305" s="9" t="str">
        <x:v>变更后余额 = 30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来源（当前证据）：liveshow-proto/MainBasis/统一需求文档.md；位置：REQ-5d162c36d5f7；行4698
2. 规则：BR-12739e4d31cd7619
3. 未动态验证</x:v>
      </x:c>
    </x:row>
    <x:row r="306" ht="85" customHeight="1">
      <x:c r="A306" s="10" t="n">
        <x:v>305</x:v>
      </x:c>
      <x:c r="B306" s="10" t="str">
        <x:v>ADMIN-09-0029</x:v>
      </x:c>
      <x:c r="C306" s="10" t="str">
        <x:v>财务分成</x:v>
      </x:c>
      <x:c r="D306" s="10" t="str">
        <x:v>公会余额变更记录（平台管理员视角）</x:v>
      </x:c>
      <x:c r="E306" s="10" t="str">
        <x:v>逻辑校验</x:v>
      </x:c>
      <x:c r="F306" s="10" t="str">
        <x:v>P1</x:v>
      </x:c>
      <x:c r="G306" s="9" t="str">
        <x:v>验证公会余额修正-5美元</x:v>
      </x:c>
      <x:c r="H306" s="9" t="str">
        <x:v>公会有符号余额变更</x:v>
      </x:c>
      <x:c r="I306" s="9" t="str">
        <x:v>1. 执行角色为平台管理员
2. 账号具有当前模块访问及本次操作权限
3. 原余额20USD</x:v>
      </x:c>
      <x:c r="J306" s="9" t="str">
        <x:v>1. 进入公会余额变更记录页
2. 点击余额变更
3. 填写变更金额为-5
4. 填写备注为QA核对
5. 点击确认</x:v>
      </x:c>
      <x:c r="K306" s="9" t="str">
        <x:v>变更后余额 = 15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来源（当前证据）：liveshow-proto/MainBasis/统一需求文档.md；位置：REQ-5d162c36d5f7；行4698
2. 规则：BR-c97a357e344905a4
3. 未动态验证</x:v>
      </x:c>
    </x:row>
    <x:row r="307" ht="85" customHeight="1">
      <x:c r="A307" s="10" t="n">
        <x:v>306</x:v>
      </x:c>
      <x:c r="B307" s="10" t="str">
        <x:v>ADMIN-11-0001</x:v>
      </x:c>
      <x:c r="C307" s="10" t="str">
        <x:v>运营账号</x:v>
      </x:c>
      <x:c r="D307" s="10" t="str">
        <x:v>账号列表（平台管理员视角）</x:v>
      </x:c>
      <x:c r="E307" s="10" t="str">
        <x:v>逻辑校验</x:v>
      </x:c>
      <x:c r="F307" s="10" t="str">
        <x:v>P1</x:v>
      </x:c>
      <x:c r="G307" s="9" t="str">
        <x:v>验证平台运营账号列表不越权创建发币</x:v>
      </x:c>
      <x:c r="H307" s="9" t="str">
        <x:v>平台运营账号操作边界</x:v>
      </x:c>
      <x:c r="I307" s="9" t="str">
        <x:v>1. 执行角色为平台管理员
2. 账号具有当前模块访问及本次操作权限</x:v>
      </x:c>
      <x:c r="J307" s="9" t="str">
        <x:v>1. 进入账号列表页</x:v>
      </x:c>
      <x:c r="K307" s="9" t="str">
        <x:v>不提供创建、分配或发放虚拟金币操作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来源（当前证据）：liveshow-proto/MainBasis/统一需求文档.md；位置：REQ-88bc22b1cabc；行5022
2. 规则：BR-3193317e871dfafa
3. 未动态验证</x:v>
      </x:c>
    </x:row>
    <x:row r="308" ht="85" customHeight="1">
      <x:c r="A308" s="10" t="n">
        <x:v>307</x:v>
      </x:c>
      <x:c r="B308" s="10" t="str">
        <x:v>ADMIN-11-0002</x:v>
      </x:c>
      <x:c r="C308" s="10" t="str">
        <x:v>运营账号</x:v>
      </x:c>
      <x:c r="D308" s="10" t="str">
        <x:v>运营账号主页（平台管理员视角）</x:v>
      </x:c>
      <x:c r="E308" s="10" t="str">
        <x:v>逻辑校验</x:v>
      </x:c>
      <x:c r="F308" s="10" t="str">
        <x:v>P1</x:v>
      </x:c>
      <x:c r="G308" s="9" t="str">
        <x:v>验证平台运营账号余额只核虚拟币</x:v>
      </x:c>
      <x:c r="H308" s="9" t="str">
        <x:v>平台运营虚拟余额</x:v>
      </x:c>
      <x:c r="I308" s="9" t="str">
        <x:v>1. 执行角色为平台管理员
2. 账号具有当前模块访问及本次操作权限
3. 累计发放1000、成功消费300虚拟金币，失败消费100</x:v>
      </x:c>
      <x:c r="J308" s="9" t="str">
        <x:v>1. 进入运营账号主页页</x:v>
      </x:c>
      <x:c r="K308" s="9" t="str">
        <x:v>虚拟金币余额 = 700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来源（当前证据）：liveshow-proto/MainBasis/统一需求文档.md；位置：REQ-94b27a9b36bc；行5035
2. 规则：BR-8978455d8cfa82bb
3. 未动态验证</x:v>
      </x:c>
    </x:row>
    <x:row r="309" ht="85" customHeight="1">
      <x:c r="A309" s="10" t="n">
        <x:v>308</x:v>
      </x:c>
      <x:c r="B309" s="10" t="str">
        <x:v>ADMIN-11-0003</x:v>
      </x:c>
      <x:c r="C309" s="10" t="str">
        <x:v>运营账号</x:v>
      </x:c>
      <x:c r="D309" s="10" t="str">
        <x:v>运营账号主页（平台管理员视角）</x:v>
      </x:c>
      <x:c r="E309" s="10" t="str">
        <x:v>逻辑校验</x:v>
      </x:c>
      <x:c r="F309" s="10" t="str">
        <x:v>P1</x:v>
      </x:c>
      <x:c r="G309" s="9" t="str">
        <x:v>验证平台停用运营账号</x:v>
      </x:c>
      <x:c r="H309" s="9" t="str">
        <x:v>平台运营账号停用</x:v>
      </x:c>
      <x:c r="I309" s="9" t="str">
        <x:v>1. 执行角色为平台管理员
2. 账号具有当前模块访问及本次操作权限
3. 运营账号启用</x:v>
      </x:c>
      <x:c r="J309" s="9" t="str">
        <x:v>1. 进入运营账号主页页
2. 点击停用
3. 点击确认</x:v>
      </x:c>
      <x:c r="K309" s="9" t="str">
        <x:v>运营账号状态变为停用</x:v>
      </x:c>
      <x:c r="L309" s="10" t="str">
        <x:v>FLOW-9DD46CA244</x:v>
      </x:c>
      <x:c r="M309" s="10" t="str">
        <x:v>未测</x:v>
      </x:c>
      <x:c r="N309" s="10" t="str"/>
      <x:c r="O309" s="9" t="str">
        <x:v>1. 来源（当前证据）：liveshow-proto/MainBasis/统一需求文档.md；位置：REQ-6c389b458d71；行5046
2. 规则：BR-478c3ca513890de7
3. 未动态验证</x:v>
      </x:c>
    </x:row>
    <x:row r="310" ht="85" customHeight="1">
      <x:c r="A310" s="10" t="n">
        <x:v>309</x:v>
      </x:c>
      <x:c r="B310" s="10" t="str">
        <x:v>ADMIN-11-0004</x:v>
      </x:c>
      <x:c r="C310" s="10" t="str">
        <x:v>运营账号</x:v>
      </x:c>
      <x:c r="D310" s="10" t="str">
        <x:v>运营账号主页（平台管理员视角）</x:v>
      </x:c>
      <x:c r="E310" s="10" t="str">
        <x:v>逻辑校验</x:v>
      </x:c>
      <x:c r="F310" s="10" t="str">
        <x:v>P1</x:v>
      </x:c>
      <x:c r="G310" s="9" t="str">
        <x:v>验证平台锁定运营账号公会管理权限</x:v>
      </x:c>
      <x:c r="H310" s="9" t="str">
        <x:v>运营账号平台锁定</x:v>
      </x:c>
      <x:c r="I310" s="9" t="str">
        <x:v>1. 执行角色为平台管理员
2. 账号具有当前模块访问及本次操作权限
3. 账号未锁定</x:v>
      </x:c>
      <x:c r="J310" s="9" t="str">
        <x:v>1. 进入运营账号主页页
2. 点击锁定公会管理权限
3. 点击确认</x:v>
      </x:c>
      <x:c r="K310" s="9" t="str">
        <x:v>公会管理权限为锁定</x:v>
      </x:c>
      <x:c r="L310" s="10" t="str">
        <x:v>FLOW-9DD46CA244</x:v>
      </x:c>
      <x:c r="M310" s="10" t="str">
        <x:v>未测</x:v>
      </x:c>
      <x:c r="N310" s="10" t="str"/>
      <x:c r="O310" s="9" t="str">
        <x:v>1. 来源（当前证据）：liveshow-proto/MainBasis/统一需求文档.md；位置：REQ-6c389b458d71；行5046
2. 规则：BR-dc7aeef5d4d5e5fd
3. 未动态验证</x:v>
      </x:c>
    </x:row>
    <x:row r="311" ht="85" customHeight="1">
      <x:c r="A311" s="10" t="n">
        <x:v>310</x:v>
      </x:c>
      <x:c r="B311" s="10" t="str">
        <x:v>ADMIN-11-0005</x:v>
      </x:c>
      <x:c r="C311" s="10" t="str">
        <x:v>运营账号</x:v>
      </x:c>
      <x:c r="D311" s="10" t="str">
        <x:v>发放记录（平台管理员视角）</x:v>
      </x:c>
      <x:c r="E311" s="10" t="str">
        <x:v>逻辑校验</x:v>
      </x:c>
      <x:c r="F311" s="10" t="str">
        <x:v>P1</x:v>
      </x:c>
      <x:c r="G311" s="9" t="str">
        <x:v>验证虚拟金币发放记录指向公会操作人</x:v>
      </x:c>
      <x:c r="H311" s="9" t="str">
        <x:v>虚拟金币发放执行者</x:v>
      </x:c>
      <x:c r="I311" s="9" t="str">
        <x:v>1. 执行角色为平台管理员
2. 账号具有当前模块访问及本次操作权限
3. 公会账号chiefA成功发放100金币</x:v>
      </x:c>
      <x:c r="J311" s="9" t="str">
        <x:v>1. 进入发放记录页</x:v>
      </x:c>
      <x:c r="K311" s="9" t="str">
        <x:v>该记录操作人为chiefA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来源（当前证据）：liveshow-proto/MainBasis/统一需求文档.md；位置：REQ-4b5762b60abd；行5057
2. 规则：BR-6b2d58bc1e8038bc
3. 未动态验证</x:v>
      </x:c>
    </x:row>
    <x:row r="312" ht="85" customHeight="1">
      <x:c r="A312" s="10" t="n">
        <x:v>311</x:v>
      </x:c>
      <x:c r="B312" s="10" t="str">
        <x:v>ADMIN-11-0006</x:v>
      </x:c>
      <x:c r="C312" s="10" t="str">
        <x:v>运营账号</x:v>
      </x:c>
      <x:c r="D312" s="10" t="str">
        <x:v>送礼记录（平台管理员视角）</x:v>
      </x:c>
      <x:c r="E312" s="10" t="str">
        <x:v>逻辑校验</x:v>
      </x:c>
      <x:c r="F312" s="10" t="str">
        <x:v>P1</x:v>
      </x:c>
      <x:c r="G312" s="9" t="str">
        <x:v>验证运营赠礼保留礼物快照</x:v>
      </x:c>
      <x:c r="H312" s="9" t="str">
        <x:v>运营赠礼礼物历史快照</x:v>
      </x:c>
      <x:c r="I312" s="9" t="str">
        <x:v>1. 执行角色为平台管理员
2. 账号具有当前模块访问及本次操作权限
3. 赠送时礼物A主播甲，之后名称分别改B和乙</x:v>
      </x:c>
      <x:c r="J312" s="9" t="str">
        <x:v>1. 进入送礼记录页
2. 点击该记录详情</x:v>
      </x:c>
      <x:c r="K312" s="9" t="str">
        <x:v>详情礼物名称仍为A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来源（当前证据）：liveshow-proto/MainBasis/统一需求文档.md；位置：REQ-18244527bc41；行5072
2. 规则：BR-2b8c7cac50b31fa8
3. 未动态验证</x:v>
      </x:c>
    </x:row>
    <x:row r="313" ht="85" customHeight="1">
      <x:c r="A313" s="10" t="n">
        <x:v>312</x:v>
      </x:c>
      <x:c r="B313" s="10" t="str">
        <x:v>ADMIN-11-0007</x:v>
      </x:c>
      <x:c r="C313" s="10" t="str">
        <x:v>运营账号</x:v>
      </x:c>
      <x:c r="D313" s="10" t="str">
        <x:v>送礼记录（平台管理员视角）</x:v>
      </x:c>
      <x:c r="E313" s="10" t="str">
        <x:v>逻辑校验</x:v>
      </x:c>
      <x:c r="F313" s="10" t="str">
        <x:v>P1</x:v>
      </x:c>
      <x:c r="G313" s="9" t="str">
        <x:v>验证运营赠礼保留主播快照</x:v>
      </x:c>
      <x:c r="H313" s="9" t="str">
        <x:v>运营赠礼主播历史快照</x:v>
      </x:c>
      <x:c r="I313" s="9" t="str">
        <x:v>1. 执行角色为平台管理员
2. 账号具有当前模块访问及本次操作权限
3. 赠送时礼物A主播甲，之后名称分别改B和乙</x:v>
      </x:c>
      <x:c r="J313" s="9" t="str">
        <x:v>1. 进入送礼记录页
2. 点击该记录详情</x:v>
      </x:c>
      <x:c r="K313" s="9" t="str">
        <x:v>详情主播名称仍为甲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来源（当前证据）：liveshow-proto/MainBasis/统一需求文档.md；位置：REQ-18244527bc41；行5072
2. 规则：BR-05532ca8ea43025c
3. 未动态验证</x:v>
      </x:c>
    </x:row>
    <x:row r="314" ht="85" customHeight="1">
      <x:c r="A314" s="10" t="n">
        <x:v>313</x:v>
      </x:c>
      <x:c r="B314" s="10" t="str">
        <x:v>ADMIN-11-0008</x:v>
      </x:c>
      <x:c r="C314" s="10" t="str">
        <x:v>运营账号</x:v>
      </x:c>
      <x:c r="D314" s="10" t="str">
        <x:v>额度限制（平台管理员视角）</x:v>
      </x:c>
      <x:c r="E314" s="10" t="str">
        <x:v>逻辑校验</x:v>
      </x:c>
      <x:c r="F314" s="10" t="str">
        <x:v>P1</x:v>
      </x:c>
      <x:c r="G314" s="9" t="str">
        <x:v>验证额度配置公会低于已发放不能保存</x:v>
      </x:c>
      <x:c r="H314" s="9" t="str">
        <x:v>虚拟金币额度上下限</x:v>
      </x:c>
      <x:c r="I314" s="9" t="str">
        <x:v>1. 执行角色为平台管理员
2. 账号具有当前模块访问及本次操作权限
3. 本月公会已发放1000，单账号最高已发500金币</x:v>
      </x:c>
      <x:c r="J314" s="9" t="str">
        <x:v>1. 进入额度限制页
2. 点击配置额度
3. 填写单账号月度额度为500
4. 填写公会月度额度为999
5. 点击保存</x:v>
      </x:c>
      <x:c r="K314" s="9" t="str">
        <x:v>不能保存越界额度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来源（当前证据）：liveshow-proto/MainBasis/统一需求文档.md；位置：REQ-2d85a61f1c3a；行5103
2. 规则：BR-b6f898e00f74ff2b
3. 未动态验证</x:v>
      </x:c>
    </x:row>
    <x:row r="315" ht="85" customHeight="1">
      <x:c r="A315" s="10" t="n">
        <x:v>314</x:v>
      </x:c>
      <x:c r="B315" s="10" t="str">
        <x:v>ADMIN-11-0009</x:v>
      </x:c>
      <x:c r="C315" s="10" t="str">
        <x:v>运营账号</x:v>
      </x:c>
      <x:c r="D315" s="10" t="str">
        <x:v>额度限制（平台管理员视角）</x:v>
      </x:c>
      <x:c r="E315" s="10" t="str">
        <x:v>逻辑校验</x:v>
      </x:c>
      <x:c r="F315" s="10" t="str">
        <x:v>P1</x:v>
      </x:c>
      <x:c r="G315" s="9" t="str">
        <x:v>验证额度配置账号低于最高已发放不能保存</x:v>
      </x:c>
      <x:c r="H315" s="9" t="str">
        <x:v>虚拟金币额度上下限</x:v>
      </x:c>
      <x:c r="I315" s="9" t="str">
        <x:v>1. 执行角色为平台管理员
2. 账号具有当前模块访问及本次操作权限
3. 本月公会已发放1000，单账号最高已发500金币</x:v>
      </x:c>
      <x:c r="J315" s="9" t="str">
        <x:v>1. 进入额度限制页
2. 点击配置额度
3. 填写单账号月度额度为499
4. 填写公会月度额度为2000
5. 点击保存</x:v>
      </x:c>
      <x:c r="K315" s="9" t="str">
        <x:v>不能保存越界额度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来源（当前证据）：liveshow-proto/MainBasis/统一需求文档.md；位置：REQ-2d85a61f1c3a；行5103
2. 规则：BR-dbe8708260f3e1dc
3. 未动态验证</x:v>
      </x:c>
    </x:row>
    <x:row r="316" ht="85" customHeight="1">
      <x:c r="A316" s="10" t="n">
        <x:v>315</x:v>
      </x:c>
      <x:c r="B316" s="10" t="str">
        <x:v>ADMIN-11-0010</x:v>
      </x:c>
      <x:c r="C316" s="10" t="str">
        <x:v>运营账号</x:v>
      </x:c>
      <x:c r="D316" s="10" t="str">
        <x:v>额度限制（平台管理员视角）</x:v>
      </x:c>
      <x:c r="E316" s="10" t="str">
        <x:v>逻辑校验</x:v>
      </x:c>
      <x:c r="F316" s="10" t="str">
        <x:v>P1</x:v>
      </x:c>
      <x:c r="G316" s="9" t="str">
        <x:v>验证额度配置账号高于公会额度不能保存</x:v>
      </x:c>
      <x:c r="H316" s="9" t="str">
        <x:v>虚拟金币额度上下限</x:v>
      </x:c>
      <x:c r="I316" s="9" t="str">
        <x:v>1. 执行角色为平台管理员
2. 账号具有当前模块访问及本次操作权限
3. 本月公会已发放1000，单账号最高已发500金币</x:v>
      </x:c>
      <x:c r="J316" s="9" t="str">
        <x:v>1. 进入额度限制页
2. 点击配置额度
3. 填写单账号月度额度为2001
4. 填写公会月度额度为2000
5. 点击保存</x:v>
      </x:c>
      <x:c r="K316" s="9" t="str">
        <x:v>不能保存越界额度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来源（当前证据）：liveshow-proto/MainBasis/统一需求文档.md；位置：REQ-2d85a61f1c3a；行5103
2. 规则：BR-a02801b5943eecf0
3. 未动态验证</x:v>
      </x:c>
    </x:row>
    <x:row r="317" ht="85" customHeight="1">
      <x:c r="A317" s="10" t="n">
        <x:v>316</x:v>
      </x:c>
      <x:c r="B317" s="10" t="str">
        <x:v>ADMIN-11-0011</x:v>
      </x:c>
      <x:c r="C317" s="10" t="str">
        <x:v>运营账号</x:v>
      </x:c>
      <x:c r="D317" s="10" t="str">
        <x:v>额度限制（平台管理员视角）</x:v>
      </x:c>
      <x:c r="E317" s="10" t="str">
        <x:v>逻辑校验</x:v>
      </x:c>
      <x:c r="F317" s="10" t="str">
        <x:v>P1</x:v>
      </x:c>
      <x:c r="G317" s="9" t="str">
        <x:v>验证额度等于已发放边界允许保存</x:v>
      </x:c>
      <x:c r="H317" s="9" t="str">
        <x:v>虚拟币额度等值边界</x:v>
      </x:c>
      <x:c r="I317" s="9" t="str">
        <x:v>1. 执行角色为平台管理员
2. 账号具有当前模块访问及本次操作权限
3. 公会已发1000，单账号最高500</x:v>
      </x:c>
      <x:c r="J317" s="9" t="str">
        <x:v>1. 进入额度限制页
2. 点击配置额度
3. 填写公会月度额度为1000
4. 填写单账号月度额度为500
5. 点击保存</x:v>
      </x:c>
      <x:c r="K317" s="9" t="str">
        <x:v>公会月度额度显示1000金币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来源（当前证据）：liveshow-proto/MainBasis/统一需求文档.md；位置：REQ-2d85a61f1c3a；行5103
2. 规则：BR-f7a42faef07de8b9
3. 未动态验证</x:v>
      </x:c>
    </x:row>
    <x:row r="318" ht="85" customHeight="1">
      <x:c r="A318" s="10" t="n">
        <x:v>317</x:v>
      </x:c>
      <x:c r="B318" s="10" t="str">
        <x:v>ADMIN-12-0001</x:v>
      </x:c>
      <x:c r="C318" s="10" t="str">
        <x:v>系统配置</x:v>
      </x:c>
      <x:c r="D318" s="10" t="str">
        <x:v>后台账号（超级管理员视角）</x:v>
      </x:c>
      <x:c r="E318" s="10" t="str">
        <x:v>逻辑校验</x:v>
      </x:c>
      <x:c r="F318" s="10" t="str">
        <x:v>P1</x:v>
      </x:c>
      <x:c r="G318" s="9" t="str">
        <x:v>验证内置超级管理员账号不能停用</x:v>
      </x:c>
      <x:c r="H318" s="9" t="str">
        <x:v>内置后台账号保护</x:v>
      </x:c>
      <x:c r="I318" s="9" t="str">
        <x:v>1. 执行角色为超级管理员
2. 当前记录为内置超级管理员</x:v>
      </x:c>
      <x:c r="J318" s="9" t="str">
        <x:v>1. 进入后台账号页</x:v>
      </x:c>
      <x:c r="K318" s="9" t="str">
        <x:v>不允许停用内置账号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来源（当前证据）：liveshow-proto/MainBasis/统一需求文档.md；位置：REQ-a33959cc945e；行5122
2. 规则：BR-5b9cb8c903174bc0
3. 未动态验证</x:v>
      </x:c>
    </x:row>
    <x:row r="319" ht="85" customHeight="1">
      <x:c r="A319" s="10" t="n">
        <x:v>318</x:v>
      </x:c>
      <x:c r="B319" s="10" t="str">
        <x:v>ADMIN-12-0002</x:v>
      </x:c>
      <x:c r="C319" s="10" t="str">
        <x:v>系统配置</x:v>
      </x:c>
      <x:c r="D319" s="10" t="str">
        <x:v>账号编辑（超级管理员视角）</x:v>
      </x:c>
      <x:c r="E319" s="10" t="str">
        <x:v>逻辑校验</x:v>
      </x:c>
      <x:c r="F319" s="10" t="str">
        <x:v>P1</x:v>
      </x:c>
      <x:c r="G319" s="9" t="str">
        <x:v>验证内置管理员核心配置不可修改</x:v>
      </x:c>
      <x:c r="H319" s="9" t="str">
        <x:v>内置管理员字段保护</x:v>
      </x:c>
      <x:c r="I319" s="9" t="str">
        <x:v>1. 执行角色为超级管理员
2. 当前为内置超级管理员账号</x:v>
      </x:c>
      <x:c r="J319" s="9" t="str">
        <x:v>1. 进入账号编辑页</x:v>
      </x:c>
      <x:c r="K319" s="9" t="str">
        <x:v>账号、角色和状态均不可编辑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来源（当前证据）：liveshow-proto/MainBasis/统一需求文档.md；位置：REQ-17ae8a754f60；行5143
2. 规则：BR-2a7e13eba0f1668a
3. 未动态验证</x:v>
      </x:c>
    </x:row>
    <x:row r="320" ht="85" customHeight="1">
      <x:c r="A320" s="10" t="n">
        <x:v>319</x:v>
      </x:c>
      <x:c r="B320" s="10" t="str">
        <x:v>ADMIN-12-0003</x:v>
      </x:c>
      <x:c r="C320" s="10" t="str">
        <x:v>系统配置</x:v>
      </x:c>
      <x:c r="D320" s="10" t="str">
        <x:v>账号编辑（超级管理员视角）</x:v>
      </x:c>
      <x:c r="E320" s="10" t="str">
        <x:v>逻辑校验</x:v>
      </x:c>
      <x:c r="F320" s="10" t="str">
        <x:v>P1</x:v>
      </x:c>
      <x:c r="G320" s="9" t="str">
        <x:v>验证新后台账号后台账号必填</x:v>
      </x:c>
      <x:c r="H320" s="9" t="str">
        <x:v>后台账号后台账号校验</x:v>
      </x:c>
      <x:c r="I320" s="9" t="str">
        <x:v>1. 执行角色为超级管理员
2. 新建模式，其他字段有效</x:v>
      </x:c>
      <x:c r="J320" s="9" t="str">
        <x:v>1. 进入账号编辑页
2. 清空后台账号
3. 点击保存</x:v>
      </x:c>
      <x:c r="K320" s="9" t="str">
        <x:v>不能创建缺少必填项的后台账号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来源（当前证据）：liveshow-proto/MainBasis/统一需求文档.md；位置：REQ-4dc11780d782；行5133
2. 规则：BR-5a69cb285e705a28
3. 未动态验证</x:v>
      </x:c>
    </x:row>
    <x:row r="321" ht="85" customHeight="1">
      <x:c r="A321" s="10" t="n">
        <x:v>320</x:v>
      </x:c>
      <x:c r="B321" s="10" t="str">
        <x:v>ADMIN-12-0004</x:v>
      </x:c>
      <x:c r="C321" s="10" t="str">
        <x:v>系统配置</x:v>
      </x:c>
      <x:c r="D321" s="10" t="str">
        <x:v>账号编辑（超级管理员视角）</x:v>
      </x:c>
      <x:c r="E321" s="10" t="str">
        <x:v>逻辑校验</x:v>
      </x:c>
      <x:c r="F321" s="10" t="str">
        <x:v>P1</x:v>
      </x:c>
      <x:c r="G321" s="9" t="str">
        <x:v>验证新后台账号姓名必填</x:v>
      </x:c>
      <x:c r="H321" s="9" t="str">
        <x:v>后台账号姓名校验</x:v>
      </x:c>
      <x:c r="I321" s="9" t="str">
        <x:v>1. 执行角色为超级管理员
2. 新建模式，其他字段有效</x:v>
      </x:c>
      <x:c r="J321" s="9" t="str">
        <x:v>1. 进入账号编辑页
2. 清空姓名
3. 点击保存</x:v>
      </x:c>
      <x:c r="K321" s="9" t="str">
        <x:v>不能创建缺少必填项的后台账号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来源（当前证据）：liveshow-proto/MainBasis/统一需求文档.md；位置：REQ-4dc11780d782；行5133
2. 规则：BR-bb315514262ea48b
3. 未动态验证</x:v>
      </x:c>
    </x:row>
    <x:row r="322" ht="85" customHeight="1">
      <x:c r="A322" s="10" t="n">
        <x:v>321</x:v>
      </x:c>
      <x:c r="B322" s="10" t="str">
        <x:v>ADMIN-12-0005</x:v>
      </x:c>
      <x:c r="C322" s="10" t="str">
        <x:v>系统配置</x:v>
      </x:c>
      <x:c r="D322" s="10" t="str">
        <x:v>账号编辑（超级管理员视角）</x:v>
      </x:c>
      <x:c r="E322" s="10" t="str">
        <x:v>逻辑校验</x:v>
      </x:c>
      <x:c r="F322" s="10" t="str">
        <x:v>P1</x:v>
      </x:c>
      <x:c r="G322" s="9" t="str">
        <x:v>验证新后台账号所属角色必填</x:v>
      </x:c>
      <x:c r="H322" s="9" t="str">
        <x:v>后台账号所属角色校验</x:v>
      </x:c>
      <x:c r="I322" s="9" t="str">
        <x:v>1. 执行角色为超级管理员
2. 新建模式，其他字段有效</x:v>
      </x:c>
      <x:c r="J322" s="9" t="str">
        <x:v>1. 进入账号编辑页
2. 清空所属角色
3. 点击保存</x:v>
      </x:c>
      <x:c r="K322" s="9" t="str">
        <x:v>不能创建缺少必填项的后台账号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来源（当前证据）：liveshow-proto/MainBasis/统一需求文档.md；位置：REQ-a3d66b0a6cd5；行5135
2. 规则：BR-b71dbc011d985d24
3. 未动态验证</x:v>
      </x:c>
    </x:row>
    <x:row r="323" ht="85" customHeight="1">
      <x:c r="A323" s="10" t="n">
        <x:v>322</x:v>
      </x:c>
      <x:c r="B323" s="10" t="str">
        <x:v>ADMIN-12-0006</x:v>
      </x:c>
      <x:c r="C323" s="10" t="str">
        <x:v>系统配置</x:v>
      </x:c>
      <x:c r="D323" s="10" t="str">
        <x:v>账号编辑（超级管理员视角）</x:v>
      </x:c>
      <x:c r="E323" s="10" t="str">
        <x:v>逻辑校验</x:v>
      </x:c>
      <x:c r="F323" s="10" t="str">
        <x:v>P1</x:v>
      </x:c>
      <x:c r="G323" s="9" t="str">
        <x:v>验证新后台账号初始密码必填</x:v>
      </x:c>
      <x:c r="H323" s="9" t="str">
        <x:v>后台账号初始密码校验</x:v>
      </x:c>
      <x:c r="I323" s="9" t="str">
        <x:v>1. 执行角色为超级管理员
2. 新建模式，其他字段有效</x:v>
      </x:c>
      <x:c r="J323" s="9" t="str">
        <x:v>1. 进入账号编辑页
2. 清空初始密码
3. 点击保存</x:v>
      </x:c>
      <x:c r="K323" s="9" t="str">
        <x:v>不能创建缺少必填项的后台账号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来源（当前证据）：liveshow-proto/MainBasis/统一需求文档.md；位置：REQ-349013785007；行5137
2. 规则：BR-34f380a0bcd13635
3. 未动态验证</x:v>
      </x:c>
    </x:row>
    <x:row r="324" ht="85" customHeight="1">
      <x:c r="A324" s="10" t="n">
        <x:v>323</x:v>
      </x:c>
      <x:c r="B324" s="10" t="str">
        <x:v>ADMIN-12-0007</x:v>
      </x:c>
      <x:c r="C324" s="10" t="str">
        <x:v>系统配置</x:v>
      </x:c>
      <x:c r="D324" s="10" t="str">
        <x:v>账号编辑（超级管理员视角）</x:v>
      </x:c>
      <x:c r="E324" s="10" t="str">
        <x:v>逻辑校验</x:v>
      </x:c>
      <x:c r="F324" s="10" t="str">
        <x:v>P1</x:v>
      </x:c>
      <x:c r="G324" s="9" t="str">
        <x:v>验证后台登录账号不能重复</x:v>
      </x:c>
      <x:c r="H324" s="9" t="str">
        <x:v>后台账号唯一性</x:v>
      </x:c>
      <x:c r="I324" s="9" t="str">
        <x:v>1. 执行角色为超级管理员
2. 已存在账号qa-admin，其他字段有效</x:v>
      </x:c>
      <x:c r="J324" s="9" t="str">
        <x:v>1. 进入账号编辑页
2. 填写后台账号为qa-admin
3. 点击保存</x:v>
      </x:c>
      <x:c r="K324" s="9" t="str">
        <x:v>不能保存重复登录账号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来源（当前证据）：liveshow-proto/MainBasis/统一需求文档.md；位置：REQ-4dc11780d782；行5133
2. 规则：BR-6e7cf5049263a93f
3. 未动态验证</x:v>
      </x:c>
    </x:row>
    <x:row r="325" ht="85" customHeight="1">
      <x:c r="A325" s="10" t="n">
        <x:v>324</x:v>
      </x:c>
      <x:c r="B325" s="10" t="str">
        <x:v>ADMIN-12-0008</x:v>
      </x:c>
      <x:c r="C325" s="10" t="str">
        <x:v>系统配置</x:v>
      </x:c>
      <x:c r="D325" s="10" t="str">
        <x:v>账号编辑（超级管理员视角）</x:v>
      </x:c>
      <x:c r="E325" s="10" t="str">
        <x:v>逻辑校验</x:v>
      </x:c>
      <x:c r="F325" s="10" t="str">
        <x:v>P1</x:v>
      </x:c>
      <x:c r="G325" s="9" t="str">
        <x:v>验证后台账号不能选择停用角色</x:v>
      </x:c>
      <x:c r="H325" s="9" t="str">
        <x:v>后台账号角色有效性</x:v>
      </x:c>
      <x:c r="I325" s="9" t="str">
        <x:v>1. 执行角色为超级管理员
2. 角色R已停用</x:v>
      </x:c>
      <x:c r="J325" s="9" t="str">
        <x:v>1. 进入账号编辑页
2. 点击所属角色</x:v>
      </x:c>
      <x:c r="K325" s="9" t="str">
        <x:v>角色R不可选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来源（当前证据）：liveshow-proto/MainBasis/统一需求文档.md；位置：REQ-a3d66b0a6cd5；行5135
2. 规则：BR-ab169047380b99b2
3. 未动态验证</x:v>
      </x:c>
    </x:row>
    <x:row r="326" ht="85" customHeight="1">
      <x:c r="A326" s="10" t="n">
        <x:v>325</x:v>
      </x:c>
      <x:c r="B326" s="10" t="str">
        <x:v>ADMIN-12-0009</x:v>
      </x:c>
      <x:c r="C326" s="10" t="str">
        <x:v>系统配置</x:v>
      </x:c>
      <x:c r="D326" s="10" t="str">
        <x:v>账号编辑（超级管理员视角）</x:v>
      </x:c>
      <x:c r="E326" s="10" t="str">
        <x:v>逻辑校验</x:v>
      </x:c>
      <x:c r="F326" s="10" t="str">
        <x:v>P1</x:v>
      </x:c>
      <x:c r="G326" s="9" t="str">
        <x:v>验证后台账号重置密码两次不一致</x:v>
      </x:c>
      <x:c r="H326" s="9" t="str">
        <x:v>后台重置密码确认</x:v>
      </x:c>
      <x:c r="I326" s="9" t="str">
        <x:v>1. 执行角色为超级管理员
2. 准备满足实际密码策略的两个不同密码A和B</x:v>
      </x:c>
      <x:c r="J326" s="9" t="str">
        <x:v>1. 进入账号编辑页
2. 点击重置密码
3. 填写新密码为A
4. 填写确认密码为B
5. 点击保存</x:v>
      </x:c>
      <x:c r="K326" s="9" t="str">
        <x:v>不能保存不一致的新密码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来源（当前证据）：liveshow-proto/MainBasis/统一需求文档.md；位置：REQ-d00841bef5c0；行5139
2. 规则：BR-1e2b2b8634a188d2
3. 未动态验证</x:v>
      </x:c>
    </x:row>
    <x:row r="327" ht="85" customHeight="1">
      <x:c r="A327" s="10" t="n">
        <x:v>326</x:v>
      </x:c>
      <x:c r="B327" s="10" t="str">
        <x:v>ADMIN-12-0010</x:v>
      </x:c>
      <x:c r="C327" s="10" t="str">
        <x:v>系统配置</x:v>
      </x:c>
      <x:c r="D327" s="10" t="str">
        <x:v>角色管理（超级管理员视角）</x:v>
      </x:c>
      <x:c r="E327" s="10" t="str">
        <x:v>功能需求</x:v>
      </x:c>
      <x:c r="F327" s="10" t="str">
        <x:v>P2</x:v>
      </x:c>
      <x:c r="G327" s="9" t="str">
        <x:v>验证后台角色人数只统计当前绑定</x:v>
      </x:c>
      <x:c r="H327" s="9" t="str">
        <x:v>后台角色关联账号数</x:v>
      </x:c>
      <x:c r="I327" s="9" t="str">
        <x:v>1. 执行角色为超级管理员
2. 角色R当前绑定甲乙，丙已改绑其他角色</x:v>
      </x:c>
      <x:c r="J327" s="9" t="str">
        <x:v>1. 进入角色管理页</x:v>
      </x:c>
      <x:c r="K327" s="9" t="str">
        <x:v>角色R关联账号显示2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来源（当前证据）：liveshow-proto/MainBasis/统一需求文档.md；位置：REQ-5a66f4cced3a；行5156
2. 规则：BR-72ee985d6d689256
3. 未动态验证</x:v>
      </x:c>
    </x:row>
    <x:row r="328" ht="85" customHeight="1">
      <x:c r="A328" s="10" t="n">
        <x:v>327</x:v>
      </x:c>
      <x:c r="B328" s="10" t="str">
        <x:v>ADMIN-12-0011</x:v>
      </x:c>
      <x:c r="C328" s="10" t="str">
        <x:v>系统配置</x:v>
      </x:c>
      <x:c r="D328" s="10" t="str">
        <x:v>角色管理（超级管理员视角）</x:v>
      </x:c>
      <x:c r="E328" s="10" t="str">
        <x:v>逻辑校验</x:v>
      </x:c>
      <x:c r="F328" s="10" t="str">
        <x:v>P1</x:v>
      </x:c>
      <x:c r="G328" s="9" t="str">
        <x:v>验证内置超级管理员角色不可停用</x:v>
      </x:c>
      <x:c r="H328" s="9" t="str">
        <x:v>内置角色保护</x:v>
      </x:c>
      <x:c r="I328" s="9" t="str">
        <x:v>1. 执行角色为超级管理员</x:v>
      </x:c>
      <x:c r="J328" s="9" t="str">
        <x:v>1. 进入角色管理页</x:v>
      </x:c>
      <x:c r="K328" s="9" t="str">
        <x:v>不允许停用内置超级管理员角色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来源（当前证据）：liveshow-proto/MainBasis/统一需求文档.md；位置：REQ-d8027eefbbde；行5160
2. 规则：BR-8d492ad8545ae6f8
3. 未动态验证</x:v>
      </x:c>
    </x:row>
    <x:row r="329" ht="85" customHeight="1">
      <x:c r="A329" s="10" t="n">
        <x:v>328</x:v>
      </x:c>
      <x:c r="B329" s="10" t="str">
        <x:v>ADMIN-12-0012</x:v>
      </x:c>
      <x:c r="C329" s="10" t="str">
        <x:v>系统配置</x:v>
      </x:c>
      <x:c r="D329" s="10" t="str">
        <x:v>角色编辑（超级管理员视角）</x:v>
      </x:c>
      <x:c r="E329" s="10" t="str">
        <x:v>逻辑校验</x:v>
      </x:c>
      <x:c r="F329" s="10" t="str">
        <x:v>P1</x:v>
      </x:c>
      <x:c r="G329" s="9" t="str">
        <x:v>验证后台角色名称不能为空</x:v>
      </x:c>
      <x:c r="H329" s="9" t="str">
        <x:v>后台角色名称必填</x:v>
      </x:c>
      <x:c r="I329" s="9" t="str">
        <x:v>1. 执行角色为超级管理员
2. 新建角色且权限已选择</x:v>
      </x:c>
      <x:c r="J329" s="9" t="str">
        <x:v>1. 进入角色编辑页
2. 清空角色名称
3. 点击保存</x:v>
      </x:c>
      <x:c r="K329" s="9" t="str">
        <x:v>不能保存空角色名称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来源（当前证据）：liveshow-proto/MainBasis/统一需求文档.md；位置：REQ-6f3bd3e60356；行5171
2. 规则：BR-a27d6b88f77086ca
3. 未动态验证</x:v>
      </x:c>
    </x:row>
    <x:row r="330" ht="85" customHeight="1">
      <x:c r="A330" s="10" t="n">
        <x:v>329</x:v>
      </x:c>
      <x:c r="B330" s="10" t="str">
        <x:v>ADMIN-12-0013</x:v>
      </x:c>
      <x:c r="C330" s="10" t="str">
        <x:v>系统配置</x:v>
      </x:c>
      <x:c r="D330" s="10" t="str">
        <x:v>角色编辑（超级管理员视角）</x:v>
      </x:c>
      <x:c r="E330" s="10" t="str">
        <x:v>逻辑校验</x:v>
      </x:c>
      <x:c r="F330" s="10" t="str">
        <x:v>P1</x:v>
      </x:c>
      <x:c r="G330" s="9" t="str">
        <x:v>验证后台角色名称不能重复</x:v>
      </x:c>
      <x:c r="H330" s="9" t="str">
        <x:v>后台角色名称唯一性</x:v>
      </x:c>
      <x:c r="I330" s="9" t="str">
        <x:v>1. 执行角色为超级管理员
2. 已有角色R</x:v>
      </x:c>
      <x:c r="J330" s="9" t="str">
        <x:v>1. 进入角色编辑页
2. 填写角色名称为R
3. 点击保存</x:v>
      </x:c>
      <x:c r="K330" s="9" t="str">
        <x:v>不能保存重复角色名称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来源（当前证据）：liveshow-proto/MainBasis/统一需求文档.md；位置：REQ-6f3bd3e60356；行5171
2. 规则：BR-3d9e55ee5f066cec
3. 未动态验证</x:v>
      </x:c>
    </x:row>
    <x:row r="331" ht="85" customHeight="1">
      <x:c r="A331" s="10" t="n">
        <x:v>330</x:v>
      </x:c>
      <x:c r="B331" s="10" t="str">
        <x:v>ADMIN-12-0014</x:v>
      </x:c>
      <x:c r="C331" s="10" t="str">
        <x:v>系统配置</x:v>
      </x:c>
      <x:c r="D331" s="10" t="str">
        <x:v>角色编辑（超级管理员视角）</x:v>
      </x:c>
      <x:c r="E331" s="10" t="str">
        <x:v>逻辑校验</x:v>
      </x:c>
      <x:c r="F331" s="10" t="str">
        <x:v>P1</x:v>
      </x:c>
      <x:c r="G331" s="9" t="str">
        <x:v>验证勾选菜单父级选中所有子级</x:v>
      </x:c>
      <x:c r="H331" s="9" t="str">
        <x:v>角色权限父子选择</x:v>
      </x:c>
      <x:c r="I331" s="9" t="str">
        <x:v>1. 执行角色为超级管理员
2. 某父菜单有3个子权限，初始均未选</x:v>
      </x:c>
      <x:c r="J331" s="9" t="str">
        <x:v>1. 进入角色编辑页
2. 勾选该父菜单</x:v>
      </x:c>
      <x:c r="K331" s="9" t="str">
        <x:v>其3个子权限全部选中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来源（当前证据）：liveshow-proto/MainBasis/统一需求文档.md；位置：REQ-ace54ed95177；行5177
2. 规则：BR-0c4d2de8d6b9bbc7
3. 未动态验证</x:v>
      </x:c>
    </x:row>
    <x:row r="332" ht="85" customHeight="1">
      <x:c r="A332" s="10" t="n">
        <x:v>331</x:v>
      </x:c>
      <x:c r="B332" s="10" t="str">
        <x:v>ADMIN-12-0015</x:v>
      </x:c>
      <x:c r="C332" s="10" t="str">
        <x:v>系统配置</x:v>
      </x:c>
      <x:c r="D332" s="10" t="str">
        <x:v>角色编辑（超级管理员视角）</x:v>
      </x:c>
      <x:c r="E332" s="10" t="str">
        <x:v>逻辑校验</x:v>
      </x:c>
      <x:c r="F332" s="10" t="str">
        <x:v>P1</x:v>
      </x:c>
      <x:c r="G332" s="9" t="str">
        <x:v>验证取消全部子权限同步取消父级</x:v>
      </x:c>
      <x:c r="H332" s="9" t="str">
        <x:v>角色权限父子取消</x:v>
      </x:c>
      <x:c r="I332" s="9" t="str">
        <x:v>1. 执行角色为超级管理员
2. 父级与3个子权限全部选中</x:v>
      </x:c>
      <x:c r="J332" s="9" t="str">
        <x:v>1. 进入角色编辑页
2. 取消子权限1
3. 取消子权限2
4. 取消子权限3</x:v>
      </x:c>
      <x:c r="K332" s="9" t="str">
        <x:v>该父菜单不再选中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来源（当前证据）：liveshow-proto/MainBasis/统一需求文档.md；位置：REQ-ace54ed95177；行5177
2. 规则：BR-75d6ffc3410b3698
3. 未动态验证</x:v>
      </x:c>
    </x:row>
    <x:row r="333" ht="85" customHeight="1">
      <x:c r="A333" s="10" t="n">
        <x:v>332</x:v>
      </x:c>
      <x:c r="B333" s="10" t="str">
        <x:v>ADMIN-12-0016</x:v>
      </x:c>
      <x:c r="C333" s="10" t="str">
        <x:v>系统配置</x:v>
      </x:c>
      <x:c r="D333" s="10" t="str">
        <x:v>角色编辑（超级管理员视角）</x:v>
      </x:c>
      <x:c r="E333" s="10" t="str">
        <x:v>逻辑校验</x:v>
      </x:c>
      <x:c r="F333" s="10" t="str">
        <x:v>P1</x:v>
      </x:c>
      <x:c r="G333" s="9" t="str">
        <x:v>验证角色已选权限仅计算叶子节点</x:v>
      </x:c>
      <x:c r="H333" s="9" t="str">
        <x:v>角色权限数量口径</x:v>
      </x:c>
      <x:c r="I333" s="9" t="str">
        <x:v>1. 执行角色为超级管理员
2. 选中父级含3个叶子，无其他选择</x:v>
      </x:c>
      <x:c r="J333" s="9" t="str">
        <x:v>1. 进入角色编辑页</x:v>
      </x:c>
      <x:c r="K333" s="9" t="str">
        <x:v>已选择数显示3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来源（当前证据）：liveshow-proto/MainBasis/统一需求文档.md；位置：REQ-7274fb0700f5；行5175
2. 规则：BR-96aa3dc4f03fa61d
3. 未动态验证</x:v>
      </x:c>
    </x:row>
    <x:row r="334" ht="85" customHeight="1">
      <x:c r="A334" s="10" t="n">
        <x:v>333</x:v>
      </x:c>
      <x:c r="B334" s="10" t="str">
        <x:v>ADMIN-10-0001</x:v>
      </x:c>
      <x:c r="C334" s="10" t="str">
        <x:v>数据分析</x:v>
      </x:c>
      <x:c r="D334" s="10" t="str">
        <x:v>报表中心（仅用户活跃报表权限的管理员视角）</x:v>
      </x:c>
      <x:c r="E334" s="10" t="str">
        <x:v>逻辑校验</x:v>
      </x:c>
      <x:c r="F334" s="10" t="str">
        <x:v>P1</x:v>
      </x:c>
      <x:c r="G334" s="9" t="str">
        <x:v>验证报表中心隐藏未授权报表</x:v>
      </x:c>
      <x:c r="H334" s="9" t="str">
        <x:v>报表入口权限</x:v>
      </x:c>
      <x:c r="I334" s="9" t="str">
        <x:v>1. 执行角色为仅用户活跃报表权限的管理员
2. 当前角色只有用户活跃报表权限</x:v>
      </x:c>
      <x:c r="J334" s="9" t="str">
        <x:v>1. 进入报表中心页</x:v>
      </x:c>
      <x:c r="K334" s="9" t="str">
        <x:v>仅显示用户活跃报表入口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来源（当前证据）：liveshow-proto/MainBasis/统一需求文档.md；位置：REQ-ef281107b3ea；行4715
2. 规则：BR-0982b80bba306dbe
3. 未动态验证</x:v>
      </x:c>
    </x:row>
    <x:row r="335" ht="85" customHeight="1">
      <x:c r="A335" s="10" t="n">
        <x:v>334</x:v>
      </x:c>
      <x:c r="B335" s="10" t="str">
        <x:v>ADMIN-10-0002</x:v>
      </x:c>
      <x:c r="C335" s="10" t="str">
        <x:v>数据分析</x:v>
      </x:c>
      <x:c r="D335" s="10" t="str">
        <x:v>数据概览（平台管理员视角）</x:v>
      </x:c>
      <x:c r="E335" s="10" t="str">
        <x:v>逻辑校验</x:v>
      </x:c>
      <x:c r="F335" s="10" t="str">
        <x:v>P1</x:v>
      </x:c>
      <x:c r="G335" s="9" t="str">
        <x:v>验证数据概览日活汇总不跨日去重</x:v>
      </x:c>
      <x:c r="H335" s="9" t="str">
        <x:v>概览活跃人次口径</x:v>
      </x:c>
      <x:c r="I335" s="9" t="str">
        <x:v>1. 执行角色为平台管理员
2. 账号具有当前模块访问及本次操作权限
3. 甲连续两天各打开App一次，范围包含两日且无其他用户</x:v>
      </x:c>
      <x:c r="J335" s="9" t="str">
        <x:v>1. 进入数据概览页
2. 选择日期范围为这两天
3. 点击查询</x:v>
      </x:c>
      <x:c r="K335" s="9" t="str">
        <x:v>活跃用户汇总显示2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来源（当前证据）：liveshow-proto/MainBasis/统一需求文档.md；位置：REQ-eebfb8045590；行4726
2. 规则：BR-61a20809f273c78f
3. 未动态验证</x:v>
      </x:c>
    </x:row>
    <x:row r="336" ht="85" customHeight="1">
      <x:c r="A336" s="10" t="n">
        <x:v>335</x:v>
      </x:c>
      <x:c r="B336" s="10" t="str">
        <x:v>ADMIN-10-0003</x:v>
      </x:c>
      <x:c r="C336" s="10" t="str">
        <x:v>数据分析</x:v>
      </x:c>
      <x:c r="D336" s="10" t="str">
        <x:v>数据概览（平台管理员视角）</x:v>
      </x:c>
      <x:c r="E336" s="10" t="str">
        <x:v>逻辑校验</x:v>
      </x:c>
      <x:c r="F336" s="10" t="str">
        <x:v>P1</x:v>
      </x:c>
      <x:c r="G336" s="9" t="str">
        <x:v>验证数据概览结束早于开始不能查询</x:v>
      </x:c>
      <x:c r="H336" s="9" t="str">
        <x:v>概览日期范围校验</x:v>
      </x:c>
      <x:c r="I336" s="9" t="str">
        <x:v>1. 执行角色为平台管理员
2. 账号具有当前模块访问及本次操作权限</x:v>
      </x:c>
      <x:c r="J336" s="9" t="str">
        <x:v>1. 进入数据概览页
2. 填写开始日期为9月16日
3. 填写结束日期为9月15日
4. 点击查询</x:v>
      </x:c>
      <x:c r="K336" s="9" t="str">
        <x:v>不能查询结束早于开始的范围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来源（当前证据）：liveshow-proto/MainBasis/统一需求文档.md；位置：REQ-ce7a33c0a005；行4738
2. 规则：BR-7608c5d5f14030f1
3. 未动态验证</x:v>
      </x:c>
    </x:row>
    <x:row r="337" ht="85" customHeight="1">
      <x:c r="A337" s="10" t="n">
        <x:v>336</x:v>
      </x:c>
      <x:c r="B337" s="10" t="str">
        <x:v>ADMIN-10-0004</x:v>
      </x:c>
      <x:c r="C337" s="10" t="str">
        <x:v>数据分析</x:v>
      </x:c>
      <x:c r="D337" s="10" t="str">
        <x:v>数据概览（平台管理员视角）</x:v>
      </x:c>
      <x:c r="E337" s="10" t="str">
        <x:v>功能需求</x:v>
      </x:c>
      <x:c r="F337" s="10" t="str">
        <x:v>P2</x:v>
      </x:c>
      <x:c r="G337" s="9" t="str">
        <x:v>验证数据概览允许同日起止日期</x:v>
      </x:c>
      <x:c r="H337" s="9" t="str">
        <x:v>概览单日筛选</x:v>
      </x:c>
      <x:c r="I337" s="9" t="str">
        <x:v>1. 执行角色为平台管理员
2. 账号具有当前模块访问及本次操作权限
3. 9月15日有统计数据</x:v>
      </x:c>
      <x:c r="J337" s="9" t="str">
        <x:v>1. 进入数据概览页
2. 填写开始日期为9月15日
3. 填写结束日期为9月15日
4. 点击查询</x:v>
      </x:c>
      <x:c r="K337" s="9" t="str">
        <x:v>仅展示9月15日数据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来源（当前证据）：liveshow-proto/MainBasis/统一需求文档.md；位置：REQ-717e7a224587；行4736
2. 规则：BR-322d20dbadfe64db
3. 未动态验证</x:v>
      </x:c>
    </x:row>
    <x:row r="338" ht="85" customHeight="1">
      <x:c r="A338" s="10" t="n">
        <x:v>337</x:v>
      </x:c>
      <x:c r="B338" s="10" t="str">
        <x:v>ADMIN-10-0005</x:v>
      </x:c>
      <x:c r="C338" s="10" t="str">
        <x:v>数据分析</x:v>
      </x:c>
      <x:c r="D338" s="10" t="str">
        <x:v>每日统计（平台管理员视角）</x:v>
      </x:c>
      <x:c r="E338" s="10" t="str">
        <x:v>逻辑校验</x:v>
      </x:c>
      <x:c r="F338" s="10" t="str">
        <x:v>P1</x:v>
      </x:c>
      <x:c r="G338" s="9" t="str">
        <x:v>验证每日开播时长偶数中位数</x:v>
      </x:c>
      <x:c r="H338" s="9" t="str">
        <x:v>每日直播时长中位数</x:v>
      </x:c>
      <x:c r="I338" s="9" t="str">
        <x:v>1. 执行角色为平台管理员
2. 账号具有当前模块访问及本次操作权限
3. 该日有效场次时长10、20、40、100分钟</x:v>
      </x:c>
      <x:c r="J338" s="9" t="str">
        <x:v>1. 进入每日统计页</x:v>
      </x:c>
      <x:c r="K338" s="9" t="str">
        <x:v>开播时长中位数为30分钟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来源（当前证据）：liveshow-proto/MainBasis/统一需求文档.md；位置：REQ-660cb8845507；行4757
2. 规则：BR-048b23a4e8cf48cd
3. 未动态验证</x:v>
      </x:c>
    </x:row>
    <x:row r="339" ht="85" customHeight="1">
      <x:c r="A339" s="10" t="n">
        <x:v>338</x:v>
      </x:c>
      <x:c r="B339" s="10" t="str">
        <x:v>ADMIN-10-0006</x:v>
      </x:c>
      <x:c r="C339" s="10" t="str">
        <x:v>数据分析</x:v>
      </x:c>
      <x:c r="D339" s="10" t="str">
        <x:v>每日统计（平台管理员视角）</x:v>
      </x:c>
      <x:c r="E339" s="10" t="str">
        <x:v>逻辑校验</x:v>
      </x:c>
      <x:c r="F339" s="10" t="str">
        <x:v>P1</x:v>
      </x:c>
      <x:c r="G339" s="9" t="str">
        <x:v>验证无有效场次中位时长为零</x:v>
      </x:c>
      <x:c r="H339" s="9" t="str">
        <x:v>每日空数据时长</x:v>
      </x:c>
      <x:c r="I339" s="9" t="str">
        <x:v>1. 执行角色为平台管理员
2. 账号具有当前模块访问及本次操作权限
3. 目标日无有效直播场次</x:v>
      </x:c>
      <x:c r="J339" s="9" t="str">
        <x:v>1. 进入每日统计页</x:v>
      </x:c>
      <x:c r="K339" s="9" t="str">
        <x:v>开播时长中位数为0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来源（当前证据）：liveshow-proto/MainBasis/统一需求文档.md；位置：REQ-660cb8845507；行4757
2. 规则：BR-19fb1b47f43c940f
3. 未动态验证</x:v>
      </x:c>
    </x:row>
    <x:row r="340" ht="85" customHeight="1">
      <x:c r="A340" s="10" t="n">
        <x:v>339</x:v>
      </x:c>
      <x:c r="B340" s="10" t="str">
        <x:v>ADMIN-10-0007</x:v>
      </x:c>
      <x:c r="C340" s="10" t="str">
        <x:v>数据分析</x:v>
      </x:c>
      <x:c r="D340" s="10" t="str">
        <x:v>每日统计（平台管理员视角）</x:v>
      </x:c>
      <x:c r="E340" s="10" t="str">
        <x:v>逻辑校验</x:v>
      </x:c>
      <x:c r="F340" s="10" t="str">
        <x:v>P1</x:v>
      </x:c>
      <x:c r="G340" s="9" t="str">
        <x:v>验证退款统计按完成日而非申请日</x:v>
      </x:c>
      <x:c r="H340" s="9" t="str">
        <x:v>每日退款日期口径</x:v>
      </x:c>
      <x:c r="I340" s="9" t="str">
        <x:v>1. 执行角色为平台管理员
2. 账号具有当前模块访问及本次操作权限
3. 9月14日申请退款，9月15日完成10USD退款</x:v>
      </x:c>
      <x:c r="J340" s="9" t="str">
        <x:v>1. 进入每日统计页
2. 选择日期为9月15日
3. 点击查询</x:v>
      </x:c>
      <x:c r="K340" s="9" t="str">
        <x:v>退款金额显示10USD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来源（当前证据）：liveshow-proto/MainBasis/统一需求文档.md；位置：REQ-ca89b8980b14；行4761
2. 规则：BR-99836b76f82b3ad1
3. 未动态验证</x:v>
      </x:c>
    </x:row>
    <x:row r="341" ht="85" customHeight="1">
      <x:c r="A341" s="10" t="n">
        <x:v>340</x:v>
      </x:c>
      <x:c r="B341" s="10" t="str">
        <x:v>ADMIN-10-0008</x:v>
      </x:c>
      <x:c r="C341" s="10" t="str">
        <x:v>数据分析</x:v>
      </x:c>
      <x:c r="D341" s="10" t="str">
        <x:v>用户活跃汇总（每日）（平台管理员视角）</x:v>
      </x:c>
      <x:c r="E341" s="10" t="str">
        <x:v>逻辑校验</x:v>
      </x:c>
      <x:c r="F341" s="10" t="str">
        <x:v>P1</x:v>
      </x:c>
      <x:c r="G341" s="9" t="str">
        <x:v>验证用户活跃报表按成功登录去重</x:v>
      </x:c>
      <x:c r="H341" s="9" t="str">
        <x:v>每日登录人数</x:v>
      </x:c>
      <x:c r="I341" s="9" t="str">
        <x:v>1. 执行角色为平台管理员
2. 账号具有当前模块访问及本次操作权限
3. 甲成功登录3次，乙失败2次</x:v>
      </x:c>
      <x:c r="J341" s="9" t="str">
        <x:v>1. 进入用户活跃汇总（每日）页</x:v>
      </x:c>
      <x:c r="K341" s="9" t="str">
        <x:v>登录用户显示1人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来源（当前证据）：liveshow-proto/MainBasis/统一需求文档.md；位置：REQ-16d911ea34df；行4770
2. 规则：BR-97878dacf77ac70e
3. 未动态验证</x:v>
      </x:c>
    </x:row>
    <x:row r="342" ht="85" customHeight="1">
      <x:c r="A342" s="10" t="n">
        <x:v>341</x:v>
      </x:c>
      <x:c r="B342" s="10" t="str">
        <x:v>ADMIN-10-0009</x:v>
      </x:c>
      <x:c r="C342" s="10" t="str">
        <x:v>数据分析</x:v>
      </x:c>
      <x:c r="D342" s="10" t="str">
        <x:v>用户活跃汇总（每日）（平台管理员视角）</x:v>
      </x:c>
      <x:c r="E342" s="10" t="str">
        <x:v>逻辑校验</x:v>
      </x:c>
      <x:c r="F342" s="10" t="str">
        <x:v>P1</x:v>
      </x:c>
      <x:c r="G342" s="9" t="str">
        <x:v>验证用户活跃汇总按各日相加</x:v>
      </x:c>
      <x:c r="H342" s="9" t="str">
        <x:v>活跃汇总人次</x:v>
      </x:c>
      <x:c r="I342" s="9" t="str">
        <x:v>1. 执行角色为平台管理员
2. 账号具有当前模块访问及本次操作权限
3. 甲连续两日成功登录，无其他用户</x:v>
      </x:c>
      <x:c r="J342" s="9" t="str">
        <x:v>1. 进入用户活跃汇总（每日）页
2. 选择日期范围为该两日
3. 点击查询</x:v>
      </x:c>
      <x:c r="K342" s="9" t="str">
        <x:v>登录用户汇总显示2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来源（当前证据）：liveshow-proto/MainBasis/统一需求文档.md；位置：REQ-1e9c5f2cafee；行4778
2. 规则：BR-9d54b60f3139e559
3. 未动态验证</x:v>
      </x:c>
    </x:row>
    <x:row r="343" ht="85" customHeight="1">
      <x:c r="A343" s="10" t="n">
        <x:v>342</x:v>
      </x:c>
      <x:c r="B343" s="10" t="str">
        <x:v>ADMIN-10-0010</x:v>
      </x:c>
      <x:c r="C343" s="10" t="str">
        <x:v>数据分析</x:v>
      </x:c>
      <x:c r="D343" s="10" t="str">
        <x:v>用户活跃汇总（每日）（平台管理员视角）</x:v>
      </x:c>
      <x:c r="E343" s="10" t="str">
        <x:v>逻辑校验</x:v>
      </x:c>
      <x:c r="F343" s="10" t="str">
        <x:v>P1</x:v>
      </x:c>
      <x:c r="G343" s="9" t="str">
        <x:v>验证登录用户分层勾稽一致</x:v>
      </x:c>
      <x:c r="H343" s="9" t="str">
        <x:v>新老登录用户勾稽</x:v>
      </x:c>
      <x:c r="I343" s="9" t="str">
        <x:v>1. 执行角色为平台管理员
2. 账号具有当前模块访问及本次操作权限
3. 当日登录新用户2人、老用户3人</x:v>
      </x:c>
      <x:c r="J343" s="9" t="str">
        <x:v>1. 进入用户活跃汇总（每日）页</x:v>
      </x:c>
      <x:c r="K343" s="9" t="str">
        <x:v>登录用户 = 5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来源（当前证据）：liveshow-proto/MainBasis/统一需求文档.md；位置：REQ-6a3907870e92；行4774
2. 规则：BR-b11b76ccff99c930
3. 未动态验证</x:v>
      </x:c>
    </x:row>
    <x:row r="344" ht="85" customHeight="1">
      <x:c r="A344" s="10" t="n">
        <x:v>343</x:v>
      </x:c>
      <x:c r="B344" s="10" t="str">
        <x:v>ADMIN-10-0011</x:v>
      </x:c>
      <x:c r="C344" s="10" t="str">
        <x:v>数据分析</x:v>
      </x:c>
      <x:c r="D344" s="10" t="str">
        <x:v>主播活跃汇总（每日）（平台管理员视角）</x:v>
      </x:c>
      <x:c r="E344" s="10" t="str">
        <x:v>逻辑校验</x:v>
      </x:c>
      <x:c r="F344" s="10" t="str">
        <x:v>P1</x:v>
      </x:c>
      <x:c r="G344" s="9" t="str">
        <x:v>验证新增主播按平台认证日统计</x:v>
      </x:c>
      <x:c r="H344" s="9" t="str">
        <x:v>新增主播认证时间</x:v>
      </x:c>
      <x:c r="I344" s="9" t="str">
        <x:v>1. 执行角色为平台管理员
2. 账号具有当前模块访问及本次操作权限
3. 甲今日公会通过但平台待审，乙昨日公会通过今日平台通过</x:v>
      </x:c>
      <x:c r="J344" s="9" t="str">
        <x:v>1. 进入主播活跃汇总（每日）页</x:v>
      </x:c>
      <x:c r="K344" s="9" t="str">
        <x:v>新增主播显示1人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来源（当前证据）：liveshow-proto/MainBasis/统一需求文档.md；位置：REQ-627fabc2f986；行4787
2. 规则：BR-096ea75921c24bbe
3. 未动态验证</x:v>
      </x:c>
    </x:row>
    <x:row r="345" ht="85" customHeight="1">
      <x:c r="A345" s="10" t="n">
        <x:v>344</x:v>
      </x:c>
      <x:c r="B345" s="10" t="str">
        <x:v>ADMIN-10-0012</x:v>
      </x:c>
      <x:c r="C345" s="10" t="str">
        <x:v>数据分析</x:v>
      </x:c>
      <x:c r="D345" s="10" t="str">
        <x:v>主播活跃汇总（每日）（平台管理员视角）</x:v>
      </x:c>
      <x:c r="E345" s="10" t="str">
        <x:v>逻辑校验</x:v>
      </x:c>
      <x:c r="F345" s="10" t="str">
        <x:v>P1</x:v>
      </x:c>
      <x:c r="G345" s="9" t="str">
        <x:v>验证同场多次连麦只算一个连麦场次</x:v>
      </x:c>
      <x:c r="H345" s="9" t="str">
        <x:v>连麦场次去重</x:v>
      </x:c>
      <x:c r="I345" s="9" t="str">
        <x:v>1. 执行角色为平台管理员
2. 账号具有当前模块访问及本次操作权限
3. 场次A有效连麦2次，B有效1次，C仅发送未接受邀请</x:v>
      </x:c>
      <x:c r="J345" s="9" t="str">
        <x:v>1. 进入主播活跃汇总（每日）页</x:v>
      </x:c>
      <x:c r="K345" s="9" t="str">
        <x:v>连麦场次显示2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来源（当前证据）：liveshow-proto/MainBasis/统一需求文档.md；位置：REQ-495e3562aed6；行4797
2. 规则：BR-81feebc00d888cd7
3. 未动态验证</x:v>
      </x:c>
    </x:row>
    <x:row r="346" ht="85" customHeight="1">
      <x:c r="A346" s="10" t="n">
        <x:v>345</x:v>
      </x:c>
      <x:c r="B346" s="10" t="str">
        <x:v>ADMIN-10-0013</x:v>
      </x:c>
      <x:c r="C346" s="10" t="str">
        <x:v>数据分析</x:v>
      </x:c>
      <x:c r="D346" s="10" t="str">
        <x:v>主播活跃汇总（每日）（平台管理员视角）</x:v>
      </x:c>
      <x:c r="E346" s="10" t="str">
        <x:v>逻辑校验</x:v>
      </x:c>
      <x:c r="F346" s="10" t="str">
        <x:v>P1</x:v>
      </x:c>
      <x:c r="G346" s="9" t="str">
        <x:v>验证无有效主播时开播率为零</x:v>
      </x:c>
      <x:c r="H346" s="9" t="str">
        <x:v>主播开播率零分母</x:v>
      </x:c>
      <x:c r="I346" s="9" t="str">
        <x:v>1. 执行角色为平台管理员
2. 账号具有当前模块访问及本次操作权限
3. 目标日有效主播总数0</x:v>
      </x:c>
      <x:c r="J346" s="9" t="str">
        <x:v>1. 进入主播活跃汇总（每日）页</x:v>
      </x:c>
      <x:c r="K346" s="9" t="str">
        <x:v>开播率显示0%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来源（当前证据）：liveshow-proto/MainBasis/统一需求文档.md；位置：REQ-87c0bac6f1ac；行4791
2. 规则：BR-f60388fd60e6852f
3. 未动态验证</x:v>
      </x:c>
    </x:row>
    <x:row r="347" ht="85" customHeight="1">
      <x:c r="A347" s="10" t="n">
        <x:v>346</x:v>
      </x:c>
      <x:c r="B347" s="10" t="str">
        <x:v>ADMIN-10-0014</x:v>
      </x:c>
      <x:c r="C347" s="10" t="str">
        <x:v>数据分析</x:v>
      </x:c>
      <x:c r="D347" s="10" t="str">
        <x:v>主播活跃汇总（每日）（平台管理员视角）</x:v>
      </x:c>
      <x:c r="E347" s="10" t="str">
        <x:v>逻辑校验</x:v>
      </x:c>
      <x:c r="F347" s="10" t="str">
        <x:v>P1</x:v>
      </x:c>
      <x:c r="G347" s="9" t="str">
        <x:v>验证开播率按有效主播总数计算</x:v>
      </x:c>
      <x:c r="H347" s="9" t="str">
        <x:v>主播开播率公式</x:v>
      </x:c>
      <x:c r="I347" s="9" t="str">
        <x:v>1. 执行角色为平台管理员
2. 账号具有当前模块访问及本次操作权限
3. 有效主播10人，成功开播2人</x:v>
      </x:c>
      <x:c r="J347" s="9" t="str">
        <x:v>1. 进入主播活跃汇总（每日）页</x:v>
      </x:c>
      <x:c r="K347" s="9" t="str">
        <x:v>开播率显示20%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来源（当前证据）：liveshow-proto/MainBasis/统一需求文档.md；位置：REQ-87c0bac6f1ac；行4791
2. 规则：BR-b25e27ae63640903
3. 未动态验证</x:v>
      </x:c>
    </x:row>
    <x:row r="348" ht="85" customHeight="1">
      <x:c r="A348" s="10" t="n">
        <x:v>347</x:v>
      </x:c>
      <x:c r="B348" s="10" t="str">
        <x:v>ADMIN-10-0015</x:v>
      </x:c>
      <x:c r="C348" s="10" t="str">
        <x:v>数据分析</x:v>
      </x:c>
      <x:c r="D348" s="10" t="str">
        <x:v>直播间互动汇总（每日）（平台管理员视角）</x:v>
      </x:c>
      <x:c r="E348" s="10" t="str">
        <x:v>逻辑校验</x:v>
      </x:c>
      <x:c r="F348" s="10" t="str">
        <x:v>P1</x:v>
      </x:c>
      <x:c r="G348" s="9" t="str">
        <x:v>验证直播互动观众排除运营账号</x:v>
      </x:c>
      <x:c r="H348" s="9" t="str">
        <x:v>报表真实观众口径</x:v>
      </x:c>
      <x:c r="I348" s="9" t="str">
        <x:v>1. 执行角色为平台管理员
2. 账号具有当前模块访问及本次操作权限
3. 真实用户甲重复进入2次，运营账号乙进入1次</x:v>
      </x:c>
      <x:c r="J348" s="9" t="str">
        <x:v>1. 进入直播间互动汇总（每日）页</x:v>
      </x:c>
      <x:c r="K348" s="9" t="str">
        <x:v>观众人数显示1人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来源（当前证据）：liveshow-proto/MainBasis/统一需求文档.md；位置：REQ-5fc63d92c3a8；行4808
2. 规则：BR-2b7ca21e83531340
3. 未动态验证</x:v>
      </x:c>
    </x:row>
    <x:row r="349" ht="85" customHeight="1">
      <x:c r="A349" s="10" t="n">
        <x:v>348</x:v>
      </x:c>
      <x:c r="B349" s="10" t="str">
        <x:v>ADMIN-10-0016</x:v>
      </x:c>
      <x:c r="C349" s="10" t="str">
        <x:v>数据分析</x:v>
      </x:c>
      <x:c r="D349" s="10" t="str">
        <x:v>直播间互动汇总（每日）（平台管理员视角）</x:v>
      </x:c>
      <x:c r="E349" s="10" t="str">
        <x:v>逻辑校验</x:v>
      </x:c>
      <x:c r="F349" s="10" t="str">
        <x:v>P1</x:v>
      </x:c>
      <x:c r="G349" s="9" t="str">
        <x:v>验证观看时长89秒四舍五入</x:v>
      </x:c>
      <x:c r="H349" s="9" t="str">
        <x:v>报表观看分钟取整</x:v>
      </x:c>
      <x:c r="I349" s="9" t="str">
        <x:v>1. 执行角色为平台管理员
2. 账号具有当前模块访问及本次操作权限
3. 总有效观看89秒</x:v>
      </x:c>
      <x:c r="J349" s="9" t="str">
        <x:v>1. 进入直播间互动汇总（每日）页</x:v>
      </x:c>
      <x:c r="K349" s="9" t="str">
        <x:v>观看时长显示1分钟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来源（当前证据）：liveshow-proto/MainBasis/统一需求文档.md；位置：REQ-d794e7a7e588；行4810
2. 规则：BR-7d0207d93bc377b5
3. 未动态验证</x:v>
      </x:c>
    </x:row>
    <x:row r="350" ht="85" customHeight="1">
      <x:c r="A350" s="10" t="n">
        <x:v>349</x:v>
      </x:c>
      <x:c r="B350" s="10" t="str">
        <x:v>ADMIN-10-0017</x:v>
      </x:c>
      <x:c r="C350" s="10" t="str">
        <x:v>数据分析</x:v>
      </x:c>
      <x:c r="D350" s="10" t="str">
        <x:v>直播间互动汇总（每日）（平台管理员视角）</x:v>
      </x:c>
      <x:c r="E350" s="10" t="str">
        <x:v>逻辑校验</x:v>
      </x:c>
      <x:c r="F350" s="10" t="str">
        <x:v>P1</x:v>
      </x:c>
      <x:c r="G350" s="9" t="str">
        <x:v>验证观看时长90秒四舍五入</x:v>
      </x:c>
      <x:c r="H350" s="9" t="str">
        <x:v>报表观看分钟取整</x:v>
      </x:c>
      <x:c r="I350" s="9" t="str">
        <x:v>1. 执行角色为平台管理员
2. 账号具有当前模块访问及本次操作权限
3. 总有效观看90秒</x:v>
      </x:c>
      <x:c r="J350" s="9" t="str">
        <x:v>1. 进入直播间互动汇总（每日）页</x:v>
      </x:c>
      <x:c r="K350" s="9" t="str">
        <x:v>观看时长显示2分钟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来源（当前证据）：liveshow-proto/MainBasis/统一需求文档.md；位置：REQ-d794e7a7e588；行4810
2. 规则：BR-39f9aee895946418
3. 未动态验证</x:v>
      </x:c>
    </x:row>
    <x:row r="351" ht="85" customHeight="1">
      <x:c r="A351" s="10" t="n">
        <x:v>350</x:v>
      </x:c>
      <x:c r="B351" s="10" t="str">
        <x:v>ADMIN-10-0018</x:v>
      </x:c>
      <x:c r="C351" s="10" t="str">
        <x:v>数据分析</x:v>
      </x:c>
      <x:c r="D351" s="10" t="str">
        <x:v>直播间互动汇总（每日）（平台管理员视角）</x:v>
      </x:c>
      <x:c r="E351" s="10" t="str">
        <x:v>逻辑校验</x:v>
      </x:c>
      <x:c r="F351" s="10" t="str">
        <x:v>P1</x:v>
      </x:c>
      <x:c r="G351" s="9" t="str">
        <x:v>验证人均观看时长按去重观众计算</x:v>
      </x:c>
      <x:c r="H351" s="9" t="str">
        <x:v>报表人均观看时长</x:v>
      </x:c>
      <x:c r="I351" s="9" t="str">
        <x:v>1. 执行角色为平台管理员
2. 账号具有当前模块访问及本次操作权限
3. 总有效观看300秒，观众2人</x:v>
      </x:c>
      <x:c r="J351" s="9" t="str">
        <x:v>1. 进入直播间互动汇总（每日）页</x:v>
      </x:c>
      <x:c r="K351" s="9" t="str">
        <x:v>人均观看时长显示3分钟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来源（当前证据）：liveshow-proto/MainBasis/统一需求文档.md；位置：REQ-db18ab8f6636；行4812
2. 规则：BR-2c9344210f28fa2a
3. 未动态验证</x:v>
      </x:c>
    </x:row>
    <x:row r="352" ht="85" customHeight="1">
      <x:c r="A352" s="10" t="n">
        <x:v>351</x:v>
      </x:c>
      <x:c r="B352" s="10" t="str">
        <x:v>ADMIN-10-0019</x:v>
      </x:c>
      <x:c r="C352" s="10" t="str">
        <x:v>数据分析</x:v>
      </x:c>
      <x:c r="D352" s="10" t="str">
        <x:v>直播间互动汇总（每日）（平台管理员视角）</x:v>
      </x:c>
      <x:c r="E352" s="10" t="str">
        <x:v>逻辑校验</x:v>
      </x:c>
      <x:c r="F352" s="10" t="str">
        <x:v>P1</x:v>
      </x:c>
      <x:c r="G352" s="9" t="str">
        <x:v>验证直播访问率保留一位小数</x:v>
      </x:c>
      <x:c r="H352" s="9" t="str">
        <x:v>报表直播访问率</x:v>
      </x:c>
      <x:c r="I352" s="9" t="str">
        <x:v>1. 执行角色为平台管理员
2. 账号具有当前模块访问及本次操作权限
3. 观众人数1，访问次数3</x:v>
      </x:c>
      <x:c r="J352" s="9" t="str">
        <x:v>1. 进入直播间互动汇总（每日）页</x:v>
      </x:c>
      <x:c r="K352" s="9" t="str">
        <x:v>直播间访问率显示33.3%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来源（当前证据）：liveshow-proto/MainBasis/统一需求文档.md；位置：REQ-968f8a039076；行4814
2. 规则：BR-639593cf357afc17
3. 未动态验证</x:v>
      </x:c>
    </x:row>
    <x:row r="353" ht="85" customHeight="1">
      <x:c r="A353" s="10" t="n">
        <x:v>352</x:v>
      </x:c>
      <x:c r="B353" s="10" t="str">
        <x:v>ADMIN-10-0020</x:v>
      </x:c>
      <x:c r="C353" s="10" t="str">
        <x:v>数据分析</x:v>
      </x:c>
      <x:c r="D353" s="10" t="str">
        <x:v>直播间互动汇总（每日）（平台管理员视角）</x:v>
      </x:c>
      <x:c r="E353" s="10" t="str">
        <x:v>逻辑校验</x:v>
      </x:c>
      <x:c r="F353" s="10" t="str">
        <x:v>P1</x:v>
      </x:c>
      <x:c r="G353" s="9" t="str">
        <x:v>验证人均观看时长无分母记零</x:v>
      </x:c>
      <x:c r="H353" s="9" t="str">
        <x:v>人均观看时长零分母</x:v>
      </x:c>
      <x:c r="I353" s="9" t="str">
        <x:v>1. 执行角色为平台管理员
2. 账号具有当前模块访问及本次操作权限
3. 当日无观看用户和访问</x:v>
      </x:c>
      <x:c r="J353" s="9" t="str">
        <x:v>1. 进入直播间互动汇总（每日）页</x:v>
      </x:c>
      <x:c r="K353" s="9" t="str">
        <x:v>人均观看时长显示0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来源（当前证据）：liveshow-proto/MainBasis/统一需求文档.md；位置：REQ-db18ab8f6636；行4812
2. 规则：BR-2708e55176e54791
3. 未动态验证</x:v>
      </x:c>
    </x:row>
    <x:row r="354" ht="85" customHeight="1">
      <x:c r="A354" s="10" t="n">
        <x:v>353</x:v>
      </x:c>
      <x:c r="B354" s="10" t="str">
        <x:v>ADMIN-10-0021</x:v>
      </x:c>
      <x:c r="C354" s="10" t="str">
        <x:v>数据分析</x:v>
      </x:c>
      <x:c r="D354" s="10" t="str">
        <x:v>直播间互动汇总（每日）（平台管理员视角）</x:v>
      </x:c>
      <x:c r="E354" s="10" t="str">
        <x:v>逻辑校验</x:v>
      </x:c>
      <x:c r="F354" s="10" t="str">
        <x:v>P1</x:v>
      </x:c>
      <x:c r="G354" s="9" t="str">
        <x:v>验证直播间访问率无分母记零</x:v>
      </x:c>
      <x:c r="H354" s="9" t="str">
        <x:v>直播间访问率零分母</x:v>
      </x:c>
      <x:c r="I354" s="9" t="str">
        <x:v>1. 执行角色为平台管理员
2. 账号具有当前模块访问及本次操作权限
3. 当日无观看用户和访问</x:v>
      </x:c>
      <x:c r="J354" s="9" t="str">
        <x:v>1. 进入直播间互动汇总（每日）页</x:v>
      </x:c>
      <x:c r="K354" s="9" t="str">
        <x:v>直播间访问率显示0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来源（当前证据）：liveshow-proto/MainBasis/统一需求文档.md；位置：REQ-968f8a039076；行4814
2. 规则：BR-7c084d397cf89d69
3. 未动态验证</x:v>
      </x:c>
    </x:row>
    <x:row r="355" ht="85" customHeight="1">
      <x:c r="A355" s="10" t="n">
        <x:v>354</x:v>
      </x:c>
      <x:c r="B355" s="10" t="str">
        <x:v>ADMIN-10-0022</x:v>
      </x:c>
      <x:c r="C355" s="10" t="str">
        <x:v>数据分析</x:v>
      </x:c>
      <x:c r="D355" s="10" t="str">
        <x:v>直播记录明细报表（平台管理员视角）</x:v>
      </x:c>
      <x:c r="E355" s="10" t="str">
        <x:v>逻辑校验</x:v>
      </x:c>
      <x:c r="F355" s="10" t="str">
        <x:v>P1</x:v>
      </x:c>
      <x:c r="G355" s="9" t="str">
        <x:v>验证单场不足3小时但当日合计达标</x:v>
      </x:c>
      <x:c r="H355" s="9" t="str">
        <x:v>直播明细有效天日累计</x:v>
      </x:c>
      <x:c r="I355" s="9" t="str">
        <x:v>1. 执行角色为平台管理员
2. 账号具有当前模块访问及本次操作权限
3. 同主播同日完成2场各100分钟</x:v>
      </x:c>
      <x:c r="J355" s="9" t="str">
        <x:v>1. 进入直播记录明细报表页</x:v>
      </x:c>
      <x:c r="K355" s="9" t="str">
        <x:v>两场记录是否达标均为达标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来源（当前证据）：liveshow-proto/MainBasis/统一需求文档.md；位置：REQ-055a22b5709a；行4829
2. 规则：BR-448f2388dfb7562d
3. 未动态验证</x:v>
      </x:c>
    </x:row>
    <x:row r="356" ht="85" customHeight="1">
      <x:c r="A356" s="10" t="n">
        <x:v>355</x:v>
      </x:c>
      <x:c r="B356" s="10" t="str">
        <x:v>ADMIN-10-0023</x:v>
      </x:c>
      <x:c r="C356" s="10" t="str">
        <x:v>数据分析</x:v>
      </x:c>
      <x:c r="D356" s="10" t="str">
        <x:v>充值消费汇总（每日）（平台管理员视角）</x:v>
      </x:c>
      <x:c r="E356" s="10" t="str">
        <x:v>逻辑校验</x:v>
      </x:c>
      <x:c r="F356" s="10" t="str">
        <x:v>P1</x:v>
      </x:c>
      <x:c r="G356" s="9" t="str">
        <x:v>验证金币净增量各来源核算</x:v>
      </x:c>
      <x:c r="H356" s="9" t="str">
        <x:v>每日金币净增量</x:v>
      </x:c>
      <x:c r="I356" s="9" t="str">
        <x:v>1. 执行角色为平台管理员
2. 账号具有当前模块访问及本次操作权限
3. 基础1000、套餐赠送100、系统赠送20、净消费200金币</x:v>
      </x:c>
      <x:c r="J356" s="9" t="str">
        <x:v>1. 进入充值消费汇总（每日）页</x:v>
      </x:c>
      <x:c r="K356" s="9" t="str">
        <x:v>金币净增量 = 920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来源（当前证据）：liveshow-proto/MainBasis/统一需求文档.md；位置：REQ-2709ff914449；行4854
2. 规则：BR-d56c7a958244578c
3. 未动态验证</x:v>
      </x:c>
    </x:row>
    <x:row r="357" ht="85" customHeight="1">
      <x:c r="A357" s="10" t="n">
        <x:v>356</x:v>
      </x:c>
      <x:c r="B357" s="10" t="str">
        <x:v>ADMIN-10-0024</x:v>
      </x:c>
      <x:c r="C357" s="10" t="str">
        <x:v>数据分析</x:v>
      </x:c>
      <x:c r="D357" s="10" t="str">
        <x:v>充值消费汇总（每日）（平台管理员视角）</x:v>
      </x:c>
      <x:c r="E357" s="10" t="str">
        <x:v>逻辑校验</x:v>
      </x:c>
      <x:c r="F357" s="10" t="str">
        <x:v>P1</x:v>
      </x:c>
      <x:c r="G357" s="9" t="str">
        <x:v>验证退款扣回金币不当作消费</x:v>
      </x:c>
      <x:c r="H357" s="9" t="str">
        <x:v>每日退款与消费分离</x:v>
      </x:c>
      <x:c r="I357" s="9" t="str">
        <x:v>1. 执行角色为平台管理员
2. 账号具有当前模块访问及本次操作权限
3. 当日仅成功消费100金币、退款扣回1100金币</x:v>
      </x:c>
      <x:c r="J357" s="9" t="str">
        <x:v>1. 进入充值消费汇总（每日）页</x:v>
      </x:c>
      <x:c r="K357" s="9" t="str">
        <x:v>消费金币显示100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来源（当前证据）：liveshow-proto/MainBasis/统一需求文档.md；位置：REQ-b1a078225618；行4856
2. 规则：BR-f5a178c07ff87d07
3. 未动态验证</x:v>
      </x:c>
    </x:row>
    <x:row r="358" ht="85" customHeight="1">
      <x:c r="A358" s="10" t="n">
        <x:v>357</x:v>
      </x:c>
      <x:c r="B358" s="10" t="str">
        <x:v>ADMIN-10-0025</x:v>
      </x:c>
      <x:c r="C358" s="10" t="str">
        <x:v>数据分析</x:v>
      </x:c>
      <x:c r="D358" s="10" t="str">
        <x:v>充值消费汇总（每日）（平台管理员视角）</x:v>
      </x:c>
      <x:c r="E358" s="10" t="str">
        <x:v>逻辑校验</x:v>
      </x:c>
      <x:c r="F358" s="10" t="str">
        <x:v>P1</x:v>
      </x:c>
      <x:c r="G358" s="9" t="str">
        <x:v>验证充值客单价按人数而非订单数</x:v>
      </x:c>
      <x:c r="H358" s="9" t="str">
        <x:v>每日充值客单价</x:v>
      </x:c>
      <x:c r="I358" s="9" t="str">
        <x:v>1. 执行角色为平台管理员
2. 账号具有当前模块访问及本次操作权限
3. 用户甲2笔合计20USD，乙1笔10USD</x:v>
      </x:c>
      <x:c r="J358" s="9" t="str">
        <x:v>1. 进入充值消费汇总（每日）页</x:v>
      </x:c>
      <x:c r="K358" s="9" t="str">
        <x:v>客单价 = 15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来源（当前证据）：liveshow-proto/MainBasis/统一需求文档.md；位置：REQ-f5c37f96a7fc；行4846
2. 规则：BR-e98b17a5ce2a64df
3. 未动态验证</x:v>
      </x:c>
    </x:row>
    <x:row r="359" ht="85" customHeight="1">
      <x:c r="A359" s="10" t="n">
        <x:v>358</x:v>
      </x:c>
      <x:c r="B359" s="10" t="str">
        <x:v>ADMIN-10-0026</x:v>
      </x:c>
      <x:c r="C359" s="10" t="str">
        <x:v>数据分析</x:v>
      </x:c>
      <x:c r="D359" s="10" t="str">
        <x:v>数据概览（平台管理员视角）</x:v>
      </x:c>
      <x:c r="E359" s="10" t="str">
        <x:v>逻辑校验</x:v>
      </x:c>
      <x:c r="F359" s="10" t="str">
        <x:v>P1</x:v>
      </x:c>
      <x:c r="G359" s="9" t="str">
        <x:v>验证数据概览新用户 ARPU无充值记零</x:v>
      </x:c>
      <x:c r="H359" s="9" t="str">
        <x:v>新用户 ARPU零充值分支</x:v>
      </x:c>
      <x:c r="I359" s="9" t="str">
        <x:v>1. 执行角色为平台管理员
2. 账号具有当前模块访问及本次操作权限
3. 对应用户分层充值人数0</x:v>
      </x:c>
      <x:c r="J359" s="9" t="str">
        <x:v>1. 进入数据概览页</x:v>
      </x:c>
      <x:c r="K359" s="9" t="str">
        <x:v>新用户ARPU显示0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来源（当前证据）：liveshow-proto/MainBasis/统一需求文档.md；位置：REQ-dc0d51587da2；行4732
2. 规则：BR-b18dfbb4901df03a
3. 未动态验证</x:v>
      </x:c>
    </x:row>
    <x:row r="360" ht="85" customHeight="1">
      <x:c r="A360" s="10" t="n">
        <x:v>359</x:v>
      </x:c>
      <x:c r="B360" s="10" t="str">
        <x:v>ADMIN-10-0027</x:v>
      </x:c>
      <x:c r="C360" s="10" t="str">
        <x:v>数据分析</x:v>
      </x:c>
      <x:c r="D360" s="10" t="str">
        <x:v>每日统计（平台管理员视角）</x:v>
      </x:c>
      <x:c r="E360" s="10" t="str">
        <x:v>逻辑校验</x:v>
      </x:c>
      <x:c r="F360" s="10" t="str">
        <x:v>P1</x:v>
      </x:c>
      <x:c r="G360" s="9" t="str">
        <x:v>验证每日统计新用户 ARPU无充值记零</x:v>
      </x:c>
      <x:c r="H360" s="9" t="str">
        <x:v>新用户 ARPU零充值分支</x:v>
      </x:c>
      <x:c r="I360" s="9" t="str">
        <x:v>1. 执行角色为平台管理员
2. 账号具有当前模块访问及本次操作权限
3. 对应用户分层充值人数0</x:v>
      </x:c>
      <x:c r="J360" s="9" t="str">
        <x:v>1. 进入每日统计页</x:v>
      </x:c>
      <x:c r="K360" s="9" t="str">
        <x:v>新用户ARPU显示0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来源（当前证据）：liveshow-proto/MainBasis/统一需求文档.md；位置：REQ-75d5df9f763d；行4751
2. 规则：BR-57d8f50e876f61d2
3. 未动态验证</x:v>
      </x:c>
    </x:row>
    <x:row r="361" ht="85" customHeight="1">
      <x:c r="A361" s="10" t="n">
        <x:v>360</x:v>
      </x:c>
      <x:c r="B361" s="10" t="str">
        <x:v>ADMIN-10-0028</x:v>
      </x:c>
      <x:c r="C361" s="10" t="str">
        <x:v>数据分析</x:v>
      </x:c>
      <x:c r="D361" s="10" t="str">
        <x:v>充值消费汇总（每日）（平台管理员视角）</x:v>
      </x:c>
      <x:c r="E361" s="10" t="str">
        <x:v>逻辑校验</x:v>
      </x:c>
      <x:c r="F361" s="10" t="str">
        <x:v>P1</x:v>
      </x:c>
      <x:c r="G361" s="9" t="str">
        <x:v>验证充值消费汇总（每日）客单价无充值记零</x:v>
      </x:c>
      <x:c r="H361" s="9" t="str">
        <x:v>客单价零充值分支</x:v>
      </x:c>
      <x:c r="I361" s="9" t="str">
        <x:v>1. 执行角色为平台管理员
2. 账号具有当前模块访问及本次操作权限
3. 对应用户分层充值人数0</x:v>
      </x:c>
      <x:c r="J361" s="9" t="str">
        <x:v>1. 进入充值消费汇总（每日）页</x:v>
      </x:c>
      <x:c r="K361" s="9" t="str">
        <x:v>客单价显示0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来源（当前证据）：liveshow-proto/MainBasis/统一需求文档.md；位置：REQ-f5c37f96a7fc；行4846
2. 规则：BR-e1d010d1c7247a1c
3. 未动态验证</x:v>
      </x:c>
    </x:row>
    <x:row r="362" ht="85" customHeight="1">
      <x:c r="A362" s="10" t="n">
        <x:v>361</x:v>
      </x:c>
      <x:c r="B362" s="10" t="str">
        <x:v>ADMIN-10-0029</x:v>
      </x:c>
      <x:c r="C362" s="10" t="str">
        <x:v>数据分析</x:v>
      </x:c>
      <x:c r="D362" s="10" t="str">
        <x:v>充值用户分层汇总（每日）（平台管理员视角）</x:v>
      </x:c>
      <x:c r="E362" s="10" t="str">
        <x:v>逻辑校验</x:v>
      </x:c>
      <x:c r="F362" s="10" t="str">
        <x:v>P1</x:v>
      </x:c>
      <x:c r="G362" s="9" t="str">
        <x:v>验证充值用户分层汇总（每日）新用户 ARPU无充值记零</x:v>
      </x:c>
      <x:c r="H362" s="9" t="str">
        <x:v>新用户 ARPU零充值分支</x:v>
      </x:c>
      <x:c r="I362" s="9" t="str">
        <x:v>1. 执行角色为平台管理员
2. 账号具有当前模块访问及本次操作权限
3. 对应用户分层充值人数0</x:v>
      </x:c>
      <x:c r="J362" s="9" t="str">
        <x:v>1. 进入充值用户分层汇总（每日）页</x:v>
      </x:c>
      <x:c r="K362" s="9" t="str">
        <x:v>新用户ARPU显示0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来源（当前证据）：liveshow-proto/MainBasis/统一需求文档.md；位置：REQ-70d6d66acc0c；行4871
2. 规则：BR-3a9989db09521817
3. 未动态验证</x:v>
      </x:c>
    </x:row>
    <x:row r="363" ht="85" customHeight="1">
      <x:c r="A363" s="10" t="n">
        <x:v>362</x:v>
      </x:c>
      <x:c r="B363" s="10" t="str">
        <x:v>ADMIN-10-0030</x:v>
      </x:c>
      <x:c r="C363" s="10" t="str">
        <x:v>数据分析</x:v>
      </x:c>
      <x:c r="D363" s="10" t="str">
        <x:v>充值用户分层汇总（每日）（平台管理员视角）</x:v>
      </x:c>
      <x:c r="E363" s="10" t="str">
        <x:v>逻辑校验</x:v>
      </x:c>
      <x:c r="F363" s="10" t="str">
        <x:v>P1</x:v>
      </x:c>
      <x:c r="G363" s="9" t="str">
        <x:v>验证充值用户分层汇总（每日）老用户 ARPU无充值记零</x:v>
      </x:c>
      <x:c r="H363" s="9" t="str">
        <x:v>老用户 ARPU零充值分支</x:v>
      </x:c>
      <x:c r="I363" s="9" t="str">
        <x:v>1. 执行角色为平台管理员
2. 账号具有当前模块访问及本次操作权限
3. 对应用户分层充值人数0</x:v>
      </x:c>
      <x:c r="J363" s="9" t="str">
        <x:v>1. 进入充值用户分层汇总（每日）页</x:v>
      </x:c>
      <x:c r="K363" s="9" t="str">
        <x:v>老用户ARPU显示0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来源（当前证据）：liveshow-proto/MainBasis/统一需求文档.md；位置：REQ-4cb9e0a18717；行4873
2. 规则：BR-99641b97a3a88c19
3. 未动态验证</x:v>
      </x:c>
    </x:row>
    <x:row r="364" ht="85" customHeight="1">
      <x:c r="A364" s="10" t="n">
        <x:v>363</x:v>
      </x:c>
      <x:c r="B364" s="10" t="str">
        <x:v>ADMIN-10-0031</x:v>
      </x:c>
      <x:c r="C364" s="10" t="str">
        <x:v>数据分析</x:v>
      </x:c>
      <x:c r="D364" s="10" t="str">
        <x:v>充值用户分层汇总（每日）（平台管理员视角）</x:v>
      </x:c>
      <x:c r="E364" s="10" t="str">
        <x:v>逻辑校验</x:v>
      </x:c>
      <x:c r="F364" s="10" t="str">
        <x:v>P1</x:v>
      </x:c>
      <x:c r="G364" s="9" t="str">
        <x:v>验证新老充值分层金额合计</x:v>
      </x:c>
      <x:c r="H364" s="9" t="str">
        <x:v>新老用户充值勾稽</x:v>
      </x:c>
      <x:c r="I364" s="9" t="str">
        <x:v>1. 执行角色为平台管理员
2. 账号具有当前模块访问及本次操作权限
3. 新用户金额10USD、老用户金额20USD</x:v>
      </x:c>
      <x:c r="J364" s="9" t="str">
        <x:v>1. 进入充值用户分层汇总（每日）页</x:v>
      </x:c>
      <x:c r="K364" s="9" t="str">
        <x:v>总充值金额 = 30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来源（当前证据）：liveshow-proto/MainBasis/统一需求文档.md；位置：REQ-948e31ff9aef；行4865
2. 规则：BR-5ad90386486934bd
3. 未动态验证</x:v>
      </x:c>
    </x:row>
    <x:row r="365" ht="85" customHeight="1">
      <x:c r="A365" s="10" t="n">
        <x:v>364</x:v>
      </x:c>
      <x:c r="B365" s="10" t="str">
        <x:v>ADMIN-10-0032</x:v>
      </x:c>
      <x:c r="C365" s="10" t="str">
        <x:v>数据分析</x:v>
      </x:c>
      <x:c r="D365" s="10" t="str">
        <x:v>月度收益支出汇总（平台管理员视角）</x:v>
      </x:c>
      <x:c r="E365" s="10" t="str">
        <x:v>逻辑校验</x:v>
      </x:c>
      <x:c r="F365" s="10" t="str">
        <x:v>P1</x:v>
      </x:c>
      <x:c r="G365" s="9" t="str">
        <x:v>验证跨月充值退款按退款完成月统计</x:v>
      </x:c>
      <x:c r="H365" s="9" t="str">
        <x:v>月度退款归属</x:v>
      </x:c>
      <x:c r="I365" s="9" t="str">
        <x:v>1. 执行角色为平台管理员
2. 账号具有当前模块访问及本次操作权限
3. 8月充值10USD，9月完成退款</x:v>
      </x:c>
      <x:c r="J365" s="9" t="str">
        <x:v>1. 进入月度收益支出汇总页</x:v>
      </x:c>
      <x:c r="K365" s="9" t="str">
        <x:v>9月累计退款包含该10USD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来源（当前证据）：liveshow-proto/MainBasis/统一需求文档.md；位置：REQ-e7118ae8d4af；行4886
2. 规则：BR-2642f15a84e78066
3. 未动态验证</x:v>
      </x:c>
    </x:row>
    <x:row r="366" ht="85" customHeight="1">
      <x:c r="A366" s="10" t="n">
        <x:v>365</x:v>
      </x:c>
      <x:c r="B366" s="10" t="str">
        <x:v>ADMIN-10-0033</x:v>
      </x:c>
      <x:c r="C366" s="10" t="str">
        <x:v>数据分析</x:v>
      </x:c>
      <x:c r="D366" s="10" t="str">
        <x:v>主播业绩分成报表（平台管理员视角）</x:v>
      </x:c>
      <x:c r="E366" s="10" t="str">
        <x:v>逻辑校验</x:v>
      </x:c>
      <x:c r="F366" s="10" t="str">
        <x:v>P1</x:v>
      </x:c>
      <x:c r="G366" s="9" t="str">
        <x:v>验证主播业绩统计天数包括首尾</x:v>
      </x:c>
      <x:c r="H366" s="9" t="str">
        <x:v>业绩统计天数</x:v>
      </x:c>
      <x:c r="I366" s="9" t="str">
        <x:v>1. 执行角色为平台管理员
2. 账号具有当前模块访问及本次操作权限
3. 选定9月1日至9月3日</x:v>
      </x:c>
      <x:c r="J366" s="9" t="str">
        <x:v>1. 进入主播业绩分成报表页
2. 点击查询</x:v>
      </x:c>
      <x:c r="K366" s="9" t="str">
        <x:v>统计天数显示3天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来源（当前证据）：liveshow-proto/MainBasis/统一需求文档.md；位置：REQ-b903a10731de；行4897
2. 规则：BR-383d3018b3ccaa74
3. 未动态验证</x:v>
      </x:c>
    </x:row>
    <x:row r="367" ht="85" customHeight="1">
      <x:c r="A367" s="10" t="n">
        <x:v>366</x:v>
      </x:c>
      <x:c r="B367" s="10" t="str">
        <x:v>ADMIN-10-0034</x:v>
      </x:c>
      <x:c r="C367" s="10" t="str">
        <x:v>数据分析</x:v>
      </x:c>
      <x:c r="D367" s="10" t="str">
        <x:v>主播业绩分成报表（平台管理员视角）</x:v>
      </x:c>
      <x:c r="E367" s="10" t="str">
        <x:v>逻辑校验</x:v>
      </x:c>
      <x:c r="F367" s="10" t="str">
        <x:v>P1</x:v>
      </x:c>
      <x:c r="G367" s="9" t="str">
        <x:v>验证单日直播6小时仍计1有效天</x:v>
      </x:c>
      <x:c r="H367" s="9" t="str">
        <x:v>主播有效天不按时长倍数</x:v>
      </x:c>
      <x:c r="I367" s="9" t="str">
        <x:v>1. 执行角色为平台管理员
2. 账号具有当前模块访问及本次操作权限
3. 仅9月15日累计有效直播6小时</x:v>
      </x:c>
      <x:c r="J367" s="9" t="str">
        <x:v>1. 进入主播业绩分成报表页
2. 选择日期范围为9月15日
3. 点击查询</x:v>
      </x:c>
      <x:c r="K367" s="9" t="str">
        <x:v>达标天数显示1天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来源（当前证据）：liveshow-proto/MainBasis/统一需求文档.md；位置：REQ-6666e34d0ec5；行4899
2. 规则：BR-d4ffd0dd7fc48cef
3. 未动态验证</x:v>
      </x:c>
    </x:row>
    <x:row r="368" ht="85" customHeight="1">
      <x:c r="A368" s="10" t="n">
        <x:v>367</x:v>
      </x:c>
      <x:c r="B368" s="10" t="str">
        <x:v>ADMIN-10-0035</x:v>
      </x:c>
      <x:c r="C368" s="10" t="str">
        <x:v>数据分析</x:v>
      </x:c>
      <x:c r="D368" s="10" t="str">
        <x:v>主播业绩分成报表（平台管理员视角）</x:v>
      </x:c>
      <x:c r="E368" s="10" t="str">
        <x:v>逻辑校验</x:v>
      </x:c>
      <x:c r="F368" s="10" t="str">
        <x:v>P1</x:v>
      </x:c>
      <x:c r="G368" s="9" t="str">
        <x:v>验证幸运收益按每笔历史比例快照</x:v>
      </x:c>
      <x:c r="H368" s="9" t="str">
        <x:v>主播报表收益比例快照</x:v>
      </x:c>
      <x:c r="I368" s="9" t="str">
        <x:v>1. 执行角色为平台管理员
2. 账号具有当前模块访问及本次操作权限
3. 两笔礼物各1000金币，前笔比例1%、后笔比例2%</x:v>
      </x:c>
      <x:c r="J368" s="9" t="str">
        <x:v>1. 进入主播业绩分成报表页</x:v>
      </x:c>
      <x:c r="K368" s="9" t="str">
        <x:v>幸运礼物收益 = 30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来源（当前证据）：liveshow-proto/MainBasis/统一需求文档.md；位置：REQ-e5d4c75dd54e；行4905
2. 规则：BR-edb9e538691ed23b
3. 未动态验证</x:v>
      </x:c>
    </x:row>
    <x:row r="369" ht="85" customHeight="1">
      <x:c r="A369" s="10" t="n">
        <x:v>368</x:v>
      </x:c>
      <x:c r="B369" s="10" t="str">
        <x:v>ADMIN-10-0036</x:v>
      </x:c>
      <x:c r="C369" s="10" t="str">
        <x:v>数据分析</x:v>
      </x:c>
      <x:c r="D369" s="10" t="str">
        <x:v>主播业绩分成报表（平台管理员视角）</x:v>
      </x:c>
      <x:c r="E369" s="10" t="str">
        <x:v>逻辑校验</x:v>
      </x:c>
      <x:c r="F369" s="10" t="str">
        <x:v>P1</x:v>
      </x:c>
      <x:c r="G369" s="9" t="str">
        <x:v>验证主播收益汇总四类收入</x:v>
      </x:c>
      <x:c r="H369" s="9" t="str">
        <x:v>主播业绩总收益</x:v>
      </x:c>
      <x:c r="I369" s="9" t="str">
        <x:v>1. 执行角色为平台管理员
2. 账号具有当前模块访问及本次操作权限
3. 普通100、定制200、幸运10、门票50金币</x:v>
      </x:c>
      <x:c r="J369" s="9" t="str">
        <x:v>1. 进入主播业绩分成报表页</x:v>
      </x:c>
      <x:c r="K369" s="9" t="str">
        <x:v>主播收益 = 360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来源（当前证据）：liveshow-proto/MainBasis/统一需求文档.md；位置：REQ-93ae4da7430b；行4907
2. 规则：BR-7580e2ba363b63d7
3. 未动态验证</x:v>
      </x:c>
    </x:row>
    <x:row r="370" ht="85" customHeight="1">
      <x:c r="A370" s="10" t="n">
        <x:v>369</x:v>
      </x:c>
      <x:c r="B370" s="10" t="str">
        <x:v>ADMIN-10-0037</x:v>
      </x:c>
      <x:c r="C370" s="10" t="str">
        <x:v>数据分析</x:v>
      </x:c>
      <x:c r="D370" s="10" t="str">
        <x:v>主播礼物打赏明细报表（平台管理员视角）</x:v>
      </x:c>
      <x:c r="E370" s="10" t="str">
        <x:v>逻辑校验</x:v>
      </x:c>
      <x:c r="F370" s="10" t="str">
        <x:v>P1</x:v>
      </x:c>
      <x:c r="G370" s="9" t="str">
        <x:v>验证主播打赏明细排除运营虚拟赠礼</x:v>
      </x:c>
      <x:c r="H370" s="9" t="str">
        <x:v>主播打赏报表虚拟排除</x:v>
      </x:c>
      <x:c r="I370" s="9" t="str">
        <x:v>1. 执行角色为平台管理员
2. 账号具有当前模块访问及本次操作权限
3. 同主播真实用户礼物A、运营账号礼物B各一笔</x:v>
      </x:c>
      <x:c r="J370" s="9" t="str">
        <x:v>1. 进入主播礼物打赏明细报表页</x:v>
      </x:c>
      <x:c r="K370" s="9" t="str">
        <x:v>报表不包含虚拟礼物B记录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来源（当前证据）：liveshow-proto/MainBasis/统一需求文档.md；位置：REQ-0264fafd09f7；行4924
2. 规则：BR-11128a4a6a7586f6
3. 未动态验证</x:v>
      </x:c>
    </x:row>
    <x:row r="371" ht="85" customHeight="1">
      <x:c r="A371" s="10" t="n">
        <x:v>370</x:v>
      </x:c>
      <x:c r="B371" s="10" t="str">
        <x:v>ADMIN-10-0038</x:v>
      </x:c>
      <x:c r="C371" s="10" t="str">
        <x:v>数据分析</x:v>
      </x:c>
      <x:c r="D371" s="10" t="str">
        <x:v>用户消费汇总报表（平台管理员视角）</x:v>
      </x:c>
      <x:c r="E371" s="10" t="str">
        <x:v>逻辑校验</x:v>
      </x:c>
      <x:c r="F371" s="10" t="str">
        <x:v>P1</x:v>
      </x:c>
      <x:c r="G371" s="9" t="str">
        <x:v>验证用户消费报表含幸运净消耗</x:v>
      </x:c>
      <x:c r="H371" s="9" t="str">
        <x:v>用户消费报表净额</x:v>
      </x:c>
      <x:c r="I371" s="9" t="str">
        <x:v>1. 执行角色为平台管理员
2. 账号具有当前模块访问及本次操作权限
3. 普通100、定制200、门票50、幸运扣减100返奖500金币</x:v>
      </x:c>
      <x:c r="J371" s="9" t="str">
        <x:v>1. 进入用户消费汇总报表页</x:v>
      </x:c>
      <x:c r="K371" s="9" t="str">
        <x:v>累计消费 = -50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来源（当前证据）：liveshow-proto/MainBasis/统一需求文档.md；位置：REQ-261ecda01c58；行4937
2. 规则：BR-6901dd7331f12e12
3. 未动态验证</x:v>
      </x:c>
    </x:row>
    <x:row r="372" ht="85" customHeight="1">
      <x:c r="A372" s="10" t="n">
        <x:v>371</x:v>
      </x:c>
      <x:c r="B372" s="10" t="str">
        <x:v>ADMIN-10-0039</x:v>
      </x:c>
      <x:c r="C372" s="10" t="str">
        <x:v>数据分析</x:v>
      </x:c>
      <x:c r="D372" s="10" t="str">
        <x:v>礼物消费汇总报表（平台管理员视角）</x:v>
      </x:c>
      <x:c r="E372" s="10" t="str">
        <x:v>逻辑校验</x:v>
      </x:c>
      <x:c r="F372" s="10" t="str">
        <x:v>P1</x:v>
      </x:c>
      <x:c r="G372" s="9" t="str">
        <x:v>验证礼物销售额统计原价值不扣返奖</x:v>
      </x:c>
      <x:c r="H372" s="9" t="str">
        <x:v>幸运礼物销售额</x:v>
      </x:c>
      <x:c r="I372" s="9" t="str">
        <x:v>1. 执行角色为平台管理员
2. 账号具有当前模块访问及本次操作权限
3. 幸运礼物单价100、成功10份、总返奖2000金币</x:v>
      </x:c>
      <x:c r="J372" s="9" t="str">
        <x:v>1. 进入礼物消费汇总报表页</x:v>
      </x:c>
      <x:c r="K372" s="9" t="str">
        <x:v>销售额 = 1000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来源（当前证据）：liveshow-proto/MainBasis/统一需求文档.md；位置：REQ-ca4e41b2d2c6；行4952
2. 规则：BR-8ff7c7f85efa6d30
3. 未动态验证</x:v>
      </x:c>
    </x:row>
    <x:row r="373" ht="85" customHeight="1">
      <x:c r="A373" s="10" t="n">
        <x:v>372</x:v>
      </x:c>
      <x:c r="B373" s="10" t="str">
        <x:v>ADMIN-10-0040</x:v>
      </x:c>
      <x:c r="C373" s="10" t="str">
        <x:v>数据分析</x:v>
      </x:c>
      <x:c r="D373" s="10" t="str">
        <x:v>消费订单明细（平台管理员视角）</x:v>
      </x:c>
      <x:c r="E373" s="10" t="str">
        <x:v>逻辑校验</x:v>
      </x:c>
      <x:c r="F373" s="10" t="str">
        <x:v>P1</x:v>
      </x:c>
      <x:c r="G373" s="9" t="str">
        <x:v>验证消费明细报表排除失败虚拟记录</x:v>
      </x:c>
      <x:c r="H373" s="9" t="str">
        <x:v>消费报表成功真实范围</x:v>
      </x:c>
      <x:c r="I373" s="9" t="str">
        <x:v>1. 执行角色为平台管理员
2. 账号具有当前模块访问及本次操作权限
3. 订单A真实金币成功，B失败，C虚拟金币成功</x:v>
      </x:c>
      <x:c r="J373" s="9" t="str">
        <x:v>1. 进入消费订单明细页</x:v>
      </x:c>
      <x:c r="K373" s="9" t="str">
        <x:v>结果仅包含A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来源（当前证据）：liveshow-proto/MainBasis/统一需求文档.md；位置：REQ-7869a38aa201；行4971
2. 规则：BR-10b3116bf1c233f7
3. 未动态验证</x:v>
      </x:c>
    </x:row>
    <x:row r="374" ht="85" customHeight="1">
      <x:c r="A374" s="10" t="n">
        <x:v>373</x:v>
      </x:c>
      <x:c r="B374" s="10" t="str">
        <x:v>ADMIN-10-0041</x:v>
      </x:c>
      <x:c r="C374" s="10" t="str">
        <x:v>数据分析</x:v>
      </x:c>
      <x:c r="D374" s="10" t="str">
        <x:v>退款订单明细（平台管理员视角）</x:v>
      </x:c>
      <x:c r="E374" s="10" t="str">
        <x:v>逻辑校验</x:v>
      </x:c>
      <x:c r="F374" s="10" t="str">
        <x:v>P1</x:v>
      </x:c>
      <x:c r="G374" s="9" t="str">
        <x:v>验证退款明细金额等于原实付</x:v>
      </x:c>
      <x:c r="H374" s="9" t="str">
        <x:v>退款明细金额口径</x:v>
      </x:c>
      <x:c r="I374" s="9" t="str">
        <x:v>1. 执行角色为平台管理员
2. 账号具有当前模块访问及本次操作权限
3. 原实付8USD，标价10USD，已完成退款</x:v>
      </x:c>
      <x:c r="J374" s="9" t="str">
        <x:v>1. 进入退款订单明细页</x:v>
      </x:c>
      <x:c r="K374" s="9" t="str">
        <x:v>退款金额显示8USD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来源（当前证据）：liveshow-proto/MainBasis/统一需求文档.md；位置：REQ-d076f63cafa8；行4984
2. 规则：BR-097bdecba0d6b5db
3. 未动态验证</x:v>
      </x:c>
    </x:row>
    <x:row r="375" ht="85" customHeight="1">
      <x:c r="A375" s="10" t="n">
        <x:v>374</x:v>
      </x:c>
      <x:c r="B375" s="10" t="str">
        <x:v>ADMIN-10-0042</x:v>
      </x:c>
      <x:c r="C375" s="10" t="str">
        <x:v>数据分析</x:v>
      </x:c>
      <x:c r="D375" s="10" t="str">
        <x:v>充值订单明细（平台管理员视角）</x:v>
      </x:c>
      <x:c r="E375" s="10" t="str">
        <x:v>逻辑校验</x:v>
      </x:c>
      <x:c r="F375" s="10" t="str">
        <x:v>P1</x:v>
      </x:c>
      <x:c r="G375" s="9" t="str">
        <x:v>验证充值明细仍保留已退款的成功支付</x:v>
      </x:c>
      <x:c r="H375" s="9" t="str">
        <x:v>充值报表与退款分列</x:v>
      </x:c>
      <x:c r="I375" s="9" t="str">
        <x:v>1. 执行角色为平台管理员
2. 账号具有当前模块访问及本次操作权限
3. 订单先成功支付10USD，随后完成全额退款</x:v>
      </x:c>
      <x:c r="J375" s="9" t="str">
        <x:v>1. 进入充值订单明细页</x:v>
      </x:c>
      <x:c r="K375" s="9" t="str">
        <x:v>原成功充值10USD仍列入充值明细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来源（当前证据）：liveshow-proto/MainBasis/统一需求文档.md；位置：REQ-d206337cecd2；行5003
2. 规则：BR-54813ef57d76f4eb
3. 未动态验证</x:v>
      </x:c>
    </x:row>
    <x:row r="376" ht="85" customHeight="1">
      <x:c r="A376" s="10" t="n">
        <x:v>375</x:v>
      </x:c>
      <x:c r="B376" s="10" t="str">
        <x:v>ADMIN-10-0043</x:v>
      </x:c>
      <x:c r="C376" s="10" t="str">
        <x:v>数据分析</x:v>
      </x:c>
      <x:c r="D376" s="10" t="str">
        <x:v>每日统计（平台管理员视角）</x:v>
      </x:c>
      <x:c r="E376" s="10" t="str">
        <x:v>功能需求</x:v>
      </x:c>
      <x:c r="F376" s="10" t="str">
        <x:v>P2</x:v>
      </x:c>
      <x:c r="G376" s="9" t="str">
        <x:v>验证每日统计导出当前结果</x:v>
      </x:c>
      <x:c r="H376" s="9" t="str">
        <x:v>每日统计导出范围</x:v>
      </x:c>
      <x:c r="I376" s="9" t="str">
        <x:v>1. 执行角色为平台管理员
2. 账号具有当前模块访问及本次操作权限
3. 当前查询结果仅含测试记录A、B，记录C不在当前结果</x:v>
      </x:c>
      <x:c r="J376" s="9" t="str">
        <x:v>1. 进入每日统计页
2. 点击导出</x:v>
      </x:c>
      <x:c r="K376" s="9" t="str">
        <x:v>导出数据仅含A、B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来源（当前证据）：liveshow-proto/MainBasis/统一需求文档.md；位置：REQ-7fd5515420da；行4763
2. 规则：BR-618b18be86e7407e
3. 未动态验证</x:v>
      </x:c>
    </x:row>
    <x:row r="377" ht="85" customHeight="1">
      <x:c r="A377" s="10" t="n">
        <x:v>376</x:v>
      </x:c>
      <x:c r="B377" s="10" t="str">
        <x:v>ADMIN-10-0044</x:v>
      </x:c>
      <x:c r="C377" s="10" t="str">
        <x:v>数据分析</x:v>
      </x:c>
      <x:c r="D377" s="10" t="str">
        <x:v>用户活跃汇总（每日）（平台管理员视角）</x:v>
      </x:c>
      <x:c r="E377" s="10" t="str">
        <x:v>功能需求</x:v>
      </x:c>
      <x:c r="F377" s="10" t="str">
        <x:v>P2</x:v>
      </x:c>
      <x:c r="G377" s="9" t="str">
        <x:v>验证用户活跃汇总（每日）导出当前结果</x:v>
      </x:c>
      <x:c r="H377" s="9" t="str">
        <x:v>用户活跃汇总（每日）导出范围</x:v>
      </x:c>
      <x:c r="I377" s="9" t="str">
        <x:v>1. 执行角色为平台管理员
2. 账号具有当前模块访问及本次操作权限
3. 当前查询结果仅含测试记录A、B，记录C不在当前结果</x:v>
      </x:c>
      <x:c r="J377" s="9" t="str">
        <x:v>1. 进入用户活跃汇总（每日）页
2. 点击导出</x:v>
      </x:c>
      <x:c r="K377" s="9" t="str">
        <x:v>导出数据仅含A、B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来源（当前证据）：liveshow-proto/MainBasis/统一需求文档.md；位置：REQ-71ad1770fc60；行4780
2. 规则：BR-31056f987814bc58
3. 未动态验证</x:v>
      </x:c>
    </x:row>
    <x:row r="378" ht="85" customHeight="1">
      <x:c r="A378" s="10" t="n">
        <x:v>377</x:v>
      </x:c>
      <x:c r="B378" s="10" t="str">
        <x:v>ADMIN-10-0045</x:v>
      </x:c>
      <x:c r="C378" s="10" t="str">
        <x:v>数据分析</x:v>
      </x:c>
      <x:c r="D378" s="10" t="str">
        <x:v>主播活跃汇总（每日）（平台管理员视角）</x:v>
      </x:c>
      <x:c r="E378" s="10" t="str">
        <x:v>功能需求</x:v>
      </x:c>
      <x:c r="F378" s="10" t="str">
        <x:v>P2</x:v>
      </x:c>
      <x:c r="G378" s="9" t="str">
        <x:v>验证主播活跃汇总（每日）导出当前结果</x:v>
      </x:c>
      <x:c r="H378" s="9" t="str">
        <x:v>主播活跃汇总（每日）导出范围</x:v>
      </x:c>
      <x:c r="I378" s="9" t="str">
        <x:v>1. 执行角色为平台管理员
2. 账号具有当前模块访问及本次操作权限
3. 当前查询结果仅含测试记录A、B，记录C不在当前结果</x:v>
      </x:c>
      <x:c r="J378" s="9" t="str">
        <x:v>1. 进入主播活跃汇总（每日）页
2. 点击导出</x:v>
      </x:c>
      <x:c r="K378" s="9" t="str">
        <x:v>导出数据仅含A、B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来源（当前证据）：liveshow-proto/MainBasis/统一需求文档.md；位置：REQ-ec1742c498d1；行4801
2. 规则：BR-40987eb14fdead8f
3. 未动态验证</x:v>
      </x:c>
    </x:row>
    <x:row r="379" ht="85" customHeight="1">
      <x:c r="A379" s="10" t="n">
        <x:v>378</x:v>
      </x:c>
      <x:c r="B379" s="10" t="str">
        <x:v>ADMIN-10-0046</x:v>
      </x:c>
      <x:c r="C379" s="10" t="str">
        <x:v>数据分析</x:v>
      </x:c>
      <x:c r="D379" s="10" t="str">
        <x:v>直播间互动汇总（每日）（平台管理员视角）</x:v>
      </x:c>
      <x:c r="E379" s="10" t="str">
        <x:v>功能需求</x:v>
      </x:c>
      <x:c r="F379" s="10" t="str">
        <x:v>P2</x:v>
      </x:c>
      <x:c r="G379" s="9" t="str">
        <x:v>验证直播间互动汇总（每日）导出当前结果</x:v>
      </x:c>
      <x:c r="H379" s="9" t="str">
        <x:v>直播间互动汇总（每日）导出范围</x:v>
      </x:c>
      <x:c r="I379" s="9" t="str">
        <x:v>1. 执行角色为平台管理员
2. 账号具有当前模块访问及本次操作权限
3. 当前查询结果仅含测试记录A、B，记录C不在当前结果</x:v>
      </x:c>
      <x:c r="J379" s="9" t="str">
        <x:v>1. 进入直播间互动汇总（每日）页
2. 点击导出</x:v>
      </x:c>
      <x:c r="K379" s="9" t="str">
        <x:v>导出数据仅含A、B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来源（当前证据）：liveshow-proto/MainBasis/统一需求文档.md；位置：REQ-186776a143de；行4816
2. 规则：BR-e5d9c60dbc995e2f
3. 未动态验证</x:v>
      </x:c>
    </x:row>
    <x:row r="380" ht="85" customHeight="1">
      <x:c r="A380" s="10" t="n">
        <x:v>379</x:v>
      </x:c>
      <x:c r="B380" s="10" t="str">
        <x:v>ADMIN-10-0047</x:v>
      </x:c>
      <x:c r="C380" s="10" t="str">
        <x:v>数据分析</x:v>
      </x:c>
      <x:c r="D380" s="10" t="str">
        <x:v>直播记录明细报表（平台管理员视角）</x:v>
      </x:c>
      <x:c r="E380" s="10" t="str">
        <x:v>功能需求</x:v>
      </x:c>
      <x:c r="F380" s="10" t="str">
        <x:v>P2</x:v>
      </x:c>
      <x:c r="G380" s="9" t="str">
        <x:v>验证直播记录明细报表导出当前结果</x:v>
      </x:c>
      <x:c r="H380" s="9" t="str">
        <x:v>直播记录明细报表导出范围</x:v>
      </x:c>
      <x:c r="I380" s="9" t="str">
        <x:v>1. 执行角色为平台管理员
2. 账号具有当前模块访问及本次操作权限
3. 当前查询结果仅含测试记录A、B，记录C不在当前结果</x:v>
      </x:c>
      <x:c r="J380" s="9" t="str">
        <x:v>1. 进入直播记录明细报表页
2. 点击导出</x:v>
      </x:c>
      <x:c r="K380" s="9" t="str">
        <x:v>导出数据仅含A、B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来源（当前证据）：liveshow-proto/MainBasis/统一需求文档.md；位置：REQ-3ccd8235bd76；行4837
2. 规则：BR-1b9fc2812fd28696
3. 未动态验证</x:v>
      </x:c>
    </x:row>
    <x:row r="381" ht="85" customHeight="1">
      <x:c r="A381" s="10" t="n">
        <x:v>380</x:v>
      </x:c>
      <x:c r="B381" s="10" t="str">
        <x:v>ADMIN-10-0048</x:v>
      </x:c>
      <x:c r="C381" s="10" t="str">
        <x:v>数据分析</x:v>
      </x:c>
      <x:c r="D381" s="10" t="str">
        <x:v>充值消费汇总（每日）（平台管理员视角）</x:v>
      </x:c>
      <x:c r="E381" s="10" t="str">
        <x:v>功能需求</x:v>
      </x:c>
      <x:c r="F381" s="10" t="str">
        <x:v>P2</x:v>
      </x:c>
      <x:c r="G381" s="9" t="str">
        <x:v>验证充值消费汇总（每日）导出当前结果</x:v>
      </x:c>
      <x:c r="H381" s="9" t="str">
        <x:v>充值消费汇总（每日）导出范围</x:v>
      </x:c>
      <x:c r="I381" s="9" t="str">
        <x:v>1. 执行角色为平台管理员
2. 账号具有当前模块访问及本次操作权限
3. 当前查询结果仅含测试记录A、B，记录C不在当前结果</x:v>
      </x:c>
      <x:c r="J381" s="9" t="str">
        <x:v>1. 进入充值消费汇总（每日）页
2. 点击导出</x:v>
      </x:c>
      <x:c r="K381" s="9" t="str">
        <x:v>导出数据仅含A、B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来源（当前证据）：liveshow-proto/MainBasis/统一需求文档.md；位置：REQ-f9b105f502b9；行4858
2. 规则：BR-e8209e4f35bd73f6
3. 未动态验证</x:v>
      </x:c>
    </x:row>
    <x:row r="382" ht="85" customHeight="1">
      <x:c r="A382" s="10" t="n">
        <x:v>381</x:v>
      </x:c>
      <x:c r="B382" s="10" t="str">
        <x:v>ADMIN-10-0049</x:v>
      </x:c>
      <x:c r="C382" s="10" t="str">
        <x:v>数据分析</x:v>
      </x:c>
      <x:c r="D382" s="10" t="str">
        <x:v>充值用户分层汇总（每日）（平台管理员视角）</x:v>
      </x:c>
      <x:c r="E382" s="10" t="str">
        <x:v>功能需求</x:v>
      </x:c>
      <x:c r="F382" s="10" t="str">
        <x:v>P2</x:v>
      </x:c>
      <x:c r="G382" s="9" t="str">
        <x:v>验证充值用户分层汇总（每日）导出当前结果</x:v>
      </x:c>
      <x:c r="H382" s="9" t="str">
        <x:v>充值用户分层汇总（每日）导出范围</x:v>
      </x:c>
      <x:c r="I382" s="9" t="str">
        <x:v>1. 执行角色为平台管理员
2. 账号具有当前模块访问及本次操作权限
3. 当前查询结果仅含测试记录A、B，记录C不在当前结果</x:v>
      </x:c>
      <x:c r="J382" s="9" t="str">
        <x:v>1. 进入充值用户分层汇总（每日）页
2. 点击导出</x:v>
      </x:c>
      <x:c r="K382" s="9" t="str">
        <x:v>导出数据仅含A、B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来源（当前证据）：liveshow-proto/MainBasis/统一需求文档.md；位置：REQ-8443e973fcdc；行4875
2. 规则：BR-e5329c2e2e9a5bbc
3. 未动态验证</x:v>
      </x:c>
    </x:row>
    <x:row r="383" ht="85" customHeight="1">
      <x:c r="A383" s="10" t="n">
        <x:v>382</x:v>
      </x:c>
      <x:c r="B383" s="10" t="str">
        <x:v>ADMIN-10-0050</x:v>
      </x:c>
      <x:c r="C383" s="10" t="str">
        <x:v>数据分析</x:v>
      </x:c>
      <x:c r="D383" s="10" t="str">
        <x:v>月度收益支出汇总（平台管理员视角）</x:v>
      </x:c>
      <x:c r="E383" s="10" t="str">
        <x:v>功能需求</x:v>
      </x:c>
      <x:c r="F383" s="10" t="str">
        <x:v>P2</x:v>
      </x:c>
      <x:c r="G383" s="9" t="str">
        <x:v>验证月度收益支出汇总导出当前结果</x:v>
      </x:c>
      <x:c r="H383" s="9" t="str">
        <x:v>月度收益支出汇总导出范围</x:v>
      </x:c>
      <x:c r="I383" s="9" t="str">
        <x:v>1. 执行角色为平台管理员
2. 账号具有当前模块访问及本次操作权限
3. 当前查询结果仅含测试记录A、B，记录C不在当前结果</x:v>
      </x:c>
      <x:c r="J383" s="9" t="str">
        <x:v>1. 进入月度收益支出汇总页
2. 点击导出</x:v>
      </x:c>
      <x:c r="K383" s="9" t="str">
        <x:v>导出数据仅含A、B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来源（当前证据）：liveshow-proto/MainBasis/统一需求文档.md；位置：REQ-6b320c210520；行4890
2. 规则：BR-7421bcfa4f49007a
3. 未动态验证</x:v>
      </x:c>
    </x:row>
    <x:row r="384" ht="85" customHeight="1">
      <x:c r="A384" s="10" t="n">
        <x:v>383</x:v>
      </x:c>
      <x:c r="B384" s="10" t="str">
        <x:v>ADMIN-10-0051</x:v>
      </x:c>
      <x:c r="C384" s="10" t="str">
        <x:v>数据分析</x:v>
      </x:c>
      <x:c r="D384" s="10" t="str">
        <x:v>主播业绩分成报表（平台管理员视角）</x:v>
      </x:c>
      <x:c r="E384" s="10" t="str">
        <x:v>功能需求</x:v>
      </x:c>
      <x:c r="F384" s="10" t="str">
        <x:v>P2</x:v>
      </x:c>
      <x:c r="G384" s="9" t="str">
        <x:v>验证主播业绩分成报表导出当前结果</x:v>
      </x:c>
      <x:c r="H384" s="9" t="str">
        <x:v>主播业绩分成报表导出范围</x:v>
      </x:c>
      <x:c r="I384" s="9" t="str">
        <x:v>1. 执行角色为平台管理员
2. 账号具有当前模块访问及本次操作权限
3. 当前查询结果仅含测试记录A、B，记录C不在当前结果</x:v>
      </x:c>
      <x:c r="J384" s="9" t="str">
        <x:v>1. 进入主播业绩分成报表页
2. 点击导出</x:v>
      </x:c>
      <x:c r="K384" s="9" t="str">
        <x:v>导出数据仅含A、B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来源（当前证据）：liveshow-proto/MainBasis/统一需求文档.md；位置：REQ-19b8f41e75ed；行4911
2. 规则：BR-8b1f8942f922caf0
3. 未动态验证</x:v>
      </x:c>
    </x:row>
    <x:row r="385" ht="85" customHeight="1">
      <x:c r="A385" s="10" t="n">
        <x:v>384</x:v>
      </x:c>
      <x:c r="B385" s="10" t="str">
        <x:v>ADMIN-10-0052</x:v>
      </x:c>
      <x:c r="C385" s="10" t="str">
        <x:v>数据分析</x:v>
      </x:c>
      <x:c r="D385" s="10" t="str">
        <x:v>主播礼物打赏明细报表（平台管理员视角）</x:v>
      </x:c>
      <x:c r="E385" s="10" t="str">
        <x:v>功能需求</x:v>
      </x:c>
      <x:c r="F385" s="10" t="str">
        <x:v>P2</x:v>
      </x:c>
      <x:c r="G385" s="9" t="str">
        <x:v>验证主播礼物打赏明细报表导出当前结果</x:v>
      </x:c>
      <x:c r="H385" s="9" t="str">
        <x:v>主播礼物打赏明细报表导出范围</x:v>
      </x:c>
      <x:c r="I385" s="9" t="str">
        <x:v>1. 执行角色为平台管理员
2. 账号具有当前模块访问及本次操作权限
3. 当前查询结果仅含测试记录A、B，记录C不在当前结果</x:v>
      </x:c>
      <x:c r="J385" s="9" t="str">
        <x:v>1. 进入主播礼物打赏明细报表页
2. 点击导出</x:v>
      </x:c>
      <x:c r="K385" s="9" t="str">
        <x:v>导出数据仅含A、B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来源（当前证据）：liveshow-proto/MainBasis/统一需求文档.md；位置：REQ-78390555e950；行4926
2. 规则：BR-1fc65e3a038f9147
3. 未动态验证</x:v>
      </x:c>
    </x:row>
    <x:row r="386" ht="85" customHeight="1">
      <x:c r="A386" s="10" t="n">
        <x:v>385</x:v>
      </x:c>
      <x:c r="B386" s="10" t="str">
        <x:v>ADMIN-10-0053</x:v>
      </x:c>
      <x:c r="C386" s="10" t="str">
        <x:v>数据分析</x:v>
      </x:c>
      <x:c r="D386" s="10" t="str">
        <x:v>用户消费汇总报表（平台管理员视角）</x:v>
      </x:c>
      <x:c r="E386" s="10" t="str">
        <x:v>功能需求</x:v>
      </x:c>
      <x:c r="F386" s="10" t="str">
        <x:v>P2</x:v>
      </x:c>
      <x:c r="G386" s="9" t="str">
        <x:v>验证用户消费汇总报表导出当前结果</x:v>
      </x:c>
      <x:c r="H386" s="9" t="str">
        <x:v>用户消费汇总报表导出范围</x:v>
      </x:c>
      <x:c r="I386" s="9" t="str">
        <x:v>1. 执行角色为平台管理员
2. 账号具有当前模块访问及本次操作权限
3. 当前查询结果仅含测试记录A、B，记录C不在当前结果</x:v>
      </x:c>
      <x:c r="J386" s="9" t="str">
        <x:v>1. 进入用户消费汇总报表页
2. 点击导出</x:v>
      </x:c>
      <x:c r="K386" s="9" t="str">
        <x:v>导出数据仅含A、B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来源（当前证据）：liveshow-proto/MainBasis/统一需求文档.md；位置：REQ-6af63f9419c2；行4941
2. 规则：BR-f6e881239d90f166
3. 未动态验证</x:v>
      </x:c>
    </x:row>
    <x:row r="387" ht="85" customHeight="1">
      <x:c r="A387" s="10" t="n">
        <x:v>386</x:v>
      </x:c>
      <x:c r="B387" s="10" t="str">
        <x:v>ADMIN-10-0054</x:v>
      </x:c>
      <x:c r="C387" s="10" t="str">
        <x:v>数据分析</x:v>
      </x:c>
      <x:c r="D387" s="10" t="str">
        <x:v>礼物消费汇总报表（平台管理员视角）</x:v>
      </x:c>
      <x:c r="E387" s="10" t="str">
        <x:v>功能需求</x:v>
      </x:c>
      <x:c r="F387" s="10" t="str">
        <x:v>P2</x:v>
      </x:c>
      <x:c r="G387" s="9" t="str">
        <x:v>验证礼物消费汇总报表导出当前结果</x:v>
      </x:c>
      <x:c r="H387" s="9" t="str">
        <x:v>礼物消费汇总报表导出范围</x:v>
      </x:c>
      <x:c r="I387" s="9" t="str">
        <x:v>1. 执行角色为平台管理员
2. 账号具有当前模块访问及本次操作权限
3. 当前查询结果仅含测试记录A、B，记录C不在当前结果</x:v>
      </x:c>
      <x:c r="J387" s="9" t="str">
        <x:v>1. 进入礼物消费汇总报表页
2. 点击导出</x:v>
      </x:c>
      <x:c r="K387" s="9" t="str">
        <x:v>导出数据仅含A、B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来源（当前证据）：liveshow-proto/MainBasis/统一需求文档.md；位置：REQ-7c98a8a1bbd4；行4956
2. 规则：BR-ee7c73b3c9d4721b
3. 未动态验证</x:v>
      </x:c>
    </x:row>
    <x:row r="388" ht="85" customHeight="1">
      <x:c r="A388" s="10" t="n">
        <x:v>387</x:v>
      </x:c>
      <x:c r="B388" s="10" t="str">
        <x:v>ADMIN-10-0055</x:v>
      </x:c>
      <x:c r="C388" s="10" t="str">
        <x:v>数据分析</x:v>
      </x:c>
      <x:c r="D388" s="10" t="str">
        <x:v>消费订单明细（平台管理员视角）</x:v>
      </x:c>
      <x:c r="E388" s="10" t="str">
        <x:v>功能需求</x:v>
      </x:c>
      <x:c r="F388" s="10" t="str">
        <x:v>P2</x:v>
      </x:c>
      <x:c r="G388" s="9" t="str">
        <x:v>验证消费订单明细导出当前结果</x:v>
      </x:c>
      <x:c r="H388" s="9" t="str">
        <x:v>消费订单明细导出范围</x:v>
      </x:c>
      <x:c r="I388" s="9" t="str">
        <x:v>1. 执行角色为平台管理员
2. 账号具有当前模块访问及本次操作权限
3. 当前查询结果仅含测试记录A、B，记录C不在当前结果</x:v>
      </x:c>
      <x:c r="J388" s="9" t="str">
        <x:v>1. 进入消费订单明细页
2. 点击导出</x:v>
      </x:c>
      <x:c r="K388" s="9" t="str">
        <x:v>导出数据仅含A、B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来源（当前证据）：liveshow-proto/MainBasis/统一需求文档.md；位置：REQ-9ede90375a52；行4973
2. 规则：BR-634cef585db41a3d
3. 未动态验证</x:v>
      </x:c>
    </x:row>
    <x:row r="389" ht="85" customHeight="1">
      <x:c r="A389" s="10" t="n">
        <x:v>388</x:v>
      </x:c>
      <x:c r="B389" s="10" t="str">
        <x:v>ADMIN-10-0056</x:v>
      </x:c>
      <x:c r="C389" s="10" t="str">
        <x:v>数据分析</x:v>
      </x:c>
      <x:c r="D389" s="10" t="str">
        <x:v>退款订单明细（平台管理员视角）</x:v>
      </x:c>
      <x:c r="E389" s="10" t="str">
        <x:v>功能需求</x:v>
      </x:c>
      <x:c r="F389" s="10" t="str">
        <x:v>P2</x:v>
      </x:c>
      <x:c r="G389" s="9" t="str">
        <x:v>验证退款订单明细导出当前结果</x:v>
      </x:c>
      <x:c r="H389" s="9" t="str">
        <x:v>退款订单明细导出范围</x:v>
      </x:c>
      <x:c r="I389" s="9" t="str">
        <x:v>1. 执行角色为平台管理员
2. 账号具有当前模块访问及本次操作权限
3. 当前查询结果仅含测试记录A、B，记录C不在当前结果</x:v>
      </x:c>
      <x:c r="J389" s="9" t="str">
        <x:v>1. 进入退款订单明细页
2. 点击导出</x:v>
      </x:c>
      <x:c r="K389" s="9" t="str">
        <x:v>导出数据仅含A、B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来源（当前证据）：liveshow-proto/MainBasis/统一需求文档.md；位置：REQ-49dcb9d4fce5；行4988
2. 规则：BR-13025f95e47818a1
3. 未动态验证</x:v>
      </x:c>
    </x:row>
    <x:row r="390" ht="85" customHeight="1">
      <x:c r="A390" s="10" t="n">
        <x:v>389</x:v>
      </x:c>
      <x:c r="B390" s="10" t="str">
        <x:v>ADMIN-10-0057</x:v>
      </x:c>
      <x:c r="C390" s="10" t="str">
        <x:v>数据分析</x:v>
      </x:c>
      <x:c r="D390" s="10" t="str">
        <x:v>充值订单明细（平台管理员视角）</x:v>
      </x:c>
      <x:c r="E390" s="10" t="str">
        <x:v>功能需求</x:v>
      </x:c>
      <x:c r="F390" s="10" t="str">
        <x:v>P2</x:v>
      </x:c>
      <x:c r="G390" s="9" t="str">
        <x:v>验证充值订单明细导出当前结果</x:v>
      </x:c>
      <x:c r="H390" s="9" t="str">
        <x:v>充值订单明细导出范围</x:v>
      </x:c>
      <x:c r="I390" s="9" t="str">
        <x:v>1. 执行角色为平台管理员
2. 账号具有当前模块访问及本次操作权限
3. 当前查询结果仅含测试记录A、B，记录C不在当前结果</x:v>
      </x:c>
      <x:c r="J390" s="9" t="str">
        <x:v>1. 进入充值订单明细页
2. 点击导出</x:v>
      </x:c>
      <x:c r="K390" s="9" t="str">
        <x:v>导出数据仅含A、B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来源（当前证据）：liveshow-proto/MainBasis/统一需求文档.md；位置：REQ-dc11361b62d2；行5005
2. 规则：BR-e304160686fdbca7
3. 未动态验证</x:v>
      </x:c>
    </x:row>
    <x:row r="391" ht="85" customHeight="1">
      <x:c r="A391" s="10" t="n">
        <x:v>390</x:v>
      </x:c>
      <x:c r="B391" s="10" t="str">
        <x:v>ADMIN-01-0007</x:v>
      </x:c>
      <x:c r="C391" s="10" t="str">
        <x:v>工作台</x:v>
      </x:c>
      <x:c r="D391" s="10" t="str">
        <x:v>工作台（平台管理员视角）</x:v>
      </x:c>
      <x:c r="E391" s="10" t="str">
        <x:v>逻辑校验</x:v>
      </x:c>
      <x:c r="F391" s="10" t="str">
        <x:v>P1</x:v>
      </x:c>
      <x:c r="G391" s="9" t="str">
        <x:v>验证当日充值金额排除失败订单</x:v>
      </x:c>
      <x:c r="H391" s="9" t="str">
        <x:v>成功充值金额合计</x:v>
      </x:c>
      <x:c r="I391" s="9" t="str">
        <x:v>1. 执行角色为平台管理员
2. 账号具有当前模块访问及本次操作权限
3. 甲成功支付8USD，乙成功支付2USD，丙失败10USD</x:v>
      </x:c>
      <x:c r="J391" s="9" t="str">
        <x:v>1. 进入工作台页</x:v>
      </x:c>
      <x:c r="K391" s="9" t="str">
        <x:v>总充值金额显示10USD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来源（当前证据）：liveshow-proto/MainBasis/统一需求文档.md；位置：REQ-31a430398065；行3498
2. 规则：BR-dda7c894c4f9537b
3. 未动态验证</x:v>
      </x:c>
    </x:row>
    <x:row r="392" ht="85" customHeight="1">
      <x:c r="A392" s="10" t="n">
        <x:v>391</x:v>
      </x:c>
      <x:c r="B392" s="10" t="str">
        <x:v>ADMIN-01-0008</x:v>
      </x:c>
      <x:c r="C392" s="10" t="str">
        <x:v>工作台</x:v>
      </x:c>
      <x:c r="D392" s="10" t="str">
        <x:v>工作台（平台管理员视角）</x:v>
      </x:c>
      <x:c r="E392" s="10" t="str">
        <x:v>逻辑校验</x:v>
      </x:c>
      <x:c r="F392" s="10" t="str">
        <x:v>P1</x:v>
      </x:c>
      <x:c r="G392" s="9" t="str">
        <x:v>验证当日充值人数按账号去重</x:v>
      </x:c>
      <x:c r="H392" s="9" t="str">
        <x:v>充值账号去重人数</x:v>
      </x:c>
      <x:c r="I392" s="9" t="str">
        <x:v>1. 执行角色为平台管理员
2. 账号具有当前模块访问及本次操作权限
3. 甲有2笔成功充值，乙1笔成功，丙仅失败</x:v>
      </x:c>
      <x:c r="J392" s="9" t="str">
        <x:v>1. 进入工作台页</x:v>
      </x:c>
      <x:c r="K392" s="9" t="str">
        <x:v>充值人数显示2人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来源（当前证据）：liveshow-proto/MainBasis/统一需求文档.md；位置：REQ-31a430398065；行3498
2. 规则：BR-a6589b43e669e526
3. 未动态验证</x:v>
      </x:c>
    </x:row>
    <x:row r="393" ht="85" customHeight="1">
      <x:c r="A393" s="10" t="n">
        <x:v>392</x:v>
      </x:c>
      <x:c r="B393" s="10" t="str">
        <x:v>ADMIN-01-0009</x:v>
      </x:c>
      <x:c r="C393" s="10" t="str">
        <x:v>工作台</x:v>
      </x:c>
      <x:c r="D393" s="10" t="str">
        <x:v>工作台（平台管理员视角）</x:v>
      </x:c>
      <x:c r="E393" s="10" t="str">
        <x:v>逻辑校验</x:v>
      </x:c>
      <x:c r="F393" s="10" t="str">
        <x:v>P1</x:v>
      </x:c>
      <x:c r="G393" s="9" t="str">
        <x:v>验证新用户金额排除注册次日充值</x:v>
      </x:c>
      <x:c r="H393" s="9" t="str">
        <x:v>当日新用户充值金额</x:v>
      </x:c>
      <x:c r="I393" s="9" t="str">
        <x:v>1. 执行角色为平台管理员
2. 账号具有当前模块访问及本次操作权限
3. 甲当日注册并充值8USD，乙昨日注册今日充值2USD</x:v>
      </x:c>
      <x:c r="J393" s="9" t="str">
        <x:v>1. 进入工作台页</x:v>
      </x:c>
      <x:c r="K393" s="9" t="str">
        <x:v>新用户充值金额显示8USD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来源（当前证据）：liveshow-proto/MainBasis/统一需求文档.md；位置：REQ-0bec5136860b；行3500
2. 规则：BR-02f6dbc23aad6c98
3. 未动态验证</x:v>
      </x:c>
    </x:row>
    <x:row r="394" ht="85" customHeight="1">
      <x:c r="A394" s="10" t="n">
        <x:v>393</x:v>
      </x:c>
      <x:c r="B394" s="10" t="str">
        <x:v>ADMIN-01-0010</x:v>
      </x:c>
      <x:c r="C394" s="10" t="str">
        <x:v>工作台</x:v>
      </x:c>
      <x:c r="D394" s="10" t="str">
        <x:v>工作台（平台管理员视角）</x:v>
      </x:c>
      <x:c r="E394" s="10" t="str">
        <x:v>逻辑校验</x:v>
      </x:c>
      <x:c r="F394" s="10" t="str">
        <x:v>P1</x:v>
      </x:c>
      <x:c r="G394" s="9" t="str">
        <x:v>验证工作台有效天人数去重</x:v>
      </x:c>
      <x:c r="H394" s="9" t="str">
        <x:v>有效天达标人数</x:v>
      </x:c>
      <x:c r="I394" s="9" t="str">
        <x:v>1. 执行角色为平台管理员
2. 账号具有当前模块访问及本次操作权限
3. 甲有效直播180分钟、乙179分钟、丙360分钟</x:v>
      </x:c>
      <x:c r="J394" s="9" t="str">
        <x:v>1. 进入工作台页</x:v>
      </x:c>
      <x:c r="K394" s="9" t="str">
        <x:v>达成有效天主播显示2人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来源（当前证据）：liveshow-proto/MainBasis/统一需求文档.md；位置：REQ-3b5270c1d280；行3504
2. 规则：BR-c60e36e8c4c94dde
3. 未动态验证</x:v>
      </x:c>
    </x:row>
    <x:row r="395" ht="85" customHeight="1">
      <x:c r="A395" s="10" t="n">
        <x:v>394</x:v>
      </x:c>
      <x:c r="B395" s="10" t="str">
        <x:v>ADMIN-02-0013</x:v>
      </x:c>
      <x:c r="C395" s="10" t="str">
        <x:v>用户管理</x:v>
      </x:c>
      <x:c r="D395" s="10" t="str">
        <x:v>用户列表（平台管理员视角）</x:v>
      </x:c>
      <x:c r="E395" s="10" t="str">
        <x:v>逻辑校验</x:v>
      </x:c>
      <x:c r="F395" s="10" t="str">
        <x:v>P1</x:v>
      </x:c>
      <x:c r="G395" s="9" t="str">
        <x:v>验证用户累计充值只计实付成功</x:v>
      </x:c>
      <x:c r="H395" s="9" t="str">
        <x:v>累计实付充值金额</x:v>
      </x:c>
      <x:c r="I395" s="9" t="str">
        <x:v>1. 执行角色为平台管理员
2. 账号具有当前模块访问及本次操作权限
3. 甲成功实付8USD、失败10USD，成功订单标价10USD</x:v>
      </x:c>
      <x:c r="J395" s="9" t="str">
        <x:v>1. 进入用户列表页</x:v>
      </x:c>
      <x:c r="K395" s="9" t="str">
        <x:v>甲累计充值显示8USD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来源（当前证据）：liveshow-proto/MainBasis/统一需求文档.md；位置：REQ-f926f5cccd26；行3523
2. 规则：BR-7871c64cc84ea2d6
3. 未动态验证</x:v>
      </x:c>
    </x:row>
    <x:row r="396" ht="100" customHeight="1">
      <x:c r="A396" s="10" t="n">
        <x:v>395</x:v>
      </x:c>
      <x:c r="B396" s="10" t="str">
        <x:v>ADMIN-02-0014</x:v>
      </x:c>
      <x:c r="C396" s="10" t="str">
        <x:v>用户管理</x:v>
      </x:c>
      <x:c r="D396" s="10" t="str">
        <x:v>用户列表（平台管理员视角）</x:v>
      </x:c>
      <x:c r="E396" s="10" t="str">
        <x:v>逻辑校验</x:v>
      </x:c>
      <x:c r="F396" s="10" t="str">
        <x:v>P1</x:v>
      </x:c>
      <x:c r="G396" s="9" t="str">
        <x:v>验证用户注册筛选包含结束时点</x:v>
      </x:c>
      <x:c r="H396" s="9" t="str">
        <x:v>注册时间结束边界</x:v>
      </x:c>
      <x:c r="I396" s="9" t="str">
        <x:v>1. 执行角色为平台管理员
2. 账号具有当前模块访问及本次操作权限
3. 甲注册9月15日23:59:59，乙注册9月16日00:00:00，筛选9月15日</x:v>
      </x:c>
      <x:c r="J396" s="9" t="str">
        <x:v>1. 进入用户列表页</x:v>
      </x:c>
      <x:c r="K396" s="9" t="str">
        <x:v>结果包含甲且不含乙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来源（当前证据）：liveshow-proto/MainBasis/统一需求文档.md；位置：REQ-4025eed82fb6；行3531
2. 规则：BR-f76f08acfa971b75
3. 未动态验证</x:v>
      </x:c>
    </x:row>
    <x:row r="397" ht="85" customHeight="1">
      <x:c r="A397" s="10" t="n">
        <x:v>396</x:v>
      </x:c>
      <x:c r="B397" s="10" t="str">
        <x:v>ADMIN-03-0039</x:v>
      </x:c>
      <x:c r="C397" s="10" t="str">
        <x:v>主播管理</x:v>
      </x:c>
      <x:c r="D397" s="10" t="str">
        <x:v>主播列表（平台管理员视角）</x:v>
      </x:c>
      <x:c r="E397" s="10" t="str">
        <x:v>逻辑校验</x:v>
      </x:c>
      <x:c r="F397" s="10" t="str">
        <x:v>P1</x:v>
      </x:c>
      <x:c r="G397" s="9" t="str">
        <x:v>验证主播封禁状态与直播权限分离</x:v>
      </x:c>
      <x:c r="H397" s="9" t="str">
        <x:v>账号状态独立显示</x:v>
      </x:c>
      <x:c r="I397" s="9" t="str">
        <x:v>1. 执行角色为平台管理员
2. 账号具有当前模块访问及本次操作权限
3. 主播账号正常，平台直播权限关闭</x:v>
      </x:c>
      <x:c r="J397" s="9" t="str">
        <x:v>1. 进入主播列表页</x:v>
      </x:c>
      <x:c r="K397" s="9" t="str">
        <x:v>账号状态仍显示正常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来源（当前证据）：liveshow-proto/MainBasis/统一需求文档.md；位置：REQ-223369b89fdf；行3571
2. 规则：BR-22d98402cb6fd686
3. 未动态验证</x:v>
      </x:c>
    </x:row>
    <x:row r="398" ht="85" customHeight="1">
      <x:c r="A398" s="10" t="n">
        <x:v>397</x:v>
      </x:c>
      <x:c r="B398" s="10" t="str">
        <x:v>ADMIN-03-0040</x:v>
      </x:c>
      <x:c r="C398" s="10" t="str">
        <x:v>主播管理</x:v>
      </x:c>
      <x:c r="D398" s="10" t="str">
        <x:v>主播审核（平台管理员视角）</x:v>
      </x:c>
      <x:c r="E398" s="10" t="str">
        <x:v>逻辑校验</x:v>
      </x:c>
      <x:c r="F398" s="10" t="str">
        <x:v>P1</x:v>
      </x:c>
      <x:c r="G398" s="9" t="str">
        <x:v>验证重新认证申请使用新单号</x:v>
      </x:c>
      <x:c r="H398" s="9" t="str">
        <x:v>重提申请单号</x:v>
      </x:c>
      <x:c r="I398" s="9" t="str">
        <x:v>1. 执行角色为平台管理员
2. 账号具有当前模块访问及本次操作权限
3. 同一用户旧单A已驳回，重新提交B且公会通过</x:v>
      </x:c>
      <x:c r="J398" s="9" t="str">
        <x:v>1. 进入主播审核页</x:v>
      </x:c>
      <x:c r="K398" s="9" t="str">
        <x:v>B的申请单号不同于A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来源（当前证据）：liveshow-proto/MainBasis/统一需求文档.md；位置：REQ-adadf43fb7bd；行3609
2. 规则：BR-34871bec2fc47403
3. 未动态验证</x:v>
      </x:c>
    </x:row>
    <x:row r="399" ht="85" customHeight="1">
      <x:c r="A399" s="10" t="n">
        <x:v>398</x:v>
      </x:c>
      <x:c r="B399" s="10" t="str">
        <x:v>ADMIN-03-0041</x:v>
      </x:c>
      <x:c r="C399" s="10" t="str">
        <x:v>主播管理</x:v>
      </x:c>
      <x:c r="D399" s="10" t="str">
        <x:v>主播审核（平台管理员视角）</x:v>
      </x:c>
      <x:c r="E399" s="10" t="str">
        <x:v>逻辑校验</x:v>
      </x:c>
      <x:c r="F399" s="10" t="str">
        <x:v>P1</x:v>
      </x:c>
      <x:c r="G399" s="9" t="str">
        <x:v>验证认证列表采用公会提交平台时间</x:v>
      </x:c>
      <x:c r="H399" s="9" t="str">
        <x:v>公会提交时间</x:v>
      </x:c>
      <x:c r="I399" s="9" t="str">
        <x:v>1. 执行角色为平台管理员
2. 账号具有当前模块访问及本次操作权限
3. 用户9月14日申请，公会9月15日10:00通过并提交</x:v>
      </x:c>
      <x:c r="J399" s="9" t="str">
        <x:v>1. 进入主播审核页</x:v>
      </x:c>
      <x:c r="K399" s="9" t="str">
        <x:v>提交时间显示9月15日10:00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来源（当前证据）：liveshow-proto/MainBasis/统一需求文档.md；位置：REQ-6764ef697ed0；行3617
2. 规则：BR-1c9b99f4af0523a8
3. 未动态验证</x:v>
      </x:c>
    </x:row>
    <x:row r="400" ht="100" customHeight="1">
      <x:c r="A400" s="10" t="n">
        <x:v>399</x:v>
      </x:c>
      <x:c r="B400" s="10" t="str">
        <x:v>ADMIN-03-0042</x:v>
      </x:c>
      <x:c r="C400" s="10" t="str">
        <x:v>主播管理</x:v>
      </x:c>
      <x:c r="D400" s="10" t="str">
        <x:v>直播场次（平台管理员视角）</x:v>
      </x:c>
      <x:c r="E400" s="10" t="str">
        <x:v>逻辑校验</x:v>
      </x:c>
      <x:c r="F400" s="10" t="str">
        <x:v>P1</x:v>
      </x:c>
      <x:c r="G400" s="9" t="str">
        <x:v>验证场次观众去重并排除运营账号</x:v>
      </x:c>
      <x:c r="H400" s="9" t="str">
        <x:v>场次有效观众人数</x:v>
      </x:c>
      <x:c r="I400" s="9" t="str">
        <x:v>1. 执行角色为平台管理员
2. 账号具有当前模块访问及本次操作权限
3. 甲真实用户进入3次，乙真实用户进入1次，运营账号丙进入1次</x:v>
      </x:c>
      <x:c r="J400" s="9" t="str">
        <x:v>1. 进入直播场次页</x:v>
      </x:c>
      <x:c r="K400" s="9" t="str">
        <x:v>观众人数显示2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来源（当前证据）：liveshow-proto/MainBasis/统一需求文档.md；位置：REQ-f6533f5a2324；行3653
2. 规则：BR-1f63be81988bcae3
3. 未动态验证</x:v>
      </x:c>
    </x:row>
    <x:row r="401" ht="85" customHeight="1">
      <x:c r="A401" s="10" t="n">
        <x:v>400</x:v>
      </x:c>
      <x:c r="B401" s="10" t="str">
        <x:v>ADMIN-03-0043</x:v>
      </x:c>
      <x:c r="C401" s="10" t="str">
        <x:v>主播管理</x:v>
      </x:c>
      <x:c r="D401" s="10" t="str">
        <x:v>直播场次（平台管理员视角）</x:v>
      </x:c>
      <x:c r="E401" s="10" t="str">
        <x:v>逻辑校验</x:v>
      </x:c>
      <x:c r="F401" s="10" t="str">
        <x:v>P1</x:v>
      </x:c>
      <x:c r="G401" s="9" t="str">
        <x:v>验证已结束场次时长取首尾时间</x:v>
      </x:c>
      <x:c r="H401" s="9" t="str">
        <x:v>结束场次累计时长</x:v>
      </x:c>
      <x:c r="I401" s="9" t="str">
        <x:v>1. 执行角色为平台管理员
2. 账号具有当前模块访问及本次操作权限
3. 场次10:00开始11:30结束</x:v>
      </x:c>
      <x:c r="J401" s="9" t="str">
        <x:v>1. 进入直播场次页</x:v>
      </x:c>
      <x:c r="K401" s="9" t="str">
        <x:v>直播时长显示1小时30分钟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来源（当前证据）：liveshow-proto/MainBasis/统一需求文档.md；位置：REQ-3ce993d9e96e；行3657
2. 规则：BR-89dff40caede98bd
3. 未动态验证</x:v>
      </x:c>
    </x:row>
    <x:row r="402" ht="85" customHeight="1">
      <x:c r="A402" s="10" t="n">
        <x:v>401</x:v>
      </x:c>
      <x:c r="B402" s="10" t="str">
        <x:v>ADMIN-03-0044</x:v>
      </x:c>
      <x:c r="C402" s="10" t="str">
        <x:v>主播管理</x:v>
      </x:c>
      <x:c r="D402" s="10" t="str">
        <x:v>直播场次（平台管理员视角）</x:v>
      </x:c>
      <x:c r="E402" s="10" t="str">
        <x:v>逻辑校验</x:v>
      </x:c>
      <x:c r="F402" s="10" t="str">
        <x:v>P1</x:v>
      </x:c>
      <x:c r="G402" s="9" t="str">
        <x:v>验证进行中场次时长取当前时间</x:v>
      </x:c>
      <x:c r="H402" s="9" t="str">
        <x:v>在播场次累计时长</x:v>
      </x:c>
      <x:c r="I402" s="9" t="str">
        <x:v>1. 执行角色为平台管理员
2. 账号具有当前模块访问及本次操作权限
3. 场次10:00开始，当前11:00且未结束</x:v>
      </x:c>
      <x:c r="J402" s="9" t="str">
        <x:v>1. 进入直播场次页</x:v>
      </x:c>
      <x:c r="K402" s="9" t="str">
        <x:v>直播时长显示1小时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来源（当前证据）：liveshow-proto/MainBasis/统一需求文档.md；位置：REQ-3ce993d9e96e；行3657
2. 规则：BR-c8c3c4fdd4078c26
3. 未动态验证</x:v>
      </x:c>
    </x:row>
    <x:row r="403" ht="85" customHeight="1">
      <x:c r="A403" s="10" t="n">
        <x:v>402</x:v>
      </x:c>
      <x:c r="B403" s="10" t="str">
        <x:v>ADMIN-03-0045</x:v>
      </x:c>
      <x:c r="C403" s="10" t="str">
        <x:v>主播管理</x:v>
      </x:c>
      <x:c r="D403" s="10" t="str">
        <x:v>直播场次（平台管理员视角）</x:v>
      </x:c>
      <x:c r="E403" s="10" t="str">
        <x:v>逻辑校验</x:v>
      </x:c>
      <x:c r="F403" s="10" t="str">
        <x:v>P1</x:v>
      </x:c>
      <x:c r="G403" s="9" t="str">
        <x:v>验证场次收礼按成功件数累加</x:v>
      </x:c>
      <x:c r="H403" s="9" t="str">
        <x:v>成功收礼件数</x:v>
      </x:c>
      <x:c r="I403" s="9" t="str">
        <x:v>1. 执行角色为平台管理员
2. 账号具有当前模块访问及本次操作权限
3. 普通礼物成功3件、幸运礼物成功2件、另有失败4件</x:v>
      </x:c>
      <x:c r="J403" s="9" t="str">
        <x:v>1. 进入直播场次页</x:v>
      </x:c>
      <x:c r="K403" s="9" t="str">
        <x:v>收礼数量显示5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来源（当前证据）：liveshow-proto/MainBasis/统一需求文档.md；位置：REQ-e493708640a1；行3659
2. 规则：BR-ba48900054f865e1
3. 未动态验证</x:v>
      </x:c>
    </x:row>
    <x:row r="404" ht="85" customHeight="1">
      <x:c r="A404" s="10" t="n">
        <x:v>403</x:v>
      </x:c>
      <x:c r="B404" s="10" t="str">
        <x:v>ADMIN-03-0046</x:v>
      </x:c>
      <x:c r="C404" s="10" t="str">
        <x:v>主播管理</x:v>
      </x:c>
      <x:c r="D404" s="10" t="str">
        <x:v>直播详情（平台管理员视角）</x:v>
      </x:c>
      <x:c r="E404" s="10" t="str">
        <x:v>逻辑校验</x:v>
      </x:c>
      <x:c r="F404" s="10" t="str">
        <x:v>P1</x:v>
      </x:c>
      <x:c r="G404" s="9" t="str">
        <x:v>验证场次详情保留旧主题快照</x:v>
      </x:c>
      <x:c r="H404" s="9" t="str">
        <x:v>历史主题快照</x:v>
      </x:c>
      <x:c r="I404" s="9" t="str">
        <x:v>1. 执行角色为平台管理员
2. 账号具有当前模块访问及本次操作权限
3. 旧场次主题为A，主播新场次主题改为B</x:v>
      </x:c>
      <x:c r="J404" s="9" t="str">
        <x:v>1. 进入直播详情页</x:v>
      </x:c>
      <x:c r="K404" s="9" t="str">
        <x:v>旧场次标题显示A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来源（当前证据）：liveshow-proto/MainBasis/统一需求文档.md；位置：REQ-2d2ddb82262a；行3672
2. 规则：BR-1f72c60ed76ad9dd
3. 未动态验证</x:v>
      </x:c>
    </x:row>
    <x:row r="405" ht="85" customHeight="1">
      <x:c r="A405" s="10" t="n">
        <x:v>404</x:v>
      </x:c>
      <x:c r="B405" s="10" t="str">
        <x:v>ADMIN-03-0047</x:v>
      </x:c>
      <x:c r="C405" s="10" t="str">
        <x:v>主播管理</x:v>
      </x:c>
      <x:c r="D405" s="10" t="str">
        <x:v>巡房排班（平台管理员视角）</x:v>
      </x:c>
      <x:c r="E405" s="10" t="str">
        <x:v>逻辑校验</x:v>
      </x:c>
      <x:c r="F405" s="10" t="str">
        <x:v>P1</x:v>
      </x:c>
      <x:c r="G405" s="9" t="str">
        <x:v>验证排班人数与有效人员一致</x:v>
      </x:c>
      <x:c r="H405" s="9" t="str">
        <x:v>有效排班人数</x:v>
      </x:c>
      <x:c r="I405" s="9" t="str">
        <x:v>1. 执行角色为平台管理员
2. 账号具有当前模块访问及本次操作权限
3. 当前排班有甲乙2名有效巡房人员</x:v>
      </x:c>
      <x:c r="J405" s="9" t="str">
        <x:v>1. 进入巡房排班页</x:v>
      </x:c>
      <x:c r="K405" s="9" t="str">
        <x:v>排班人数显示2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来源（当前证据）：liveshow-proto/MainBasis/统一需求文档.md；位置：REQ-80ed68710fe9；行3697
2. 规则：BR-18707d5dd6f4ebd2
3. 未动态验证</x:v>
      </x:c>
    </x:row>
    <x:row r="406" ht="85" customHeight="1">
      <x:c r="A406" s="10" t="n">
        <x:v>405</x:v>
      </x:c>
      <x:c r="B406" s="10" t="str">
        <x:v>ADMIN-03-0048</x:v>
      </x:c>
      <x:c r="C406" s="10" t="str">
        <x:v>主播管理</x:v>
      </x:c>
      <x:c r="D406" s="10" t="str">
        <x:v>内容审核（平台管理员视角）</x:v>
      </x:c>
      <x:c r="E406" s="10" t="str">
        <x:v>逻辑校验</x:v>
      </x:c>
      <x:c r="F406" s="10" t="str">
        <x:v>P1</x:v>
      </x:c>
      <x:c r="G406" s="9" t="str">
        <x:v>验证告警采用命中时截图</x:v>
      </x:c>
      <x:c r="H406" s="9" t="str">
        <x:v>命中时告警截图</x:v>
      </x:c>
      <x:c r="I406" s="9" t="str">
        <x:v>1. 执行角色为平台管理员
2. 账号具有当前模块访问及本次操作权限
3. 命中截图A，当前直播画面已变为B</x:v>
      </x:c>
      <x:c r="J406" s="9" t="str">
        <x:v>1. 进入内容审核页</x:v>
      </x:c>
      <x:c r="K406" s="9" t="str">
        <x:v>告警截图仍为A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来源（当前证据）：liveshow-proto/MainBasis/统一需求文档.md；位置：REQ-ade6aaf52550；行3746
2. 规则：BR-2ee58e13d5fbc99a
3. 未动态验证</x:v>
      </x:c>
    </x:row>
    <x:row r="407" ht="85" customHeight="1">
      <x:c r="A407" s="10" t="n">
        <x:v>406</x:v>
      </x:c>
      <x:c r="B407" s="10" t="str">
        <x:v>ADMIN-04-0026</x:v>
      </x:c>
      <x:c r="C407" s="10" t="str">
        <x:v>举报处理</x:v>
      </x:c>
      <x:c r="D407" s="10" t="str">
        <x:v>账号违规（平台管理员视角）</x:v>
      </x:c>
      <x:c r="E407" s="10" t="str">
        <x:v>逻辑校验</x:v>
      </x:c>
      <x:c r="F407" s="10" t="str">
        <x:v>P1</x:v>
      </x:c>
      <x:c r="G407" s="9" t="str">
        <x:v>验证账号举报采用工单生成时间</x:v>
      </x:c>
      <x:c r="H407" s="9" t="str">
        <x:v>举报工单提交时间</x:v>
      </x:c>
      <x:c r="I407" s="9" t="str">
        <x:v>1. 执行角色为平台管理员
2. 账号具有当前模块访问及本次操作权限
3. 工单9月15日10:00生成，9月16日处理</x:v>
      </x:c>
      <x:c r="J407" s="9" t="str">
        <x:v>1. 进入账号违规页</x:v>
      </x:c>
      <x:c r="K407" s="9" t="str">
        <x:v>提交时间显示9月15日10:00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来源（当前证据）：liveshow-proto/MainBasis/统一需求文档.md；位置：REQ-3c1c025bcfe4；行3786
2. 规则：BR-94042d30bb3f6801
3. 未动态验证</x:v>
      </x:c>
    </x:row>
    <x:row r="408" ht="85" customHeight="1">
      <x:c r="A408" s="10" t="n">
        <x:v>407</x:v>
      </x:c>
      <x:c r="B408" s="10" t="str">
        <x:v>ADMIN-05-0014</x:v>
      </x:c>
      <x:c r="C408" s="10" t="str">
        <x:v>公会管理</x:v>
      </x:c>
      <x:c r="D408" s="10" t="str">
        <x:v>公会详情（平台管理员视角）</x:v>
      </x:c>
      <x:c r="E408" s="10" t="str">
        <x:v>逻辑校验</x:v>
      </x:c>
      <x:c r="F408" s="10" t="str">
        <x:v>P1</x:v>
      </x:c>
      <x:c r="G408" s="9" t="str">
        <x:v>验证公会详情隔离外会主播</x:v>
      </x:c>
      <x:c r="H408" s="9" t="str">
        <x:v>本公会主播隔离</x:v>
      </x:c>
      <x:c r="I408" s="9" t="str">
        <x:v>1. 执行角色为平台管理员
2. 账号具有当前模块访问及本次操作权限
3. 甲当前属于A公会，乙属于B，当前查看A</x:v>
      </x:c>
      <x:c r="J408" s="9" t="str">
        <x:v>1. 进入公会详情页</x:v>
      </x:c>
      <x:c r="K408" s="9" t="str">
        <x:v>主播列表不显示乙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来源（当前证据）：liveshow-proto/MainBasis/统一需求文档.md；位置：REQ-7e8aa5a1b03d；行3904
2. 规则：BR-c44dd99c5f3a743b
3. 未动态验证</x:v>
      </x:c>
    </x:row>
    <x:row r="409" ht="85" customHeight="1">
      <x:c r="A409" s="10" t="n">
        <x:v>408</x:v>
      </x:c>
      <x:c r="B409" s="10" t="str">
        <x:v>ADMIN-06-0059</x:v>
      </x:c>
      <x:c r="C409" s="10" t="str">
        <x:v>礼物道具</x:v>
      </x:c>
      <x:c r="D409" s="10" t="str">
        <x:v>道具配置（平台管理员视角）</x:v>
      </x:c>
      <x:c r="E409" s="10" t="str">
        <x:v>逻辑校验</x:v>
      </x:c>
      <x:c r="F409" s="10" t="str">
        <x:v>P1</x:v>
      </x:c>
      <x:c r="G409" s="9" t="str">
        <x:v>验证道具按权重倒序</x:v>
      </x:c>
      <x:c r="H409" s="9" t="str">
        <x:v>道具权重排序</x:v>
      </x:c>
      <x:c r="I409" s="9" t="str">
        <x:v>1. 执行角色为平台管理员
2. 账号具有当前模块访问及本次操作权限
3. 道具A权重1、B权重2，其他筛选一致</x:v>
      </x:c>
      <x:c r="J409" s="9" t="str">
        <x:v>1. 进入道具配置页</x:v>
      </x:c>
      <x:c r="K409" s="9" t="str">
        <x:v>B排列在A之前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来源（当前证据）：liveshow-proto/MainBasis/统一需求文档.md；位置：REQ-25100e7e30da；行4042
2. 规则：BR-4961ad9cd961c9ce
3. 未动态验证</x:v>
      </x:c>
    </x:row>
    <x:row r="410" ht="85" customHeight="1">
      <x:c r="A410" s="10" t="n">
        <x:v>409</x:v>
      </x:c>
      <x:c r="B410" s="10" t="str">
        <x:v>ADMIN-06-0060</x:v>
      </x:c>
      <x:c r="C410" s="10" t="str">
        <x:v>礼物道具</x:v>
      </x:c>
      <x:c r="D410" s="10" t="str">
        <x:v>道具详情（平台管理员视角）</x:v>
      </x:c>
      <x:c r="E410" s="10" t="str">
        <x:v>逻辑校验</x:v>
      </x:c>
      <x:c r="F410" s="10" t="str">
        <x:v>P1</x:v>
      </x:c>
      <x:c r="G410" s="9" t="str">
        <x:v>验证已有道具ID不可编辑</x:v>
      </x:c>
      <x:c r="H410" s="9" t="str">
        <x:v>道具ID只读</x:v>
      </x:c>
      <x:c r="I410" s="9" t="str">
        <x:v>1. 执行角色为平台管理员
2. 账号具有当前模块访问及本次操作权限
3. 当前编辑道具ID为P001</x:v>
      </x:c>
      <x:c r="J410" s="9" t="str">
        <x:v>1. 进入道具详情页</x:v>
      </x:c>
      <x:c r="K410" s="9" t="str">
        <x:v>道具ID不可编辑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来源（当前证据）：liveshow-proto/MainBasis/统一需求文档.md；位置：REQ-03268bba06f4；行4059
2. 规则：BR-ce32ca20c9b595a9
3. 未动态验证</x:v>
      </x:c>
    </x:row>
    <x:row r="411" ht="85" customHeight="1">
      <x:c r="A411" s="10" t="n">
        <x:v>410</x:v>
      </x:c>
      <x:c r="B411" s="10" t="str">
        <x:v>ADMIN-06-0061</x:v>
      </x:c>
      <x:c r="C411" s="10" t="str">
        <x:v>礼物道具</x:v>
      </x:c>
      <x:c r="D411" s="10" t="str">
        <x:v>道具详情（平台管理员视角）</x:v>
      </x:c>
      <x:c r="E411" s="10" t="str">
        <x:v>逻辑校验</x:v>
      </x:c>
      <x:c r="F411" s="10" t="str">
        <x:v>P1</x:v>
      </x:c>
      <x:c r="G411" s="9" t="str">
        <x:v>验证道具修改保留操作记录</x:v>
      </x:c>
      <x:c r="H411" s="9" t="str">
        <x:v>道具修改审计记录</x:v>
      </x:c>
      <x:c r="I411" s="9" t="str">
        <x:v>1. 执行角色为平台管理员
2. 账号具有当前模块访问及本次操作权限
3. 管理员qa-admin在9月16日10:00保存单价由10改为20</x:v>
      </x:c>
      <x:c r="J411" s="9" t="str">
        <x:v>1. 进入道具详情页</x:v>
      </x:c>
      <x:c r="K411" s="9" t="str">
        <x:v>操作记录包含qa-admin的该次价格修改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来源（当前证据）：liveshow-proto/MainBasis/统一需求文档.md；位置：REQ-ff8a065e154b；行4075
2. 规则：BR-71ee7fa0ecb36a76
3. 未动态验证</x:v>
      </x:c>
    </x:row>
    <x:row r="412" ht="85" customHeight="1">
      <x:c r="A412" s="10" t="n">
        <x:v>411</x:v>
      </x:c>
      <x:c r="B412" s="10" t="str">
        <x:v>ADMIN-07-0108</x:v>
      </x:c>
      <x:c r="C412" s="10" t="str">
        <x:v>运营配置</x:v>
      </x:c>
      <x:c r="D412" s="10" t="str">
        <x:v>展位配置（平台管理员视角）</x:v>
      </x:c>
      <x:c r="E412" s="10" t="str">
        <x:v>逻辑校验</x:v>
      </x:c>
      <x:c r="F412" s="10" t="str">
        <x:v>P1</x:v>
      </x:c>
      <x:c r="G412" s="9" t="str">
        <x:v>验证展位素材数量取当前配置</x:v>
      </x:c>
      <x:c r="H412" s="9" t="str">
        <x:v>展位素材数量</x:v>
      </x:c>
      <x:c r="I412" s="9" t="str">
        <x:v>1. 执行角色为平台管理员
2. 账号具有当前模块访问及本次操作权限
3. 同一展位配置有3项轮播素材</x:v>
      </x:c>
      <x:c r="J412" s="9" t="str">
        <x:v>1. 进入展位配置页</x:v>
      </x:c>
      <x:c r="K412" s="9" t="str">
        <x:v>展示素材数量显示3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来源（当前证据）：liveshow-proto/MainBasis/统一需求文档.md；位置：REQ-0d4de4506e78；行4118
2. 规则：BR-aea59d07e3562315
3. 未动态验证</x:v>
      </x:c>
    </x:row>
    <x:row r="413" ht="85" customHeight="1">
      <x:c r="A413" s="10" t="n">
        <x:v>412</x:v>
      </x:c>
      <x:c r="B413" s="10" t="str">
        <x:v>ADMIN-07-0109</x:v>
      </x:c>
      <x:c r="C413" s="10" t="str">
        <x:v>运营配置</x:v>
      </x:c>
      <x:c r="D413" s="10" t="str">
        <x:v>展位配置（平台管理员视角）</x:v>
      </x:c>
      <x:c r="E413" s="10" t="str">
        <x:v>逻辑校验</x:v>
      </x:c>
      <x:c r="F413" s="10" t="str">
        <x:v>P1</x:v>
      </x:c>
      <x:c r="G413" s="9" t="str">
        <x:v>验证关闭展位即使在排期内仍隐藏</x:v>
      </x:c>
      <x:c r="H413" s="9" t="str">
        <x:v>关闭配置展示状态</x:v>
      </x:c>
      <x:c r="I413" s="9" t="str">
        <x:v>1. 执行角色为平台管理员
2. 账号具有当前模块访问及本次操作权限
3. 今天在排期内但配置状态关闭</x:v>
      </x:c>
      <x:c r="J413" s="9" t="str">
        <x:v>1. 进入展位配置页</x:v>
      </x:c>
      <x:c r="K413" s="9" t="str">
        <x:v>配置状态显示隐藏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来源（当前证据）：liveshow-proto/MainBasis/统一需求文档.md；位置：REQ-9b4d4ca94e66；行4122
2. 规则：BR-c6d18703b5d883b5
3. 未动态验证</x:v>
      </x:c>
    </x:row>
    <x:row r="414" ht="85" customHeight="1">
      <x:c r="A414" s="10" t="n">
        <x:v>413</x:v>
      </x:c>
      <x:c r="B414" s="10" t="str">
        <x:v>ADMIN-07-0110</x:v>
      </x:c>
      <x:c r="C414" s="10" t="str">
        <x:v>运营配置</x:v>
      </x:c>
      <x:c r="D414" s="10" t="str">
        <x:v>展位配置（平台管理员视角）</x:v>
      </x:c>
      <x:c r="E414" s="10" t="str">
        <x:v>逻辑校验</x:v>
      </x:c>
      <x:c r="F414" s="10" t="str">
        <x:v>P1</x:v>
      </x:c>
      <x:c r="G414" s="9" t="str">
        <x:v>验证展位开始日前隐藏</x:v>
      </x:c>
      <x:c r="H414" s="9" t="str">
        <x:v>排期开始前展示状态</x:v>
      </x:c>
      <x:c r="I414" s="9" t="str">
        <x:v>1. 执行角色为平台管理员
2. 账号具有当前模块访问及本次操作权限
3. 配置启用，今天早于开始日1天</x:v>
      </x:c>
      <x:c r="J414" s="9" t="str">
        <x:v>1. 进入展位配置页</x:v>
      </x:c>
      <x:c r="K414" s="9" t="str">
        <x:v>配置状态显示隐藏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来源（当前证据）：liveshow-proto/MainBasis/统一需求文档.md；位置：REQ-9b4d4ca94e66；行4122
2. 规则：BR-a3679a8d77c46241
3. 未动态验证</x:v>
      </x:c>
    </x:row>
    <x:row r="415" ht="85" customHeight="1">
      <x:c r="A415" s="10" t="n">
        <x:v>414</x:v>
      </x:c>
      <x:c r="B415" s="10" t="str">
        <x:v>ADMIN-07-0111</x:v>
      </x:c>
      <x:c r="C415" s="10" t="str">
        <x:v>运营配置</x:v>
      </x:c>
      <x:c r="D415" s="10" t="str">
        <x:v>展位配置（平台管理员视角）</x:v>
      </x:c>
      <x:c r="E415" s="10" t="str">
        <x:v>逻辑校验</x:v>
      </x:c>
      <x:c r="F415" s="10" t="str">
        <x:v>P1</x:v>
      </x:c>
      <x:c r="G415" s="9" t="str">
        <x:v>验证展位结束日后隐藏</x:v>
      </x:c>
      <x:c r="H415" s="9" t="str">
        <x:v>排期结束后展示状态</x:v>
      </x:c>
      <x:c r="I415" s="9" t="str">
        <x:v>1. 执行角色为平台管理员
2. 账号具有当前模块访问及本次操作权限
3. 配置启用，今天晚于结束日1天</x:v>
      </x:c>
      <x:c r="J415" s="9" t="str">
        <x:v>1. 进入展位配置页</x:v>
      </x:c>
      <x:c r="K415" s="9" t="str">
        <x:v>配置状态显示隐藏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来源（当前证据）：liveshow-proto/MainBasis/统一需求文档.md；位置：REQ-9b4d4ca94e66；行4122
2. 规则：BR-a8500d546ea0c95f
3. 未动态验证</x:v>
      </x:c>
    </x:row>
    <x:row r="416" ht="85" customHeight="1">
      <x:c r="A416" s="10" t="n">
        <x:v>415</x:v>
      </x:c>
      <x:c r="B416" s="10" t="str">
        <x:v>ADMIN-07-0112</x:v>
      </x:c>
      <x:c r="C416" s="10" t="str">
        <x:v>运营配置</x:v>
      </x:c>
      <x:c r="D416" s="10" t="str">
        <x:v>推送管理（平台管理员视角）</x:v>
      </x:c>
      <x:c r="E416" s="10" t="str">
        <x:v>逻辑校验</x:v>
      </x:c>
      <x:c r="F416" s="10" t="str">
        <x:v>P1</x:v>
      </x:c>
      <x:c r="G416" s="9" t="str">
        <x:v>验证推送列表显示中文标题</x:v>
      </x:c>
      <x:c r="H416" s="9" t="str">
        <x:v>推送中文列表标题</x:v>
      </x:c>
      <x:c r="I416" s="9" t="str">
        <x:v>1. 执行角色为平台管理员
2. 账号具有当前模块访问及本次操作权限
3. 同任务中文标题QA中文，英语标题QAEnglish</x:v>
      </x:c>
      <x:c r="J416" s="9" t="str">
        <x:v>1. 进入推送管理页</x:v>
      </x:c>
      <x:c r="K416" s="9" t="str">
        <x:v>列表标题显示QA中文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来源（当前证据）：liveshow-proto/MainBasis/统一需求文档.md；位置：REQ-319ba1ede3b6；行4160
2. 规则：BR-c9e1186aa225d286
3. 未动态验证</x:v>
      </x:c>
    </x:row>
    <x:row r="417" ht="85" customHeight="1">
      <x:c r="A417" s="10" t="n">
        <x:v>416</x:v>
      </x:c>
      <x:c r="B417" s="10" t="str">
        <x:v>ADMIN-07-0113</x:v>
      </x:c>
      <x:c r="C417" s="10" t="str">
        <x:v>运营配置</x:v>
      </x:c>
      <x:c r="D417" s="10" t="str">
        <x:v>推送编辑（平台管理员视角）</x:v>
      </x:c>
      <x:c r="E417" s="10" t="str">
        <x:v>逻辑校验</x:v>
      </x:c>
      <x:c r="F417" s="10" t="str">
        <x:v>P1</x:v>
      </x:c>
      <x:c r="G417" s="9" t="str">
        <x:v>验证推送ID不允许修改</x:v>
      </x:c>
      <x:c r="H417" s="9" t="str">
        <x:v>推送ID只读</x:v>
      </x:c>
      <x:c r="I417" s="9" t="str">
        <x:v>1. 执行角色为平台管理员
2. 账号具有当前模块访问及本次操作权限
3. 当前任务已创建但未发送</x:v>
      </x:c>
      <x:c r="J417" s="9" t="str">
        <x:v>1. 进入推送编辑页</x:v>
      </x:c>
      <x:c r="K417" s="9" t="str">
        <x:v>推送ID不可编辑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来源（当前证据）：liveshow-proto/MainBasis/统一需求文档.md；位置：REQ-6e1fce05cb71；行4177
2. 规则：BR-ec5b9271be6c44f9
3. 未动态验证</x:v>
      </x:c>
    </x:row>
    <x:row r="418" ht="85" customHeight="1">
      <x:c r="A418" s="10" t="n">
        <x:v>417</x:v>
      </x:c>
      <x:c r="B418" s="10" t="str">
        <x:v>ADMIN-07-0114</x:v>
      </x:c>
      <x:c r="C418" s="10" t="str">
        <x:v>运营配置</x:v>
      </x:c>
      <x:c r="D418" s="10" t="str">
        <x:v>充值套餐（平台管理员视角）</x:v>
      </x:c>
      <x:c r="E418" s="10" t="str">
        <x:v>逻辑校验</x:v>
      </x:c>
      <x:c r="F418" s="10" t="str">
        <x:v>P1</x:v>
      </x:c>
      <x:c r="G418" s="9" t="str">
        <x:v>验证套餐列表分别显示两平台到账金币</x:v>
      </x:c>
      <x:c r="H418" s="9" t="str">
        <x:v>iOS到账金币</x:v>
      </x:c>
      <x:c r="I418" s="9" t="str">
        <x:v>1. 执行角色为平台管理员
2. 账号具有当前模块访问及本次操作权限
3. iOS基础100赠送20，Android基础200赠送30</x:v>
      </x:c>
      <x:c r="J418" s="9" t="str">
        <x:v>1. 进入充值套餐页</x:v>
      </x:c>
      <x:c r="K418" s="9" t="str">
        <x:v>iOS到账金币显示120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来源（当前证据）：liveshow-proto/MainBasis/统一需求文档.md；位置：REQ-a5a3c5ad5408；行4194
2. 规则：BR-9e4c1db60143eb9b
3. 未动态验证</x:v>
      </x:c>
    </x:row>
    <x:row r="419" ht="85" customHeight="1">
      <x:c r="A419" s="10" t="n">
        <x:v>418</x:v>
      </x:c>
      <x:c r="B419" s="10" t="str">
        <x:v>ADMIN-07-0115</x:v>
      </x:c>
      <x:c r="C419" s="10" t="str">
        <x:v>运营配置</x:v>
      </x:c>
      <x:c r="D419" s="10" t="str">
        <x:v>充值套餐（平台管理员视角）</x:v>
      </x:c>
      <x:c r="E419" s="10" t="str">
        <x:v>逻辑校验</x:v>
      </x:c>
      <x:c r="F419" s="10" t="str">
        <x:v>P1</x:v>
      </x:c>
      <x:c r="G419" s="9" t="str">
        <x:v>验证套餐列表Android到账合计</x:v>
      </x:c>
      <x:c r="H419" s="9" t="str">
        <x:v>Android到账金币</x:v>
      </x:c>
      <x:c r="I419" s="9" t="str">
        <x:v>1. 执行角色为平台管理员
2. 账号具有当前模块访问及本次操作权限
3. iOS基础100赠送20，Android基础200赠送30</x:v>
      </x:c>
      <x:c r="J419" s="9" t="str">
        <x:v>1. 进入充值套餐页</x:v>
      </x:c>
      <x:c r="K419" s="9" t="str">
        <x:v>Android到账金币显示230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来源（当前证据）：liveshow-proto/MainBasis/统一需求文档.md；位置：REQ-a5a3c5ad5408；行4194
2. 规则：BR-ba896d5605c56ae8
3. 未动态验证</x:v>
      </x:c>
    </x:row>
    <x:row r="420" ht="85" customHeight="1">
      <x:c r="A420" s="10" t="n">
        <x:v>419</x:v>
      </x:c>
      <x:c r="B420" s="10" t="str">
        <x:v>ADMIN-07-0116</x:v>
      </x:c>
      <x:c r="C420" s="10" t="str">
        <x:v>运营配置</x:v>
      </x:c>
      <x:c r="D420" s="10" t="str">
        <x:v>充值套餐编辑（平台管理员视角）</x:v>
      </x:c>
      <x:c r="E420" s="10" t="str">
        <x:v>逻辑校验</x:v>
      </x:c>
      <x:c r="F420" s="10" t="str">
        <x:v>P1</x:v>
      </x:c>
      <x:c r="G420" s="9" t="str">
        <x:v>验证套餐更新时间不可手工修改</x:v>
      </x:c>
      <x:c r="H420" s="9" t="str">
        <x:v>套餐更新时间只读</x:v>
      </x:c>
      <x:c r="I420" s="9" t="str">
        <x:v>1. 执行角色为平台管理员
2. 账号具有当前模块访问及本次操作权限
3. 当前编辑已有套餐</x:v>
      </x:c>
      <x:c r="J420" s="9" t="str">
        <x:v>1. 进入充值套餐编辑页</x:v>
      </x:c>
      <x:c r="K420" s="9" t="str">
        <x:v>更新时间不可编辑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来源（当前证据）：liveshow-proto/MainBasis/统一需求文档.md；位置：REQ-76864f7b32fa；行4219
2. 规则：BR-8990f13b7dac11a9
3. 未动态验证</x:v>
      </x:c>
    </x:row>
    <x:row r="421" ht="85" customHeight="1">
      <x:c r="A421" s="10" t="n">
        <x:v>420</x:v>
      </x:c>
      <x:c r="B421" s="10" t="str">
        <x:v>ADMIN-07-0117</x:v>
      </x:c>
      <x:c r="C421" s="10" t="str">
        <x:v>运营配置</x:v>
      </x:c>
      <x:c r="D421" s="10" t="str">
        <x:v>任务编辑（平台管理员视角）</x:v>
      </x:c>
      <x:c r="E421" s="10" t="str">
        <x:v>逻辑校验</x:v>
      </x:c>
      <x:c r="F421" s="10" t="str">
        <x:v>P1</x:v>
      </x:c>
      <x:c r="G421" s="9" t="str">
        <x:v>验证任务指标限定可选周期</x:v>
      </x:c>
      <x:c r="H421" s="9" t="str">
        <x:v>指标支持的任务周期</x:v>
      </x:c>
      <x:c r="I421" s="9" t="str">
        <x:v>1. 执行角色为平台管理员
2. 账号具有当前模块访问及本次操作权限
3. 后台系统预置所选指标只支持每日和每周</x:v>
      </x:c>
      <x:c r="J421" s="9" t="str">
        <x:v>1. 进入任务编辑页</x:v>
      </x:c>
      <x:c r="K421" s="9" t="str">
        <x:v>周期选择中不提供每月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来源（当前证据）：liveshow-proto/MainBasis/统一需求文档.md；位置：REQ-5c03e90ebfc9；行4275
2. 规则：BR-92b8cef55f57956a
3. 未动态验证</x:v>
      </x:c>
    </x:row>
    <x:row r="422" ht="85" customHeight="1">
      <x:c r="A422" s="10" t="n">
        <x:v>421</x:v>
      </x:c>
      <x:c r="B422" s="10" t="str">
        <x:v>ADMIN-07-0118</x:v>
      </x:c>
      <x:c r="C422" s="10" t="str">
        <x:v>运营配置</x:v>
      </x:c>
      <x:c r="D422" s="10" t="str">
        <x:v>公会推荐（平台管理员视角）</x:v>
      </x:c>
      <x:c r="E422" s="10" t="str">
        <x:v>逻辑校验</x:v>
      </x:c>
      <x:c r="F422" s="10" t="str">
        <x:v>P1</x:v>
      </x:c>
      <x:c r="G422" s="9" t="str">
        <x:v>验证公会推荐按权重倒序</x:v>
      </x:c>
      <x:c r="H422" s="9" t="str">
        <x:v>推荐公会权重排序</x:v>
      </x:c>
      <x:c r="I422" s="9" t="str">
        <x:v>1. 执行角色为平台管理员
2. 账号具有当前模块访问及本次操作权限
3. 有效公会A权重1、B权重2</x:v>
      </x:c>
      <x:c r="J422" s="9" t="str">
        <x:v>1. 进入公会推荐页</x:v>
      </x:c>
      <x:c r="K422" s="9" t="str">
        <x:v>B排列在A之前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来源（当前证据）：liveshow-proto/MainBasis/统一需求文档.md；位置：REQ-7eb27df2e14d；行4292
2. 规则：BR-606a97d42daad3a6
3. 未动态验证</x:v>
      </x:c>
    </x:row>
    <x:row r="423" ht="85" customHeight="1">
      <x:c r="A423" s="10" t="n">
        <x:v>422</x:v>
      </x:c>
      <x:c r="B423" s="10" t="str">
        <x:v>ADMIN-07-0119</x:v>
      </x:c>
      <x:c r="C423" s="10" t="str">
        <x:v>运营配置</x:v>
      </x:c>
      <x:c r="D423" s="10" t="str">
        <x:v>门票价格档位（平台管理员视角）</x:v>
      </x:c>
      <x:c r="E423" s="10" t="str">
        <x:v>逻辑校验</x:v>
      </x:c>
      <x:c r="F423" s="10" t="str">
        <x:v>P1</x:v>
      </x:c>
      <x:c r="G423" s="9" t="str">
        <x:v>验证门票档位按排序升序</x:v>
      </x:c>
      <x:c r="H423" s="9" t="str">
        <x:v>门票档位顺序</x:v>
      </x:c>
      <x:c r="I423" s="9" t="str">
        <x:v>1. 执行角色为平台管理员
2. 账号具有当前模块访问及本次操作权限
3. 10金币档位排序2，20金币档位排序1</x:v>
      </x:c>
      <x:c r="J423" s="9" t="str">
        <x:v>1. 进入门票价格档位页</x:v>
      </x:c>
      <x:c r="K423" s="9" t="str">
        <x:v>20金币档位排列在10金币档位之前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来源（当前证据）：liveshow-proto/MainBasis/统一需求文档.md；位置：REQ-ac4a4eff06b1；行4397
2. 规则：BR-d1b8961e7a86fc11
3. 未动态验证</x:v>
      </x:c>
    </x:row>
    <x:row r="424" ht="85" customHeight="1">
      <x:c r="A424" s="10" t="n">
        <x:v>423</x:v>
      </x:c>
      <x:c r="B424" s="10" t="str">
        <x:v>ADMIN-07-0120</x:v>
      </x:c>
      <x:c r="C424" s="10" t="str">
        <x:v>运营配置</x:v>
      </x:c>
      <x:c r="D424" s="10" t="str">
        <x:v>门票价格档位编辑（平台管理员视角）</x:v>
      </x:c>
      <x:c r="E424" s="10" t="str">
        <x:v>逻辑校验</x:v>
      </x:c>
      <x:c r="F424" s="10" t="str">
        <x:v>P1</x:v>
      </x:c>
      <x:c r="G424" s="9" t="str">
        <x:v>验证门票档位ID不可修改</x:v>
      </x:c>
      <x:c r="H424" s="9" t="str">
        <x:v>档位ID只读</x:v>
      </x:c>
      <x:c r="I424" s="9" t="str">
        <x:v>1. 执行角色为平台管理员
2. 账号具有当前模块访问及本次操作权限
3. 当前编辑已有门票档位</x:v>
      </x:c>
      <x:c r="J424" s="9" t="str">
        <x:v>1. 进入门票价格档位编辑页</x:v>
      </x:c>
      <x:c r="K424" s="9" t="str">
        <x:v>档位ID不可编辑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来源（当前证据）：liveshow-proto/MainBasis/统一需求文档.md；位置：REQ-94707bfb0d9e；行4408
2. 规则：BR-b1c9f96118052712
3. 未动态验证</x:v>
      </x:c>
    </x:row>
    <x:row r="425" ht="85" customHeight="1">
      <x:c r="A425" s="10" t="n">
        <x:v>424</x:v>
      </x:c>
      <x:c r="B425" s="10" t="str">
        <x:v>ADMIN-07-0121</x:v>
      </x:c>
      <x:c r="C425" s="10" t="str">
        <x:v>运营配置</x:v>
      </x:c>
      <x:c r="D425" s="10" t="str">
        <x:v>敏感词编辑（平台管理员视角）</x:v>
      </x:c>
      <x:c r="E425" s="10" t="str">
        <x:v>逻辑校验</x:v>
      </x:c>
      <x:c r="F425" s="10" t="str">
        <x:v>P1</x:v>
      </x:c>
      <x:c r="G425" s="9" t="str">
        <x:v>验证敏感词ID不可修改</x:v>
      </x:c>
      <x:c r="H425" s="9" t="str">
        <x:v>敏感词ID只读</x:v>
      </x:c>
      <x:c r="I425" s="9" t="str">
        <x:v>1. 执行角色为平台管理员
2. 账号具有当前模块访问及本次操作权限
3. 当前编辑已有敏感词</x:v>
      </x:c>
      <x:c r="J425" s="9" t="str">
        <x:v>1. 进入敏感词编辑页</x:v>
      </x:c>
      <x:c r="K425" s="9" t="str">
        <x:v>词条ID不可编辑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来源（当前证据）：liveshow-proto/MainBasis/统一需求文档.md；位置：REQ-17515d7f2715；行4442
2. 规则：BR-582543f27f4164aa
3. 未动态验证</x:v>
      </x:c>
    </x:row>
    <x:row r="426" ht="85" customHeight="1">
      <x:c r="A426" s="10" t="n">
        <x:v>425</x:v>
      </x:c>
      <x:c r="B426" s="10" t="str">
        <x:v>ADMIN-08-0018</x:v>
      </x:c>
      <x:c r="C426" s="10" t="str">
        <x:v>订单管理</x:v>
      </x:c>
      <x:c r="D426" s="10" t="str">
        <x:v>充值订单（平台管理员视角）</x:v>
      </x:c>
      <x:c r="E426" s="10" t="str">
        <x:v>逻辑校验</x:v>
      </x:c>
      <x:c r="F426" s="10" t="str">
        <x:v>P1</x:v>
      </x:c>
      <x:c r="G426" s="9" t="str">
        <x:v>验证充值成功时间采用入账完成时点</x:v>
      </x:c>
      <x:c r="H426" s="9" t="str">
        <x:v>金币入账完成时间</x:v>
      </x:c>
      <x:c r="I426" s="9" t="str">
        <x:v>1. 执行角色为平台管理员
2. 账号具有当前模块访问及本次操作权限
3. 渠道支付10:00成功，金币10:01完成入账</x:v>
      </x:c>
      <x:c r="J426" s="9" t="str">
        <x:v>1. 进入充值订单页</x:v>
      </x:c>
      <x:c r="K426" s="9" t="str">
        <x:v>成功时间显示10:01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来源（当前证据）：liveshow-proto/MainBasis/统一需求文档.md；位置：REQ-7f813be30fd7；行4471
2. 规则：BR-faf028fb9c2beb4b
3. 未动态验证</x:v>
      </x:c>
    </x:row>
    <x:row r="427" ht="85" customHeight="1">
      <x:c r="A427" s="10" t="n">
        <x:v>426</x:v>
      </x:c>
      <x:c r="B427" s="10" t="str">
        <x:v>ADMIN-08-0019</x:v>
      </x:c>
      <x:c r="C427" s="10" t="str">
        <x:v>订单管理</x:v>
      </x:c>
      <x:c r="D427" s="10" t="str">
        <x:v>充值订单详情（平台管理员视角）</x:v>
      </x:c>
      <x:c r="E427" s="10" t="str">
        <x:v>逻辑校验</x:v>
      </x:c>
      <x:c r="F427" s="10" t="str">
        <x:v>P1</x:v>
      </x:c>
      <x:c r="G427" s="9" t="str">
        <x:v>验证充值渠道交易号只读</x:v>
      </x:c>
      <x:c r="H427" s="9" t="str">
        <x:v>渠道交易号只读</x:v>
      </x:c>
      <x:c r="I427" s="9" t="str">
        <x:v>1. 执行角色为平台管理员
2. 账号具有当前模块访问及本次操作权限
3. 原渠道交易号T001</x:v>
      </x:c>
      <x:c r="J427" s="9" t="str">
        <x:v>1. 进入充值订单详情页</x:v>
      </x:c>
      <x:c r="K427" s="9" t="str">
        <x:v>渠道交易号不可编辑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来源（当前证据）：liveshow-proto/MainBasis/统一需求文档.md；位置：REQ-c72fb3713d2f；行4482
2. 规则：BR-3ed5fd90538ff974
3. 未动态验证</x:v>
      </x:c>
    </x:row>
    <x:row r="428" ht="85" customHeight="1">
      <x:c r="A428" s="10" t="n">
        <x:v>427</x:v>
      </x:c>
      <x:c r="B428" s="10" t="str">
        <x:v>ADMIN-08-0020</x:v>
      </x:c>
      <x:c r="C428" s="10" t="str">
        <x:v>订单管理</x:v>
      </x:c>
      <x:c r="D428" s="10" t="str">
        <x:v>消费订单（平台管理员视角）</x:v>
      </x:c>
      <x:c r="E428" s="10" t="str">
        <x:v>逻辑校验</x:v>
      </x:c>
      <x:c r="F428" s="10" t="str">
        <x:v>P1</x:v>
      </x:c>
      <x:c r="G428" s="9" t="str">
        <x:v>验证消费类型枚举范围</x:v>
      </x:c>
      <x:c r="H428" s="9" t="str">
        <x:v>消费类型选项</x:v>
      </x:c>
      <x:c r="I428" s="9" t="str">
        <x:v>1. 执行角色为平台管理员
2. 账号具有当前模块访问及本次操作权限
3. 当前查询消费订单</x:v>
      </x:c>
      <x:c r="J428" s="9" t="str">
        <x:v>1. 进入消费订单页</x:v>
      </x:c>
      <x:c r="K428" s="9" t="str">
        <x:v>消费类型包含普通礼物、定制礼物、幸运礼物、门票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来源（当前证据）：liveshow-proto/MainBasis/统一需求文档.md；位置：REQ-eb15e7a904d2；行4507
2. 规则：BR-99a89307d0fa7941
3. 未动态验证</x:v>
      </x:c>
    </x:row>
    <x:row r="429" ht="85" customHeight="1">
      <x:c r="A429" s="10" t="n">
        <x:v>428</x:v>
      </x:c>
      <x:c r="B429" s="10" t="str">
        <x:v>ADMIN-08-0021</x:v>
      </x:c>
      <x:c r="C429" s="10" t="str">
        <x:v>订单管理</x:v>
      </x:c>
      <x:c r="D429" s="10" t="str">
        <x:v>消费订单（平台管理员视角）</x:v>
      </x:c>
      <x:c r="E429" s="10" t="str">
        <x:v>逻辑校验</x:v>
      </x:c>
      <x:c r="F429" s="10" t="str">
        <x:v>P1</x:v>
      </x:c>
      <x:c r="G429" s="9" t="str">
        <x:v>验证失败消费不生成成功订单</x:v>
      </x:c>
      <x:c r="H429" s="9" t="str">
        <x:v>失败消费订单排除</x:v>
      </x:c>
      <x:c r="I429" s="9" t="str">
        <x:v>1. 执行角色为平台管理员
2. 账号具有当前模块访问及本次操作权限
3. 测试业务请求A因余额不足失败，另有成功B</x:v>
      </x:c>
      <x:c r="J429" s="9" t="str">
        <x:v>1. 进入消费订单页</x:v>
      </x:c>
      <x:c r="K429" s="9" t="str">
        <x:v>成功订单列表不包含请求A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来源（当前证据）：liveshow-proto/MainBasis/统一需求文档.md；位置：REQ-106eebc01ff5；行4519
2. 规则：BR-e73d6e9d64a4cf0f
3. 未动态验证</x:v>
      </x:c>
    </x:row>
    <x:row r="430" ht="85" customHeight="1">
      <x:c r="A430" s="10" t="n">
        <x:v>429</x:v>
      </x:c>
      <x:c r="B430" s="10" t="str">
        <x:v>ADMIN-08-0022</x:v>
      </x:c>
      <x:c r="C430" s="10" t="str">
        <x:v>订单管理</x:v>
      </x:c>
      <x:c r="D430" s="10" t="str">
        <x:v>消费订单详情（平台管理员视角）</x:v>
      </x:c>
      <x:c r="E430" s="10" t="str">
        <x:v>逻辑校验</x:v>
      </x:c>
      <x:c r="F430" s="10" t="str">
        <x:v>P1</x:v>
      </x:c>
      <x:c r="G430" s="9" t="str">
        <x:v>验证消费归属保留发生时场次</x:v>
      </x:c>
      <x:c r="H430" s="9" t="str">
        <x:v>消费场次快照</x:v>
      </x:c>
      <x:c r="I430" s="9" t="str">
        <x:v>1. 执行角色为平台管理员
2. 账号具有当前模块访问及本次操作权限
3. 订单归属场次S1，主播后来开播S2</x:v>
      </x:c>
      <x:c r="J430" s="9" t="str">
        <x:v>1. 进入消费订单详情页</x:v>
      </x:c>
      <x:c r="K430" s="9" t="str">
        <x:v>消费去向场次ID仍为S1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来源（当前证据）：liveshow-proto/MainBasis/统一需求文档.md；位置：REQ-f03608ec5d48；行4540
2. 规则：BR-894ef8ada7736881
3. 未动态验证</x:v>
      </x:c>
    </x:row>
    <x:row r="431" ht="85" customHeight="1">
      <x:c r="A431" s="10" t="n">
        <x:v>430</x:v>
      </x:c>
      <x:c r="B431" s="10" t="str">
        <x:v>ADMIN-08-0023</x:v>
      </x:c>
      <x:c r="C431" s="10" t="str">
        <x:v>订单管理</x:v>
      </x:c>
      <x:c r="D431" s="10" t="str">
        <x:v>退款订单（平台管理员视角）</x:v>
      </x:c>
      <x:c r="E431" s="10" t="str">
        <x:v>逻辑校验</x:v>
      </x:c>
      <x:c r="F431" s="10" t="str">
        <x:v>P1</x:v>
      </x:c>
      <x:c r="G431" s="9" t="str">
        <x:v>验证退款列表不列待处理申请</x:v>
      </x:c>
      <x:c r="H431" s="9" t="str">
        <x:v>已完成退款范围</x:v>
      </x:c>
      <x:c r="I431" s="9" t="str">
        <x:v>1. 执行角色为平台管理员
2. 账号具有当前模块访问及本次操作权限
3. 退款A已完成，退款B尚未完成</x:v>
      </x:c>
      <x:c r="J431" s="9" t="str">
        <x:v>1. 进入退款订单页</x:v>
      </x:c>
      <x:c r="K431" s="9" t="str">
        <x:v>列表不包含B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来源（当前证据）：liveshow-proto/MainBasis/统一需求文档.md；位置：REQ-9040f9614c63；行4559
2. 规则：BR-98b900711d66a4a6
3. 未动态验证</x:v>
      </x:c>
    </x:row>
    <x:row r="432" ht="85" customHeight="1">
      <x:c r="A432" s="10" t="n">
        <x:v>431</x:v>
      </x:c>
      <x:c r="B432" s="10" t="str">
        <x:v>ADMIN-09-0030</x:v>
      </x:c>
      <x:c r="C432" s="10" t="str">
        <x:v>财务分成</x:v>
      </x:c>
      <x:c r="D432" s="10" t="str">
        <x:v>主播分成记录（平台管理员视角）</x:v>
      </x:c>
      <x:c r="E432" s="10" t="str">
        <x:v>逻辑校验</x:v>
      </x:c>
      <x:c r="F432" s="10" t="str">
        <x:v>P1</x:v>
      </x:c>
      <x:c r="G432" s="9" t="str">
        <x:v>验证主播分成记录上传人</x:v>
      </x:c>
      <x:c r="H432" s="9" t="str">
        <x:v>分成批次上传人</x:v>
      </x:c>
      <x:c r="I432" s="9" t="str">
        <x:v>1. 执行角色为平台管理员
2. 账号具有当前模块访问及本次操作权限
3. qa-finance于9月16日10:00确认导入有效批次</x:v>
      </x:c>
      <x:c r="J432" s="9" t="str">
        <x:v>1. 进入主播分成记录页</x:v>
      </x:c>
      <x:c r="K432" s="9" t="str">
        <x:v>上传人显示qa-finance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来源（当前证据）：liveshow-proto/MainBasis/统一需求文档.md；位置：REQ-8abe1f20b1cf；行4582
2. 规则：BR-15c22a1d95a88f09
3. 未动态验证</x:v>
      </x:c>
    </x:row>
    <x:row r="433" ht="85" customHeight="1">
      <x:c r="A433" s="10" t="n">
        <x:v>432</x:v>
      </x:c>
      <x:c r="B433" s="10" t="str">
        <x:v>ADMIN-09-0031</x:v>
      </x:c>
      <x:c r="C433" s="10" t="str">
        <x:v>财务分成</x:v>
      </x:c>
      <x:c r="D433" s="10" t="str">
        <x:v>主播分成记录详情（平台管理员视角）</x:v>
      </x:c>
      <x:c r="E433" s="10" t="str">
        <x:v>逻辑校验</x:v>
      </x:c>
      <x:c r="F433" s="10" t="str">
        <x:v>P1</x:v>
      </x:c>
      <x:c r="G433" s="9" t="str">
        <x:v>验证分成详情人数按明细账号去重</x:v>
      </x:c>
      <x:c r="H433" s="9" t="str">
        <x:v>批次主播人数</x:v>
      </x:c>
      <x:c r="I433" s="9" t="str">
        <x:v>1. 执行角色为平台管理员
2. 账号具有当前模块访问及本次操作权限
3. 有效批次包含不同主播甲乙2人</x:v>
      </x:c>
      <x:c r="J433" s="9" t="str">
        <x:v>1. 进入主播分成记录详情页</x:v>
      </x:c>
      <x:c r="K433" s="9" t="str">
        <x:v>主播人数显示2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来源（当前证据）：liveshow-proto/MainBasis/统一需求文档.md；位置：REQ-a5534a598495；行4607
2. 规则：BR-3bff86d50ee903b2
3. 未动态验证</x:v>
      </x:c>
    </x:row>
    <x:row r="434" ht="85" customHeight="1">
      <x:c r="A434" s="10" t="n">
        <x:v>433</x:v>
      </x:c>
      <x:c r="B434" s="10" t="str">
        <x:v>ADMIN-09-0032</x:v>
      </x:c>
      <x:c r="C434" s="10" t="str">
        <x:v>财务分成</x:v>
      </x:c>
      <x:c r="D434" s="10" t="str">
        <x:v>主播余额变更记录（平台管理员视角）</x:v>
      </x:c>
      <x:c r="E434" s="10" t="str">
        <x:v>逻辑校验</x:v>
      </x:c>
      <x:c r="F434" s="10" t="str">
        <x:v>P1</x:v>
      </x:c>
      <x:c r="G434" s="9" t="str">
        <x:v>验证主播余额修正流水不可修改</x:v>
      </x:c>
      <x:c r="H434" s="9" t="str">
        <x:v>主播修正流水只读</x:v>
      </x:c>
      <x:c r="I434" s="9" t="str">
        <x:v>1. 执行角色为平台管理员
2. 账号具有当前模块访问及本次操作权限
3. 已成功保存一条分成修正</x:v>
      </x:c>
      <x:c r="J434" s="9" t="str">
        <x:v>1. 进入主播余额变更记录页</x:v>
      </x:c>
      <x:c r="K434" s="9" t="str">
        <x:v>该修正流水无修改入口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来源（当前证据）：liveshow-proto/MainBasis/统一需求文档.md；位置：REQ-4d2a4bf5aa1c；行4641
2. 规则：BR-ea139ca466a53a45
3. 未动态验证</x:v>
      </x:c>
    </x:row>
    <x:row r="435" ht="85" customHeight="1">
      <x:c r="A435" s="10" t="n">
        <x:v>434</x:v>
      </x:c>
      <x:c r="B435" s="10" t="str">
        <x:v>ADMIN-09-0033</x:v>
      </x:c>
      <x:c r="C435" s="10" t="str">
        <x:v>财务分成</x:v>
      </x:c>
      <x:c r="D435" s="10" t="str">
        <x:v>公会余额变更记录（平台管理员视角）</x:v>
      </x:c>
      <x:c r="E435" s="10" t="str">
        <x:v>逻辑校验</x:v>
      </x:c>
      <x:c r="F435" s="10" t="str">
        <x:v>P1</x:v>
      </x:c>
      <x:c r="G435" s="9" t="str">
        <x:v>验证公会余额修正流水不可修改</x:v>
      </x:c>
      <x:c r="H435" s="9" t="str">
        <x:v>公会修正流水只读</x:v>
      </x:c>
      <x:c r="I435" s="9" t="str">
        <x:v>1. 执行角色为平台管理员
2. 账号具有当前模块访问及本次操作权限
3. 已成功保存一条分成修正</x:v>
      </x:c>
      <x:c r="J435" s="9" t="str">
        <x:v>1. 进入公会余额变更记录页</x:v>
      </x:c>
      <x:c r="K435" s="9" t="str">
        <x:v>该修正流水无修改入口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来源（当前证据）：liveshow-proto/MainBasis/统一需求文档.md；位置：REQ-a9314f185aec；行4704
2. 规则：BR-c69652624bacb322
3. 未动态验证</x:v>
      </x:c>
    </x:row>
    <x:row r="436" ht="85" customHeight="1">
      <x:c r="A436" s="10" t="n">
        <x:v>435</x:v>
      </x:c>
      <x:c r="B436" s="10" t="str">
        <x:v>ADMIN-10-0058</x:v>
      </x:c>
      <x:c r="C436" s="10" t="str">
        <x:v>数据分析</x:v>
      </x:c>
      <x:c r="D436" s="10" t="str">
        <x:v>数据概览（平台管理员视角）</x:v>
      </x:c>
      <x:c r="E436" s="10" t="str">
        <x:v>逻辑校验</x:v>
      </x:c>
      <x:c r="F436" s="10" t="str">
        <x:v>P1</x:v>
      </x:c>
      <x:c r="G436" s="9" t="str">
        <x:v>验证概览充值人数按日累加</x:v>
      </x:c>
      <x:c r="H436" s="9" t="str">
        <x:v>每日人数累计口径</x:v>
      </x:c>
      <x:c r="I436" s="9" t="str">
        <x:v>1. 执行角色为平台管理员
2. 账号具有当前模块访问及本次操作权限
3. 甲连续两日充值，乙仅第二日充值，范围包含两日</x:v>
      </x:c>
      <x:c r="J436" s="9" t="str">
        <x:v>1. 进入数据概览页</x:v>
      </x:c>
      <x:c r="K436" s="9" t="str">
        <x:v>充值人数汇总显示3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来源（当前证据）：liveshow-proto/MainBasis/统一需求文档.md；位置：REQ-99032e5c96c7；行4728
2. 规则：BR-c1bf442dfc0feb8c
3. 未动态验证</x:v>
      </x:c>
    </x:row>
    <x:row r="437" ht="85" customHeight="1">
      <x:c r="A437" s="10" t="n">
        <x:v>436</x:v>
      </x:c>
      <x:c r="B437" s="10" t="str">
        <x:v>ADMIN-10-0059</x:v>
      </x:c>
      <x:c r="C437" s="10" t="str">
        <x:v>数据分析</x:v>
      </x:c>
      <x:c r="D437" s="10" t="str">
        <x:v>数据概览（平台管理员视角）</x:v>
      </x:c>
      <x:c r="E437" s="10" t="str">
        <x:v>逻辑校验</x:v>
      </x:c>
      <x:c r="F437" s="10" t="str">
        <x:v>P1</x:v>
      </x:c>
      <x:c r="G437" s="9" t="str">
        <x:v>验证概览有效天按主播天统计</x:v>
      </x:c>
      <x:c r="H437" s="9" t="str">
        <x:v>主播有效天累计口径</x:v>
      </x:c>
      <x:c r="I437" s="9" t="str">
        <x:v>1. 执行角色为平台管理员
2. 账号具有当前模块访问及本次操作权限
3. 甲两日均达标，乙仅第二日达标</x:v>
      </x:c>
      <x:c r="J437" s="9" t="str">
        <x:v>1. 进入数据概览页</x:v>
      </x:c>
      <x:c r="K437" s="9" t="str">
        <x:v>达成有效天主播汇总显示3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来源（当前证据）：liveshow-proto/MainBasis/统一需求文档.md；位置：REQ-cf60365eb27e；行4734
2. 规则：BR-3857872973bfa5ac
3. 未动态验证</x:v>
      </x:c>
    </x:row>
    <x:row r="438" ht="85" customHeight="1">
      <x:c r="A438" s="10" t="n">
        <x:v>437</x:v>
      </x:c>
      <x:c r="B438" s="10" t="str">
        <x:v>ADMIN-10-0060</x:v>
      </x:c>
      <x:c r="C438" s="10" t="str">
        <x:v>数据分析</x:v>
      </x:c>
      <x:c r="D438" s="10" t="str">
        <x:v>用户活跃汇总（每日）（平台管理员视角）</x:v>
      </x:c>
      <x:c r="E438" s="10" t="str">
        <x:v>逻辑校验</x:v>
      </x:c>
      <x:c r="F438" s="10" t="str">
        <x:v>P1</x:v>
      </x:c>
      <x:c r="G438" s="9" t="str">
        <x:v>验证付费用户按成功充值账号去重</x:v>
      </x:c>
      <x:c r="H438" s="9" t="str">
        <x:v>成功付费用户人数</x:v>
      </x:c>
      <x:c r="I438" s="9" t="str">
        <x:v>1. 执行角色为平台管理员
2. 账号具有当前模块访问及本次操作权限
3. 甲成功2笔，乙1笔，丙仅失败</x:v>
      </x:c>
      <x:c r="J438" s="9" t="str">
        <x:v>1. 进入用户活跃汇总（每日）页</x:v>
      </x:c>
      <x:c r="K438" s="9" t="str">
        <x:v>付费用户显示2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来源（当前证据）：liveshow-proto/MainBasis/统一需求文档.md；位置：REQ-a25bcaf736be；行4776
2. 规则：BR-cdff87226e82fe53
3. 未动态验证</x:v>
      </x:c>
    </x:row>
    <x:row r="439" ht="85" customHeight="1">
      <x:c r="A439" s="10" t="n">
        <x:v>438</x:v>
      </x:c>
      <x:c r="B439" s="10" t="str">
        <x:v>ADMIN-10-0061</x:v>
      </x:c>
      <x:c r="C439" s="10" t="str">
        <x:v>数据分析</x:v>
      </x:c>
      <x:c r="D439" s="10" t="str">
        <x:v>主播活跃汇总（每日）（平台管理员视角）</x:v>
      </x:c>
      <x:c r="E439" s="10" t="str">
        <x:v>逻辑校验</x:v>
      </x:c>
      <x:c r="F439" s="10" t="str">
        <x:v>P1</x:v>
      </x:c>
      <x:c r="G439" s="9" t="str">
        <x:v>验证违规主播按确认结论去重</x:v>
      </x:c>
      <x:c r="H439" s="9" t="str">
        <x:v>确认违规主播人数</x:v>
      </x:c>
      <x:c r="I439" s="9" t="str">
        <x:v>1. 执行角色为平台管理员
2. 账号具有当前模块访问及本次操作权限
3. 甲两个场次确认违规，乙一个场次确认违规，丙举报不成立</x:v>
      </x:c>
      <x:c r="J439" s="9" t="str">
        <x:v>1. 进入主播活跃汇总（每日）页</x:v>
      </x:c>
      <x:c r="K439" s="9" t="str">
        <x:v>违规主播显示2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来源（当前证据）：liveshow-proto/MainBasis/统一需求文档.md；位置：REQ-b300b08422de；行4799
2. 规则：BR-398b5c791fccd905
3. 未动态验证</x:v>
      </x:c>
    </x:row>
    <x:row r="440" ht="85" customHeight="1">
      <x:c r="A440" s="10" t="n">
        <x:v>439</x:v>
      </x:c>
      <x:c r="B440" s="10" t="str">
        <x:v>ADMIN-10-0062</x:v>
      </x:c>
      <x:c r="C440" s="10" t="str">
        <x:v>数据分析</x:v>
      </x:c>
      <x:c r="D440" s="10" t="str">
        <x:v>主播活跃汇总（每日）（平台管理员视角）</x:v>
      </x:c>
      <x:c r="E440" s="10" t="str">
        <x:v>逻辑校验</x:v>
      </x:c>
      <x:c r="F440" s="10" t="str">
        <x:v>P1</x:v>
      </x:c>
      <x:c r="G440" s="9" t="str">
        <x:v>验证违规场次数独立去重</x:v>
      </x:c>
      <x:c r="H440" s="9" t="str">
        <x:v>确认违规场次数</x:v>
      </x:c>
      <x:c r="I440" s="9" t="str">
        <x:v>1. 执行角色为平台管理员
2. 账号具有当前模块访问及本次操作权限
3. 甲的S1、S2确认违规，S1含两条告警，乙S3确认违规</x:v>
      </x:c>
      <x:c r="J440" s="9" t="str">
        <x:v>1. 进入主播活跃汇总（每日）页</x:v>
      </x:c>
      <x:c r="K440" s="9" t="str">
        <x:v>违规场次显示3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来源（当前证据）：liveshow-proto/MainBasis/统一需求文档.md；位置：REQ-b300b08422de；行4799
2. 规则：BR-13c27067c6768000
3. 未动态验证</x:v>
      </x:c>
    </x:row>
    <x:row r="441" ht="85" customHeight="1">
      <x:c r="A441" s="10" t="n">
        <x:v>440</x:v>
      </x:c>
      <x:c r="B441" s="10" t="str">
        <x:v>ADMIN-10-0063</x:v>
      </x:c>
      <x:c r="C441" s="10" t="str">
        <x:v>数据分析</x:v>
      </x:c>
      <x:c r="D441" s="10" t="str">
        <x:v>充值消费汇总（每日）（平台管理员视角）</x:v>
      </x:c>
      <x:c r="E441" s="10" t="str">
        <x:v>逻辑校验</x:v>
      </x:c>
      <x:c r="F441" s="10" t="str">
        <x:v>P1</x:v>
      </x:c>
      <x:c r="G441" s="9" t="str">
        <x:v>验证充值订单量不同于充值人数</x:v>
      </x:c>
      <x:c r="H441" s="9" t="str">
        <x:v>成功充值订单数</x:v>
      </x:c>
      <x:c r="I441" s="9" t="str">
        <x:v>1. 执行角色为平台管理员
2. 账号具有当前模块访问及本次操作权限
3. 甲成功2笔、乙成功1笔，失败2笔</x:v>
      </x:c>
      <x:c r="J441" s="9" t="str">
        <x:v>1. 进入充值消费汇总（每日）页</x:v>
      </x:c>
      <x:c r="K441" s="9" t="str">
        <x:v>充值订单数显示3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来源（当前证据）：liveshow-proto/MainBasis/统一需求文档.md；位置：REQ-68bed920abc4；行4844
2. 规则：BR-0881090a69dae4ff
3. 未动态验证</x:v>
      </x:c>
    </x:row>
    <x:row r="442" ht="85" customHeight="1">
      <x:c r="A442" s="10" t="n">
        <x:v>441</x:v>
      </x:c>
      <x:c r="B442" s="10" t="str">
        <x:v>ADMIN-10-0064</x:v>
      </x:c>
      <x:c r="C442" s="10" t="str">
        <x:v>数据分析</x:v>
      </x:c>
      <x:c r="D442" s="10" t="str">
        <x:v>充值消费汇总（每日）（平台管理员视角）</x:v>
      </x:c>
      <x:c r="E442" s="10" t="str">
        <x:v>逻辑校验</x:v>
      </x:c>
      <x:c r="F442" s="10" t="str">
        <x:v>P1</x:v>
      </x:c>
      <x:c r="G442" s="9" t="str">
        <x:v>验证系统赠送不混入套餐赠送</x:v>
      </x:c>
      <x:c r="H442" s="9" t="str">
        <x:v>系统赠送金币口径</x:v>
      </x:c>
      <x:c r="I442" s="9" t="str">
        <x:v>1. 执行角色为平台管理员
2. 账号具有当前模块访问及本次操作权限
3. 签到10金币、任务20金币、套餐赠送100金币</x:v>
      </x:c>
      <x:c r="J442" s="9" t="str">
        <x:v>1. 进入充值消费汇总（每日）页</x:v>
      </x:c>
      <x:c r="K442" s="9" t="str">
        <x:v>系统赠送金币显示30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来源（当前证据）：liveshow-proto/MainBasis/统一需求文档.md；位置：REQ-f7ae4d900984；行4850
2. 规则：BR-cfdaa1c6b82daa22
3. 未动态验证</x:v>
      </x:c>
    </x:row>
    <x:row r="443" ht="85" customHeight="1">
      <x:c r="A443" s="10" t="n">
        <x:v>442</x:v>
      </x:c>
      <x:c r="B443" s="10" t="str">
        <x:v>ADMIN-10-0065</x:v>
      </x:c>
      <x:c r="C443" s="10" t="str">
        <x:v>数据分析</x:v>
      </x:c>
      <x:c r="D443" s="10" t="str">
        <x:v>充值用户分层汇总（每日）（平台管理员视角）</x:v>
      </x:c>
      <x:c r="E443" s="10" t="str">
        <x:v>逻辑校验</x:v>
      </x:c>
      <x:c r="F443" s="10" t="str">
        <x:v>P1</x:v>
      </x:c>
      <x:c r="G443" s="9" t="str">
        <x:v>验证新老用户充值人数汇总</x:v>
      </x:c>
      <x:c r="H443" s="9" t="str">
        <x:v>新老充值人数合计</x:v>
      </x:c>
      <x:c r="I443" s="9" t="str">
        <x:v>1. 执行角色为平台管理员
2. 账号具有当前模块访问及本次操作权限
3. 当天新用户成功充值2人，老用户成功充值3人</x:v>
      </x:c>
      <x:c r="J443" s="9" t="str">
        <x:v>1. 进入充值用户分层汇总（每日）页</x:v>
      </x:c>
      <x:c r="K443" s="9" t="str">
        <x:v>总充值人数显示5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来源（当前证据）：liveshow-proto/MainBasis/统一需求文档.md；位置：REQ-444af72d77b3；行4867
2. 规则：BR-3fde12102336a250
3. 未动态验证</x:v>
      </x:c>
    </x:row>
    <x:row r="444" ht="85" customHeight="1">
      <x:c r="A444" s="10" t="n">
        <x:v>443</x:v>
      </x:c>
      <x:c r="B444" s="10" t="str">
        <x:v>ADMIN-10-0066</x:v>
      </x:c>
      <x:c r="C444" s="10" t="str">
        <x:v>数据分析</x:v>
      </x:c>
      <x:c r="D444" s="10" t="str">
        <x:v>月度收益支出汇总（平台管理员视角）</x:v>
      </x:c>
      <x:c r="E444" s="10" t="str">
        <x:v>逻辑校验</x:v>
      </x:c>
      <x:c r="F444" s="10" t="str">
        <x:v>P1</x:v>
      </x:c>
      <x:c r="G444" s="9" t="str">
        <x:v>验证月度充值按支付完成月</x:v>
      </x:c>
      <x:c r="H444" s="9" t="str">
        <x:v>支付完成月份归属</x:v>
      </x:c>
      <x:c r="I444" s="9" t="str">
        <x:v>1. 执行角色为平台管理员
2. 账号具有当前模块访问及本次操作权限
3. 8月订单9月完成支付10USD，另1笔8月已支付20USD</x:v>
      </x:c>
      <x:c r="J444" s="9" t="str">
        <x:v>1. 进入月度收益支出汇总页</x:v>
      </x:c>
      <x:c r="K444" s="9" t="str">
        <x:v>9月累计充值显示10USD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来源（当前证据）：liveshow-proto/MainBasis/统一需求文档.md；位置：REQ-b83ebf5af569；行4884
2. 规则：BR-bd8dafa7089ec130
3. 未动态验证</x:v>
      </x:c>
    </x:row>
    <x:row r="445" ht="85" customHeight="1">
      <x:c r="A445" s="10" t="n">
        <x:v>444</x:v>
      </x:c>
      <x:c r="B445" s="10" t="str">
        <x:v>ADMIN-11-0012</x:v>
      </x:c>
      <x:c r="C445" s="10" t="str">
        <x:v>运营账号</x:v>
      </x:c>
      <x:c r="D445" s="10" t="str">
        <x:v>发放记录（平台管理员视角）</x:v>
      </x:c>
      <x:c r="E445" s="10" t="str">
        <x:v>逻辑校验</x:v>
      </x:c>
      <x:c r="F445" s="10" t="str">
        <x:v>P1</x:v>
      </x:c>
      <x:c r="G445" s="9" t="str">
        <x:v>验证虚拟币发放记录采用成功时间</x:v>
      </x:c>
      <x:c r="H445" s="9" t="str">
        <x:v>虚拟币发放成功时间</x:v>
      </x:c>
      <x:c r="I445" s="9" t="str">
        <x:v>1. 执行角色为平台管理员
2. 账号具有当前模块访问及本次操作权限
3. 发放请求9月15日23:59发送，9月16日00:00成功</x:v>
      </x:c>
      <x:c r="J445" s="9" t="str">
        <x:v>1. 进入发放记录页</x:v>
      </x:c>
      <x:c r="K445" s="9" t="str">
        <x:v>发放时间显示9月16日00:00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来源（当前证据）：liveshow-proto/MainBasis/统一需求文档.md；位置：REQ-2094d88e1a4e；行5059
2. 规则：BR-f733339841759a79
3. 未动态验证</x:v>
      </x:c>
    </x:row>
    <x:row r="446" ht="85" customHeight="1">
      <x:c r="A446" s="10" t="n">
        <x:v>445</x:v>
      </x:c>
      <x:c r="B446" s="10" t="str">
        <x:v>ADMIN-11-0013</x:v>
      </x:c>
      <x:c r="C446" s="10" t="str">
        <x:v>运营账号</x:v>
      </x:c>
      <x:c r="D446" s="10" t="str">
        <x:v>额度限制（平台管理员视角）</x:v>
      </x:c>
      <x:c r="E446" s="10" t="str">
        <x:v>逻辑校验</x:v>
      </x:c>
      <x:c r="F446" s="10" t="str">
        <x:v>P1</x:v>
      </x:c>
      <x:c r="G446" s="9" t="str">
        <x:v>验证公会剩余额度减已发放</x:v>
      </x:c>
      <x:c r="H446" s="9" t="str">
        <x:v>公会剩余虚拟币额度</x:v>
      </x:c>
      <x:c r="I446" s="9" t="str">
        <x:v>1. 执行角色为平台管理员
2. 账号具有当前模块访问及本次操作权限
3. 月额度1000金币，成功发放300，失败发放100</x:v>
      </x:c>
      <x:c r="J446" s="9" t="str">
        <x:v>1. 进入额度限制页</x:v>
      </x:c>
      <x:c r="K446" s="9" t="str">
        <x:v>本月剩余额度显示700金币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来源（当前证据）：liveshow-proto/MainBasis/统一需求文档.md；位置：REQ-78e10b0f32f4；行5099
2. 规则：BR-551c6eeb33119477
3. 未动态验证</x:v>
      </x:c>
    </x:row>
    <x:row r="447" ht="85" customHeight="1">
      <x:c r="A447" s="10" t="n">
        <x:v>446</x:v>
      </x:c>
      <x:c r="B447" s="10" t="str">
        <x:v>ADMIN-11-0014</x:v>
      </x:c>
      <x:c r="C447" s="10" t="str">
        <x:v>运营账号</x:v>
      </x:c>
      <x:c r="D447" s="10" t="str">
        <x:v>额度限制（平台管理员视角）</x:v>
      </x:c>
      <x:c r="E447" s="10" t="str">
        <x:v>逻辑校验</x:v>
      </x:c>
      <x:c r="F447" s="10" t="str">
        <x:v>P1</x:v>
      </x:c>
      <x:c r="G447" s="9" t="str">
        <x:v>验证公会额度页汇总账号余额</x:v>
      </x:c>
      <x:c r="H447" s="9" t="str">
        <x:v>本公会运营余额合计</x:v>
      </x:c>
      <x:c r="I447" s="9" t="str">
        <x:v>1. 执行角色为平台管理员
2. 账号具有当前模块访问及本次操作权限
3. 本公会运营甲余额100、乙200，外公会丙1000</x:v>
      </x:c>
      <x:c r="J447" s="9" t="str">
        <x:v>1. 进入额度限制页</x:v>
      </x:c>
      <x:c r="K447" s="9" t="str">
        <x:v>账户余额累计显示300金币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来源（当前证据）：liveshow-proto/MainBasis/统一需求文档.md；位置：REQ-139b685952c3；行5095
2. 规则：BR-4ac096ef40d63c96
3. 未动态验证</x:v>
      </x:c>
    </x:row>
    <x:row r="448" ht="85" customHeight="1">
      <x:c r="A448" s="10" t="n">
        <x:v>447</x:v>
      </x:c>
      <x:c r="B448" s="10" t="str">
        <x:v>ADMIN-11-0015</x:v>
      </x:c>
      <x:c r="C448" s="10" t="str">
        <x:v>运营账号</x:v>
      </x:c>
      <x:c r="D448" s="10" t="str">
        <x:v>额度限制（平台管理员视角）</x:v>
      </x:c>
      <x:c r="E448" s="10" t="str">
        <x:v>逻辑校验</x:v>
      </x:c>
      <x:c r="F448" s="10" t="str">
        <x:v>P1</x:v>
      </x:c>
      <x:c r="G448" s="9" t="str">
        <x:v>验证额度页消费不计失败记录</x:v>
      </x:c>
      <x:c r="H448" s="9" t="str">
        <x:v>月度成功虚拟币消费</x:v>
      </x:c>
      <x:c r="I448" s="9" t="str">
        <x:v>1. 执行角色为平台管理员
2. 账号具有当前模块访问及本次操作权限
3. 本月成功消费100金币，失败50，上月成功200</x:v>
      </x:c>
      <x:c r="J448" s="9" t="str">
        <x:v>1. 进入额度限制页</x:v>
      </x:c>
      <x:c r="K448" s="9" t="str">
        <x:v>本月累计消费显示100金币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来源（当前证据）：liveshow-proto/MainBasis/统一需求文档.md；位置：REQ-096f77b9e0b0；行5097
2. 规则：BR-a7754572c3c1e9d4
3. 未动态验证</x:v>
      </x:c>
    </x:row>
    <x:row r="449" ht="85" customHeight="1">
      <x:c r="A449" s="10" t="n">
        <x:v>448</x:v>
      </x:c>
      <x:c r="B449" s="10" t="str">
        <x:v>ADMIN-06-0062</x:v>
      </x:c>
      <x:c r="C449" s="10" t="str">
        <x:v>礼物道具</x:v>
      </x:c>
      <x:c r="D449" s="10" t="str">
        <x:v>道具详情（平台管理员视角）</x:v>
      </x:c>
      <x:c r="E449" s="10" t="str">
        <x:v>逻辑校验</x:v>
      </x:c>
      <x:c r="F449" s="10" t="str">
        <x:v>P1</x:v>
      </x:c>
      <x:c r="G449" s="9" t="str">
        <x:v>验证图标缺失禁止保存</x:v>
      </x:c>
      <x:c r="H449" s="9" t="str">
        <x:v>图标必填资源</x:v>
      </x:c>
      <x:c r="I449" s="9" t="str">
        <x:v>1. 执行角色为平台管理员
2. 账号具有当前模块访问及本次操作权限
3. 当前编辑表单除图标为空外其余字段均有效填写</x:v>
      </x:c>
      <x:c r="J449" s="9" t="str">
        <x:v>1. 点击保存</x:v>
      </x:c>
      <x:c r="K449" s="9" t="str">
        <x:v>不能保存缺少图标的配置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来源（当前证据）：liveshow-proto/MainBasis/统一需求文档.md；位置：REQ-e93d1cf50adf；行4067
2. 规则：BR-d7d6f678e7a1fd14
3. 未动态验证</x:v>
      </x:c>
    </x:row>
    <x:row r="450" ht="85" customHeight="1">
      <x:c r="A450" s="10" t="n">
        <x:v>449</x:v>
      </x:c>
      <x:c r="B450" s="10" t="str">
        <x:v>ADMIN-06-0063</x:v>
      </x:c>
      <x:c r="C450" s="10" t="str">
        <x:v>礼物道具</x:v>
      </x:c>
      <x:c r="D450" s="10" t="str">
        <x:v>道具详情（平台管理员视角）</x:v>
      </x:c>
      <x:c r="E450" s="10" t="str">
        <x:v>逻辑校验</x:v>
      </x:c>
      <x:c r="F450" s="10" t="str">
        <x:v>P1</x:v>
      </x:c>
      <x:c r="G450" s="9" t="str">
        <x:v>验证素材缺失禁止保存</x:v>
      </x:c>
      <x:c r="H450" s="9" t="str">
        <x:v>素材必填资源</x:v>
      </x:c>
      <x:c r="I450" s="9" t="str">
        <x:v>1. 执行角色为平台管理员
2. 账号具有当前模块访问及本次操作权限
3. 当前编辑表单除素材为空外其余字段均有效填写</x:v>
      </x:c>
      <x:c r="J450" s="9" t="str">
        <x:v>1. 点击保存</x:v>
      </x:c>
      <x:c r="K450" s="9" t="str">
        <x:v>不能保存缺少素材的配置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来源（当前证据）：liveshow-proto/MainBasis/统一需求文档.md；位置：REQ-e93d1cf50adf；行4067
2. 规则：BR-8b8d2763bd3b0902
3. 未动态验证</x:v>
      </x:c>
    </x:row>
    <x:row r="451" ht="85" customHeight="1">
      <x:c r="A451" s="10" t="n">
        <x:v>450</x:v>
      </x:c>
      <x:c r="B451" s="10" t="str">
        <x:v>ADMIN-07-0122</x:v>
      </x:c>
      <x:c r="C451" s="10" t="str">
        <x:v>运营配置</x:v>
      </x:c>
      <x:c r="D451" s="10" t="str">
        <x:v>充值套餐编辑（平台管理员视角）</x:v>
      </x:c>
      <x:c r="E451" s="10" t="str">
        <x:v>逻辑校验</x:v>
      </x:c>
      <x:c r="F451" s="10" t="str">
        <x:v>P1</x:v>
      </x:c>
      <x:c r="G451" s="9" t="str">
        <x:v>验证套餐封面缺失禁止保存</x:v>
      </x:c>
      <x:c r="H451" s="9" t="str">
        <x:v>套餐封面必填资源</x:v>
      </x:c>
      <x:c r="I451" s="9" t="str">
        <x:v>1. 执行角色为平台管理员
2. 账号具有当前模块访问及本次操作权限
3. 当前编辑表单除套餐封面为空外其余字段均有效填写</x:v>
      </x:c>
      <x:c r="J451" s="9" t="str">
        <x:v>1. 点击保存</x:v>
      </x:c>
      <x:c r="K451" s="9" t="str">
        <x:v>不能保存缺少套餐封面的配置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来源（当前证据）：liveshow-proto/MainBasis/统一需求文档.md；位置：REQ-16ad32844cfd；行4211
2. 规则：BR-a2dbe92c41cf1862
3. 未动态验证</x:v>
      </x:c>
    </x:row>
    <x:row r="452" ht="85" customHeight="1">
      <x:c r="A452" s="10" t="n">
        <x:v>451</x:v>
      </x:c>
      <x:c r="B452" s="10" t="str">
        <x:v>ADMIN-06-0064</x:v>
      </x:c>
      <x:c r="C452" s="10" t="str">
        <x:v>礼物道具</x:v>
      </x:c>
      <x:c r="D452" s="10" t="str">
        <x:v>普通礼物（平台管理员视角）</x:v>
      </x:c>
      <x:c r="E452" s="10" t="str">
        <x:v>逻辑校验</x:v>
      </x:c>
      <x:c r="F452" s="10" t="str">
        <x:v>P1</x:v>
      </x:c>
      <x:c r="G452" s="9" t="str">
        <x:v>验证下架普通礼物</x:v>
      </x:c>
      <x:c r="H452" s="9" t="str">
        <x:v>下架普通礼物状态</x:v>
      </x:c>
      <x:c r="I452" s="9" t="str">
        <x:v>1. 执行角色为平台管理员
2. 账号具有当前模块访问及本次操作权限
3. 当前目标处于可执行该操作的启用或上架状态</x:v>
      </x:c>
      <x:c r="J452" s="9" t="str">
        <x:v>1. 进入普通礼物页
2. 点击目标记录下架
3. 点击确认</x:v>
      </x:c>
      <x:c r="K452" s="9" t="str">
        <x:v>目标记录状态为下架</x:v>
      </x:c>
      <x:c r="L452" s="10" t="str">
        <x:v>FLOW-FC5592B45E</x:v>
      </x:c>
      <x:c r="M452" s="10" t="str">
        <x:v>未测</x:v>
      </x:c>
      <x:c r="N452" s="10" t="str"/>
      <x:c r="O452" s="9" t="str">
        <x:v>1. 来源（当前证据）：liveshow-proto/MainBasis/统一需求文档.md；位置：REQ-cf6da6aa2296；行3935
2. 规则：BR-d720fb8cccd75267
3. 未动态验证</x:v>
      </x:c>
    </x:row>
    <x:row r="453" ht="100" customHeight="1">
      <x:c r="A453" s="10" t="n">
        <x:v>452</x:v>
      </x:c>
      <x:c r="B453" s="10" t="str">
        <x:v>ADMIN-06-0065</x:v>
      </x:c>
      <x:c r="C453" s="10" t="str">
        <x:v>礼物道具</x:v>
      </x:c>
      <x:c r="D453" s="10" t="str">
        <x:v>定制礼物（平台管理员视角）</x:v>
      </x:c>
      <x:c r="E453" s="10" t="str">
        <x:v>逻辑校验</x:v>
      </x:c>
      <x:c r="F453" s="10" t="str">
        <x:v>P1</x:v>
      </x:c>
      <x:c r="G453" s="9" t="str">
        <x:v>验证提前下架定制礼物</x:v>
      </x:c>
      <x:c r="H453" s="9" t="str">
        <x:v>提前下架定制礼物状态</x:v>
      </x:c>
      <x:c r="I453" s="9" t="str">
        <x:v>1. 执行角色为平台管理员
2. 账号具有当前模块访问及本次操作权限
3. 当前目标处于可执行该操作的启用或上架状态</x:v>
      </x:c>
      <x:c r="J453" s="9" t="str">
        <x:v>1. 进入定制礼物页
2. 点击目标记录提前下架
3. 点击确认</x:v>
      </x:c>
      <x:c r="K453" s="9" t="str">
        <x:v>目标记录状态为已下架</x:v>
      </x:c>
      <x:c r="L453" s="10" t="str">
        <x:v>FLOW-FC5592B45E</x:v>
      </x:c>
      <x:c r="M453" s="10" t="str">
        <x:v>未测</x:v>
      </x:c>
      <x:c r="N453" s="10" t="str"/>
      <x:c r="O453" s="9" t="str">
        <x:v>1. 来源（当前证据）：liveshow-proto/MainBasis/统一需求文档.md；位置：REQ-d49d62c3629e；行3969、REQ-b241259b8ed6；行3973
2. 规则：BR-e753d9c8c396c08b
3. 未动态验证</x:v>
      </x:c>
    </x:row>
    <x:row r="454" ht="85" customHeight="1">
      <x:c r="A454" s="10" t="n">
        <x:v>453</x:v>
      </x:c>
      <x:c r="B454" s="10" t="str">
        <x:v>ADMIN-06-0066</x:v>
      </x:c>
      <x:c r="C454" s="10" t="str">
        <x:v>礼物道具</x:v>
      </x:c>
      <x:c r="D454" s="10" t="str">
        <x:v>幸运礼物（平台管理员视角）</x:v>
      </x:c>
      <x:c r="E454" s="10" t="str">
        <x:v>逻辑校验</x:v>
      </x:c>
      <x:c r="F454" s="10" t="str">
        <x:v>P1</x:v>
      </x:c>
      <x:c r="G454" s="9" t="str">
        <x:v>验证下架幸运礼物</x:v>
      </x:c>
      <x:c r="H454" s="9" t="str">
        <x:v>下架幸运礼物状态</x:v>
      </x:c>
      <x:c r="I454" s="9" t="str">
        <x:v>1. 执行角色为平台管理员
2. 账号具有当前模块访问及本次操作权限
3. 当前目标处于可执行该操作的启用或上架状态</x:v>
      </x:c>
      <x:c r="J454" s="9" t="str">
        <x:v>1. 进入幸运礼物页
2. 点击目标记录下架
3. 点击确认</x:v>
      </x:c>
      <x:c r="K454" s="9" t="str">
        <x:v>目标记录状态为下架</x:v>
      </x:c>
      <x:c r="L454" s="10" t="str">
        <x:v>FLOW-FC5592B45E</x:v>
      </x:c>
      <x:c r="M454" s="10" t="str">
        <x:v>未测</x:v>
      </x:c>
      <x:c r="N454" s="10" t="str"/>
      <x:c r="O454" s="9" t="str">
        <x:v>1. 来源（当前证据）：liveshow-proto/MainBasis/统一需求文档.md；位置：REQ-9ed9db1c7eb2；行4002
2. 规则：BR-8a9d59fbfa3e7352
3. 未动态验证</x:v>
      </x:c>
    </x:row>
    <x:row r="455" ht="85" customHeight="1">
      <x:c r="A455" s="10" t="n">
        <x:v>454</x:v>
      </x:c>
      <x:c r="B455" s="10" t="str">
        <x:v>ADMIN-07-0123</x:v>
      </x:c>
      <x:c r="C455" s="10" t="str">
        <x:v>运营配置</x:v>
      </x:c>
      <x:c r="D455" s="10" t="str">
        <x:v>任务配置（平台管理员视角）</x:v>
      </x:c>
      <x:c r="E455" s="10" t="str">
        <x:v>逻辑校验</x:v>
      </x:c>
      <x:c r="F455" s="10" t="str">
        <x:v>P1</x:v>
      </x:c>
      <x:c r="G455" s="9" t="str">
        <x:v>验证停用任务</x:v>
      </x:c>
      <x:c r="H455" s="9" t="str">
        <x:v>停用任务状态</x:v>
      </x:c>
      <x:c r="I455" s="9" t="str">
        <x:v>1. 执行角色为平台管理员
2. 账号具有当前模块访问及本次操作权限
3. 当前目标处于可执行该操作的启用或上架状态</x:v>
      </x:c>
      <x:c r="J455" s="9" t="str">
        <x:v>1. 进入任务配置页
2. 点击目标记录停用
3. 点击确认</x:v>
      </x:c>
      <x:c r="K455" s="9" t="str">
        <x:v>目标记录状态为停用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来源（当前证据）：liveshow-proto/MainBasis/统一需求文档.md；位置：REQ-ae5ac2d2e488；行4262
2. 规则：BR-f188f8c323ae2afe
3. 未动态验证</x:v>
      </x:c>
    </x:row>
    <x:row r="456" ht="85" customHeight="1">
      <x:c r="A456" s="10" t="n">
        <x:v>455</x:v>
      </x:c>
      <x:c r="B456" s="10" t="str">
        <x:v>ADMIN-12-0017</x:v>
      </x:c>
      <x:c r="C456" s="10" t="str">
        <x:v>系统配置</x:v>
      </x:c>
      <x:c r="D456" s="10" t="str">
        <x:v>后台账号（超级管理员视角）</x:v>
      </x:c>
      <x:c r="E456" s="10" t="str">
        <x:v>逻辑校验</x:v>
      </x:c>
      <x:c r="F456" s="10" t="str">
        <x:v>P1</x:v>
      </x:c>
      <x:c r="G456" s="9" t="str">
        <x:v>验证停用普通后台账号</x:v>
      </x:c>
      <x:c r="H456" s="9" t="str">
        <x:v>后台账号停用状态</x:v>
      </x:c>
      <x:c r="I456" s="9" t="str">
        <x:v>1. 执行角色为超级管理员
2. 目标为启用且非内置的后台账号</x:v>
      </x:c>
      <x:c r="J456" s="9" t="str">
        <x:v>1. 进入后台账号页
2. 点击目标记录停用
3. 填写原因为测试停用
4. 点击确认</x:v>
      </x:c>
      <x:c r="K456" s="9" t="str">
        <x:v>目标后台账号状态为停用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来源（当前证据）：liveshow-proto/MainBasis/统一需求文档.md；位置：REQ-a1d781e7c85d；行5124
2. 规则：BR-75df02324c8e11f1
3. 未动态验证</x:v>
      </x:c>
    </x:row>
    <x:row r="457" ht="85" customHeight="1">
      <x:c r="A457" s="10" t="n">
        <x:v>456</x:v>
      </x:c>
      <x:c r="B457" s="10" t="str">
        <x:v>ADMIN-12-0018</x:v>
      </x:c>
      <x:c r="C457" s="10" t="str">
        <x:v>系统配置</x:v>
      </x:c>
      <x:c r="D457" s="10" t="str">
        <x:v>角色管理（超级管理员视角）</x:v>
      </x:c>
      <x:c r="E457" s="10" t="str">
        <x:v>逻辑校验</x:v>
      </x:c>
      <x:c r="F457" s="10" t="str">
        <x:v>P1</x:v>
      </x:c>
      <x:c r="G457" s="9" t="str">
        <x:v>验证停用普通后台角色</x:v>
      </x:c>
      <x:c r="H457" s="9" t="str">
        <x:v>后台角色停用状态</x:v>
      </x:c>
      <x:c r="I457" s="9" t="str">
        <x:v>1. 执行角色为超级管理员
2. 目标为启用且非内置的后台角色</x:v>
      </x:c>
      <x:c r="J457" s="9" t="str">
        <x:v>1. 进入角色管理页
2. 点击目标记录停用
3. 点击确认</x:v>
      </x:c>
      <x:c r="K457" s="9" t="str">
        <x:v>目标后台角色状态为停用</x:v>
      </x:c>
      <x:c r="L457" s="10" t="str">
        <x:v>FLOW-4812DBCB31</x:v>
      </x:c>
      <x:c r="M457" s="10" t="str">
        <x:v>未测</x:v>
      </x:c>
      <x:c r="N457" s="10" t="str"/>
      <x:c r="O457" s="9" t="str">
        <x:v>1. 来源（当前证据）：liveshow-proto/MainBasis/统一需求文档.md；位置：REQ-bf002668f015；行5162
2. 规则：BR-bc807cb8dcf839aa
3. 未动态验证</x:v>
      </x:c>
    </x:row>
    <x:row r="458" ht="85" customHeight="1">
      <x:c r="A458" s="10" t="n">
        <x:v>457</x:v>
      </x:c>
      <x:c r="B458" s="10" t="str">
        <x:v>ADMIN-12-0019</x:v>
      </x:c>
      <x:c r="C458" s="10" t="str">
        <x:v>系统配置</x:v>
      </x:c>
      <x:c r="D458" s="10" t="str">
        <x:v>角色编辑（超级管理员视角）</x:v>
      </x:c>
      <x:c r="E458" s="10" t="str">
        <x:v>逻辑校验</x:v>
      </x:c>
      <x:c r="F458" s="10" t="str">
        <x:v>P1</x:v>
      </x:c>
      <x:c r="G458" s="9" t="str">
        <x:v>验证内置角色权限不可编辑</x:v>
      </x:c>
      <x:c r="H458" s="9" t="str">
        <x:v>内置角色权限保护</x:v>
      </x:c>
      <x:c r="I458" s="9" t="str">
        <x:v>1. 执行角色为超级管理员
2. 当前编辑内置超级管理员角色</x:v>
      </x:c>
      <x:c r="J458" s="9" t="str">
        <x:v>1. 进入角色编辑页</x:v>
      </x:c>
      <x:c r="K458" s="9" t="str">
        <x:v>权限树为全部权限且不可编辑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来源（当前证据）：liveshow-proto/MainBasis/统一需求文档.md；位置：REQ-351c4847c3db；行5179
2. 规则：BR-1064b56fbfd38523
3. 未动态验证</x:v>
      </x:c>
    </x:row>
  </x:sheetData>
  <x:dataValidations count="3">
    <x:dataValidation type="list" sqref="E2:E458">
      <x:formula1>"功能需求,业务流程,逻辑校验,异常用例"</x:formula1>
    </x:dataValidation>
    <x:dataValidation type="list" sqref="F2:F458">
      <x:formula1>"P0,P1,P2,P3"</x:formula1>
    </x:dataValidation>
    <x:dataValidation type="list" sqref="M2:M458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0d0eb673c84ba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250" customHeight="1">
      <x:c r="A2" s="10" t="str">
        <x:v>Q-002</x:v>
      </x:c>
      <x:c r="B2" s="10" t="str">
        <x:v>RQ-002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礼物面板初始数量</x:v>
      </x:c>
      <x:c r="H2" s="9" t="str">
        <x:v>配置和历史数据影响</x:v>
      </x:c>
      <x:c r="I2" s="9" t="str">
        <x:v>礼物首次打开时的选中数量从哪里取？</x:v>
      </x:c>
      <x:c r="J2" s="9" t="str">
        <x:v>A. 固定1且后台不配置默认值
B. 取后台defaultCount配置</x:v>
      </x:c>
      <x:c r="K2" s="9" t="str">
        <x:v>建议保留一个有效来源，避免后台修改后客户端不一致。</x:v>
      </x:c>
      <x:c r="L2" s="12" t="str"/>
      <x:c r="M2" s="12" t="str"/>
      <x:c r="N2" s="10" t="str">
        <x:v>1. liveshow-proto/MainBasis/需求待确认清单.md：- **SRC-Q04** 【需求待确认】礼物赠送初始数量是否固定为1，还是取后台defaultCount配置？用户端批注与后台可编辑表单存在冲突，待确认前隔离默认选择结果，仍覆盖主动选择数量后的扣款和开奖。
2. liveshow-proto/MainBasis/需求待确认清单.md：- **SRC-Q04** 【需求待确认】后台是否允许配置礼物默认赠送数量？批注要求不配置、用户端默认1，但当前详情表单允许编辑并保存defaultCount；待确认前仅隔离默认数量选择，不影响可选数量校验。</x:v>
      </x:c>
      <x:c r="O2" s="9" t="str">
        <x:v>1. 礼物面板初始数量</x:v>
      </x:c>
      <x:c r="P2" s="9" t="str"/>
      <x:c r="Q2" s="9" t="str">
        <x:v>1. 礼物面板初始数量中由本问题决定的有效、无效及状态变更分支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130" customHeight="1">
      <x:c r="A3" s="10" t="str">
        <x:v>Q-006</x:v>
      </x:c>
      <x:c r="B3" s="10" t="str">
        <x:v>RQ-006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等级勋章与装扮勋章</x:v>
      </x:c>
      <x:c r="H3" s="9" t="str">
        <x:v>业务规则</x:v>
      </x:c>
      <x:c r="I3" s="9" t="str">
        <x:v>两类勋章资源之间是什么关系？</x:v>
      </x:c>
      <x:c r="J3" s="9" t="str">
        <x:v>A. 等级勋章独立于商城装扮
B. 等级与商城勋章共用资源和佩戴体系</x:v>
      </x:c>
      <x:c r="K3" s="9" t="str">
        <x:v>建议独立区分等级标识和付费装扮，避免资产与等级混淆。</x:v>
      </x:c>
      <x:c r="L3" s="12" t="str"/>
      <x:c r="M3" s="12" t="str"/>
      <x:c r="N3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3" s="9" t="str">
        <x:v>1. 等级勋章与装扮勋章</x:v>
      </x:c>
      <x:c r="P3" s="9" t="str"/>
      <x:c r="Q3" s="9" t="str">
        <x:v>1. 等级勋章与装扮勋章中由本问题决定的有效、无效及状态变更分支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  <x:row r="4" ht="130" customHeight="1">
      <x:c r="A4" s="10" t="str">
        <x:v>Q-007</x:v>
      </x:c>
      <x:c r="B4" s="10" t="str">
        <x:v>RQ-007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等级勋章佩戴</x:v>
      </x:c>
      <x:c r="H4" s="9" t="str">
        <x:v>业务规则</x:v>
      </x:c>
      <x:c r="I4" s="9" t="str">
        <x:v>等级变化后勋章如何使用？</x:v>
      </x:c>
      <x:c r="J4" s="9" t="str">
        <x:v>A. 自动替换且不可手动选择
B. 解锁资源后由用户手动佩戴
C. 仅作等级标识不进入佩戴体系</x:v>
      </x:c>
      <x:c r="K4" s="9" t="str">
        <x:v>建议明确自动展示还是可持有资源，再验证升级后的展示与资产。</x:v>
      </x:c>
      <x:c r="L4" s="12" t="str"/>
      <x:c r="M4" s="12" t="str"/>
      <x:c r="N4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4" s="9" t="str">
        <x:v>1. 等级勋章佩戴</x:v>
      </x:c>
      <x:c r="P4" s="9" t="str"/>
      <x:c r="Q4" s="9" t="str">
        <x:v>1. 等级勋章佩戴中由本问题决定的有效、无效及状态变更分支</x:v>
      </x:c>
      <x:c r="R4" s="9" t="str">
        <x:v>产品</x:v>
      </x:c>
      <x:c r="S4" s="9" t="str">
        <x:v>相关分支执行前</x:v>
      </x:c>
      <x:c r="T4" s="9" t="str">
        <x:v>待确认</x:v>
      </x:c>
    </x:row>
    <x:row r="5" ht="130" customHeight="1">
      <x:c r="A5" s="10" t="str">
        <x:v>Q-008</x:v>
      </x:c>
      <x:c r="B5" s="10" t="str">
        <x:v>RQ-008</x:v>
      </x:c>
      <x:c r="C5" s="10" t="str"/>
      <x:c r="D5" s="10" t="str"/>
      <x:c r="E5" s="10" t="str">
        <x:v>部分阻塞</x:v>
      </x:c>
      <x:c r="F5" s="10" t="str">
        <x:v>运营配置</x:v>
      </x:c>
      <x:c r="G5" s="9" t="str">
        <x:v>等级勋章显示位置</x:v>
      </x:c>
      <x:c r="H5" s="9" t="str">
        <x:v>交互与文案规则</x:v>
      </x:c>
      <x:c r="I5" s="9" t="str">
        <x:v>等级勋章在哪些位置显示？</x:v>
      </x:c>
      <x:c r="J5" s="9" t="str">
        <x:v>A. 仅个人资料页
B. 个人资料和直播间资料卡
C. 所有展示该等级的页面均显示</x:v>
      </x:c>
      <x:c r="K5" s="9" t="str">
        <x:v>建议列出准确页面清单后逐入口核对。</x:v>
      </x:c>
      <x:c r="L5" s="12" t="str"/>
      <x:c r="M5" s="12" t="str"/>
      <x:c r="N5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5" s="9" t="str">
        <x:v>1. 等级勋章显示位置</x:v>
      </x:c>
      <x:c r="P5" s="9" t="str"/>
      <x:c r="Q5" s="9" t="str">
        <x:v>1. 等级勋章显示位置中由本问题决定的有效、无效及状态变更分支</x:v>
      </x:c>
      <x:c r="R5" s="9" t="str">
        <x:v>交互</x:v>
      </x:c>
      <x:c r="S5" s="9" t="str">
        <x:v>相关分支执行前</x:v>
      </x:c>
      <x:c r="T5" s="9" t="str">
        <x:v>待确认</x:v>
      </x:c>
    </x:row>
    <x:row r="6" ht="145" customHeight="1">
      <x:c r="A6" s="10" t="str">
        <x:v>Q-009</x:v>
      </x:c>
      <x:c r="B6" s="10" t="str">
        <x:v>RQ-009</x:v>
      </x:c>
      <x:c r="C6" s="10" t="str"/>
      <x:c r="D6" s="10" t="str"/>
      <x:c r="E6" s="10" t="str">
        <x:v>部分阻塞</x:v>
      </x:c>
      <x:c r="F6" s="10" t="str">
        <x:v>运营配置</x:v>
      </x:c>
      <x:c r="G6" s="9" t="str">
        <x:v>等级配置整组保存</x:v>
      </x:c>
      <x:c r="H6" s="9" t="str">
        <x:v>异常处理</x:v>
      </x:c>
      <x:c r="I6" s="9" t="str">
        <x:v>整组配置保存是否允许部分成功？</x:v>
      </x:c>
      <x:c r="J6" s="9" t="str">
        <x:v>A. 全部成功或全部失败
B. 逐行保存且允许部分成功</x:v>
      </x:c>
      <x:c r="K6" s="9" t="str">
        <x:v>建议采用整组原子保存；故障模拟环境准备后补回滚验证。</x:v>
      </x:c>
      <x:c r="L6" s="12" t="str"/>
      <x:c r="M6" s="12" t="str"/>
      <x:c r="N6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6" s="9" t="str">
        <x:v>1. 等级配置整组保存</x:v>
      </x:c>
      <x:c r="P6" s="9" t="str"/>
      <x:c r="Q6" s="9" t="str">
        <x:v>1. 等级配置整组保存中由本问题决定的有效、无效及状态变更分支</x:v>
      </x:c>
      <x:c r="R6" s="9" t="str">
        <x:v>产品</x:v>
      </x:c>
      <x:c r="S6" s="9" t="str">
        <x:v>相关分支执行前</x:v>
      </x:c>
      <x:c r="T6" s="9" t="str">
        <x:v>待确认</x:v>
      </x:c>
    </x:row>
    <x:row r="7" ht="145" customHeight="1">
      <x:c r="A7" s="10" t="str">
        <x:v>Q-010</x:v>
      </x:c>
      <x:c r="B7" s="10" t="str">
        <x:v>RQ-010</x:v>
      </x:c>
      <x:c r="C7" s="10" t="str"/>
      <x:c r="D7" s="10" t="str"/>
      <x:c r="E7" s="10" t="str">
        <x:v>部分阻塞</x:v>
      </x:c>
      <x:c r="F7" s="10" t="str">
        <x:v>运营配置</x:v>
      </x:c>
      <x:c r="G7" s="9" t="str">
        <x:v>等级配置保存失败</x:v>
      </x:c>
      <x:c r="H7" s="9" t="str">
        <x:v>异常处理</x:v>
      </x:c>
      <x:c r="I7" s="9" t="str">
        <x:v>保存失败后编辑内容如何保留？</x:v>
      </x:c>
      <x:c r="J7" s="9" t="str">
        <x:v>A. 保留本次输入供重试
B. 恢复上次已发布配置</x:v>
      </x:c>
      <x:c r="K7" s="9" t="str">
        <x:v>建议保留输入并明确未发布状态，避免误以为配置已生效。</x:v>
      </x:c>
      <x:c r="L7" s="12" t="str"/>
      <x:c r="M7" s="12" t="str"/>
      <x:c r="N7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7" s="9" t="str">
        <x:v>1. 等级配置保存失败</x:v>
      </x:c>
      <x:c r="P7" s="9" t="str"/>
      <x:c r="Q7" s="9" t="str">
        <x:v>1. 等级配置保存失败中由本问题决定的有效、无效及状态变更分支</x:v>
      </x:c>
      <x:c r="R7" s="9" t="str">
        <x:v>产品</x:v>
      </x:c>
      <x:c r="S7" s="9" t="str">
        <x:v>相关分支执行前</x:v>
      </x:c>
      <x:c r="T7" s="9" t="str">
        <x:v>待确认</x:v>
      </x:c>
    </x:row>
    <x:row r="8" ht="145" customHeight="1">
      <x:c r="A8" s="10" t="str">
        <x:v>Q-011</x:v>
      </x:c>
      <x:c r="B8" s="10" t="str">
        <x:v>RQ-011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重复提交等级配置</x:v>
      </x:c>
      <x:c r="H8" s="9" t="str">
        <x:v>异常处理</x:v>
      </x:c>
      <x:c r="I8" s="9" t="str">
        <x:v>连续提交相同配置如何处理？</x:v>
      </x:c>
      <x:c r="J8" s="9" t="str">
        <x:v>A. 只处理一次且不重复建档位
B. 每次保存都生成独立配置版本</x:v>
      </x:c>
      <x:c r="K8" s="9" t="str">
        <x:v>建议区分业务幂等与审计版本，确认后验证重复点击。</x:v>
      </x:c>
      <x:c r="L8" s="12" t="str"/>
      <x:c r="M8" s="12" t="str"/>
      <x:c r="N8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8" s="9" t="str">
        <x:v>1. 重复提交等级配置</x:v>
      </x:c>
      <x:c r="P8" s="9" t="str"/>
      <x:c r="Q8" s="9" t="str">
        <x:v>1. 重复提交等级配置中由本问题决定的有效、无效及状态变更分支</x:v>
      </x:c>
      <x:c r="R8" s="9" t="str">
        <x:v>产品</x:v>
      </x:c>
      <x:c r="S8" s="9" t="str">
        <x:v>相关分支执行前</x:v>
      </x:c>
      <x:c r="T8" s="9" t="str">
        <x:v>待确认</x:v>
      </x:c>
    </x:row>
    <x:row r="9" ht="145" customHeight="1">
      <x:c r="A9" s="10" t="str">
        <x:v>Q-012</x:v>
      </x:c>
      <x:c r="B9" s="10" t="str">
        <x:v>RQ-012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多人编辑同一等级配置</x:v>
      </x:c>
      <x:c r="H9" s="9" t="str">
        <x:v>异常处理</x:v>
      </x:c>
      <x:c r="I9" s="9" t="str">
        <x:v>保存发生并发冲突时采用哪种策略？</x:v>
      </x:c>
      <x:c r="J9" s="9" t="str">
        <x:v>A. 拒绝后提交并提示刷新
B. 最后提交覆盖前次修改
C. 合并不冲突的字段并提示冲突项</x:v>
      </x:c>
      <x:c r="K9" s="9" t="str">
        <x:v>建议版本检查拒绝过期提交，防止静默覆盖。</x:v>
      </x:c>
      <x:c r="L9" s="12" t="str"/>
      <x:c r="M9" s="12" t="str"/>
      <x:c r="N9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9" s="9" t="str">
        <x:v>1. 多人编辑同一等级配置</x:v>
      </x:c>
      <x:c r="P9" s="9" t="str"/>
      <x:c r="Q9" s="9" t="str">
        <x:v>1. 多人编辑同一等级配置中由本问题决定的有效、无效及状态变更分支</x:v>
      </x:c>
      <x:c r="R9" s="9" t="str">
        <x:v>产品</x:v>
      </x:c>
      <x:c r="S9" s="9" t="str">
        <x:v>相关分支执行前</x:v>
      </x:c>
      <x:c r="T9" s="9" t="str">
        <x:v>待确认</x:v>
      </x:c>
    </x:row>
    <x:row r="10" ht="145" customHeight="1">
      <x:c r="A10" s="10" t="str">
        <x:v>Q-013</x:v>
      </x:c>
      <x:c r="B10" s="10" t="str">
        <x:v>RQ-013</x:v>
      </x:c>
      <x:c r="C10" s="10" t="str"/>
      <x:c r="D10" s="10" t="str"/>
      <x:c r="E10" s="10" t="str">
        <x:v>部分阻塞</x:v>
      </x:c>
      <x:c r="F10" s="10" t="str">
        <x:v>运营配置</x:v>
      </x:c>
      <x:c r="G10" s="9" t="str">
        <x:v>等级成长与门槛精度</x:v>
      </x:c>
      <x:c r="H10" s="9" t="str">
        <x:v>计算与统计口径</x:v>
      </x:c>
      <x:c r="I10" s="9" t="str">
        <x:v>金币累计值和等级门槛采用什么小数精度？</x:v>
      </x:c>
      <x:c r="J10" s="9" t="str">
        <x:v>A. 只允许整数
B. 统一保留2位小数
C. 分别指定两类数值精度</x:v>
      </x:c>
      <x:c r="K10" s="9" t="str">
        <x:v>建议明确存储精度与显示舍入规则，不能从样例推定。</x:v>
      </x:c>
      <x:c r="L10" s="12" t="str"/>
      <x:c r="M10" s="12" t="str"/>
      <x:c r="N10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0" s="9" t="str">
        <x:v>1. 等级成长与门槛精度</x:v>
      </x:c>
      <x:c r="P10" s="9" t="str"/>
      <x:c r="Q10" s="9" t="str">
        <x:v>1. 等级成长与门槛精度中由本问题决定的有效、无效及状态变更分支</x:v>
      </x:c>
      <x:c r="R10" s="9" t="str">
        <x:v>产品</x:v>
      </x:c>
      <x:c r="S10" s="9" t="str">
        <x:v>相关分支执行前</x:v>
      </x:c>
      <x:c r="T10" s="9" t="str">
        <x:v>待确认</x:v>
      </x:c>
    </x:row>
    <x:row r="11" ht="145" customHeight="1">
      <x:c r="A11" s="10" t="str">
        <x:v>Q-014</x:v>
      </x:c>
      <x:c r="B11" s="10" t="str">
        <x:v>RQ-014</x:v>
      </x:c>
      <x:c r="C11" s="10" t="str"/>
      <x:c r="D11" s="10" t="str"/>
      <x:c r="E11" s="10" t="str">
        <x:v>部分阻塞</x:v>
      </x:c>
      <x:c r="F11" s="10" t="str">
        <x:v>运营配置</x:v>
      </x:c>
      <x:c r="G11" s="9" t="str">
        <x:v>等级门槛上限</x:v>
      </x:c>
      <x:c r="H11" s="9" t="str">
        <x:v>字段与数据校验</x:v>
      </x:c>
      <x:c r="I11" s="9" t="str">
        <x:v>等级门槛是否设置业务数值上限？</x:v>
      </x:c>
      <x:c r="J11" s="9" t="str">
        <x:v>A. 设置业务上限并补充具体值
B. 只受已确认字段技术范围限制</x:v>
      </x:c>
      <x:c r="K11" s="9" t="str">
        <x:v>建议确认可执行上限后补最大值及越界验证。</x:v>
      </x:c>
      <x:c r="L11" s="12" t="str"/>
      <x:c r="M11" s="12" t="str"/>
      <x:c r="N11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1" s="9" t="str">
        <x:v>1. 等级门槛上限</x:v>
      </x:c>
      <x:c r="P11" s="9" t="str"/>
      <x:c r="Q11" s="9" t="str">
        <x:v>1. 等级门槛上限中由本问题决定的有效、无效及状态变更分支</x:v>
      </x:c>
      <x:c r="R11" s="9" t="str">
        <x:v>产品</x:v>
      </x:c>
      <x:c r="S11" s="9" t="str">
        <x:v>相关分支执行前</x:v>
      </x:c>
      <x:c r="T11" s="9" t="str">
        <x:v>待确认</x:v>
      </x:c>
    </x:row>
    <x:row r="12" ht="70" customHeight="1">
      <x:c r="A12" s="10" t="str">
        <x:v>Q-015</x:v>
      </x:c>
      <x:c r="B12" s="10" t="str">
        <x:v>RQ-015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统计延迟后的等级更新</x:v>
      </x:c>
      <x:c r="H12" s="9" t="str">
        <x:v>流程与状态</x:v>
      </x:c>
      <x:c r="I12" s="9" t="str">
        <x:v>延迟统计到达后何时更新等级？</x:v>
      </x:c>
      <x:c r="J12" s="9" t="str">
        <x:v>A. 数据补齐后立即重算
B. 下一次固定结算批次重算
C. 用户下次触发相关业务时重算</x:v>
      </x:c>
      <x:c r="K12" s="9" t="str">
        <x:v>建议明确更新时间承诺后准备延迟数据场景。</x:v>
      </x:c>
      <x:c r="L12" s="12" t="str"/>
      <x:c r="M12" s="12" t="str"/>
      <x:c r="N12" s="10" t="str">
        <x:v>1. liveshow-proto/MainBasis/需求待确认清单.md：- **REQ-8beb1b55bf4d** 【需求待确认】2. 统计数据延迟时何时更新等级。</x:v>
      </x:c>
      <x:c r="O12" s="9" t="str">
        <x:v>1. 统计延迟后的等级更新</x:v>
      </x:c>
      <x:c r="P12" s="9" t="str"/>
      <x:c r="Q12" s="9" t="str">
        <x:v>1. 统计延迟后的等级更新中由本问题决定的有效、无效及状态变更分支</x:v>
      </x:c>
      <x:c r="R12" s="9" t="str">
        <x:v>产品</x:v>
      </x:c>
      <x:c r="S12" s="9" t="str">
        <x:v>相关分支执行前</x:v>
      </x:c>
      <x:c r="T12" s="9" t="str">
        <x:v>待确认</x:v>
      </x:c>
    </x:row>
    <x:row r="13" ht="85" customHeight="1">
      <x:c r="A13" s="10" t="str">
        <x:v>Q-016</x:v>
      </x:c>
      <x:c r="B13" s="10" t="str">
        <x:v>RQ-016</x:v>
      </x:c>
      <x:c r="C13" s="10" t="str"/>
      <x:c r="D13" s="10" t="str"/>
      <x:c r="E13" s="10" t="str">
        <x:v>部分阻塞</x:v>
      </x:c>
      <x:c r="F13" s="10" t="str">
        <x:v>运营配置</x:v>
      </x:c>
      <x:c r="G13" s="9" t="str">
        <x:v>勋章图修改后刷新</x:v>
      </x:c>
      <x:c r="H13" s="9" t="str">
        <x:v>配置和历史数据影响</x:v>
      </x:c>
      <x:c r="I13" s="9" t="str">
        <x:v>客户端何时采用修改后的等级勋章图？</x:v>
      </x:c>
      <x:c r="J13" s="9" t="str">
        <x:v>A. 已打开页面立即更新
B. 重新进入页面时更新
C. 下次登录时更新</x:v>
      </x:c>
      <x:c r="K13" s="9" t="str">
        <x:v>建议明确缓存失效时点后分别测试在线与重进。</x:v>
      </x:c>
      <x:c r="L13" s="12" t="str"/>
      <x:c r="M13" s="12" t="str"/>
      <x:c r="N13" s="10" t="str">
        <x:v>1. liveshow-proto/MainBasis/需求待确认清单.md：- **REQ-4fd4e2f6e26d** 【需求待确认】3. 勋章图修改后的客户端刷新时机；重算后历史记录使用旧等级还是新等级。</x:v>
      </x:c>
      <x:c r="O13" s="9" t="str">
        <x:v>1. 勋章图修改后刷新</x:v>
      </x:c>
      <x:c r="P13" s="9" t="str"/>
      <x:c r="Q13" s="9" t="str">
        <x:v>1. 勋章图修改后刷新中由本问题决定的有效、无效及状态变更分支</x:v>
      </x:c>
      <x:c r="R13" s="9" t="str">
        <x:v>产品</x:v>
      </x:c>
      <x:c r="S13" s="9" t="str">
        <x:v>相关分支执行前</x:v>
      </x:c>
      <x:c r="T13" s="9" t="str">
        <x:v>待确认</x:v>
      </x:c>
    </x:row>
    <x:row r="14" ht="85" customHeight="1">
      <x:c r="A14" s="10" t="str">
        <x:v>Q-017</x:v>
      </x:c>
      <x:c r="B14" s="10" t="str">
        <x:v>RQ-017</x:v>
      </x:c>
      <x:c r="C14" s="10" t="str"/>
      <x:c r="D14" s="10" t="str"/>
      <x:c r="E14" s="10" t="str">
        <x:v>部分阻塞</x:v>
      </x:c>
      <x:c r="F14" s="10" t="str">
        <x:v>运营配置</x:v>
      </x:c>
      <x:c r="G14" s="9" t="str">
        <x:v>历史记录等级显示</x:v>
      </x:c>
      <x:c r="H14" s="9" t="str">
        <x:v>配置和历史数据影响</x:v>
      </x:c>
      <x:c r="I14" s="9" t="str">
        <x:v>重算等级后历史记录显示哪个等级？</x:v>
      </x:c>
      <x:c r="J14" s="9" t="str">
        <x:v>A. 保留发生时等级快照
B. 显示用户当前等级</x:v>
      </x:c>
      <x:c r="K14" s="9" t="str">
        <x:v>建议保留历史快照，并与实时资料展示区分。</x:v>
      </x:c>
      <x:c r="L14" s="12" t="str"/>
      <x:c r="M14" s="12" t="str"/>
      <x:c r="N14" s="10" t="str">
        <x:v>1. liveshow-proto/MainBasis/需求待确认清单.md：- **REQ-4fd4e2f6e26d** 【需求待确认】3. 勋章图修改后的客户端刷新时机；重算后历史记录使用旧等级还是新等级。</x:v>
      </x:c>
      <x:c r="O14" s="9" t="str">
        <x:v>1. 历史记录等级显示</x:v>
      </x:c>
      <x:c r="P14" s="9" t="str"/>
      <x:c r="Q14" s="9" t="str">
        <x:v>1. 历史记录等级显示中由本问题决定的有效、无效及状态变更分支</x:v>
      </x:c>
      <x:c r="R14" s="9" t="str">
        <x:v>产品</x:v>
      </x:c>
      <x:c r="S14" s="9" t="str">
        <x:v>相关分支执行前</x:v>
      </x:c>
      <x:c r="T14" s="9" t="str">
        <x:v>待确认</x:v>
      </x:c>
    </x:row>
    <x:row r="15" ht="85" customHeight="1">
      <x:c r="A15" s="10" t="str">
        <x:v>Q-018</x:v>
      </x:c>
      <x:c r="B15" s="10" t="str">
        <x:v>RQ-018</x:v>
      </x:c>
      <x:c r="C15" s="10" t="str"/>
      <x:c r="D15" s="10" t="str"/>
      <x:c r="E15" s="10" t="str">
        <x:v>部分阻塞</x:v>
      </x:c>
      <x:c r="F15" s="10" t="str">
        <x:v>运营配置</x:v>
      </x:c>
      <x:c r="G15" s="9" t="str">
        <x:v>勋章图片上传约束</x:v>
      </x:c>
      <x:c r="H15" s="9" t="str">
        <x:v>字段与数据校验</x:v>
      </x:c>
      <x:c r="I15" s="9" t="str">
        <x:v>图片资源是否有专用格式、大小与尺寸限制？</x:v>
      </x:c>
      <x:c r="J15" s="9" t="str">
        <x:v>A. 使用统一资源上传规范并提供具体限制
B. 为等级勋章单独定义限制</x:v>
      </x:c>
      <x:c r="K15" s="9" t="str">
        <x:v>建议明确格式集合、大小上限和尺寸规则后补边界。</x:v>
      </x:c>
      <x:c r="L15" s="12" t="str"/>
      <x:c r="M15" s="12" t="str"/>
      <x:c r="N15" s="10" t="str">
        <x:v>1. liveshow-proto/MainBasis/需求待确认清单.md：- **REQ-4ba27c22a4a4** 【需求待确认】4. 勋章图允许的格式、大小和尺寸；无可用图片时的客户端展示方式。</x:v>
      </x:c>
      <x:c r="O15" s="9" t="str">
        <x:v>1. 勋章图片上传约束</x:v>
      </x:c>
      <x:c r="P15" s="9" t="str"/>
      <x:c r="Q15" s="9" t="str">
        <x:v>1. 勋章图片上传约束中由本问题决定的有效、无效及状态变更分支</x:v>
      </x:c>
      <x:c r="R15" s="9" t="str">
        <x:v>产品</x:v>
      </x:c>
      <x:c r="S15" s="9" t="str">
        <x:v>相关分支执行前</x:v>
      </x:c>
      <x:c r="T15" s="9" t="str">
        <x:v>待确认</x:v>
      </x:c>
    </x:row>
    <x:row r="16" ht="85" customHeight="1">
      <x:c r="A16" s="10" t="str">
        <x:v>Q-019</x:v>
      </x:c>
      <x:c r="B16" s="10" t="str">
        <x:v>RQ-019</x:v>
      </x:c>
      <x:c r="C16" s="10" t="str"/>
      <x:c r="D16" s="10" t="str"/>
      <x:c r="E16" s="10" t="str">
        <x:v>部分阻塞</x:v>
      </x:c>
      <x:c r="F16" s="10" t="str">
        <x:v>运营配置</x:v>
      </x:c>
      <x:c r="G16" s="9" t="str">
        <x:v>等级图片不可用</x:v>
      </x:c>
      <x:c r="H16" s="9" t="str">
        <x:v>异常处理</x:v>
      </x:c>
      <x:c r="I16" s="9" t="str">
        <x:v>客户端无可用勋章图时如何展示？</x:v>
      </x:c>
      <x:c r="J16" s="9" t="str">
        <x:v>A. 显示默认占位图
B. 仅显示等级文字
C. 隐藏整个勋章区域</x:v>
      </x:c>
      <x:c r="K16" s="9" t="str">
        <x:v>建议保留等级文字；资源失败模拟环境就绪后验证降级。</x:v>
      </x:c>
      <x:c r="L16" s="12" t="str"/>
      <x:c r="M16" s="12" t="str"/>
      <x:c r="N16" s="10" t="str">
        <x:v>1. liveshow-proto/MainBasis/需求待确认清单.md：- **REQ-4ba27c22a4a4** 【需求待确认】4. 勋章图允许的格式、大小和尺寸；无可用图片时的客户端展示方式。</x:v>
      </x:c>
      <x:c r="O16" s="9" t="str">
        <x:v>1. 等级图片不可用</x:v>
      </x:c>
      <x:c r="P16" s="9" t="str"/>
      <x:c r="Q16" s="9" t="str">
        <x:v>1. 等级图片不可用中由本问题决定的有效、无效及状态变更分支</x:v>
      </x:c>
      <x:c r="R16" s="9" t="str">
        <x:v>产品</x:v>
      </x:c>
      <x:c r="S16" s="9" t="str">
        <x:v>相关分支执行前</x:v>
      </x:c>
      <x:c r="T16" s="9" t="str">
        <x:v>待确认</x:v>
      </x:c>
    </x:row>
    <x:row r="17" ht="85" customHeight="1">
      <x:c r="A17" s="10" t="str">
        <x:v>Q-020</x:v>
      </x:c>
      <x:c r="B17" s="10" t="str">
        <x:v>RQ-020</x:v>
      </x:c>
      <x:c r="C17" s="10" t="str"/>
      <x:c r="D17" s="10" t="str"/>
      <x:c r="E17" s="10" t="str">
        <x:v>部分阻塞</x:v>
      </x:c>
      <x:c r="F17" s="10" t="str">
        <x:v>财务分成</x:v>
      </x:c>
      <x:c r="G17" s="9" t="str">
        <x:v>公会分成结果上传</x:v>
      </x:c>
      <x:c r="H17" s="9" t="str">
        <x:v>流程与状态</x:v>
      </x:c>
      <x:c r="I17" s="9" t="str">
        <x:v>公会分成上传确认前是否必须展示预览？</x:v>
      </x:c>
      <x:c r="J17" s="9" t="str">
        <x:v>A. 先预览公会数、总额、明细再确认
B. 校验后直接确认导入且无预览页</x:v>
      </x:c>
      <x:c r="K17" s="9" t="str">
        <x:v>建议确认唯一流程；已导入结果只读和余额规则可独立测试。</x:v>
      </x:c>
      <x:c r="L17" s="12" t="str"/>
      <x:c r="M17" s="12" t="str"/>
      <x:c r="N17" s="10" t="str">
        <x:v>1. liveshow-proto/MainBasis/需求待确认清单.md：- **REQ-4f432ff25427** 【需求待确认】1. 上传 -&gt; 预览公会数、总额和明细 -&gt; 确认 -&gt; 生成锁定记录。</x:v>
      </x:c>
      <x:c r="O17" s="9" t="str">
        <x:v>1. 公会分成结果上传</x:v>
      </x:c>
      <x:c r="P17" s="9" t="str"/>
      <x:c r="Q17" s="9" t="str">
        <x:v>1. 公会分成结果上传中由本问题决定的有效、无效及状态变更分支</x:v>
      </x:c>
      <x:c r="R17" s="9" t="str">
        <x:v>产品</x:v>
      </x:c>
      <x:c r="S17" s="9" t="str">
        <x:v>相关分支执行前</x:v>
      </x:c>
      <x:c r="T17" s="9" t="str">
        <x:v>待确认</x:v>
      </x:c>
    </x:row>
    <x:row r="18" ht="100" customHeight="1">
      <x:c r="A18" s="10" t="str">
        <x:v>Q-021</x:v>
      </x:c>
      <x:c r="B18" s="10" t="str">
        <x:v>RQ-021</x:v>
      </x:c>
      <x:c r="C18" s="10" t="str"/>
      <x:c r="D18" s="10" t="str"/>
      <x:c r="E18" s="10" t="str">
        <x:v>部分阻塞</x:v>
      </x:c>
      <x:c r="F18" s="10" t="str">
        <x:v>运营账号</x:v>
      </x:c>
      <x:c r="G18" s="9" t="str">
        <x:v>平台修改运营账号资料</x:v>
      </x:c>
      <x:c r="H18" s="9" t="str">
        <x:v>角色与权限</x:v>
      </x:c>
      <x:c r="I18" s="9" t="str">
        <x:v>平台是否拥有运营账号编辑资料权限？</x:v>
      </x:c>
      <x:c r="J18" s="9" t="str">
        <x:v>A. 平台只读，由所属公会编辑
B. 平台和所属公会均可编辑</x:v>
      </x:c>
      <x:c r="K18" s="9" t="str">
        <x:v>建议明确权限归属后补入口及越权验证。</x:v>
      </x:c>
      <x:c r="L18" s="12" t="str"/>
      <x:c r="M18" s="12" t="str"/>
      <x:c r="N18" s="10" t="str">
        <x:v>1. liveshow-proto/MainBasis/需求待确认清单.md：- **REQ-56d4b1924ff5** 【需求待确认】3. 平台当前只查看、启停或锁定；页面“编辑资料、重置密码”属于公会权限，平台不得执行。</x:v>
      </x:c>
      <x:c r="O18" s="9" t="str">
        <x:v>1. 平台修改运营账号资料</x:v>
      </x:c>
      <x:c r="P18" s="9" t="str"/>
      <x:c r="Q18" s="9" t="str">
        <x:v>1. 平台修改运营账号资料中由本问题决定的有效、无效及状态变更分支</x:v>
      </x:c>
      <x:c r="R18" s="9" t="str">
        <x:v>产品</x:v>
      </x:c>
      <x:c r="S18" s="9" t="str">
        <x:v>相关分支执行前</x:v>
      </x:c>
      <x:c r="T18" s="9" t="str">
        <x:v>待确认</x:v>
      </x:c>
    </x:row>
    <x:row r="19" ht="100" customHeight="1">
      <x:c r="A19" s="10" t="str">
        <x:v>Q-022</x:v>
      </x:c>
      <x:c r="B19" s="10" t="str">
        <x:v>RQ-022</x:v>
      </x:c>
      <x:c r="C19" s="10" t="str"/>
      <x:c r="D19" s="10" t="str"/>
      <x:c r="E19" s="10" t="str">
        <x:v>部分阻塞</x:v>
      </x:c>
      <x:c r="F19" s="10" t="str">
        <x:v>运营账号</x:v>
      </x:c>
      <x:c r="G19" s="9" t="str">
        <x:v>平台重置运营账号密码</x:v>
      </x:c>
      <x:c r="H19" s="9" t="str">
        <x:v>角色与权限</x:v>
      </x:c>
      <x:c r="I19" s="9" t="str">
        <x:v>平台是否允许重置运营账号密码？</x:v>
      </x:c>
      <x:c r="J19" s="9" t="str">
        <x:v>A. 只允许所属公会重置
B. 平台和所属公会均可重置</x:v>
      </x:c>
      <x:c r="K19" s="9" t="str">
        <x:v>建议分别确认重置权限与操作记录要求。</x:v>
      </x:c>
      <x:c r="L19" s="12" t="str"/>
      <x:c r="M19" s="12" t="str"/>
      <x:c r="N19" s="10" t="str">
        <x:v>1. liveshow-proto/MainBasis/需求待确认清单.md：- **REQ-56d4b1924ff5** 【需求待确认】3. 平台当前只查看、启停或锁定；页面“编辑资料、重置密码”属于公会权限，平台不得执行。</x:v>
      </x:c>
      <x:c r="O19" s="9" t="str">
        <x:v>1. 平台重置运营账号密码</x:v>
      </x:c>
      <x:c r="P19" s="9" t="str"/>
      <x:c r="Q19" s="9" t="str">
        <x:v>1. 平台重置运营账号密码中由本问题决定的有效、无效及状态变更分支</x:v>
      </x:c>
      <x:c r="R19" s="9" t="str">
        <x:v>产品</x:v>
      </x:c>
      <x:c r="S19" s="9" t="str">
        <x:v>相关分支执行前</x:v>
      </x:c>
      <x:c r="T19" s="9" t="str">
        <x:v>待确认</x:v>
      </x:c>
    </x:row>
    <x:row r="20" ht="100" customHeight="1">
      <x:c r="A20" s="10" t="str">
        <x:v>Q-023</x:v>
      </x:c>
      <x:c r="B20" s="10" t="str">
        <x:v>RQ-023</x:v>
      </x:c>
      <x:c r="C20" s="10" t="str"/>
      <x:c r="D20" s="10" t="str"/>
      <x:c r="E20" s="10" t="str">
        <x:v>部分阻塞</x:v>
      </x:c>
      <x:c r="F20" s="10" t="str">
        <x:v>系统配置</x:v>
      </x:c>
      <x:c r="G20" s="9" t="str">
        <x:v>系统参数未登记入口</x:v>
      </x:c>
      <x:c r="H20" s="9" t="str">
        <x:v>需求范围</x:v>
      </x:c>
      <x:c r="I20" s="9" t="str">
        <x:v>系统参数维护是否属于本次上线范围？</x:v>
      </x:c>
      <x:c r="J20" s="9" t="str">
        <x:v>A. 纳入并补充正式入口与权限
B. 不纳入本期范围</x:v>
      </x:c>
      <x:c r="K20" s="9" t="str">
        <x:v>建议先确认范围；纳入后补参数生效、版本保留和权限测试。</x:v>
      </x:c>
      <x:c r="L20" s="12" t="str"/>
      <x:c r="M20" s="12" t="str"/>
      <x:c r="N20" s="10" t="str">
        <x:v>1. liveshow-proto/MainBasis/需求待确认清单.md：- **SRC-Q10** 【需求待确认】系统参数维护是否属于本次正式范围？当前文件和批注存在，但查看器及共享导航没有入口。</x:v>
      </x:c>
      <x:c r="O20" s="9" t="str">
        <x:v>1. 系统参数未登记入口</x:v>
      </x:c>
      <x:c r="P20" s="9" t="str"/>
      <x:c r="Q20" s="9" t="str">
        <x:v>1. 系统参数未登记入口中由本问题决定的有效、无效及状态变更分支</x:v>
      </x:c>
      <x:c r="R20" s="9" t="str">
        <x:v>产品</x:v>
      </x:c>
      <x:c r="S20" s="9" t="str">
        <x:v>相关分支执行前</x:v>
      </x:c>
      <x:c r="T20" s="9" t="str">
        <x:v>待确认</x:v>
      </x:c>
    </x:row>
    <x:row r="21" ht="100" customHeight="1">
      <x:c r="A21" s="10" t="str">
        <x:v>Q-024</x:v>
      </x:c>
      <x:c r="B21" s="10" t="str">
        <x:v>RQ-024</x:v>
      </x:c>
      <x:c r="C21" s="10" t="str"/>
      <x:c r="D21" s="10" t="str"/>
      <x:c r="E21" s="10" t="str">
        <x:v>部分阻塞</x:v>
      </x:c>
      <x:c r="F21" s="10" t="str">
        <x:v>系统配置</x:v>
      </x:c>
      <x:c r="G21" s="9" t="str">
        <x:v>操作审计未登记入口</x:v>
      </x:c>
      <x:c r="H21" s="9" t="str">
        <x:v>需求范围</x:v>
      </x:c>
      <x:c r="I21" s="9" t="str">
        <x:v>操作审计查询是否属于本次上线范围？</x:v>
      </x:c>
      <x:c r="J21" s="9" t="str">
        <x:v>A. 纳入并补充正式入口与权限
B. 不纳入本期范围</x:v>
      </x:c>
      <x:c r="K21" s="9" t="str">
        <x:v>建议先确认范围；纳入后补审计查询、详情及只读验证。</x:v>
      </x:c>
      <x:c r="L21" s="12" t="str"/>
      <x:c r="M21" s="12" t="str"/>
      <x:c r="N21" s="10" t="str">
        <x:v>1. liveshow-proto/MainBasis/需求待确认清单.md：- **SRC-Q11** 【需求待确认】操作审计查询是否属于本次正式范围？当前有文件与批注，但没有从现行页面树进入的路径。</x:v>
      </x:c>
      <x:c r="O21" s="9" t="str">
        <x:v>1. 操作审计未登记入口</x:v>
      </x:c>
      <x:c r="P21" s="9" t="str"/>
      <x:c r="Q21" s="9" t="str">
        <x:v>1. 操作审计未登记入口中由本问题决定的有效、无效及状态变更分支</x:v>
      </x:c>
      <x:c r="R21" s="9" t="str">
        <x:v>产品</x:v>
      </x:c>
      <x:c r="S21" s="9" t="str">
        <x:v>相关分支执行前</x:v>
      </x:c>
      <x:c r="T21" s="9" t="str">
        <x:v>待确认</x:v>
      </x:c>
    </x:row>
    <x:row r="22" ht="130" customHeight="1">
      <x:c r="A22" s="10" t="str">
        <x:v>Q-025</x:v>
      </x:c>
      <x:c r="B22" s="10" t="str">
        <x:v>RQ-025</x:v>
      </x:c>
      <x:c r="C22" s="10" t="str"/>
      <x:c r="D22" s="10" t="str"/>
      <x:c r="E22" s="10" t="str">
        <x:v>部分阻塞</x:v>
      </x:c>
      <x:c r="F22" s="10" t="str">
        <x:v>财务分成</x:v>
      </x:c>
      <x:c r="G22" s="9" t="str">
        <x:v>商品SKU分成规则</x:v>
      </x:c>
      <x:c r="H22" s="9" t="str">
        <x:v>需求范围</x:v>
      </x:c>
      <x:c r="I22" s="9" t="str">
        <x:v>当前系统是否保留线上SKU分成规则配置？</x:v>
      </x:c>
      <x:c r="J22" s="9" t="str">
        <x:v>A. 本期仅记录线下结算，不提供线上规则配置
B. 保留线上配置并补入口与完整规则</x:v>
      </x:c>
      <x:c r="K22" s="9" t="str">
        <x:v>建议与已确认的线下结算边界统一后再补配置测试。</x:v>
      </x:c>
      <x:c r="L22" s="12" t="str"/>
      <x:c r="M22" s="12" t="str"/>
      <x:c r="N22" s="10" t="str">
        <x:v>1. liveshow-proto/MainBasis/需求待确认清单.md：- **SRC-Q13** 【需求待确认】系统概要核心用例仍提到商品SKU分成规则，旧需求任务也保留配置规则，但当前页面树无分成规则配置入口；在线系统仅记录线下结算的明确规则继续执行，SKU配置是否保留及入口需确认。</x:v>
      </x:c>
      <x:c r="O22" s="9" t="str">
        <x:v>1. 商品SKU分成规则</x:v>
      </x:c>
      <x:c r="P22" s="9" t="str"/>
      <x:c r="Q22" s="9" t="str">
        <x:v>1. 商品SKU分成规则中由本问题决定的有效、无效及状态变更分支</x:v>
      </x:c>
      <x:c r="R22" s="9" t="str">
        <x:v>产品</x:v>
      </x:c>
      <x:c r="S22" s="9" t="str">
        <x:v>相关分支执行前</x:v>
      </x:c>
      <x:c r="T22" s="9" t="str">
        <x:v>待确认</x:v>
      </x:c>
    </x:row>
  </x:sheetData>
  <x:dataValidations count="5">
    <x:dataValidation type="list" sqref="E2:E22">
      <x:formula1>"阻塞测试,部分阻塞,不阻塞"</x:formula1>
    </x:dataValidation>
    <x:dataValidation type="list" sqref="H2:H22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22">
      <x:formula1>"A,B,C,D,其他"</x:formula1>
    </x:dataValidation>
    <x:dataValidation type="list" sqref="R2:R22">
      <x:formula1>"产品,交互,技术,多方确认"</x:formula1>
    </x:dataValidation>
    <x:dataValidation type="list" sqref="T2:T22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18419675124628"/>
  </x:tableParts>
</x:worksheet>
</file>