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bb415218337403a" /></Relationships>
</file>

<file path=xl/workbook.xml><?xml version="1.0" encoding="utf-8"?>
<x:workbook xmlns:x="http://schemas.openxmlformats.org/spreadsheetml/2006/main">
  <x:sheets>
    <x:sheet xmlns:r="http://schemas.openxmlformats.org/officeDocument/2006/relationships" name="产品决策概览" sheetId="1" r:id="Rf6fca9db89ac4e6c"/>
    <x:sheet xmlns:r="http://schemas.openxmlformats.org/officeDocument/2006/relationships" name="功能测试用例" sheetId="2" r:id="R9cf87064b1e549d4"/>
    <x:sheet xmlns:r="http://schemas.openxmlformats.org/officeDocument/2006/relationships" name="需求待确认" sheetId="3" r:id="R99d711edc55f4307"/>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sz val="10"/>
      <x:color rgb="FF111827"/>
      <x:name val="Arial"/>
    </x:font>
    <x:font>
      <x:b/>
      <x:sz val="10"/>
      <x:color rgb="FFFFFFFF"/>
      <x:name val="Arial"/>
    </x:font>
    <x:font>
      <x:b/>
      <x:sz val="15"/>
      <x:color rgb="FF111827"/>
      <x:name val="Arial"/>
    </x:font>
    <x:font>
      <x:i/>
      <x:sz val="10"/>
      <x:color rgb="FF64748B"/>
      <x:name val="Arial"/>
    </x:font>
    <x:font>
      <x:b/>
      <x:sz val="11"/>
      <x:color rgb="FF1D4ED8"/>
      <x:name val="Arial"/>
    </x:font>
  </x:fonts>
  <x:fills count="5">
    <x:fill>
      <x:patternFill patternType="none"/>
    </x:fill>
    <x:fill>
      <x:patternFill patternType="gray125"/>
    </x:fill>
    <x:fill>
      <x:patternFill patternType="solid">
        <x:fgColor rgb="FF1F2937"/>
      </x:patternFill>
    </x:fill>
    <x:fill>
      <x:patternFill patternType="solid">
        <x:fgColor rgb="FFFFF4CC"/>
      </x:patternFill>
    </x:fill>
    <x:fill>
      <x:patternFill patternType="solid">
        <x:fgColor rgb="FFF8FAFC"/>
      </x:patternFill>
    </x:fill>
  </x:fills>
  <x:borders count="3">
    <x:border/>
    <x:border>
      <x:left style="thin">
        <x:color rgb="FFCBD5E1"/>
      </x:left>
      <x:right style="thin">
        <x:color rgb="FFCBD5E1"/>
      </x:right>
      <x:top style="thin">
        <x:color rgb="FFCBD5E1"/>
      </x:top>
      <x:bottom style="thin">
        <x:color rgb="FFCBD5E1"/>
      </x:bottom>
    </x:border>
    <x:border>
      <x:left style="thin">
        <x:color rgb="FFFFFFFF"/>
      </x:left>
      <x:right style="thin">
        <x:color rgb="FFFFFFFF"/>
      </x:right>
      <x:top style="thin">
        <x:color rgb="FFFFFFFF"/>
      </x:top>
      <x:bottom style="thin">
        <x:color rgb="FFFFFFFF"/>
      </x:bottom>
    </x:border>
  </x:borders>
  <x:cellStyleXfs count="1">
    <x:xf numFmtId="0" fontId="0" fillId="0" borderId="0"/>
  </x:cellStyleXfs>
  <x:cellXfs count="23">
    <x:xf numFmtId="0" fontId="0" fillId="0" borderId="0" xfId="0"/>
    <x:xf numFmtId="0" fontId="1" fillId="0" borderId="0"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center" wrapText="1"/>
    </x:xf>
    <x:xf numFmtId="0" fontId="1" fillId="2" borderId="1" xfId="0" applyNumberFormat="1" applyFont="1" applyFill="1" applyBorder="1" applyAlignment="1">
      <x:alignment vertical="center" wrapText="1"/>
    </x:xf>
    <x:xf numFmtId="0" fontId="2" fillId="2" borderId="1" xfId="0" applyNumberFormat="1" applyFont="1" applyFill="1" applyBorder="1" applyAlignment="1">
      <x:alignment vertical="center" wrapText="1"/>
    </x:xf>
    <x:xf numFmtId="0" fontId="2" fillId="2" borderId="2" xfId="0" applyNumberFormat="1" applyFont="1" applyFill="1" applyBorder="1" applyAlignment="1">
      <x:alignment vertical="center" wrapText="1"/>
    </x:xf>
    <x:xf numFmtId="0" fontId="2" fillId="2" borderId="2" xfId="0" applyNumberFormat="1" applyFont="1" applyFill="1" applyBorder="1" applyAlignment="1">
      <x:alignment horizontal="center" vertical="center" wrapText="1"/>
    </x:xf>
    <x:xf numFmtId="0" fontId="1" fillId="0" borderId="1" xfId="0" applyNumberFormat="1" applyFont="1" applyFill="1" applyBorder="1" applyAlignment="1">
      <x:alignment horizontal="left" vertical="center" wrapText="1"/>
    </x:xf>
    <x:xf numFmtId="0" fontId="1" fillId="0" borderId="1" xfId="0" applyNumberFormat="1" applyFont="1" applyFill="1" applyBorder="1" applyAlignment="1">
      <x:alignment horizontal="center" vertical="center" wrapText="1"/>
    </x:xf>
    <x:xf numFmtId="0" fontId="2" fillId="2" borderId="1" xfId="0" applyNumberFormat="1" applyFont="1" applyFill="1" applyBorder="1" applyAlignment="1">
      <x:alignment horizontal="center" vertical="center" wrapText="1"/>
    </x:xf>
    <x:xf numFmtId="0" fontId="1" fillId="3" borderId="1" xfId="0" applyNumberFormat="1" applyFont="1" applyFill="1" applyBorder="1" applyAlignment="1">
      <x:alignment horizontal="center" vertical="center" wrapText="1"/>
    </x:xf>
    <x:xf numFmtId="0" fontId="1"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4"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2" borderId="1" xfId="0" applyNumberFormat="1" applyFont="1" applyFill="1" applyBorder="1" applyAlignment="1">
      <x:alignment vertical="center"/>
    </x:xf>
    <x:xf numFmtId="0" fontId="2" fillId="2" borderId="1" xfId="0" applyNumberFormat="1" applyFont="1" applyFill="1" applyBorder="1" applyAlignment="1">
      <x:alignment vertical="center"/>
    </x:xf>
    <x:xf numFmtId="0" fontId="2" fillId="2" borderId="2" xfId="0" applyNumberFormat="1" applyFont="1" applyFill="1" applyBorder="1" applyAlignment="1">
      <x:alignment vertical="center"/>
    </x:xf>
    <x:xf numFmtId="0" fontId="1" fillId="4" borderId="1" xfId="0" applyNumberFormat="1" applyFont="1" applyFill="1" applyBorder="1" applyAlignment="1">
      <x:alignment vertical="center"/>
    </x:xf>
    <x:xf numFmtId="0" fontId="5" fillId="0" borderId="1" xfId="0" applyNumberFormat="1" applyFont="1" applyFill="1" applyBorder="1" applyAlignment="1">
      <x:alignment vertical="center"/>
    </x:xf>
    <x:xf numFmtId="0" fontId="5" fillId="0" borderId="1" xfId="0" applyNumberFormat="1" applyFont="1" applyFill="1" applyBorder="1" applyAlignment="1">
      <x:alignment horizontal="righ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65794f967d04651" /><Relationship Type="http://schemas.openxmlformats.org/officeDocument/2006/relationships/theme" Target="/xl/theme/theme1.xml" Id="R8f68725abe0b49e5" /><Relationship Type="http://schemas.openxmlformats.org/officeDocument/2006/relationships/sharedStrings" Target="/xl/sharedStrings.xml" Id="R0d15982a637e45b0" /><Relationship Type="http://schemas.openxmlformats.org/officeDocument/2006/relationships/worksheet" Target="/xl/worksheets/sheet1.xml" Id="Rf6fca9db89ac4e6c" /><Relationship Type="http://schemas.openxmlformats.org/officeDocument/2006/relationships/worksheet" Target="/xl/worksheets/sheet2.xml" Id="R9cf87064b1e549d4" /><Relationship Type="http://schemas.openxmlformats.org/officeDocument/2006/relationships/worksheet" Target="/xl/worksheets/sheet3.xml" Id="R99d711edc55f4307" /></Relationships>
</file>

<file path=xl/tables/table1.xml><?xml version="1.0" encoding="utf-8"?>
<x:table xmlns:x="http://schemas.openxmlformats.org/spreadsheetml/2006/main" id="1" name="LiveCasesTable" displayName="LiveCasesTable" ref="A1:O1577" headerRowCount="1" totalsRowCount="0" totalsRowShown="0">
  <x:autoFilter ref="A1:O1577"/>
  <x:tableColumns count="15">
    <x:tableColumn id="1" name="序号"/>
    <x:tableColumn id="2" name="用例编号"/>
    <x:tableColumn id="3" name="功能模块"/>
    <x:tableColumn id="4" name="功能结构"/>
    <x:tableColumn id="5" name="用例类型"/>
    <x:tableColumn id="6" name="优先级"/>
    <x:tableColumn id="7" name="用例描述"/>
    <x:tableColumn id="8" name="验证用例子项"/>
    <x:tableColumn id="9" name="前置条件"/>
    <x:tableColumn id="10" name="操作步骤"/>
    <x:tableColumn id="11" name="预期结果"/>
    <x:tableColumn id="12" name="流程编号"/>
    <x:tableColumn id="13" name="测试结果"/>
    <x:tableColumn id="14" name="测试人员"/>
    <x:tableColumn id="15" name="备注"/>
  </x:tableColumns>
  <x:tableStyleInfo name="TableStyleMedium2" showFirstColumn="0" showLastColumn="0" showRowStripes="1" showColumnStripes="0"/>
</x:table>
</file>

<file path=xl/tables/table2.xml><?xml version="1.0" encoding="utf-8"?>
<x:table xmlns:x="http://schemas.openxmlformats.org/spreadsheetml/2006/main" id="2" name="LivePendingTable" displayName="LivePendingTable" ref="A1:T54" headerRowCount="1" totalsRowCount="0" totalsRowShown="0">
  <x:autoFilter ref="A1:T54"/>
  <x:tableColumns count="20">
    <x:tableColumn id="1" name="问题编号"/>
    <x:tableColumn id="2" name="需求组编号"/>
    <x:tableColumn id="3" name="父问题编号"/>
    <x:tableColumn id="4" name="追问触发条件"/>
    <x:tableColumn id="5" name="阻塞等级"/>
    <x:tableColumn id="6" name="功能模块"/>
    <x:tableColumn id="7" name="具体场景"/>
    <x:tableColumn id="8" name="问题分类"/>
    <x:tableColumn id="9" name="待决策问题"/>
    <x:tableColumn id="10" name="可选方案"/>
    <x:tableColumn id="11" name="测试建议"/>
    <x:tableColumn id="12" name="产品结论"/>
    <x:tableColumn id="13" name="结论补充"/>
    <x:tableColumn id="14" name="已知依据"/>
    <x:tableColumn id="15" name="影响范围"/>
    <x:tableColumn id="16" name="已有用例编号"/>
    <x:tableColumn id="17" name="确认后待补用例"/>
    <x:tableColumn id="18" name="负责人"/>
    <x:tableColumn id="19" name="期望确认时间"/>
    <x:tableColumn id="20" name="确认状态"/>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d739fd24bc54235" /></Relationships>
</file>

<file path=xl/worksheets/_rels/sheet3.xml.rels>&#65279;<?xml version="1.0" encoding="utf-8"?><Relationships xmlns="http://schemas.openxmlformats.org/package/2006/relationships"><Relationship Type="http://schemas.openxmlformats.org/officeDocument/2006/relationships/table" Target="/xl/tables/table2.xml" Id="R5228a4ec7b2f4c68" /></Relationships>
</file>

<file path=xl/worksheets/sheet1.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22" hidden="0" customWidth="1"/>
    <x:col min="2" max="2" width="12" hidden="0" customWidth="1"/>
    <x:col min="3" max="3" width="4" hidden="0" customWidth="1"/>
    <x:col min="4" max="4" width="18" hidden="0" customWidth="1"/>
    <x:col min="5" max="5" width="14" hidden="0" customWidth="1"/>
    <x:col min="6" max="6" width="4" hidden="0" customWidth="1"/>
    <x:col min="7" max="7" width="18" hidden="0" customWidth="1"/>
    <x:col min="8" max="8" width="14" hidden="0" customWidth="1"/>
  </x:cols>
  <x:sheetData>
    <x:row r="1" ht="30" customHeight="1">
      <x:c r="A1" s="14" t="str">
        <x:v>用户App-全部模块-260915-005 产品决策概览</x:v>
      </x:c>
      <x:c r="B1" s="13"/>
      <x:c r="C1" s="13"/>
      <x:c r="D1" s="13"/>
      <x:c r="E1" s="13"/>
      <x:c r="F1" s="13"/>
      <x:c r="G1" s="13"/>
      <x:c r="H1" s="13"/>
    </x:row>
    <x:row r="2">
      <x:c r="A2" s="15" t="str">
        <x:v>覆盖性质：部分覆盖；问题数量由下表汇总</x:v>
      </x:c>
      <x:c r="B2" s="13"/>
      <x:c r="C2" s="13"/>
      <x:c r="D2" s="13"/>
      <x:c r="E2" s="13"/>
      <x:c r="F2" s="13"/>
      <x:c r="G2" s="13"/>
      <x:c r="H2" s="13"/>
    </x:row>
    <x:row r="3">
      <x:c r="A3" s="13"/>
      <x:c r="B3" s="13"/>
      <x:c r="C3" s="13"/>
      <x:c r="D3" s="13"/>
      <x:c r="E3" s="13"/>
      <x:c r="F3" s="13"/>
      <x:c r="G3" s="13"/>
      <x:c r="H3" s="13"/>
    </x:row>
    <x:row r="4">
      <x:c r="A4" s="8" t="str">
        <x:v>状态</x:v>
      </x:c>
      <x:c r="B4" s="8" t="str">
        <x:v>数量</x:v>
      </x:c>
      <x:c r="C4" s="13"/>
      <x:c r="D4" s="8" t="str">
        <x:v>阻塞等级</x:v>
      </x:c>
      <x:c r="E4" s="8" t="str">
        <x:v>当前待确认</x:v>
      </x:c>
      <x:c r="F4" s="13"/>
      <x:c r="G4" s="8" t="str">
        <x:v>负责人</x:v>
      </x:c>
      <x:c r="H4" s="8" t="str">
        <x:v>当前待确认</x:v>
      </x:c>
    </x:row>
    <x:row r="5">
      <x:c r="A5" s="20" t="str">
        <x:v>问题总数</x:v>
      </x:c>
      <x:c r="B5" s="22" t="n">
        <x:f>COUNTA('需求待确认'!$A$2:$A$54)</x:f>
        <x:v>53</x:v>
      </x:c>
      <x:c r="C5" s="13"/>
      <x:c r="D5" s="20" t="str">
        <x:v>阻塞测试</x:v>
      </x:c>
      <x:c r="E5" s="22" t="n">
        <x:f>COUNTIFS('需求待确认'!$E$2:$E$54,"阻塞测试",'需求待确认'!$T$2:$T$54,"待确认")</x:f>
        <x:v>0</x:v>
      </x:c>
      <x:c r="F5" s="13"/>
      <x:c r="G5" s="20" t="str">
        <x:v>产品</x:v>
      </x:c>
      <x:c r="H5" s="22" t="n">
        <x:f>COUNTIFS('需求待确认'!$R$2:$R$54,"产品",'需求待确认'!$T$2:$T$54,"待确认")</x:f>
        <x:v>26</x:v>
      </x:c>
    </x:row>
    <x:row r="6">
      <x:c r="A6" s="20" t="str">
        <x:v>当前可回答</x:v>
      </x:c>
      <x:c r="B6" s="22" t="n">
        <x:f>COUNTIF('需求待确认'!$T$2:$T$54,"待确认")</x:f>
        <x:v>50</x:v>
      </x:c>
      <x:c r="C6" s="13"/>
      <x:c r="D6" s="20" t="str">
        <x:v>部分阻塞</x:v>
      </x:c>
      <x:c r="E6" s="22" t="n">
        <x:f>COUNTIFS('需求待确认'!$E$2:$E$54,"部分阻塞",'需求待确认'!$T$2:$T$54,"待确认")</x:f>
        <x:v>50</x:v>
      </x:c>
      <x:c r="F6" s="13"/>
      <x:c r="G6" s="20" t="str">
        <x:v>交互</x:v>
      </x:c>
      <x:c r="H6" s="22" t="n">
        <x:f>COUNTIFS('需求待确认'!$R$2:$R$54,"交互",'需求待确认'!$T$2:$T$54,"待确认")</x:f>
        <x:v>1</x:v>
      </x:c>
    </x:row>
    <x:row r="7">
      <x:c r="A7" s="20" t="str">
        <x:v>待前置结论</x:v>
      </x:c>
      <x:c r="B7" s="22" t="n">
        <x:f>COUNTIF('需求待确认'!$T$2:$T$54,"待前置结论")</x:f>
        <x:v>3</x:v>
      </x:c>
      <x:c r="C7" s="13"/>
      <x:c r="D7" s="20" t="str">
        <x:v>不阻塞</x:v>
      </x:c>
      <x:c r="E7" s="22" t="n">
        <x:f>COUNTIFS('需求待确认'!$E$2:$E$54,"不阻塞",'需求待确认'!$T$2:$T$54,"待确认")</x:f>
        <x:v>0</x:v>
      </x:c>
      <x:c r="F7" s="13"/>
      <x:c r="G7" s="20" t="str">
        <x:v>技术</x:v>
      </x:c>
      <x:c r="H7" s="22" t="n">
        <x:f>COUNTIFS('需求待确认'!$R$2:$R$54,"技术",'需求待确认'!$T$2:$T$54,"待确认")</x:f>
        <x:v>0</x:v>
      </x:c>
    </x:row>
    <x:row r="8">
      <x:c r="A8" s="20" t="str">
        <x:v>确认中</x:v>
      </x:c>
      <x:c r="B8" s="22" t="n">
        <x:f>COUNTIF('需求待确认'!$T$2:$T$54,"确认中")</x:f>
        <x:v>0</x:v>
      </x:c>
      <x:c r="C8" s="13"/>
      <x:c r="D8" s="13"/>
      <x:c r="E8" s="13"/>
      <x:c r="F8" s="13"/>
      <x:c r="G8" s="20" t="str">
        <x:v>多方确认</x:v>
      </x:c>
      <x:c r="H8" s="22" t="n">
        <x:f>COUNTIFS('需求待确认'!$R$2:$R$54,"多方确认",'需求待确认'!$T$2:$T$54,"待确认")</x:f>
        <x:v>23</x:v>
      </x:c>
    </x:row>
    <x:row r="9">
      <x:c r="A9" s="20" t="str">
        <x:v>已确认</x:v>
      </x:c>
      <x:c r="B9" s="22" t="n">
        <x:f>COUNTIF('需求待确认'!$T$2:$T$54,"已确认")</x:f>
        <x:v>0</x:v>
      </x:c>
      <x:c r="C9" s="13"/>
      <x:c r="D9" s="13"/>
      <x:c r="E9" s="13"/>
      <x:c r="F9" s="13"/>
      <x:c r="G9" s="13"/>
      <x:c r="H9" s="13"/>
    </x:row>
    <x:row r="10">
      <x:c r="A10" s="20" t="str">
        <x:v>无需处理</x:v>
      </x:c>
      <x:c r="B10" s="22" t="n">
        <x:f>COUNTIF('需求待确认'!$T$2:$T$54,"无需处理")</x:f>
        <x:v>0</x:v>
      </x:c>
      <x:c r="C10" s="13"/>
      <x:c r="D10" s="13"/>
      <x:c r="E10" s="13"/>
      <x:c r="F10" s="13"/>
      <x:c r="G10" s="13"/>
      <x:c r="H10" s="13"/>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7" hidden="0" customWidth="1"/>
    <x:col min="2" max="2" width="13" hidden="0" customWidth="1"/>
    <x:col min="3" max="3" width="12" hidden="0" customWidth="1"/>
    <x:col min="4" max="4" width="24" hidden="0" customWidth="1"/>
    <x:col min="5" max="5" width="12" hidden="0" customWidth="1"/>
    <x:col min="6" max="6" width="8" hidden="0" customWidth="1"/>
    <x:col min="7" max="7" width="27" hidden="0" customWidth="1"/>
    <x:col min="8" max="8" width="20" hidden="0" customWidth="1"/>
    <x:col min="9" max="9" width="30" hidden="0" customWidth="1"/>
    <x:col min="10" max="10" width="32" hidden="0" customWidth="1"/>
    <x:col min="11" max="11" width="38" hidden="0" customWidth="1"/>
    <x:col min="12" max="12" width="18" hidden="0" customWidth="1"/>
    <x:col min="13" max="13" width="10" hidden="0" customWidth="1"/>
    <x:col min="14" max="14" width="12" hidden="0" customWidth="1"/>
    <x:col min="15" max="15" width="42" hidden="0" customWidth="1"/>
  </x:cols>
  <x:sheetData>
    <x:row r="1" ht="34" customHeight="1">
      <x:c r="A1" s="11" t="str">
        <x:v>序号</x:v>
      </x:c>
      <x:c r="B1" s="11" t="str">
        <x:v>用例编号</x:v>
      </x:c>
      <x:c r="C1" s="11" t="str">
        <x:v>功能模块</x:v>
      </x:c>
      <x:c r="D1" s="11" t="str">
        <x:v>功能结构</x:v>
      </x:c>
      <x:c r="E1" s="11" t="str">
        <x:v>用例类型</x:v>
      </x:c>
      <x:c r="F1" s="11" t="str">
        <x:v>优先级</x:v>
      </x:c>
      <x:c r="G1" s="11" t="str">
        <x:v>用例描述</x:v>
      </x:c>
      <x:c r="H1" s="11" t="str">
        <x:v>验证用例子项</x:v>
      </x:c>
      <x:c r="I1" s="11" t="str">
        <x:v>前置条件</x:v>
      </x:c>
      <x:c r="J1" s="11" t="str">
        <x:v>操作步骤</x:v>
      </x:c>
      <x:c r="K1" s="11" t="str">
        <x:v>预期结果</x:v>
      </x:c>
      <x:c r="L1" s="11" t="str">
        <x:v>流程编号</x:v>
      </x:c>
      <x:c r="M1" s="11" t="str">
        <x:v>测试结果</x:v>
      </x:c>
      <x:c r="N1" s="11" t="str">
        <x:v>测试人员</x:v>
      </x:c>
      <x:c r="O1" s="11" t="str">
        <x:v>备注</x:v>
      </x:c>
    </x:row>
    <x:row r="2" ht="85" customHeight="1">
      <x:c r="A2" s="10" t="n">
        <x:v>1</x:v>
      </x:c>
      <x:c r="B2" s="10" t="str">
        <x:v>USER-01-0001</x:v>
      </x:c>
      <x:c r="C2" s="10" t="str">
        <x:v>系统入口</x:v>
      </x:c>
      <x:c r="D2" s="10" t="str">
        <x:v>登录与注册（未登录用户视角）</x:v>
      </x:c>
      <x:c r="E2" s="10" t="str">
        <x:v>业务流程</x:v>
      </x:c>
      <x:c r="F2" s="10" t="str">
        <x:v>P1</x:v>
      </x:c>
      <x:c r="G2" s="9" t="str">
        <x:v>验证Google授权入口</x:v>
      </x:c>
      <x:c r="H2" s="9" t="str">
        <x:v>Google授权页唤起</x:v>
      </x:c>
      <x:c r="I2" s="9" t="str">
        <x:v>1. 执行角色为未登录用户；当前处于登录与注册页面
2. 用户协议和隐私政策均已勾选</x:v>
      </x:c>
      <x:c r="J2" s="9" t="str">
        <x:v>1. 点击Google登录</x:v>
      </x:c>
      <x:c r="K2" s="9" t="str">
        <x:v>唤起Google授权页面</x:v>
      </x:c>
      <x:c r="L2" s="10" t="str"/>
      <x:c r="M2" s="10" t="str">
        <x:v>未测</x:v>
      </x:c>
      <x:c r="N2" s="10" t="str"/>
      <x:c r="O2" s="9" t="str">
        <x:v>1. 来源（当前证据）：liveshow-proto/MainBasis/统一需求文档.md；位置：行1350、行1366、行1348
2. 规则：BR-6621f191f8359eef
3. 未动态验证</x:v>
      </x:c>
    </x:row>
    <x:row r="3" ht="85" customHeight="1">
      <x:c r="A3" s="10" t="n">
        <x:v>2</x:v>
      </x:c>
      <x:c r="B3" s="10" t="str">
        <x:v>USER-01-0002</x:v>
      </x:c>
      <x:c r="C3" s="10" t="str">
        <x:v>系统入口</x:v>
      </x:c>
      <x:c r="D3" s="10" t="str">
        <x:v>登录与注册（未登录用户视角）</x:v>
      </x:c>
      <x:c r="E3" s="10" t="str">
        <x:v>异常用例</x:v>
      </x:c>
      <x:c r="F3" s="10" t="str">
        <x:v>P1</x:v>
      </x:c>
      <x:c r="G3" s="9" t="str">
        <x:v>验证Google未同意协议</x:v>
      </x:c>
      <x:c r="H3" s="9" t="str">
        <x:v>登录协议拦截提示</x:v>
      </x:c>
      <x:c r="I3" s="9" t="str">
        <x:v>1. 执行角色为未登录用户；当前处于登录与注册页面
2. 协议未勾选</x:v>
      </x:c>
      <x:c r="J3" s="9" t="str">
        <x:v>1. 点击Google登录</x:v>
      </x:c>
      <x:c r="K3" s="9" t="str">
        <x:v>提示先同意用户协议和隐私政策</x:v>
      </x:c>
      <x:c r="L3" s="10" t="str"/>
      <x:c r="M3" s="10" t="str">
        <x:v>未测</x:v>
      </x:c>
      <x:c r="N3" s="10" t="str"/>
      <x:c r="O3" s="9" t="str">
        <x:v>1. 来源（当前证据）：liveshow-proto/MainBasis/统一需求文档.md；位置：行1365、行1348
2. 规则：BR-d8f0d5bb073bd3ad
3. 未动态验证</x:v>
      </x:c>
    </x:row>
    <x:row r="4" ht="85" customHeight="1">
      <x:c r="A4" s="10" t="n">
        <x:v>3</x:v>
      </x:c>
      <x:c r="B4" s="10" t="str">
        <x:v>USER-01-0003</x:v>
      </x:c>
      <x:c r="C4" s="10" t="str">
        <x:v>系统入口</x:v>
      </x:c>
      <x:c r="D4" s="10" t="str">
        <x:v>登录与注册（未登录用户视角）</x:v>
      </x:c>
      <x:c r="E4" s="10" t="str">
        <x:v>异常用例</x:v>
      </x:c>
      <x:c r="F4" s="10" t="str">
        <x:v>P1</x:v>
      </x:c>
      <x:c r="G4" s="9" t="str">
        <x:v>验证Google取消授权</x:v>
      </x:c>
      <x:c r="H4" s="9" t="str">
        <x:v>授权取消提示</x:v>
      </x:c>
      <x:c r="I4" s="9" t="str">
        <x:v>1. 执行角色为未登录用户；当前处于登录与注册页面
2. 协议已勾选</x:v>
      </x:c>
      <x:c r="J4" s="9" t="str">
        <x:v>1. 点击Google登录
2. 在授权页面点击取消</x:v>
      </x:c>
      <x:c r="K4" s="9" t="str">
        <x:v>提示“已取消授权”</x:v>
      </x:c>
      <x:c r="L4" s="10" t="str"/>
      <x:c r="M4" s="10" t="str">
        <x:v>未测</x:v>
      </x:c>
      <x:c r="N4" s="10" t="str"/>
      <x:c r="O4" s="9" t="str">
        <x:v>1. 来源（当前证据）：liveshow-proto/MainBasis/统一需求文档.md；位置：行1367、行1348
2. 规则：BR-fc74b5bb47f9d41a
3. 未动态验证</x:v>
      </x:c>
    </x:row>
    <x:row r="5" ht="160" customHeight="1">
      <x:c r="A5" s="10" t="n">
        <x:v>4</x:v>
      </x:c>
      <x:c r="B5" s="10" t="str">
        <x:v>USER-01-0004</x:v>
      </x:c>
      <x:c r="C5" s="10" t="str">
        <x:v>系统入口</x:v>
      </x:c>
      <x:c r="D5" s="10" t="str">
        <x:v>登录与注册（未登录用户视角）</x:v>
      </x:c>
      <x:c r="E5" s="10" t="str">
        <x:v>异常用例</x:v>
      </x:c>
      <x:c r="F5" s="10" t="str">
        <x:v>P1</x:v>
      </x:c>
      <x:c r="G5" s="9" t="str">
        <x:v>验证Google授权失败</x:v>
      </x:c>
      <x:c r="H5" s="9" t="str">
        <x:v>授权失败提示</x:v>
      </x:c>
      <x:c r="I5" s="9" t="str">
        <x:v>1. 执行角色为未登录用户；当前处于登录与注册页面
2. 协议已勾选
3. 第三方授权服务返回失败
4. 环境准备要求（尚未具备）：需开发提供仅测试构建可用的一次性授权失败回调；保留原渠道类型，回调进入应用失败处理分支，不使用账号封禁或取消授权代替服务失败</x:v>
      </x:c>
      <x:c r="J5" s="9" t="str">
        <x:v>1. 点击Google登录</x:v>
      </x:c>
      <x:c r="K5" s="9" t="str">
        <x:v>提示“登录失败，请重试”</x:v>
      </x:c>
      <x:c r="L5" s="10" t="str"/>
      <x:c r="M5" s="10" t="str">
        <x:v>未测</x:v>
      </x:c>
      <x:c r="N5" s="10" t="str"/>
      <x:c r="O5" s="9" t="str">
        <x:v>1. 来源（当前证据）：liveshow-proto/MainBasis/统一需求文档.md；位置：行1367、行1348
2. 规则：BR-4a8f9653151dabd3
3. 未动态验证
4. 环境待准备：本条第三方登录渠道的授权回调；时点：点击本条渠道登录并返回授权结果时；恢复：本条结束后撤销故障设置，恢复真实请求处理；使用新测试对象复跑正常路径，避免污染后续用例</x:v>
      </x:c>
    </x:row>
    <x:row r="6" ht="130" customHeight="1">
      <x:c r="A6" s="10" t="n">
        <x:v>5</x:v>
      </x:c>
      <x:c r="B6" s="10" t="str">
        <x:v>USER-01-0005</x:v>
      </x:c>
      <x:c r="C6" s="10" t="str">
        <x:v>系统入口</x:v>
      </x:c>
      <x:c r="D6" s="10" t="str">
        <x:v>登录与注册（未登录用户视角）</x:v>
      </x:c>
      <x:c r="E6" s="10" t="str">
        <x:v>业务流程</x:v>
      </x:c>
      <x:c r="F6" s="10" t="str">
        <x:v>P0</x:v>
      </x:c>
      <x:c r="G6" s="9" t="str">
        <x:v>验证Google已有账号登录</x:v>
      </x:c>
      <x:c r="H6" s="9" t="str">
        <x:v>老账号登录去向</x:v>
      </x:c>
      <x:c r="I6" s="9" t="str">
        <x:v>1. 执行角色为未登录用户；当前处于登录与注册页面
2. 协议已勾选
3. Google账号已绑定一个正常状态的Luma Live账号</x:v>
      </x:c>
      <x:c r="J6" s="9" t="str">
        <x:v>1. 点击Google登录
2. 确认第三方账号授权</x:v>
      </x:c>
      <x:c r="K6" s="9" t="str">
        <x:v>进入首页</x:v>
      </x:c>
      <x:c r="L6" s="10" t="str">
        <x:v>FLOW-311BB313</x:v>
      </x:c>
      <x:c r="M6" s="10" t="str">
        <x:v>未测</x:v>
      </x:c>
      <x:c r="N6" s="10" t="str"/>
      <x:c r="O6" s="9" t="str">
        <x:v>1. 来源（当前证据）：liveshow-proto/MainBasis/统一需求文档.md；位置：行1358、行1359、行1348
2. 规则：BR-bb8ea88caa2cff60
3. 未动态验证
4. 状态转换：ST-USER-001；共同业务对象：账号；当前阶段：完成有效凭证登录后的用户App观察</x:v>
      </x:c>
    </x:row>
    <x:row r="7" ht="130" customHeight="1">
      <x:c r="A7" s="10" t="n">
        <x:v>6</x:v>
      </x:c>
      <x:c r="B7" s="10" t="str">
        <x:v>USER-01-0006</x:v>
      </x:c>
      <x:c r="C7" s="10" t="str">
        <x:v>系统入口</x:v>
      </x:c>
      <x:c r="D7" s="10" t="str">
        <x:v>登录与注册（未登录用户视角）</x:v>
      </x:c>
      <x:c r="E7" s="10" t="str">
        <x:v>业务流程</x:v>
      </x:c>
      <x:c r="F7" s="10" t="str">
        <x:v>P1</x:v>
      </x:c>
      <x:c r="G7" s="9" t="str">
        <x:v>验证Google新账号分流</x:v>
      </x:c>
      <x:c r="H7" s="9" t="str">
        <x:v>首次授权去向</x:v>
      </x:c>
      <x:c r="I7" s="9" t="str">
        <x:v>1. 执行角色为未登录用户；当前处于登录与注册页面
2. 协议已勾选
3. Google账号从未关联Luma Live账号</x:v>
      </x:c>
      <x:c r="J7" s="9" t="str">
        <x:v>1. 点击Google登录
2. 确认第三方账号授权</x:v>
      </x:c>
      <x:c r="K7" s="9" t="str">
        <x:v>进入资料补全页</x:v>
      </x:c>
      <x:c r="L7" s="10" t="str">
        <x:v>FLOW-311BB313</x:v>
      </x:c>
      <x:c r="M7" s="10" t="str">
        <x:v>未测</x:v>
      </x:c>
      <x:c r="N7" s="10" t="str"/>
      <x:c r="O7" s="9" t="str">
        <x:v>1. 来源（当前证据）：liveshow-proto/MainBasis/统一需求文档.md；位置：行1358、行1359、行1348
2. 规则：BR-c34e0f977892e795
3. 未动态验证
4. 状态转换：ST-USER-002；共同业务对象：账号；当前阶段：完成第三方授权后的用户App观察</x:v>
      </x:c>
    </x:row>
    <x:row r="8" ht="85" customHeight="1">
      <x:c r="A8" s="10" t="n">
        <x:v>7</x:v>
      </x:c>
      <x:c r="B8" s="10" t="str">
        <x:v>USER-01-0007</x:v>
      </x:c>
      <x:c r="C8" s="10" t="str">
        <x:v>系统入口</x:v>
      </x:c>
      <x:c r="D8" s="10" t="str">
        <x:v>登录与注册（未登录用户视角）</x:v>
      </x:c>
      <x:c r="E8" s="10" t="str">
        <x:v>异常用例</x:v>
      </x:c>
      <x:c r="F8" s="10" t="str">
        <x:v>P1</x:v>
      </x:c>
      <x:c r="G8" s="9" t="str">
        <x:v>验证Google封禁账号拦截</x:v>
      </x:c>
      <x:c r="H8" s="9" t="str">
        <x:v>封禁账号页面停留</x:v>
      </x:c>
      <x:c r="I8" s="9" t="str">
        <x:v>1. 执行角色为未登录用户；当前处于登录与注册页面
2. 协议已勾选
3. Google关联的账号已被平台封禁</x:v>
      </x:c>
      <x:c r="J8" s="9" t="str">
        <x:v>1. 点击Google登录
2. 确认第三方账号授权</x:v>
      </x:c>
      <x:c r="K8" s="9" t="str">
        <x:v>停留登录与注册页</x:v>
      </x:c>
      <x:c r="L8" s="10" t="str"/>
      <x:c r="M8" s="10" t="str">
        <x:v>未测</x:v>
      </x:c>
      <x:c r="N8" s="10" t="str"/>
      <x:c r="O8" s="9" t="str">
        <x:v>1. 来源（当前证据）：liveshow-proto/MainBasis/统一需求文档.md；位置：行1361、行1368、行1348
2. 规则：BR-a1d6c5d9cf2c4284
3. 未动态验证</x:v>
      </x:c>
    </x:row>
    <x:row r="9" ht="85" customHeight="1">
      <x:c r="A9" s="10" t="n">
        <x:v>8</x:v>
      </x:c>
      <x:c r="B9" s="10" t="str">
        <x:v>USER-01-0008</x:v>
      </x:c>
      <x:c r="C9" s="10" t="str">
        <x:v>系统入口</x:v>
      </x:c>
      <x:c r="D9" s="10" t="str">
        <x:v>登录与注册（未登录用户视角）</x:v>
      </x:c>
      <x:c r="E9" s="10" t="str">
        <x:v>业务流程</x:v>
      </x:c>
      <x:c r="F9" s="10" t="str">
        <x:v>P1</x:v>
      </x:c>
      <x:c r="G9" s="9" t="str">
        <x:v>验证Google冷静期分流</x:v>
      </x:c>
      <x:c r="H9" s="9" t="str">
        <x:v>冷静期确认弹窗</x:v>
      </x:c>
      <x:c r="I9" s="9" t="str">
        <x:v>1. 执行角色为未登录用户；当前处于登录与注册页面
2. 协议已勾选
3. Google关联账号正在七日注销冷静期内</x:v>
      </x:c>
      <x:c r="J9" s="9" t="str">
        <x:v>1. 点击Google登录
2. 确认第三方账号授权</x:v>
      </x:c>
      <x:c r="K9" s="9" t="str">
        <x:v>显示注销冷静期弹窗</x:v>
      </x:c>
      <x:c r="L9" s="10" t="str"/>
      <x:c r="M9" s="10" t="str">
        <x:v>未测</x:v>
      </x:c>
      <x:c r="N9" s="10" t="str"/>
      <x:c r="O9" s="9" t="str">
        <x:v>1. 来源（当前证据）：liveshow-proto/MainBasis/统一需求文档.md；位置：行1362、行1369、行1348
2. 规则：BR-ce826ecf4fec56ff
3. 未动态验证</x:v>
      </x:c>
    </x:row>
    <x:row r="10" ht="85" customHeight="1">
      <x:c r="A10" s="10" t="n">
        <x:v>9</x:v>
      </x:c>
      <x:c r="B10" s="10" t="str">
        <x:v>USER-01-0009</x:v>
      </x:c>
      <x:c r="C10" s="10" t="str">
        <x:v>系统入口</x:v>
      </x:c>
      <x:c r="D10" s="10" t="str">
        <x:v>登录与注册（未登录用户视角）</x:v>
      </x:c>
      <x:c r="E10" s="10" t="str">
        <x:v>业务流程</x:v>
      </x:c>
      <x:c r="F10" s="10" t="str">
        <x:v>P1</x:v>
      </x:c>
      <x:c r="G10" s="9" t="str">
        <x:v>验证Facebook授权入口</x:v>
      </x:c>
      <x:c r="H10" s="9" t="str">
        <x:v>Facebook授权页唤起</x:v>
      </x:c>
      <x:c r="I10" s="9" t="str">
        <x:v>1. 执行角色为未登录用户；当前处于登录与注册页面
2. 用户协议和隐私政策均已勾选</x:v>
      </x:c>
      <x:c r="J10" s="9" t="str">
        <x:v>1. 点击Facebook登录</x:v>
      </x:c>
      <x:c r="K10" s="9" t="str">
        <x:v>唤起Facebook授权页面</x:v>
      </x:c>
      <x:c r="L10" s="10" t="str"/>
      <x:c r="M10" s="10" t="str">
        <x:v>未测</x:v>
      </x:c>
      <x:c r="N10" s="10" t="str"/>
      <x:c r="O10" s="9" t="str">
        <x:v>1. 来源（当前证据）：liveshow-proto/MainBasis/统一需求文档.md；位置：行1351、行1366、行1348
2. 规则：BR-ac66681d550a3c04
3. 未动态验证</x:v>
      </x:c>
    </x:row>
    <x:row r="11" ht="85" customHeight="1">
      <x:c r="A11" s="10" t="n">
        <x:v>10</x:v>
      </x:c>
      <x:c r="B11" s="10" t="str">
        <x:v>USER-01-0010</x:v>
      </x:c>
      <x:c r="C11" s="10" t="str">
        <x:v>系统入口</x:v>
      </x:c>
      <x:c r="D11" s="10" t="str">
        <x:v>登录与注册（未登录用户视角）</x:v>
      </x:c>
      <x:c r="E11" s="10" t="str">
        <x:v>异常用例</x:v>
      </x:c>
      <x:c r="F11" s="10" t="str">
        <x:v>P1</x:v>
      </x:c>
      <x:c r="G11" s="9" t="str">
        <x:v>验证Facebook未同意协议</x:v>
      </x:c>
      <x:c r="H11" s="9" t="str">
        <x:v>登录协议拦截提示</x:v>
      </x:c>
      <x:c r="I11" s="9" t="str">
        <x:v>1. 执行角色为未登录用户；当前处于登录与注册页面
2. 协议未勾选</x:v>
      </x:c>
      <x:c r="J11" s="9" t="str">
        <x:v>1. 点击Facebook登录</x:v>
      </x:c>
      <x:c r="K11" s="9" t="str">
        <x:v>提示先同意用户协议和隐私政策</x:v>
      </x:c>
      <x:c r="L11" s="10" t="str"/>
      <x:c r="M11" s="10" t="str">
        <x:v>未测</x:v>
      </x:c>
      <x:c r="N11" s="10" t="str"/>
      <x:c r="O11" s="9" t="str">
        <x:v>1. 来源（当前证据）：liveshow-proto/MainBasis/统一需求文档.md；位置：行1365、行1348
2. 规则：BR-35e209d5adb43bed
3. 未动态验证</x:v>
      </x:c>
    </x:row>
    <x:row r="12" ht="85" customHeight="1">
      <x:c r="A12" s="10" t="n">
        <x:v>11</x:v>
      </x:c>
      <x:c r="B12" s="10" t="str">
        <x:v>USER-01-0011</x:v>
      </x:c>
      <x:c r="C12" s="10" t="str">
        <x:v>系统入口</x:v>
      </x:c>
      <x:c r="D12" s="10" t="str">
        <x:v>登录与注册（未登录用户视角）</x:v>
      </x:c>
      <x:c r="E12" s="10" t="str">
        <x:v>异常用例</x:v>
      </x:c>
      <x:c r="F12" s="10" t="str">
        <x:v>P1</x:v>
      </x:c>
      <x:c r="G12" s="9" t="str">
        <x:v>验证Facebook取消授权</x:v>
      </x:c>
      <x:c r="H12" s="9" t="str">
        <x:v>授权取消提示</x:v>
      </x:c>
      <x:c r="I12" s="9" t="str">
        <x:v>1. 执行角色为未登录用户；当前处于登录与注册页面
2. 协议已勾选</x:v>
      </x:c>
      <x:c r="J12" s="9" t="str">
        <x:v>1. 点击Facebook登录
2. 在授权页面点击取消</x:v>
      </x:c>
      <x:c r="K12" s="9" t="str">
        <x:v>提示“已取消授权”</x:v>
      </x:c>
      <x:c r="L12" s="10" t="str"/>
      <x:c r="M12" s="10" t="str">
        <x:v>未测</x:v>
      </x:c>
      <x:c r="N12" s="10" t="str"/>
      <x:c r="O12" s="9" t="str">
        <x:v>1. 来源（当前证据）：liveshow-proto/MainBasis/统一需求文档.md；位置：行1367、行1348
2. 规则：BR-f404a1794303093f
3. 未动态验证</x:v>
      </x:c>
    </x:row>
    <x:row r="13" ht="160" customHeight="1">
      <x:c r="A13" s="10" t="n">
        <x:v>12</x:v>
      </x:c>
      <x:c r="B13" s="10" t="str">
        <x:v>USER-01-0012</x:v>
      </x:c>
      <x:c r="C13" s="10" t="str">
        <x:v>系统入口</x:v>
      </x:c>
      <x:c r="D13" s="10" t="str">
        <x:v>登录与注册（未登录用户视角）</x:v>
      </x:c>
      <x:c r="E13" s="10" t="str">
        <x:v>异常用例</x:v>
      </x:c>
      <x:c r="F13" s="10" t="str">
        <x:v>P1</x:v>
      </x:c>
      <x:c r="G13" s="9" t="str">
        <x:v>验证Facebook授权失败</x:v>
      </x:c>
      <x:c r="H13" s="9" t="str">
        <x:v>授权失败提示</x:v>
      </x:c>
      <x:c r="I13" s="9" t="str">
        <x:v>1. 执行角色为未登录用户；当前处于登录与注册页面
2. 协议已勾选
3. 第三方授权服务返回失败
4. 环境准备要求（尚未具备）：需开发提供仅测试构建可用的一次性授权失败回调；保留原渠道类型，回调进入应用失败处理分支，不使用账号封禁或取消授权代替服务失败</x:v>
      </x:c>
      <x:c r="J13" s="9" t="str">
        <x:v>1. 点击Facebook登录</x:v>
      </x:c>
      <x:c r="K13" s="9" t="str">
        <x:v>提示“登录失败，请重试”</x:v>
      </x:c>
      <x:c r="L13" s="10" t="str"/>
      <x:c r="M13" s="10" t="str">
        <x:v>未测</x:v>
      </x:c>
      <x:c r="N13" s="10" t="str"/>
      <x:c r="O13" s="9" t="str">
        <x:v>1. 来源（当前证据）：liveshow-proto/MainBasis/统一需求文档.md；位置：行1367、行1348
2. 规则：BR-8cce03440969a832
3. 未动态验证
4. 环境待准备：本条第三方登录渠道的授权回调；时点：点击本条渠道登录并返回授权结果时；恢复：本条结束后撤销故障设置，恢复真实请求处理；使用新测试对象复跑正常路径，避免污染后续用例</x:v>
      </x:c>
    </x:row>
    <x:row r="14" ht="130" customHeight="1">
      <x:c r="A14" s="10" t="n">
        <x:v>13</x:v>
      </x:c>
      <x:c r="B14" s="10" t="str">
        <x:v>USER-01-0013</x:v>
      </x:c>
      <x:c r="C14" s="10" t="str">
        <x:v>系统入口</x:v>
      </x:c>
      <x:c r="D14" s="10" t="str">
        <x:v>登录与注册（未登录用户视角）</x:v>
      </x:c>
      <x:c r="E14" s="10" t="str">
        <x:v>业务流程</x:v>
      </x:c>
      <x:c r="F14" s="10" t="str">
        <x:v>P1</x:v>
      </x:c>
      <x:c r="G14" s="9" t="str">
        <x:v>验证Facebook已有账号登录</x:v>
      </x:c>
      <x:c r="H14" s="9" t="str">
        <x:v>老账号登录去向</x:v>
      </x:c>
      <x:c r="I14" s="9" t="str">
        <x:v>1. 执行角色为未登录用户；当前处于登录与注册页面
2. 协议已勾选
3. Facebook账号已绑定一个正常状态的Luma Live账号</x:v>
      </x:c>
      <x:c r="J14" s="9" t="str">
        <x:v>1. 点击Facebook登录
2. 确认第三方账号授权</x:v>
      </x:c>
      <x:c r="K14" s="9" t="str">
        <x:v>进入首页</x:v>
      </x:c>
      <x:c r="L14" s="10" t="str">
        <x:v>FLOW-311BB313</x:v>
      </x:c>
      <x:c r="M14" s="10" t="str">
        <x:v>未测</x:v>
      </x:c>
      <x:c r="N14" s="10" t="str"/>
      <x:c r="O14" s="9" t="str">
        <x:v>1. 来源（当前证据）：liveshow-proto/MainBasis/统一需求文档.md；位置：行1358、行1359、行1348
2. 规则：BR-9088dfad4510bc89
3. 未动态验证
4. 状态转换：ST-USER-001；共同业务对象：账号；当前阶段：完成有效凭证登录后的用户App观察</x:v>
      </x:c>
    </x:row>
    <x:row r="15" ht="130" customHeight="1">
      <x:c r="A15" s="10" t="n">
        <x:v>14</x:v>
      </x:c>
      <x:c r="B15" s="10" t="str">
        <x:v>USER-01-0014</x:v>
      </x:c>
      <x:c r="C15" s="10" t="str">
        <x:v>系统入口</x:v>
      </x:c>
      <x:c r="D15" s="10" t="str">
        <x:v>登录与注册（未登录用户视角）</x:v>
      </x:c>
      <x:c r="E15" s="10" t="str">
        <x:v>业务流程</x:v>
      </x:c>
      <x:c r="F15" s="10" t="str">
        <x:v>P1</x:v>
      </x:c>
      <x:c r="G15" s="9" t="str">
        <x:v>验证Facebook新账号分流</x:v>
      </x:c>
      <x:c r="H15" s="9" t="str">
        <x:v>首次授权去向</x:v>
      </x:c>
      <x:c r="I15" s="9" t="str">
        <x:v>1. 执行角色为未登录用户；当前处于登录与注册页面
2. 协议已勾选
3. Facebook账号从未关联Luma Live账号</x:v>
      </x:c>
      <x:c r="J15" s="9" t="str">
        <x:v>1. 点击Facebook登录
2. 确认第三方账号授权</x:v>
      </x:c>
      <x:c r="K15" s="9" t="str">
        <x:v>进入资料补全页</x:v>
      </x:c>
      <x:c r="L15" s="10" t="str">
        <x:v>FLOW-311BB313</x:v>
      </x:c>
      <x:c r="M15" s="10" t="str">
        <x:v>未测</x:v>
      </x:c>
      <x:c r="N15" s="10" t="str"/>
      <x:c r="O15" s="9" t="str">
        <x:v>1. 来源（当前证据）：liveshow-proto/MainBasis/统一需求文档.md；位置：行1358、行1359、行1348
2. 规则：BR-a4376eb5acbd9250
3. 未动态验证
4. 状态转换：ST-USER-002；共同业务对象：账号；当前阶段：完成第三方授权后的用户App观察</x:v>
      </x:c>
    </x:row>
    <x:row r="16" ht="85" customHeight="1">
      <x:c r="A16" s="10" t="n">
        <x:v>15</x:v>
      </x:c>
      <x:c r="B16" s="10" t="str">
        <x:v>USER-01-0015</x:v>
      </x:c>
      <x:c r="C16" s="10" t="str">
        <x:v>系统入口</x:v>
      </x:c>
      <x:c r="D16" s="10" t="str">
        <x:v>登录与注册（未登录用户视角）</x:v>
      </x:c>
      <x:c r="E16" s="10" t="str">
        <x:v>异常用例</x:v>
      </x:c>
      <x:c r="F16" s="10" t="str">
        <x:v>P1</x:v>
      </x:c>
      <x:c r="G16" s="9" t="str">
        <x:v>验证Facebook封禁账号拦截</x:v>
      </x:c>
      <x:c r="H16" s="9" t="str">
        <x:v>封禁账号页面停留</x:v>
      </x:c>
      <x:c r="I16" s="9" t="str">
        <x:v>1. 执行角色为未登录用户；当前处于登录与注册页面
2. 协议已勾选
3. Facebook关联的账号已被平台封禁</x:v>
      </x:c>
      <x:c r="J16" s="9" t="str">
        <x:v>1. 点击Facebook登录
2. 确认第三方账号授权</x:v>
      </x:c>
      <x:c r="K16" s="9" t="str">
        <x:v>停留登录与注册页</x:v>
      </x:c>
      <x:c r="L16" s="10" t="str"/>
      <x:c r="M16" s="10" t="str">
        <x:v>未测</x:v>
      </x:c>
      <x:c r="N16" s="10" t="str"/>
      <x:c r="O16" s="9" t="str">
        <x:v>1. 来源（当前证据）：liveshow-proto/MainBasis/统一需求文档.md；位置：行1361、行1368、行1348
2. 规则：BR-6676bb58492de461
3. 未动态验证</x:v>
      </x:c>
    </x:row>
    <x:row r="17" ht="85" customHeight="1">
      <x:c r="A17" s="10" t="n">
        <x:v>16</x:v>
      </x:c>
      <x:c r="B17" s="10" t="str">
        <x:v>USER-01-0016</x:v>
      </x:c>
      <x:c r="C17" s="10" t="str">
        <x:v>系统入口</x:v>
      </x:c>
      <x:c r="D17" s="10" t="str">
        <x:v>登录与注册（未登录用户视角）</x:v>
      </x:c>
      <x:c r="E17" s="10" t="str">
        <x:v>业务流程</x:v>
      </x:c>
      <x:c r="F17" s="10" t="str">
        <x:v>P1</x:v>
      </x:c>
      <x:c r="G17" s="9" t="str">
        <x:v>验证Facebook冷静期分流</x:v>
      </x:c>
      <x:c r="H17" s="9" t="str">
        <x:v>冷静期确认弹窗</x:v>
      </x:c>
      <x:c r="I17" s="9" t="str">
        <x:v>1. 执行角色为未登录用户；当前处于登录与注册页面
2. 协议已勾选
3. Facebook关联账号正在七日注销冷静期内</x:v>
      </x:c>
      <x:c r="J17" s="9" t="str">
        <x:v>1. 点击Facebook登录
2. 确认第三方账号授权</x:v>
      </x:c>
      <x:c r="K17" s="9" t="str">
        <x:v>显示注销冷静期弹窗</x:v>
      </x:c>
      <x:c r="L17" s="10" t="str"/>
      <x:c r="M17" s="10" t="str">
        <x:v>未测</x:v>
      </x:c>
      <x:c r="N17" s="10" t="str"/>
      <x:c r="O17" s="9" t="str">
        <x:v>1. 来源（当前证据）：liveshow-proto/MainBasis/统一需求文档.md；位置：行1362、行1369、行1348
2. 规则：BR-62e67f1c3806a417
3. 未动态验证</x:v>
      </x:c>
    </x:row>
    <x:row r="18" ht="85" customHeight="1">
      <x:c r="A18" s="10" t="n">
        <x:v>17</x:v>
      </x:c>
      <x:c r="B18" s="10" t="str">
        <x:v>USER-01-0017</x:v>
      </x:c>
      <x:c r="C18" s="10" t="str">
        <x:v>系统入口</x:v>
      </x:c>
      <x:c r="D18" s="10" t="str">
        <x:v>登录与注册（未登录用户视角）</x:v>
      </x:c>
      <x:c r="E18" s="10" t="str">
        <x:v>业务流程</x:v>
      </x:c>
      <x:c r="F18" s="10" t="str">
        <x:v>P1</x:v>
      </x:c>
      <x:c r="G18" s="9" t="str">
        <x:v>验证Apple ID授权入口</x:v>
      </x:c>
      <x:c r="H18" s="9" t="str">
        <x:v>Apple ID授权页唤起</x:v>
      </x:c>
      <x:c r="I18" s="9" t="str">
        <x:v>1. 执行角色为未登录用户；当前处于登录与注册页面
2. 测试设备为iOS
3. 用户协议和隐私政策均已勾选</x:v>
      </x:c>
      <x:c r="J18" s="9" t="str">
        <x:v>1. 点击Apple ID登录</x:v>
      </x:c>
      <x:c r="K18" s="9" t="str">
        <x:v>唤起Apple ID授权页面</x:v>
      </x:c>
      <x:c r="L18" s="10" t="str"/>
      <x:c r="M18" s="10" t="str">
        <x:v>未测</x:v>
      </x:c>
      <x:c r="N18" s="10" t="str"/>
      <x:c r="O18" s="9" t="str">
        <x:v>1. 来源（当前证据）：liveshow-proto/MainBasis/统一需求文档.md；位置：行1352、行1366、行1348
2. 规则：BR-8e04b17e22b79bf1
3. 未动态验证</x:v>
      </x:c>
    </x:row>
    <x:row r="19" ht="85" customHeight="1">
      <x:c r="A19" s="10" t="n">
        <x:v>18</x:v>
      </x:c>
      <x:c r="B19" s="10" t="str">
        <x:v>USER-01-0018</x:v>
      </x:c>
      <x:c r="C19" s="10" t="str">
        <x:v>系统入口</x:v>
      </x:c>
      <x:c r="D19" s="10" t="str">
        <x:v>登录与注册（未登录用户视角）</x:v>
      </x:c>
      <x:c r="E19" s="10" t="str">
        <x:v>异常用例</x:v>
      </x:c>
      <x:c r="F19" s="10" t="str">
        <x:v>P1</x:v>
      </x:c>
      <x:c r="G19" s="9" t="str">
        <x:v>验证Apple ID未同意协议</x:v>
      </x:c>
      <x:c r="H19" s="9" t="str">
        <x:v>登录协议拦截提示</x:v>
      </x:c>
      <x:c r="I19" s="9" t="str">
        <x:v>1. 执行角色为未登录用户；当前处于登录与注册页面
2. 测试设备为iOS
3. 协议未勾选</x:v>
      </x:c>
      <x:c r="J19" s="9" t="str">
        <x:v>1. 点击Apple ID登录</x:v>
      </x:c>
      <x:c r="K19" s="9" t="str">
        <x:v>提示先同意用户协议和隐私政策</x:v>
      </x:c>
      <x:c r="L19" s="10" t="str"/>
      <x:c r="M19" s="10" t="str">
        <x:v>未测</x:v>
      </x:c>
      <x:c r="N19" s="10" t="str"/>
      <x:c r="O19" s="9" t="str">
        <x:v>1. 来源（当前证据）：liveshow-proto/MainBasis/统一需求文档.md；位置：行1365、行1348
2. 规则：BR-116a3f510a9c59d9
3. 未动态验证</x:v>
      </x:c>
    </x:row>
    <x:row r="20" ht="85" customHeight="1">
      <x:c r="A20" s="10" t="n">
        <x:v>19</x:v>
      </x:c>
      <x:c r="B20" s="10" t="str">
        <x:v>USER-01-0019</x:v>
      </x:c>
      <x:c r="C20" s="10" t="str">
        <x:v>系统入口</x:v>
      </x:c>
      <x:c r="D20" s="10" t="str">
        <x:v>登录与注册（未登录用户视角）</x:v>
      </x:c>
      <x:c r="E20" s="10" t="str">
        <x:v>异常用例</x:v>
      </x:c>
      <x:c r="F20" s="10" t="str">
        <x:v>P1</x:v>
      </x:c>
      <x:c r="G20" s="9" t="str">
        <x:v>验证Apple ID取消授权</x:v>
      </x:c>
      <x:c r="H20" s="9" t="str">
        <x:v>授权取消提示</x:v>
      </x:c>
      <x:c r="I20" s="9" t="str">
        <x:v>1. 执行角色为未登录用户；当前处于登录与注册页面
2. 测试设备为iOS
3. 协议已勾选</x:v>
      </x:c>
      <x:c r="J20" s="9" t="str">
        <x:v>1. 点击Apple ID登录
2. 在授权页面点击取消</x:v>
      </x:c>
      <x:c r="K20" s="9" t="str">
        <x:v>提示“已取消授权”</x:v>
      </x:c>
      <x:c r="L20" s="10" t="str"/>
      <x:c r="M20" s="10" t="str">
        <x:v>未测</x:v>
      </x:c>
      <x:c r="N20" s="10" t="str"/>
      <x:c r="O20" s="9" t="str">
        <x:v>1. 来源（当前证据）：liveshow-proto/MainBasis/统一需求文档.md；位置：行1367、行1348
2. 规则：BR-bc7ab043422fbd25
3. 未动态验证</x:v>
      </x:c>
    </x:row>
    <x:row r="21" ht="175" customHeight="1">
      <x:c r="A21" s="10" t="n">
        <x:v>20</x:v>
      </x:c>
      <x:c r="B21" s="10" t="str">
        <x:v>USER-01-0020</x:v>
      </x:c>
      <x:c r="C21" s="10" t="str">
        <x:v>系统入口</x:v>
      </x:c>
      <x:c r="D21" s="10" t="str">
        <x:v>登录与注册（未登录用户视角）</x:v>
      </x:c>
      <x:c r="E21" s="10" t="str">
        <x:v>异常用例</x:v>
      </x:c>
      <x:c r="F21" s="10" t="str">
        <x:v>P1</x:v>
      </x:c>
      <x:c r="G21" s="9" t="str">
        <x:v>验证Apple ID授权失败</x:v>
      </x:c>
      <x:c r="H21" s="9" t="str">
        <x:v>授权失败提示</x:v>
      </x:c>
      <x:c r="I21" s="9" t="str">
        <x:v>1. 执行角色为未登录用户；当前处于登录与注册页面
2. 测试设备为iOS
3. 协议已勾选
4. 第三方授权服务返回失败
5. 环境准备要求（尚未具备）：需开发提供仅测试构建可用的一次性授权失败回调；保留原渠道类型，回调进入应用失败处理分支，不使用账号封禁或取消授权代替服务失败</x:v>
      </x:c>
      <x:c r="J21" s="9" t="str">
        <x:v>1. 点击Apple ID登录</x:v>
      </x:c>
      <x:c r="K21" s="9" t="str">
        <x:v>提示“登录失败，请重试”</x:v>
      </x:c>
      <x:c r="L21" s="10" t="str"/>
      <x:c r="M21" s="10" t="str">
        <x:v>未测</x:v>
      </x:c>
      <x:c r="N21" s="10" t="str"/>
      <x:c r="O21" s="9" t="str">
        <x:v>1. 来源（当前证据）：liveshow-proto/MainBasis/统一需求文档.md；位置：行1367、行1348
2. 规则：BR-cc9e8295803ffa07
3. 未动态验证
4. 环境待准备：本条第三方登录渠道的授权回调；时点：点击本条渠道登录并返回授权结果时；恢复：本条结束后撤销故障设置，恢复真实请求处理；使用新测试对象复跑正常路径，避免污染后续用例</x:v>
      </x:c>
    </x:row>
    <x:row r="22" ht="130" customHeight="1">
      <x:c r="A22" s="10" t="n">
        <x:v>21</x:v>
      </x:c>
      <x:c r="B22" s="10" t="str">
        <x:v>USER-01-0021</x:v>
      </x:c>
      <x:c r="C22" s="10" t="str">
        <x:v>系统入口</x:v>
      </x:c>
      <x:c r="D22" s="10" t="str">
        <x:v>登录与注册（未登录用户视角）</x:v>
      </x:c>
      <x:c r="E22" s="10" t="str">
        <x:v>业务流程</x:v>
      </x:c>
      <x:c r="F22" s="10" t="str">
        <x:v>P1</x:v>
      </x:c>
      <x:c r="G22" s="9" t="str">
        <x:v>验证Apple ID已有账号登录</x:v>
      </x:c>
      <x:c r="H22" s="9" t="str">
        <x:v>老账号登录去向</x:v>
      </x:c>
      <x:c r="I22" s="9" t="str">
        <x:v>1. 执行角色为未登录用户；当前处于登录与注册页面
2. 测试设备为iOS
3. 协议已勾选
4. Apple ID账号已绑定一个正常状态的Luma Live账号</x:v>
      </x:c>
      <x:c r="J22" s="9" t="str">
        <x:v>1. 点击Apple ID登录
2. 确认第三方账号授权</x:v>
      </x:c>
      <x:c r="K22" s="9" t="str">
        <x:v>进入首页</x:v>
      </x:c>
      <x:c r="L22" s="10" t="str">
        <x:v>FLOW-311BB313</x:v>
      </x:c>
      <x:c r="M22" s="10" t="str">
        <x:v>未测</x:v>
      </x:c>
      <x:c r="N22" s="10" t="str"/>
      <x:c r="O22" s="9" t="str">
        <x:v>1. 来源（当前证据）：liveshow-proto/MainBasis/统一需求文档.md；位置：行1358、行1359、行1348
2. 规则：BR-30840822c4a081d8
3. 未动态验证
4. 状态转换：ST-USER-001；共同业务对象：账号；当前阶段：完成有效凭证登录后的用户App观察</x:v>
      </x:c>
    </x:row>
    <x:row r="23" ht="130" customHeight="1">
      <x:c r="A23" s="10" t="n">
        <x:v>22</x:v>
      </x:c>
      <x:c r="B23" s="10" t="str">
        <x:v>USER-01-0022</x:v>
      </x:c>
      <x:c r="C23" s="10" t="str">
        <x:v>系统入口</x:v>
      </x:c>
      <x:c r="D23" s="10" t="str">
        <x:v>登录与注册（未登录用户视角）</x:v>
      </x:c>
      <x:c r="E23" s="10" t="str">
        <x:v>业务流程</x:v>
      </x:c>
      <x:c r="F23" s="10" t="str">
        <x:v>P1</x:v>
      </x:c>
      <x:c r="G23" s="9" t="str">
        <x:v>验证Apple ID新账号分流</x:v>
      </x:c>
      <x:c r="H23" s="9" t="str">
        <x:v>首次授权去向</x:v>
      </x:c>
      <x:c r="I23" s="9" t="str">
        <x:v>1. 执行角色为未登录用户；当前处于登录与注册页面
2. 测试设备为iOS
3. 协议已勾选
4. Apple ID账号从未关联Luma Live账号</x:v>
      </x:c>
      <x:c r="J23" s="9" t="str">
        <x:v>1. 点击Apple ID登录
2. 确认第三方账号授权</x:v>
      </x:c>
      <x:c r="K23" s="9" t="str">
        <x:v>进入资料补全页</x:v>
      </x:c>
      <x:c r="L23" s="10" t="str">
        <x:v>FLOW-311BB313</x:v>
      </x:c>
      <x:c r="M23" s="10" t="str">
        <x:v>未测</x:v>
      </x:c>
      <x:c r="N23" s="10" t="str"/>
      <x:c r="O23" s="9" t="str">
        <x:v>1. 来源（当前证据）：liveshow-proto/MainBasis/统一需求文档.md；位置：行1358、行1359、行1348
2. 规则：BR-6812f0007493cc8d
3. 未动态验证
4. 状态转换：ST-USER-002；共同业务对象：账号；当前阶段：完成第三方授权后的用户App观察</x:v>
      </x:c>
    </x:row>
    <x:row r="24" ht="100" customHeight="1">
      <x:c r="A24" s="10" t="n">
        <x:v>23</x:v>
      </x:c>
      <x:c r="B24" s="10" t="str">
        <x:v>USER-01-0023</x:v>
      </x:c>
      <x:c r="C24" s="10" t="str">
        <x:v>系统入口</x:v>
      </x:c>
      <x:c r="D24" s="10" t="str">
        <x:v>登录与注册（未登录用户视角）</x:v>
      </x:c>
      <x:c r="E24" s="10" t="str">
        <x:v>异常用例</x:v>
      </x:c>
      <x:c r="F24" s="10" t="str">
        <x:v>P1</x:v>
      </x:c>
      <x:c r="G24" s="9" t="str">
        <x:v>验证Apple ID封禁账号拦截</x:v>
      </x:c>
      <x:c r="H24" s="9" t="str">
        <x:v>封禁账号页面停留</x:v>
      </x:c>
      <x:c r="I24" s="9" t="str">
        <x:v>1. 执行角色为未登录用户；当前处于登录与注册页面
2. 测试设备为iOS
3. 协议已勾选
4. Apple ID关联的账号已被平台封禁</x:v>
      </x:c>
      <x:c r="J24" s="9" t="str">
        <x:v>1. 点击Apple ID登录
2. 确认第三方账号授权</x:v>
      </x:c>
      <x:c r="K24" s="9" t="str">
        <x:v>停留登录与注册页</x:v>
      </x:c>
      <x:c r="L24" s="10" t="str"/>
      <x:c r="M24" s="10" t="str">
        <x:v>未测</x:v>
      </x:c>
      <x:c r="N24" s="10" t="str"/>
      <x:c r="O24" s="9" t="str">
        <x:v>1. 来源（当前证据）：liveshow-proto/MainBasis/统一需求文档.md；位置：行1361、行1368、行1348
2. 规则：BR-39bc8e5face5b062
3. 未动态验证</x:v>
      </x:c>
    </x:row>
    <x:row r="25" ht="100" customHeight="1">
      <x:c r="A25" s="10" t="n">
        <x:v>24</x:v>
      </x:c>
      <x:c r="B25" s="10" t="str">
        <x:v>USER-01-0024</x:v>
      </x:c>
      <x:c r="C25" s="10" t="str">
        <x:v>系统入口</x:v>
      </x:c>
      <x:c r="D25" s="10" t="str">
        <x:v>登录与注册（未登录用户视角）</x:v>
      </x:c>
      <x:c r="E25" s="10" t="str">
        <x:v>业务流程</x:v>
      </x:c>
      <x:c r="F25" s="10" t="str">
        <x:v>P1</x:v>
      </x:c>
      <x:c r="G25" s="9" t="str">
        <x:v>验证Apple ID冷静期分流</x:v>
      </x:c>
      <x:c r="H25" s="9" t="str">
        <x:v>冷静期确认弹窗</x:v>
      </x:c>
      <x:c r="I25" s="9" t="str">
        <x:v>1. 执行角色为未登录用户；当前处于登录与注册页面
2. 测试设备为iOS
3. 协议已勾选
4. Apple ID关联账号正在七日注销冷静期内</x:v>
      </x:c>
      <x:c r="J25" s="9" t="str">
        <x:v>1. 点击Apple ID登录
2. 确认第三方账号授权</x:v>
      </x:c>
      <x:c r="K25" s="9" t="str">
        <x:v>显示注销冷静期弹窗</x:v>
      </x:c>
      <x:c r="L25" s="10" t="str"/>
      <x:c r="M25" s="10" t="str">
        <x:v>未测</x:v>
      </x:c>
      <x:c r="N25" s="10" t="str"/>
      <x:c r="O25" s="9" t="str">
        <x:v>1. 来源（当前证据）：liveshow-proto/MainBasis/统一需求文档.md；位置：行1362、行1369、行1348
2. 规则：BR-a8ec97a0f6247d60
3. 未动态验证</x:v>
      </x:c>
    </x:row>
    <x:row r="26" ht="85" customHeight="1">
      <x:c r="A26" s="10" t="n">
        <x:v>25</x:v>
      </x:c>
      <x:c r="B26" s="10" t="str">
        <x:v>USER-01-0025</x:v>
      </x:c>
      <x:c r="C26" s="10" t="str">
        <x:v>系统入口</x:v>
      </x:c>
      <x:c r="D26" s="10" t="str">
        <x:v>登录与注册（未登录用户视角）</x:v>
      </x:c>
      <x:c r="E26" s="10" t="str">
        <x:v>业务流程</x:v>
      </x:c>
      <x:c r="F26" s="10" t="str">
        <x:v>P1</x:v>
      </x:c>
      <x:c r="G26" s="9" t="str">
        <x:v>验证TikTok授权入口</x:v>
      </x:c>
      <x:c r="H26" s="9" t="str">
        <x:v>TikTok授权页唤起</x:v>
      </x:c>
      <x:c r="I26" s="9" t="str">
        <x:v>1. 执行角色为未登录用户；当前处于登录与注册页面
2. 用户协议和隐私政策均已勾选</x:v>
      </x:c>
      <x:c r="J26" s="9" t="str">
        <x:v>1. 点击TikTok登录</x:v>
      </x:c>
      <x:c r="K26" s="9" t="str">
        <x:v>唤起TikTok授权页面</x:v>
      </x:c>
      <x:c r="L26" s="10" t="str"/>
      <x:c r="M26" s="10" t="str">
        <x:v>未测</x:v>
      </x:c>
      <x:c r="N26" s="10" t="str"/>
      <x:c r="O26" s="9" t="str">
        <x:v>1. 来源（当前证据）：liveshow-proto/MainBasis/统一需求文档.md；位置：行1353、行1366、行1348
2. 规则：BR-c29b7f0a5c6f51bc
3. 未动态验证</x:v>
      </x:c>
    </x:row>
    <x:row r="27" ht="85" customHeight="1">
      <x:c r="A27" s="10" t="n">
        <x:v>26</x:v>
      </x:c>
      <x:c r="B27" s="10" t="str">
        <x:v>USER-01-0026</x:v>
      </x:c>
      <x:c r="C27" s="10" t="str">
        <x:v>系统入口</x:v>
      </x:c>
      <x:c r="D27" s="10" t="str">
        <x:v>登录与注册（未登录用户视角）</x:v>
      </x:c>
      <x:c r="E27" s="10" t="str">
        <x:v>异常用例</x:v>
      </x:c>
      <x:c r="F27" s="10" t="str">
        <x:v>P1</x:v>
      </x:c>
      <x:c r="G27" s="9" t="str">
        <x:v>验证TikTok未同意协议</x:v>
      </x:c>
      <x:c r="H27" s="9" t="str">
        <x:v>登录协议拦截提示</x:v>
      </x:c>
      <x:c r="I27" s="9" t="str">
        <x:v>1. 执行角色为未登录用户；当前处于登录与注册页面
2. 协议未勾选</x:v>
      </x:c>
      <x:c r="J27" s="9" t="str">
        <x:v>1. 点击TikTok登录</x:v>
      </x:c>
      <x:c r="K27" s="9" t="str">
        <x:v>提示先同意用户协议和隐私政策</x:v>
      </x:c>
      <x:c r="L27" s="10" t="str"/>
      <x:c r="M27" s="10" t="str">
        <x:v>未测</x:v>
      </x:c>
      <x:c r="N27" s="10" t="str"/>
      <x:c r="O27" s="9" t="str">
        <x:v>1. 来源（当前证据）：liveshow-proto/MainBasis/统一需求文档.md；位置：行1365、行1348
2. 规则：BR-0e6d967528a6560f
3. 未动态验证</x:v>
      </x:c>
    </x:row>
    <x:row r="28" ht="85" customHeight="1">
      <x:c r="A28" s="10" t="n">
        <x:v>27</x:v>
      </x:c>
      <x:c r="B28" s="10" t="str">
        <x:v>USER-01-0027</x:v>
      </x:c>
      <x:c r="C28" s="10" t="str">
        <x:v>系统入口</x:v>
      </x:c>
      <x:c r="D28" s="10" t="str">
        <x:v>登录与注册（未登录用户视角）</x:v>
      </x:c>
      <x:c r="E28" s="10" t="str">
        <x:v>异常用例</x:v>
      </x:c>
      <x:c r="F28" s="10" t="str">
        <x:v>P1</x:v>
      </x:c>
      <x:c r="G28" s="9" t="str">
        <x:v>验证TikTok取消授权</x:v>
      </x:c>
      <x:c r="H28" s="9" t="str">
        <x:v>授权取消提示</x:v>
      </x:c>
      <x:c r="I28" s="9" t="str">
        <x:v>1. 执行角色为未登录用户；当前处于登录与注册页面
2. 协议已勾选</x:v>
      </x:c>
      <x:c r="J28" s="9" t="str">
        <x:v>1. 点击TikTok登录
2. 在授权页面点击取消</x:v>
      </x:c>
      <x:c r="K28" s="9" t="str">
        <x:v>提示“已取消授权”</x:v>
      </x:c>
      <x:c r="L28" s="10" t="str"/>
      <x:c r="M28" s="10" t="str">
        <x:v>未测</x:v>
      </x:c>
      <x:c r="N28" s="10" t="str"/>
      <x:c r="O28" s="9" t="str">
        <x:v>1. 来源（当前证据）：liveshow-proto/MainBasis/统一需求文档.md；位置：行1367、行1348
2. 规则：BR-cd3164a4ada7e747
3. 未动态验证</x:v>
      </x:c>
    </x:row>
    <x:row r="29" ht="160" customHeight="1">
      <x:c r="A29" s="10" t="n">
        <x:v>28</x:v>
      </x:c>
      <x:c r="B29" s="10" t="str">
        <x:v>USER-01-0028</x:v>
      </x:c>
      <x:c r="C29" s="10" t="str">
        <x:v>系统入口</x:v>
      </x:c>
      <x:c r="D29" s="10" t="str">
        <x:v>登录与注册（未登录用户视角）</x:v>
      </x:c>
      <x:c r="E29" s="10" t="str">
        <x:v>异常用例</x:v>
      </x:c>
      <x:c r="F29" s="10" t="str">
        <x:v>P1</x:v>
      </x:c>
      <x:c r="G29" s="9" t="str">
        <x:v>验证TikTok授权失败</x:v>
      </x:c>
      <x:c r="H29" s="9" t="str">
        <x:v>授权失败提示</x:v>
      </x:c>
      <x:c r="I29" s="9" t="str">
        <x:v>1. 执行角色为未登录用户；当前处于登录与注册页面
2. 协议已勾选
3. 第三方授权服务返回失败
4. 环境准备要求（尚未具备）：需开发提供仅测试构建可用的一次性授权失败回调；保留原渠道类型，回调进入应用失败处理分支，不使用账号封禁或取消授权代替服务失败</x:v>
      </x:c>
      <x:c r="J29" s="9" t="str">
        <x:v>1. 点击TikTok登录</x:v>
      </x:c>
      <x:c r="K29" s="9" t="str">
        <x:v>提示“登录失败，请重试”</x:v>
      </x:c>
      <x:c r="L29" s="10" t="str"/>
      <x:c r="M29" s="10" t="str">
        <x:v>未测</x:v>
      </x:c>
      <x:c r="N29" s="10" t="str"/>
      <x:c r="O29" s="9" t="str">
        <x:v>1. 来源（当前证据）：liveshow-proto/MainBasis/统一需求文档.md；位置：行1367、行1348
2. 规则：BR-13075e369d0c2bdf
3. 未动态验证
4. 环境待准备：本条第三方登录渠道的授权回调；时点：点击本条渠道登录并返回授权结果时；恢复：本条结束后撤销故障设置，恢复真实请求处理；使用新测试对象复跑正常路径，避免污染后续用例</x:v>
      </x:c>
    </x:row>
    <x:row r="30" ht="130" customHeight="1">
      <x:c r="A30" s="10" t="n">
        <x:v>29</x:v>
      </x:c>
      <x:c r="B30" s="10" t="str">
        <x:v>USER-01-0029</x:v>
      </x:c>
      <x:c r="C30" s="10" t="str">
        <x:v>系统入口</x:v>
      </x:c>
      <x:c r="D30" s="10" t="str">
        <x:v>登录与注册（未登录用户视角）</x:v>
      </x:c>
      <x:c r="E30" s="10" t="str">
        <x:v>业务流程</x:v>
      </x:c>
      <x:c r="F30" s="10" t="str">
        <x:v>P1</x:v>
      </x:c>
      <x:c r="G30" s="9" t="str">
        <x:v>验证TikTok已有账号登录</x:v>
      </x:c>
      <x:c r="H30" s="9" t="str">
        <x:v>老账号登录去向</x:v>
      </x:c>
      <x:c r="I30" s="9" t="str">
        <x:v>1. 执行角色为未登录用户；当前处于登录与注册页面
2. 协议已勾选
3. TikTok账号已绑定一个正常状态的Luma Live账号</x:v>
      </x:c>
      <x:c r="J30" s="9" t="str">
        <x:v>1. 点击TikTok登录
2. 确认第三方账号授权</x:v>
      </x:c>
      <x:c r="K30" s="9" t="str">
        <x:v>进入首页</x:v>
      </x:c>
      <x:c r="L30" s="10" t="str">
        <x:v>FLOW-311BB313</x:v>
      </x:c>
      <x:c r="M30" s="10" t="str">
        <x:v>未测</x:v>
      </x:c>
      <x:c r="N30" s="10" t="str"/>
      <x:c r="O30" s="9" t="str">
        <x:v>1. 来源（当前证据）：liveshow-proto/MainBasis/统一需求文档.md；位置：行1358、行1359、行1348
2. 规则：BR-d0e3c0c11fdeea3d
3. 未动态验证
4. 状态转换：ST-USER-001；共同业务对象：账号；当前阶段：完成有效凭证登录后的用户App观察</x:v>
      </x:c>
    </x:row>
    <x:row r="31" ht="130" customHeight="1">
      <x:c r="A31" s="10" t="n">
        <x:v>30</x:v>
      </x:c>
      <x:c r="B31" s="10" t="str">
        <x:v>USER-01-0030</x:v>
      </x:c>
      <x:c r="C31" s="10" t="str">
        <x:v>系统入口</x:v>
      </x:c>
      <x:c r="D31" s="10" t="str">
        <x:v>登录与注册（未登录用户视角）</x:v>
      </x:c>
      <x:c r="E31" s="10" t="str">
        <x:v>业务流程</x:v>
      </x:c>
      <x:c r="F31" s="10" t="str">
        <x:v>P1</x:v>
      </x:c>
      <x:c r="G31" s="9" t="str">
        <x:v>验证TikTok新账号分流</x:v>
      </x:c>
      <x:c r="H31" s="9" t="str">
        <x:v>首次授权去向</x:v>
      </x:c>
      <x:c r="I31" s="9" t="str">
        <x:v>1. 执行角色为未登录用户；当前处于登录与注册页面
2. 协议已勾选
3. TikTok账号从未关联Luma Live账号</x:v>
      </x:c>
      <x:c r="J31" s="9" t="str">
        <x:v>1. 点击TikTok登录
2. 确认第三方账号授权</x:v>
      </x:c>
      <x:c r="K31" s="9" t="str">
        <x:v>进入资料补全页</x:v>
      </x:c>
      <x:c r="L31" s="10" t="str">
        <x:v>FLOW-311BB313</x:v>
      </x:c>
      <x:c r="M31" s="10" t="str">
        <x:v>未测</x:v>
      </x:c>
      <x:c r="N31" s="10" t="str"/>
      <x:c r="O31" s="9" t="str">
        <x:v>1. 来源（当前证据）：liveshow-proto/MainBasis/统一需求文档.md；位置：行1358、行1359、行1348
2. 规则：BR-73a88d361bd793e2
3. 未动态验证
4. 状态转换：ST-USER-002；共同业务对象：账号；当前阶段：完成第三方授权后的用户App观察</x:v>
      </x:c>
    </x:row>
    <x:row r="32" ht="85" customHeight="1">
      <x:c r="A32" s="10" t="n">
        <x:v>31</x:v>
      </x:c>
      <x:c r="B32" s="10" t="str">
        <x:v>USER-01-0031</x:v>
      </x:c>
      <x:c r="C32" s="10" t="str">
        <x:v>系统入口</x:v>
      </x:c>
      <x:c r="D32" s="10" t="str">
        <x:v>登录与注册（未登录用户视角）</x:v>
      </x:c>
      <x:c r="E32" s="10" t="str">
        <x:v>异常用例</x:v>
      </x:c>
      <x:c r="F32" s="10" t="str">
        <x:v>P1</x:v>
      </x:c>
      <x:c r="G32" s="9" t="str">
        <x:v>验证TikTok封禁账号拦截</x:v>
      </x:c>
      <x:c r="H32" s="9" t="str">
        <x:v>封禁账号页面停留</x:v>
      </x:c>
      <x:c r="I32" s="9" t="str">
        <x:v>1. 执行角色为未登录用户；当前处于登录与注册页面
2. 协议已勾选
3. TikTok关联的账号已被平台封禁</x:v>
      </x:c>
      <x:c r="J32" s="9" t="str">
        <x:v>1. 点击TikTok登录
2. 确认第三方账号授权</x:v>
      </x:c>
      <x:c r="K32" s="9" t="str">
        <x:v>停留登录与注册页</x:v>
      </x:c>
      <x:c r="L32" s="10" t="str"/>
      <x:c r="M32" s="10" t="str">
        <x:v>未测</x:v>
      </x:c>
      <x:c r="N32" s="10" t="str"/>
      <x:c r="O32" s="9" t="str">
        <x:v>1. 来源（当前证据）：liveshow-proto/MainBasis/统一需求文档.md；位置：行1361、行1368、行1348
2. 规则：BR-7a6ae184e07e256e
3. 未动态验证</x:v>
      </x:c>
    </x:row>
    <x:row r="33" ht="85" customHeight="1">
      <x:c r="A33" s="10" t="n">
        <x:v>32</x:v>
      </x:c>
      <x:c r="B33" s="10" t="str">
        <x:v>USER-01-0032</x:v>
      </x:c>
      <x:c r="C33" s="10" t="str">
        <x:v>系统入口</x:v>
      </x:c>
      <x:c r="D33" s="10" t="str">
        <x:v>登录与注册（未登录用户视角）</x:v>
      </x:c>
      <x:c r="E33" s="10" t="str">
        <x:v>业务流程</x:v>
      </x:c>
      <x:c r="F33" s="10" t="str">
        <x:v>P1</x:v>
      </x:c>
      <x:c r="G33" s="9" t="str">
        <x:v>验证TikTok冷静期分流</x:v>
      </x:c>
      <x:c r="H33" s="9" t="str">
        <x:v>冷静期确认弹窗</x:v>
      </x:c>
      <x:c r="I33" s="9" t="str">
        <x:v>1. 执行角色为未登录用户；当前处于登录与注册页面
2. 协议已勾选
3. TikTok关联账号正在七日注销冷静期内</x:v>
      </x:c>
      <x:c r="J33" s="9" t="str">
        <x:v>1. 点击TikTok登录
2. 确认第三方账号授权</x:v>
      </x:c>
      <x:c r="K33" s="9" t="str">
        <x:v>显示注销冷静期弹窗</x:v>
      </x:c>
      <x:c r="L33" s="10" t="str"/>
      <x:c r="M33" s="10" t="str">
        <x:v>未测</x:v>
      </x:c>
      <x:c r="N33" s="10" t="str"/>
      <x:c r="O33" s="9" t="str">
        <x:v>1. 来源（当前证据）：liveshow-proto/MainBasis/统一需求文档.md；位置：行1362、行1369、行1348
2. 规则：BR-52ecd093995ea958
3. 未动态验证</x:v>
      </x:c>
    </x:row>
    <x:row r="34" ht="85" customHeight="1">
      <x:c r="A34" s="10" t="n">
        <x:v>33</x:v>
      </x:c>
      <x:c r="B34" s="10" t="str">
        <x:v>USER-01-0033</x:v>
      </x:c>
      <x:c r="C34" s="10" t="str">
        <x:v>系统入口</x:v>
      </x:c>
      <x:c r="D34" s="10" t="str">
        <x:v>登录与注册（未登录用户视角）</x:v>
      </x:c>
      <x:c r="E34" s="10" t="str">
        <x:v>功能需求</x:v>
      </x:c>
      <x:c r="F34" s="10" t="str">
        <x:v>P2</x:v>
      </x:c>
      <x:c r="G34" s="9" t="str">
        <x:v>验证Android不提供Apple登录</x:v>
      </x:c>
      <x:c r="H34" s="9" t="str">
        <x:v>Apple登录平台可见性</x:v>
      </x:c>
      <x:c r="I34" s="9" t="str">
        <x:v>1. 执行角色为未登录用户；当前处于登录与注册页面
2. 测试设备为Android</x:v>
      </x:c>
      <x:c r="J34" s="9" t="str">
        <x:v>1. 查看第三方登录入口</x:v>
      </x:c>
      <x:c r="K34" s="9" t="str">
        <x:v>不显示Apple ID登录入口</x:v>
      </x:c>
      <x:c r="L34" s="10" t="str"/>
      <x:c r="M34" s="10" t="str">
        <x:v>未测</x:v>
      </x:c>
      <x:c r="N34" s="10" t="str"/>
      <x:c r="O34" s="9" t="str">
        <x:v>1. 来源（当前证据）：liveshow-proto/MainBasis/统一需求文档.md；位置：行1363、行1348
2. 规则：BR-820b77025d3a8b14
3. 未动态验证</x:v>
      </x:c>
    </x:row>
    <x:row r="35" ht="85" customHeight="1">
      <x:c r="A35" s="10" t="n">
        <x:v>34</x:v>
      </x:c>
      <x:c r="B35" s="10" t="str">
        <x:v>USER-01-0034</x:v>
      </x:c>
      <x:c r="C35" s="10" t="str">
        <x:v>系统入口</x:v>
      </x:c>
      <x:c r="D35" s="10" t="str">
        <x:v>登录与注册（未登录用户视角）</x:v>
      </x:c>
      <x:c r="E35" s="10" t="str">
        <x:v>功能需求</x:v>
      </x:c>
      <x:c r="F35" s="10" t="str">
        <x:v>P2</x:v>
      </x:c>
      <x:c r="G35" s="9" t="str">
        <x:v>验证手机号登录入口</x:v>
      </x:c>
      <x:c r="H35" s="9" t="str">
        <x:v>手机登录页面去向</x:v>
      </x:c>
      <x:c r="I35" s="9" t="str">
        <x:v>1. 执行角色为未登录用户；当前处于登录与注册页面</x:v>
      </x:c>
      <x:c r="J35" s="9" t="str">
        <x:v>1. 点击手机号登录</x:v>
      </x:c>
      <x:c r="K35" s="9" t="str">
        <x:v>进入手机号登录页</x:v>
      </x:c>
      <x:c r="L35" s="10" t="str"/>
      <x:c r="M35" s="10" t="str">
        <x:v>未测</x:v>
      </x:c>
      <x:c r="N35" s="10" t="str"/>
      <x:c r="O35" s="9" t="str">
        <x:v>1. 来源（当前证据）：liveshow-proto/MainBasis/统一需求文档.md；位置：行1370、行1348
2. 规则：BR-4089cbe3592faf1d
3. 未动态验证</x:v>
      </x:c>
    </x:row>
    <x:row r="36" ht="85" customHeight="1">
      <x:c r="A36" s="10" t="n">
        <x:v>35</x:v>
      </x:c>
      <x:c r="B36" s="10" t="str">
        <x:v>USER-01-0035</x:v>
      </x:c>
      <x:c r="C36" s="10" t="str">
        <x:v>系统入口</x:v>
      </x:c>
      <x:c r="D36" s="10" t="str">
        <x:v>登录与注册（未登录用户视角）</x:v>
      </x:c>
      <x:c r="E36" s="10" t="str">
        <x:v>功能需求</x:v>
      </x:c>
      <x:c r="F36" s="10" t="str">
        <x:v>P2</x:v>
      </x:c>
      <x:c r="G36" s="9" t="str">
        <x:v>验证邮箱登录入口</x:v>
      </x:c>
      <x:c r="H36" s="9" t="str">
        <x:v>邮箱登录页面去向</x:v>
      </x:c>
      <x:c r="I36" s="9" t="str">
        <x:v>1. 执行角色为未登录用户；当前处于登录与注册页面</x:v>
      </x:c>
      <x:c r="J36" s="9" t="str">
        <x:v>1. 点击邮箱登录</x:v>
      </x:c>
      <x:c r="K36" s="9" t="str">
        <x:v>进入邮箱登录页</x:v>
      </x:c>
      <x:c r="L36" s="10" t="str"/>
      <x:c r="M36" s="10" t="str">
        <x:v>未测</x:v>
      </x:c>
      <x:c r="N36" s="10" t="str"/>
      <x:c r="O36" s="9" t="str">
        <x:v>1. 来源（当前证据）：liveshow-proto/MainBasis/统一需求文档.md；位置：行1371、行1348
2. 规则：BR-b2d192e293771547
3. 未动态验证</x:v>
      </x:c>
    </x:row>
    <x:row r="37" ht="85" customHeight="1">
      <x:c r="A37" s="10" t="n">
        <x:v>36</x:v>
      </x:c>
      <x:c r="B37" s="10" t="str">
        <x:v>USER-01-0036</x:v>
      </x:c>
      <x:c r="C37" s="10" t="str">
        <x:v>系统入口</x:v>
      </x:c>
      <x:c r="D37" s="10" t="str">
        <x:v>登录与注册（未登录用户视角）</x:v>
      </x:c>
      <x:c r="E37" s="10" t="str">
        <x:v>功能需求</x:v>
      </x:c>
      <x:c r="F37" s="10" t="str">
        <x:v>P2</x:v>
      </x:c>
      <x:c r="G37" s="9" t="str">
        <x:v>验证游客免协议进入</x:v>
      </x:c>
      <x:c r="H37" s="9" t="str">
        <x:v>游客首页去向</x:v>
      </x:c>
      <x:c r="I37" s="9" t="str">
        <x:v>1. 执行角色为未登录用户；当前处于登录与注册页面
2. 协议未勾选</x:v>
      </x:c>
      <x:c r="J37" s="9" t="str">
        <x:v>1. 点击游客进入</x:v>
      </x:c>
      <x:c r="K37" s="9" t="str">
        <x:v>进入游客首页</x:v>
      </x:c>
      <x:c r="L37" s="10" t="str"/>
      <x:c r="M37" s="10" t="str">
        <x:v>未测</x:v>
      </x:c>
      <x:c r="N37" s="10" t="str"/>
      <x:c r="O37" s="9" t="str">
        <x:v>1. 来源（当前证据）：liveshow-proto/MainBasis/统一需求文档.md；位置：行1372、行1356、行1348
2. 规则：BR-ce8f72de72af593a
3. 未动态验证</x:v>
      </x:c>
    </x:row>
    <x:row r="38" ht="85" customHeight="1">
      <x:c r="A38" s="10" t="n">
        <x:v>37</x:v>
      </x:c>
      <x:c r="B38" s="10" t="str">
        <x:v>USER-01-0037</x:v>
      </x:c>
      <x:c r="C38" s="10" t="str">
        <x:v>系统入口</x:v>
      </x:c>
      <x:c r="D38" s="10" t="str">
        <x:v>手机号登录（未登录用户视角）</x:v>
      </x:c>
      <x:c r="E38" s="10" t="str">
        <x:v>功能需求</x:v>
      </x:c>
      <x:c r="F38" s="10" t="str">
        <x:v>P2</x:v>
      </x:c>
      <x:c r="G38" s="9" t="str">
        <x:v>验证默认验证码方式</x:v>
      </x:c>
      <x:c r="H38" s="9" t="str">
        <x:v>默认登录方式</x:v>
      </x:c>
      <x:c r="I38" s="9" t="str">
        <x:v>1. 执行角色为未登录用户；当前处于手机号登录页面</x:v>
      </x:c>
      <x:c r="J38" s="9" t="str">
        <x:v>1. 查看登录方式</x:v>
      </x:c>
      <x:c r="K38" s="9" t="str">
        <x:v>默认使用短信验证码登录</x:v>
      </x:c>
      <x:c r="L38" s="10" t="str"/>
      <x:c r="M38" s="10" t="str">
        <x:v>未测</x:v>
      </x:c>
      <x:c r="N38" s="10" t="str"/>
      <x:c r="O38" s="9" t="str">
        <x:v>1. 来源（当前证据）：liveshow-proto/MainBasis/统一需求文档.md；位置：行1390、行1384
2. 规则：BR-c75efe287e0c1431
3. 未动态验证</x:v>
      </x:c>
    </x:row>
    <x:row r="39" ht="85" customHeight="1">
      <x:c r="A39" s="10" t="n">
        <x:v>38</x:v>
      </x:c>
      <x:c r="B39" s="10" t="str">
        <x:v>USER-01-0038</x:v>
      </x:c>
      <x:c r="C39" s="10" t="str">
        <x:v>系统入口</x:v>
      </x:c>
      <x:c r="D39" s="10" t="str">
        <x:v>手机号登录（未登录用户视角）</x:v>
      </x:c>
      <x:c r="E39" s="10" t="str">
        <x:v>功能需求</x:v>
      </x:c>
      <x:c r="F39" s="10" t="str">
        <x:v>P2</x:v>
      </x:c>
      <x:c r="G39" s="9" t="str">
        <x:v>验证密码方式切换</x:v>
      </x:c>
      <x:c r="H39" s="9" t="str">
        <x:v>登录方式切换</x:v>
      </x:c>
      <x:c r="I39" s="9" t="str">
        <x:v>1. 执行角色为未登录用户；当前处于手机号登录页面</x:v>
      </x:c>
      <x:c r="J39" s="9" t="str">
        <x:v>1. 点击使用密码登录</x:v>
      </x:c>
      <x:c r="K39" s="9" t="str">
        <x:v>显示密码登录表单</x:v>
      </x:c>
      <x:c r="L39" s="10" t="str"/>
      <x:c r="M39" s="10" t="str">
        <x:v>未测</x:v>
      </x:c>
      <x:c r="N39" s="10" t="str"/>
      <x:c r="O39" s="9" t="str">
        <x:v>1. 来源（当前证据）：liveshow-proto/MainBasis/统一需求文档.md；位置：行1396、行1384
2. 规则：BR-ddc8d6cebd020874
3. 未动态验证</x:v>
      </x:c>
    </x:row>
    <x:row r="40" ht="85" customHeight="1">
      <x:c r="A40" s="10" t="n">
        <x:v>39</x:v>
      </x:c>
      <x:c r="B40" s="10" t="str">
        <x:v>USER-01-0039</x:v>
      </x:c>
      <x:c r="C40" s="10" t="str">
        <x:v>系统入口</x:v>
      </x:c>
      <x:c r="D40" s="10" t="str">
        <x:v>手机号登录（未登录用户视角）</x:v>
      </x:c>
      <x:c r="E40" s="10" t="str">
        <x:v>功能需求</x:v>
      </x:c>
      <x:c r="F40" s="10" t="str">
        <x:v>P2</x:v>
      </x:c>
      <x:c r="G40" s="9" t="str">
        <x:v>验证验证码方式切换</x:v>
      </x:c>
      <x:c r="H40" s="9" t="str">
        <x:v>登录方式切换</x:v>
      </x:c>
      <x:c r="I40" s="9" t="str">
        <x:v>1. 执行角色为未登录用户；当前处于手机号登录页面
2. 当前选择密码登录</x:v>
      </x:c>
      <x:c r="J40" s="9" t="str">
        <x:v>1. 点击使用短信验证码登录</x:v>
      </x:c>
      <x:c r="K40" s="9" t="str">
        <x:v>显示短信验证码登录表单</x:v>
      </x:c>
      <x:c r="L40" s="10" t="str"/>
      <x:c r="M40" s="10" t="str">
        <x:v>未测</x:v>
      </x:c>
      <x:c r="N40" s="10" t="str"/>
      <x:c r="O40" s="9" t="str">
        <x:v>1. 来源（当前证据）：liveshow-proto/MainBasis/统一需求文档.md；位置：行1396、行1384
2. 规则：BR-cb167b6cf6f2d555
3. 未动态验证</x:v>
      </x:c>
    </x:row>
    <x:row r="41" ht="85" customHeight="1">
      <x:c r="A41" s="10" t="n">
        <x:v>40</x:v>
      </x:c>
      <x:c r="B41" s="10" t="str">
        <x:v>USER-01-0040</x:v>
      </x:c>
      <x:c r="C41" s="10" t="str">
        <x:v>系统入口</x:v>
      </x:c>
      <x:c r="D41" s="10" t="str">
        <x:v>手机号登录（未登录用户视角）</x:v>
      </x:c>
      <x:c r="E41" s="10" t="str">
        <x:v>业务流程</x:v>
      </x:c>
      <x:c r="F41" s="10" t="str">
        <x:v>P1</x:v>
      </x:c>
      <x:c r="G41" s="9" t="str">
        <x:v>验证获取验证码</x:v>
      </x:c>
      <x:c r="H41" s="9" t="str">
        <x:v>验证码重发倒计时</x:v>
      </x:c>
      <x:c r="I41" s="9" t="str">
        <x:v>1. 执行角色为未登录用户；当前处于手机号登录页面
2. 手机号81234567890有效且属于测试人员可接收的测试账号</x:v>
      </x:c>
      <x:c r="J41" s="9" t="str">
        <x:v>1. 输入手机号81234567890
2. 点击获取验证码</x:v>
      </x:c>
      <x:c r="K41" s="9" t="str">
        <x:v>开始60秒重发倒计时</x:v>
      </x:c>
      <x:c r="L41" s="10" t="str"/>
      <x:c r="M41" s="10" t="str">
        <x:v>未测</x:v>
      </x:c>
      <x:c r="N41" s="10" t="str"/>
      <x:c r="O41" s="9" t="str">
        <x:v>1. 来源（当前证据）：liveshow-proto/MainBasis/统一需求文档.md；位置：行1393、行1384
2. 规则：BR-b3cb6d429f29c2c2
3. 未动态验证</x:v>
      </x:c>
    </x:row>
    <x:row r="42" ht="85" customHeight="1">
      <x:c r="A42" s="10" t="n">
        <x:v>41</x:v>
      </x:c>
      <x:c r="B42" s="10" t="str">
        <x:v>USER-01-0041</x:v>
      </x:c>
      <x:c r="C42" s="10" t="str">
        <x:v>系统入口</x:v>
      </x:c>
      <x:c r="D42" s="10" t="str">
        <x:v>手机号登录（未登录用户视角）</x:v>
      </x:c>
      <x:c r="E42" s="10" t="str">
        <x:v>逻辑校验</x:v>
      </x:c>
      <x:c r="F42" s="10" t="str">
        <x:v>P1</x:v>
      </x:c>
      <x:c r="G42" s="9" t="str">
        <x:v>验证倒计时内重复获取</x:v>
      </x:c>
      <x:c r="H42" s="9" t="str">
        <x:v>入口可用性</x:v>
      </x:c>
      <x:c r="I42" s="9" t="str">
        <x:v>1. 执行角色为未登录用户；当前处于手机号登录页面
2. 手机号有效；验证码发送成功后已过59秒</x:v>
      </x:c>
      <x:c r="J42" s="9" t="str">
        <x:v>1. 查看获取验证码按钮</x:v>
      </x:c>
      <x:c r="K42" s="9" t="str">
        <x:v>获取验证码按钮不可用</x:v>
      </x:c>
      <x:c r="L42" s="10" t="str"/>
      <x:c r="M42" s="10" t="str">
        <x:v>未测</x:v>
      </x:c>
      <x:c r="N42" s="10" t="str"/>
      <x:c r="O42" s="9" t="str">
        <x:v>1. 来源（当前证据）：liveshow-proto/MainBasis/统一需求文档.md；位置：行1393、行1384
2. 规则：BR-7fdb91f0eedb90e4
3. 未动态验证</x:v>
      </x:c>
    </x:row>
    <x:row r="43" ht="85" customHeight="1">
      <x:c r="A43" s="10" t="n">
        <x:v>42</x:v>
      </x:c>
      <x:c r="B43" s="10" t="str">
        <x:v>USER-01-0042</x:v>
      </x:c>
      <x:c r="C43" s="10" t="str">
        <x:v>系统入口</x:v>
      </x:c>
      <x:c r="D43" s="10" t="str">
        <x:v>手机号登录（未登录用户视角）</x:v>
      </x:c>
      <x:c r="E43" s="10" t="str">
        <x:v>逻辑校验</x:v>
      </x:c>
      <x:c r="F43" s="10" t="str">
        <x:v>P1</x:v>
      </x:c>
      <x:c r="G43" s="9" t="str">
        <x:v>验证倒计时结束重新获取</x:v>
      </x:c>
      <x:c r="H43" s="9" t="str">
        <x:v>验证码重发恢复</x:v>
      </x:c>
      <x:c r="I43" s="9" t="str">
        <x:v>1. 执行角色为未登录用户；当前处于手机号登录页面
2. 手机号有效；验证码发送成功后已过60秒</x:v>
      </x:c>
      <x:c r="J43" s="9" t="str">
        <x:v>1. 点击获取验证码</x:v>
      </x:c>
      <x:c r="K43" s="9" t="str">
        <x:v>允许重新发送验证码</x:v>
      </x:c>
      <x:c r="L43" s="10" t="str"/>
      <x:c r="M43" s="10" t="str">
        <x:v>未测</x:v>
      </x:c>
      <x:c r="N43" s="10" t="str"/>
      <x:c r="O43" s="9" t="str">
        <x:v>1. 来源（当前证据）：liveshow-proto/MainBasis/统一需求文档.md；位置：行1393、行1384
2. 规则：BR-bdbbbdc8663e4437
3. 未动态验证</x:v>
      </x:c>
    </x:row>
    <x:row r="44" ht="85" customHeight="1">
      <x:c r="A44" s="10" t="n">
        <x:v>43</x:v>
      </x:c>
      <x:c r="B44" s="10" t="str">
        <x:v>USER-01-0043</x:v>
      </x:c>
      <x:c r="C44" s="10" t="str">
        <x:v>系统入口</x:v>
      </x:c>
      <x:c r="D44" s="10" t="str">
        <x:v>手机号登录（未登录用户视角）</x:v>
      </x:c>
      <x:c r="E44" s="10" t="str">
        <x:v>业务流程</x:v>
      </x:c>
      <x:c r="F44" s="10" t="str">
        <x:v>P0</x:v>
      </x:c>
      <x:c r="G44" s="9" t="str">
        <x:v>验证验证码正常登录</x:v>
      </x:c>
      <x:c r="H44" s="9" t="str">
        <x:v>凭证有效性</x:v>
      </x:c>
      <x:c r="I44" s="9" t="str">
        <x:v>1. 执行角色为未登录用户；当前处于手机号登录页面
2. 手机号已注册且账号正常；协议已勾选；验证码已发送4分钟</x:v>
      </x:c>
      <x:c r="J44" s="9" t="str">
        <x:v>1. 输入手机号及本次收到的正确六位验证码
2. 点击继续</x:v>
      </x:c>
      <x:c r="K44" s="9" t="str">
        <x:v>进入首页</x:v>
      </x:c>
      <x:c r="L44" s="10" t="str"/>
      <x:c r="M44" s="10" t="str">
        <x:v>未测</x:v>
      </x:c>
      <x:c r="N44" s="10" t="str"/>
      <x:c r="O44" s="9" t="str">
        <x:v>1. 来源（当前证据）：liveshow-proto/MainBasis/统一需求文档.md；位置：行1388、行1394、行1384
2. 规则：BR-3696720c708ff848
3. 未动态验证</x:v>
      </x:c>
    </x:row>
    <x:row r="45" ht="85" customHeight="1">
      <x:c r="A45" s="10" t="n">
        <x:v>44</x:v>
      </x:c>
      <x:c r="B45" s="10" t="str">
        <x:v>USER-01-0044</x:v>
      </x:c>
      <x:c r="C45" s="10" t="str">
        <x:v>系统入口</x:v>
      </x:c>
      <x:c r="D45" s="10" t="str">
        <x:v>手机号登录（未登录用户视角）</x:v>
      </x:c>
      <x:c r="E45" s="10" t="str">
        <x:v>逻辑校验</x:v>
      </x:c>
      <x:c r="F45" s="10" t="str">
        <x:v>P1</x:v>
      </x:c>
      <x:c r="G45" s="9" t="str">
        <x:v>验证验证码五分钟到期</x:v>
      </x:c>
      <x:c r="H45" s="9" t="str">
        <x:v>凭证有效性</x:v>
      </x:c>
      <x:c r="I45" s="9" t="str">
        <x:v>1. 执行角色为未登录用户；当前处于手机号登录页面
2. 手机号已注册；协议已勾选；本次验证码发送后已满5分钟</x:v>
      </x:c>
      <x:c r="J45" s="9" t="str">
        <x:v>1. 输入本次已到期的验证码
2. 点击继续</x:v>
      </x:c>
      <x:c r="K45" s="9" t="str">
        <x:v>不能使用该验证码完成登录</x:v>
      </x:c>
      <x:c r="L45" s="10" t="str"/>
      <x:c r="M45" s="10" t="str">
        <x:v>未测</x:v>
      </x:c>
      <x:c r="N45" s="10" t="str"/>
      <x:c r="O45" s="9" t="str">
        <x:v>1. 来源（当前证据）：liveshow-proto/MainBasis/统一需求文档.md；位置：行1388、行1384
2. 规则：BR-956d66fe099f5deb
3. 未动态验证</x:v>
      </x:c>
    </x:row>
    <x:row r="46" ht="85" customHeight="1">
      <x:c r="A46" s="10" t="n">
        <x:v>45</x:v>
      </x:c>
      <x:c r="B46" s="10" t="str">
        <x:v>USER-01-0045</x:v>
      </x:c>
      <x:c r="C46" s="10" t="str">
        <x:v>系统入口</x:v>
      </x:c>
      <x:c r="D46" s="10" t="str">
        <x:v>手机号登录（未登录用户视角）</x:v>
      </x:c>
      <x:c r="E46" s="10" t="str">
        <x:v>逻辑校验</x:v>
      </x:c>
      <x:c r="F46" s="10" t="str">
        <x:v>P1</x:v>
      </x:c>
      <x:c r="G46" s="9" t="str">
        <x:v>验证第五次验证码错误失效</x:v>
      </x:c>
      <x:c r="H46" s="9" t="str">
        <x:v>凭证有效性</x:v>
      </x:c>
      <x:c r="I46" s="9" t="str">
        <x:v>1. 执行角色为未登录用户；当前处于手机号登录页面
2. 手机号已注册；协议已勾选；本次验证码仍在有效期内且已连续输错4次</x:v>
      </x:c>
      <x:c r="J46" s="9" t="str">
        <x:v>1. 输入错误验证码并点击继续
2. 改为本次正确验证码并点击继续</x:v>
      </x:c>
      <x:c r="K46" s="9" t="str">
        <x:v>当前验证码不能再完成登录</x:v>
      </x:c>
      <x:c r="L46" s="10" t="str"/>
      <x:c r="M46" s="10" t="str">
        <x:v>未测</x:v>
      </x:c>
      <x:c r="N46" s="10" t="str"/>
      <x:c r="O46" s="9" t="str">
        <x:v>1. 来源（当前证据）：liveshow-proto/MainBasis/统一需求文档.md；位置：行1388、行1384
2. 规则：BR-755e07d9a83f1bad
3. 未动态验证</x:v>
      </x:c>
    </x:row>
    <x:row r="47" ht="85" customHeight="1">
      <x:c r="A47" s="10" t="n">
        <x:v>46</x:v>
      </x:c>
      <x:c r="B47" s="10" t="str">
        <x:v>USER-01-0046</x:v>
      </x:c>
      <x:c r="C47" s="10" t="str">
        <x:v>系统入口</x:v>
      </x:c>
      <x:c r="D47" s="10" t="str">
        <x:v>手机号登录（未登录用户视角）</x:v>
      </x:c>
      <x:c r="E47" s="10" t="str">
        <x:v>逻辑校验</x:v>
      </x:c>
      <x:c r="F47" s="10" t="str">
        <x:v>P1</x:v>
      </x:c>
      <x:c r="G47" s="9" t="str">
        <x:v>验证四次验证码错误后纠正</x:v>
      </x:c>
      <x:c r="H47" s="9" t="str">
        <x:v>凭证有效性</x:v>
      </x:c>
      <x:c r="I47" s="9" t="str">
        <x:v>1. 执行角色为未登录用户；当前处于手机号登录页面
2. 手机号已注册；协议已勾选；本次验证码仍在有效期内且已连续输错4次</x:v>
      </x:c>
      <x:c r="J47" s="9" t="str">
        <x:v>1. 输入本次正确验证码
2. 点击继续</x:v>
      </x:c>
      <x:c r="K47" s="9" t="str">
        <x:v>进入首页</x:v>
      </x:c>
      <x:c r="L47" s="10" t="str"/>
      <x:c r="M47" s="10" t="str">
        <x:v>未测</x:v>
      </x:c>
      <x:c r="N47" s="10" t="str"/>
      <x:c r="O47" s="9" t="str">
        <x:v>1. 来源（当前证据）：liveshow-proto/MainBasis/统一需求文档.md；位置：行1388、行1394、行1384
2. 规则：BR-bdc2370421a96945
3. 未动态验证</x:v>
      </x:c>
    </x:row>
    <x:row r="48" ht="85" customHeight="1">
      <x:c r="A48" s="10" t="n">
        <x:v>47</x:v>
      </x:c>
      <x:c r="B48" s="10" t="str">
        <x:v>USER-01-0047</x:v>
      </x:c>
      <x:c r="C48" s="10" t="str">
        <x:v>系统入口</x:v>
      </x:c>
      <x:c r="D48" s="10" t="str">
        <x:v>手机号登录（未登录用户视角）</x:v>
      </x:c>
      <x:c r="E48" s="10" t="str">
        <x:v>异常用例</x:v>
      </x:c>
      <x:c r="F48" s="10" t="str">
        <x:v>P1</x:v>
      </x:c>
      <x:c r="G48" s="9" t="str">
        <x:v>验证空密码拦截</x:v>
      </x:c>
      <x:c r="H48" s="9" t="str">
        <x:v>凭证有效性</x:v>
      </x:c>
      <x:c r="I48" s="9" t="str">
        <x:v>1. 执行角色为未登录用户；当前处于手机号登录页面
2. 手机号已输入；当前密码登录；协议已勾选</x:v>
      </x:c>
      <x:c r="J48" s="9" t="str">
        <x:v>1. 清空密码
2. 查看继续按钮</x:v>
      </x:c>
      <x:c r="K48" s="9" t="str">
        <x:v>不能提交密码登录</x:v>
      </x:c>
      <x:c r="L48" s="10" t="str"/>
      <x:c r="M48" s="10" t="str">
        <x:v>未测</x:v>
      </x:c>
      <x:c r="N48" s="10" t="str"/>
      <x:c r="O48" s="9" t="str">
        <x:v>1. 来源（当前证据）：liveshow-proto/MainBasis/统一需求文档.md；位置：行1389、行1394、行1384
2. 规则：BR-f217a328849aa5a5
3. 未动态验证</x:v>
      </x:c>
    </x:row>
    <x:row r="49" ht="100" customHeight="1">
      <x:c r="A49" s="10" t="n">
        <x:v>48</x:v>
      </x:c>
      <x:c r="B49" s="10" t="str">
        <x:v>USER-01-0048</x:v>
      </x:c>
      <x:c r="C49" s="10" t="str">
        <x:v>系统入口</x:v>
      </x:c>
      <x:c r="D49" s="10" t="str">
        <x:v>手机号登录（未登录用户视角）</x:v>
      </x:c>
      <x:c r="E49" s="10" t="str">
        <x:v>业务流程</x:v>
      </x:c>
      <x:c r="F49" s="10" t="str">
        <x:v>P1</x:v>
      </x:c>
      <x:c r="G49" s="9" t="str">
        <x:v>验证密码登录成功</x:v>
      </x:c>
      <x:c r="H49" s="9" t="str">
        <x:v>凭证有效性</x:v>
      </x:c>
      <x:c r="I49" s="9" t="str">
        <x:v>1. 执行角色为未登录用户；当前处于手机号登录页面
2. 手机号已注册；当前密码登录；协议已勾选；账号状态正常
3. 本次待验证的当前有效密码为QaTest123</x:v>
      </x:c>
      <x:c r="J49" s="9" t="str">
        <x:v>1. 输入密码QaTest123
2. 点击继续</x:v>
      </x:c>
      <x:c r="K49" s="9" t="str">
        <x:v>进入首页</x:v>
      </x:c>
      <x:c r="L49" s="10" t="str"/>
      <x:c r="M49" s="10" t="str">
        <x:v>未测</x:v>
      </x:c>
      <x:c r="N49" s="10" t="str"/>
      <x:c r="O49" s="9" t="str">
        <x:v>1. 来源（当前证据）：liveshow-proto/MainBasis/统一需求文档.md；位置：行1394、行1384
2. 规则：BR-95336ae8d13ff0a0
3. 未动态验证</x:v>
      </x:c>
    </x:row>
    <x:row r="50" ht="85" customHeight="1">
      <x:c r="A50" s="10" t="n">
        <x:v>49</x:v>
      </x:c>
      <x:c r="B50" s="10" t="str">
        <x:v>USER-01-0049</x:v>
      </x:c>
      <x:c r="C50" s="10" t="str">
        <x:v>系统入口</x:v>
      </x:c>
      <x:c r="D50" s="10" t="str">
        <x:v>手机号登录（未登录用户视角）</x:v>
      </x:c>
      <x:c r="E50" s="10" t="str">
        <x:v>异常用例</x:v>
      </x:c>
      <x:c r="F50" s="10" t="str">
        <x:v>P1</x:v>
      </x:c>
      <x:c r="G50" s="9" t="str">
        <x:v>验证协议未勾选拦截</x:v>
      </x:c>
      <x:c r="H50" s="9" t="str">
        <x:v>入口可用性</x:v>
      </x:c>
      <x:c r="I50" s="9" t="str">
        <x:v>1. 执行角色为未登录用户；当前处于手机号登录页面
2. 手机号及登录凭证有效；协议未勾选</x:v>
      </x:c>
      <x:c r="J50" s="9" t="str">
        <x:v>1. 查看继续按钮</x:v>
      </x:c>
      <x:c r="K50" s="9" t="str">
        <x:v>继续按钮不可用</x:v>
      </x:c>
      <x:c r="L50" s="10" t="str"/>
      <x:c r="M50" s="10" t="str">
        <x:v>未测</x:v>
      </x:c>
      <x:c r="N50" s="10" t="str"/>
      <x:c r="O50" s="9" t="str">
        <x:v>1. 来源（当前证据）：liveshow-proto/MainBasis/统一需求文档.md；位置：行1394、行1384
2. 规则：BR-f3d10207724f0a9e
3. 未动态验证</x:v>
      </x:c>
    </x:row>
    <x:row r="51" ht="85" customHeight="1">
      <x:c r="A51" s="10" t="n">
        <x:v>50</x:v>
      </x:c>
      <x:c r="B51" s="10" t="str">
        <x:v>USER-01-0050</x:v>
      </x:c>
      <x:c r="C51" s="10" t="str">
        <x:v>系统入口</x:v>
      </x:c>
      <x:c r="D51" s="10" t="str">
        <x:v>手机号登录（未登录用户视角）</x:v>
      </x:c>
      <x:c r="E51" s="10" t="str">
        <x:v>业务流程</x:v>
      </x:c>
      <x:c r="F51" s="10" t="str">
        <x:v>P1</x:v>
      </x:c>
      <x:c r="G51" s="9" t="str">
        <x:v>验证注销冷静期拦截</x:v>
      </x:c>
      <x:c r="H51" s="9" t="str">
        <x:v>冷静期确认弹窗</x:v>
      </x:c>
      <x:c r="I51" s="9" t="str">
        <x:v>1. 执行角色为未登录用户；当前处于手机号登录页面
2. 手机号及登录凭证有效；协议已勾选；账号正在七日注销冷静期</x:v>
      </x:c>
      <x:c r="J51" s="9" t="str">
        <x:v>1. 点击继续</x:v>
      </x:c>
      <x:c r="K51" s="9" t="str">
        <x:v>显示注销冷静期弹窗</x:v>
      </x:c>
      <x:c r="L51" s="10" t="str"/>
      <x:c r="M51" s="10" t="str">
        <x:v>未测</x:v>
      </x:c>
      <x:c r="N51" s="10" t="str"/>
      <x:c r="O51" s="9" t="str">
        <x:v>1. 来源（当前证据）：liveshow-proto/MainBasis/统一需求文档.md；位置：行1392、行1384
2. 规则：BR-1a601ed70b93cb70
3. 未动态验证</x:v>
      </x:c>
    </x:row>
    <x:row r="52" ht="85" customHeight="1">
      <x:c r="A52" s="10" t="n">
        <x:v>51</x:v>
      </x:c>
      <x:c r="B52" s="10" t="str">
        <x:v>USER-01-0051</x:v>
      </x:c>
      <x:c r="C52" s="10" t="str">
        <x:v>系统入口</x:v>
      </x:c>
      <x:c r="D52" s="10" t="str">
        <x:v>手机号登录（未登录用户视角）</x:v>
      </x:c>
      <x:c r="E52" s="10" t="str">
        <x:v>逻辑校验</x:v>
      </x:c>
      <x:c r="F52" s="10" t="str">
        <x:v>P1</x:v>
      </x:c>
      <x:c r="G52" s="9" t="str">
        <x:v>验证验证码格式12345</x:v>
      </x:c>
      <x:c r="H52" s="9" t="str">
        <x:v>凭证格式</x:v>
      </x:c>
      <x:c r="I52" s="9" t="str">
        <x:v>1. 执行角色为未登录用户；当前处于手机号登录页面
2. 手机号有效；协议已勾选</x:v>
      </x:c>
      <x:c r="J52" s="9" t="str">
        <x:v>1. 输入验证码“12345”
2. 查看继续按钮</x:v>
      </x:c>
      <x:c r="K52" s="9" t="str">
        <x:v>不能提交不符合六位数字格式的验证码登录</x:v>
      </x:c>
      <x:c r="L52" s="10" t="str"/>
      <x:c r="M52" s="10" t="str">
        <x:v>未测</x:v>
      </x:c>
      <x:c r="N52" s="10" t="str"/>
      <x:c r="O52" s="9" t="str">
        <x:v>1. 来源（当前证据）：liveshow-proto/MainBasis/统一需求文档.md；位置：行1388、行1384
2. 规则：BR-cb7813184e744bda
3. 未动态验证</x:v>
      </x:c>
    </x:row>
    <x:row r="53" ht="85" customHeight="1">
      <x:c r="A53" s="10" t="n">
        <x:v>52</x:v>
      </x:c>
      <x:c r="B53" s="10" t="str">
        <x:v>USER-01-0052</x:v>
      </x:c>
      <x:c r="C53" s="10" t="str">
        <x:v>系统入口</x:v>
      </x:c>
      <x:c r="D53" s="10" t="str">
        <x:v>手机号登录（未登录用户视角）</x:v>
      </x:c>
      <x:c r="E53" s="10" t="str">
        <x:v>逻辑校验</x:v>
      </x:c>
      <x:c r="F53" s="10" t="str">
        <x:v>P1</x:v>
      </x:c>
      <x:c r="G53" s="9" t="str">
        <x:v>验证验证码格式1234567</x:v>
      </x:c>
      <x:c r="H53" s="9" t="str">
        <x:v>凭证格式</x:v>
      </x:c>
      <x:c r="I53" s="9" t="str">
        <x:v>1. 执行角色为未登录用户；当前处于手机号登录页面
2. 手机号有效；协议已勾选</x:v>
      </x:c>
      <x:c r="J53" s="9" t="str">
        <x:v>1. 输入验证码“1234567”
2. 查看继续按钮</x:v>
      </x:c>
      <x:c r="K53" s="9" t="str">
        <x:v>不能提交不符合六位数字格式的验证码登录</x:v>
      </x:c>
      <x:c r="L53" s="10" t="str"/>
      <x:c r="M53" s="10" t="str">
        <x:v>未测</x:v>
      </x:c>
      <x:c r="N53" s="10" t="str"/>
      <x:c r="O53" s="9" t="str">
        <x:v>1. 来源（当前证据）：liveshow-proto/MainBasis/统一需求文档.md；位置：行1388、行1384
2. 规则：BR-2827481c93f0e2a3
3. 未动态验证</x:v>
      </x:c>
    </x:row>
    <x:row r="54" ht="85" customHeight="1">
      <x:c r="A54" s="10" t="n">
        <x:v>53</x:v>
      </x:c>
      <x:c r="B54" s="10" t="str">
        <x:v>USER-01-0053</x:v>
      </x:c>
      <x:c r="C54" s="10" t="str">
        <x:v>系统入口</x:v>
      </x:c>
      <x:c r="D54" s="10" t="str">
        <x:v>手机号登录（未登录用户视角）</x:v>
      </x:c>
      <x:c r="E54" s="10" t="str">
        <x:v>逻辑校验</x:v>
      </x:c>
      <x:c r="F54" s="10" t="str">
        <x:v>P1</x:v>
      </x:c>
      <x:c r="G54" s="9" t="str">
        <x:v>验证验证码格式12a456</x:v>
      </x:c>
      <x:c r="H54" s="9" t="str">
        <x:v>凭证格式</x:v>
      </x:c>
      <x:c r="I54" s="9" t="str">
        <x:v>1. 执行角色为未登录用户；当前处于手机号登录页面
2. 手机号有效；协议已勾选</x:v>
      </x:c>
      <x:c r="J54" s="9" t="str">
        <x:v>1. 输入验证码“12a456”
2. 查看继续按钮</x:v>
      </x:c>
      <x:c r="K54" s="9" t="str">
        <x:v>不能提交不符合六位数字格式的验证码登录</x:v>
      </x:c>
      <x:c r="L54" s="10" t="str"/>
      <x:c r="M54" s="10" t="str">
        <x:v>未测</x:v>
      </x:c>
      <x:c r="N54" s="10" t="str"/>
      <x:c r="O54" s="9" t="str">
        <x:v>1. 来源（当前证据）：liveshow-proto/MainBasis/统一需求文档.md；位置：行1388、行1384
2. 规则：BR-c2af32acb4e64678
3. 未动态验证</x:v>
      </x:c>
    </x:row>
    <x:row r="55" ht="85" customHeight="1">
      <x:c r="A55" s="10" t="n">
        <x:v>54</x:v>
      </x:c>
      <x:c r="B55" s="10" t="str">
        <x:v>USER-01-0054</x:v>
      </x:c>
      <x:c r="C55" s="10" t="str">
        <x:v>系统入口</x:v>
      </x:c>
      <x:c r="D55" s="10" t="str">
        <x:v>手机号登录（未登录用户视角）</x:v>
      </x:c>
      <x:c r="E55" s="10" t="str">
        <x:v>逻辑校验</x:v>
      </x:c>
      <x:c r="F55" s="10" t="str">
        <x:v>P1</x:v>
      </x:c>
      <x:c r="G55" s="9" t="str">
        <x:v>验证验证码格式空</x:v>
      </x:c>
      <x:c r="H55" s="9" t="str">
        <x:v>凭证格式</x:v>
      </x:c>
      <x:c r="I55" s="9" t="str">
        <x:v>1. 执行角色为未登录用户；当前处于手机号登录页面
2. 手机号有效；协议已勾选</x:v>
      </x:c>
      <x:c r="J55" s="9" t="str">
        <x:v>1. 输入验证码“”
2. 查看继续按钮</x:v>
      </x:c>
      <x:c r="K55" s="9" t="str">
        <x:v>不能提交不符合六位数字格式的验证码登录</x:v>
      </x:c>
      <x:c r="L55" s="10" t="str"/>
      <x:c r="M55" s="10" t="str">
        <x:v>未测</x:v>
      </x:c>
      <x:c r="N55" s="10" t="str"/>
      <x:c r="O55" s="9" t="str">
        <x:v>1. 来源（当前证据）：liveshow-proto/MainBasis/统一需求文档.md；位置：行1388、行1384
2. 规则：BR-f8e1e72124221869
3. 未动态验证</x:v>
      </x:c>
    </x:row>
    <x:row r="56" ht="85" customHeight="1">
      <x:c r="A56" s="10" t="n">
        <x:v>55</x:v>
      </x:c>
      <x:c r="B56" s="10" t="str">
        <x:v>USER-01-0055</x:v>
      </x:c>
      <x:c r="C56" s="10" t="str">
        <x:v>系统入口</x:v>
      </x:c>
      <x:c r="D56" s="10" t="str">
        <x:v>手机号登录（未登录用户视角）</x:v>
      </x:c>
      <x:c r="E56" s="10" t="str">
        <x:v>逻辑校验</x:v>
      </x:c>
      <x:c r="F56" s="10" t="str">
        <x:v>P1</x:v>
      </x:c>
      <x:c r="G56" s="9" t="str">
        <x:v>验证手机号7位</x:v>
      </x:c>
      <x:c r="H56" s="9" t="str">
        <x:v>入口可用性</x:v>
      </x:c>
      <x:c r="I56" s="9" t="str">
        <x:v>1. 执行角色为未登录用户；当前处于手机号登录页面</x:v>
      </x:c>
      <x:c r="J56" s="9" t="str">
        <x:v>1. 输入由7个“8”组成的手机号
2. 查看获取验证码按钮</x:v>
      </x:c>
      <x:c r="K56" s="9" t="str">
        <x:v>不能为该手机号发送验证码</x:v>
      </x:c>
      <x:c r="L56" s="10" t="str"/>
      <x:c r="M56" s="10" t="str">
        <x:v>未测</x:v>
      </x:c>
      <x:c r="N56" s="10" t="str"/>
      <x:c r="O56" s="9" t="str">
        <x:v>1. 来源（当前证据）：liveshow-proto/MainBasis/统一需求文档.md；位置：行1387、行1393、行1384
2. 规则：BR-c48a89b587e6ea54
3. 未动态验证</x:v>
      </x:c>
    </x:row>
    <x:row r="57" ht="85" customHeight="1">
      <x:c r="A57" s="10" t="n">
        <x:v>56</x:v>
      </x:c>
      <x:c r="B57" s="10" t="str">
        <x:v>USER-01-0056</x:v>
      </x:c>
      <x:c r="C57" s="10" t="str">
        <x:v>系统入口</x:v>
      </x:c>
      <x:c r="D57" s="10" t="str">
        <x:v>手机号登录（未登录用户视角）</x:v>
      </x:c>
      <x:c r="E57" s="10" t="str">
        <x:v>逻辑校验</x:v>
      </x:c>
      <x:c r="F57" s="10" t="str">
        <x:v>P1</x:v>
      </x:c>
      <x:c r="G57" s="9" t="str">
        <x:v>验证手机号8位</x:v>
      </x:c>
      <x:c r="H57" s="9" t="str">
        <x:v>手机号长度边界</x:v>
      </x:c>
      <x:c r="I57" s="9" t="str">
        <x:v>1. 执行角色为未登录用户；当前处于手机号登录页面</x:v>
      </x:c>
      <x:c r="J57" s="9" t="str">
        <x:v>1. 输入由8个“8”组成的手机号
2. 查看获取验证码按钮</x:v>
      </x:c>
      <x:c r="K57" s="9" t="str">
        <x:v>允许为该手机号获取验证码</x:v>
      </x:c>
      <x:c r="L57" s="10" t="str"/>
      <x:c r="M57" s="10" t="str">
        <x:v>未测</x:v>
      </x:c>
      <x:c r="N57" s="10" t="str"/>
      <x:c r="O57" s="9" t="str">
        <x:v>1. 来源（当前证据）：liveshow-proto/MainBasis/统一需求文档.md；位置：行1387、行1393、行1384
2. 规则：BR-1b2a88e6d2e02a1e
3. 未动态验证</x:v>
      </x:c>
    </x:row>
    <x:row r="58" ht="85" customHeight="1">
      <x:c r="A58" s="10" t="n">
        <x:v>57</x:v>
      </x:c>
      <x:c r="B58" s="10" t="str">
        <x:v>USER-01-0057</x:v>
      </x:c>
      <x:c r="C58" s="10" t="str">
        <x:v>系统入口</x:v>
      </x:c>
      <x:c r="D58" s="10" t="str">
        <x:v>手机号登录（未登录用户视角）</x:v>
      </x:c>
      <x:c r="E58" s="10" t="str">
        <x:v>逻辑校验</x:v>
      </x:c>
      <x:c r="F58" s="10" t="str">
        <x:v>P1</x:v>
      </x:c>
      <x:c r="G58" s="9" t="str">
        <x:v>验证手机号15位</x:v>
      </x:c>
      <x:c r="H58" s="9" t="str">
        <x:v>手机号长度边界</x:v>
      </x:c>
      <x:c r="I58" s="9" t="str">
        <x:v>1. 执行角色为未登录用户；当前处于手机号登录页面</x:v>
      </x:c>
      <x:c r="J58" s="9" t="str">
        <x:v>1. 输入由15个“8”组成的手机号
2. 查看获取验证码按钮</x:v>
      </x:c>
      <x:c r="K58" s="9" t="str">
        <x:v>允许为该手机号获取验证码</x:v>
      </x:c>
      <x:c r="L58" s="10" t="str"/>
      <x:c r="M58" s="10" t="str">
        <x:v>未测</x:v>
      </x:c>
      <x:c r="N58" s="10" t="str"/>
      <x:c r="O58" s="9" t="str">
        <x:v>1. 来源（当前证据）：liveshow-proto/MainBasis/统一需求文档.md；位置：行1387、行1393、行1384
2. 规则：BR-c639d4efa19cae7c
3. 未动态验证</x:v>
      </x:c>
    </x:row>
    <x:row r="59" ht="85" customHeight="1">
      <x:c r="A59" s="10" t="n">
        <x:v>58</x:v>
      </x:c>
      <x:c r="B59" s="10" t="str">
        <x:v>USER-01-0058</x:v>
      </x:c>
      <x:c r="C59" s="10" t="str">
        <x:v>系统入口</x:v>
      </x:c>
      <x:c r="D59" s="10" t="str">
        <x:v>手机号登录（未登录用户视角）</x:v>
      </x:c>
      <x:c r="E59" s="10" t="str">
        <x:v>逻辑校验</x:v>
      </x:c>
      <x:c r="F59" s="10" t="str">
        <x:v>P1</x:v>
      </x:c>
      <x:c r="G59" s="9" t="str">
        <x:v>验证手机号16位</x:v>
      </x:c>
      <x:c r="H59" s="9" t="str">
        <x:v>入口可用性</x:v>
      </x:c>
      <x:c r="I59" s="9" t="str">
        <x:v>1. 执行角色为未登录用户；当前处于手机号登录页面</x:v>
      </x:c>
      <x:c r="J59" s="9" t="str">
        <x:v>1. 输入由16个“8”组成的手机号
2. 查看获取验证码按钮</x:v>
      </x:c>
      <x:c r="K59" s="9" t="str">
        <x:v>不能为该手机号发送验证码</x:v>
      </x:c>
      <x:c r="L59" s="10" t="str"/>
      <x:c r="M59" s="10" t="str">
        <x:v>未测</x:v>
      </x:c>
      <x:c r="N59" s="10" t="str"/>
      <x:c r="O59" s="9" t="str">
        <x:v>1. 来源（当前证据）：liveshow-proto/MainBasis/统一需求文档.md；位置：行1387、行1393、行1384
2. 规则：BR-5c771ae8a36d7389
3. 未动态验证</x:v>
      </x:c>
    </x:row>
    <x:row r="60" ht="85" customHeight="1">
      <x:c r="A60" s="10" t="n">
        <x:v>59</x:v>
      </x:c>
      <x:c r="B60" s="10" t="str">
        <x:v>USER-01-0059</x:v>
      </x:c>
      <x:c r="C60" s="10" t="str">
        <x:v>系统入口</x:v>
      </x:c>
      <x:c r="D60" s="10" t="str">
        <x:v>邮箱登录（未登录用户视角）</x:v>
      </x:c>
      <x:c r="E60" s="10" t="str">
        <x:v>功能需求</x:v>
      </x:c>
      <x:c r="F60" s="10" t="str">
        <x:v>P2</x:v>
      </x:c>
      <x:c r="G60" s="9" t="str">
        <x:v>验证默认验证码方式</x:v>
      </x:c>
      <x:c r="H60" s="9" t="str">
        <x:v>默认登录方式</x:v>
      </x:c>
      <x:c r="I60" s="9" t="str">
        <x:v>1. 执行角色为未登录用户；当前处于邮箱登录页面</x:v>
      </x:c>
      <x:c r="J60" s="9" t="str">
        <x:v>1. 查看登录方式</x:v>
      </x:c>
      <x:c r="K60" s="9" t="str">
        <x:v>默认使用邮箱验证码登录</x:v>
      </x:c>
      <x:c r="L60" s="10" t="str"/>
      <x:c r="M60" s="10" t="str">
        <x:v>未测</x:v>
      </x:c>
      <x:c r="N60" s="10" t="str"/>
      <x:c r="O60" s="9" t="str">
        <x:v>1. 来源（当前证据）：liveshow-proto/MainBasis/统一需求文档.md；位置：行1418、行1413
2. 规则：BR-517f27794bf1a394
3. 未动态验证</x:v>
      </x:c>
    </x:row>
    <x:row r="61" ht="85" customHeight="1">
      <x:c r="A61" s="10" t="n">
        <x:v>60</x:v>
      </x:c>
      <x:c r="B61" s="10" t="str">
        <x:v>USER-01-0060</x:v>
      </x:c>
      <x:c r="C61" s="10" t="str">
        <x:v>系统入口</x:v>
      </x:c>
      <x:c r="D61" s="10" t="str">
        <x:v>邮箱登录（未登录用户视角）</x:v>
      </x:c>
      <x:c r="E61" s="10" t="str">
        <x:v>功能需求</x:v>
      </x:c>
      <x:c r="F61" s="10" t="str">
        <x:v>P2</x:v>
      </x:c>
      <x:c r="G61" s="9" t="str">
        <x:v>验证密码方式切换</x:v>
      </x:c>
      <x:c r="H61" s="9" t="str">
        <x:v>登录方式切换</x:v>
      </x:c>
      <x:c r="I61" s="9" t="str">
        <x:v>1. 执行角色为未登录用户；当前处于邮箱登录页面</x:v>
      </x:c>
      <x:c r="J61" s="9" t="str">
        <x:v>1. 点击使用密码登录</x:v>
      </x:c>
      <x:c r="K61" s="9" t="str">
        <x:v>显示密码登录表单</x:v>
      </x:c>
      <x:c r="L61" s="10" t="str"/>
      <x:c r="M61" s="10" t="str">
        <x:v>未测</x:v>
      </x:c>
      <x:c r="N61" s="10" t="str"/>
      <x:c r="O61" s="9" t="str">
        <x:v>1. 来源（当前证据）：liveshow-proto/MainBasis/统一需求文档.md；位置：行1422、行1413
2. 规则：BR-dc503d630dd2463b
3. 未动态验证</x:v>
      </x:c>
    </x:row>
    <x:row r="62" ht="85" customHeight="1">
      <x:c r="A62" s="10" t="n">
        <x:v>61</x:v>
      </x:c>
      <x:c r="B62" s="10" t="str">
        <x:v>USER-01-0061</x:v>
      </x:c>
      <x:c r="C62" s="10" t="str">
        <x:v>系统入口</x:v>
      </x:c>
      <x:c r="D62" s="10" t="str">
        <x:v>邮箱登录（未登录用户视角）</x:v>
      </x:c>
      <x:c r="E62" s="10" t="str">
        <x:v>功能需求</x:v>
      </x:c>
      <x:c r="F62" s="10" t="str">
        <x:v>P2</x:v>
      </x:c>
      <x:c r="G62" s="9" t="str">
        <x:v>验证验证码方式切换</x:v>
      </x:c>
      <x:c r="H62" s="9" t="str">
        <x:v>登录方式切换</x:v>
      </x:c>
      <x:c r="I62" s="9" t="str">
        <x:v>1. 执行角色为未登录用户；当前处于邮箱登录页面
2. 当前选择密码登录</x:v>
      </x:c>
      <x:c r="J62" s="9" t="str">
        <x:v>1. 点击使用邮箱验证码登录</x:v>
      </x:c>
      <x:c r="K62" s="9" t="str">
        <x:v>显示邮箱验证码登录表单</x:v>
      </x:c>
      <x:c r="L62" s="10" t="str"/>
      <x:c r="M62" s="10" t="str">
        <x:v>未测</x:v>
      </x:c>
      <x:c r="N62" s="10" t="str"/>
      <x:c r="O62" s="9" t="str">
        <x:v>1. 来源（当前证据）：liveshow-proto/MainBasis/统一需求文档.md；位置：行1422、行1413
2. 规则：BR-bb35bbde507c561b
3. 未动态验证</x:v>
      </x:c>
    </x:row>
    <x:row r="63" ht="85" customHeight="1">
      <x:c r="A63" s="10" t="n">
        <x:v>62</x:v>
      </x:c>
      <x:c r="B63" s="10" t="str">
        <x:v>USER-01-0062</x:v>
      </x:c>
      <x:c r="C63" s="10" t="str">
        <x:v>系统入口</x:v>
      </x:c>
      <x:c r="D63" s="10" t="str">
        <x:v>邮箱登录（未登录用户视角）</x:v>
      </x:c>
      <x:c r="E63" s="10" t="str">
        <x:v>业务流程</x:v>
      </x:c>
      <x:c r="F63" s="10" t="str">
        <x:v>P1</x:v>
      </x:c>
      <x:c r="G63" s="9" t="str">
        <x:v>验证获取验证码</x:v>
      </x:c>
      <x:c r="H63" s="9" t="str">
        <x:v>验证码重发倒计时</x:v>
      </x:c>
      <x:c r="I63" s="9" t="str">
        <x:v>1. 执行角色为未登录用户；当前处于邮箱登录页面
2. 邮箱qa.user@example.test有效且属于测试人员可接收的测试账号</x:v>
      </x:c>
      <x:c r="J63" s="9" t="str">
        <x:v>1. 输入邮箱qa.user@example.test
2. 点击获取验证码</x:v>
      </x:c>
      <x:c r="K63" s="9" t="str">
        <x:v>开始60秒重发倒计时</x:v>
      </x:c>
      <x:c r="L63" s="10" t="str"/>
      <x:c r="M63" s="10" t="str">
        <x:v>未测</x:v>
      </x:c>
      <x:c r="N63" s="10" t="str"/>
      <x:c r="O63" s="9" t="str">
        <x:v>1. 来源（当前证据）：liveshow-proto/MainBasis/统一需求文档.md；位置：行1420、行1413
2. 规则：BR-beeb22066c32bb14
3. 未动态验证</x:v>
      </x:c>
    </x:row>
    <x:row r="64" ht="85" customHeight="1">
      <x:c r="A64" s="10" t="n">
        <x:v>63</x:v>
      </x:c>
      <x:c r="B64" s="10" t="str">
        <x:v>USER-01-0063</x:v>
      </x:c>
      <x:c r="C64" s="10" t="str">
        <x:v>系统入口</x:v>
      </x:c>
      <x:c r="D64" s="10" t="str">
        <x:v>邮箱登录（未登录用户视角）</x:v>
      </x:c>
      <x:c r="E64" s="10" t="str">
        <x:v>逻辑校验</x:v>
      </x:c>
      <x:c r="F64" s="10" t="str">
        <x:v>P1</x:v>
      </x:c>
      <x:c r="G64" s="9" t="str">
        <x:v>验证倒计时内重复获取</x:v>
      </x:c>
      <x:c r="H64" s="9" t="str">
        <x:v>入口可用性</x:v>
      </x:c>
      <x:c r="I64" s="9" t="str">
        <x:v>1. 执行角色为未登录用户；当前处于邮箱登录页面
2. 邮箱有效；验证码发送成功后已过59秒</x:v>
      </x:c>
      <x:c r="J64" s="9" t="str">
        <x:v>1. 查看获取验证码按钮</x:v>
      </x:c>
      <x:c r="K64" s="9" t="str">
        <x:v>获取验证码按钮不可用</x:v>
      </x:c>
      <x:c r="L64" s="10" t="str"/>
      <x:c r="M64" s="10" t="str">
        <x:v>未测</x:v>
      </x:c>
      <x:c r="N64" s="10" t="str"/>
      <x:c r="O64" s="9" t="str">
        <x:v>1. 来源（当前证据）：liveshow-proto/MainBasis/统一需求文档.md；位置：行1420、行1413
2. 规则：BR-0eeecfc8f3435240
3. 未动态验证</x:v>
      </x:c>
    </x:row>
    <x:row r="65" ht="85" customHeight="1">
      <x:c r="A65" s="10" t="n">
        <x:v>64</x:v>
      </x:c>
      <x:c r="B65" s="10" t="str">
        <x:v>USER-01-0064</x:v>
      </x:c>
      <x:c r="C65" s="10" t="str">
        <x:v>系统入口</x:v>
      </x:c>
      <x:c r="D65" s="10" t="str">
        <x:v>邮箱登录（未登录用户视角）</x:v>
      </x:c>
      <x:c r="E65" s="10" t="str">
        <x:v>逻辑校验</x:v>
      </x:c>
      <x:c r="F65" s="10" t="str">
        <x:v>P1</x:v>
      </x:c>
      <x:c r="G65" s="9" t="str">
        <x:v>验证倒计时结束重新获取</x:v>
      </x:c>
      <x:c r="H65" s="9" t="str">
        <x:v>验证码重发恢复</x:v>
      </x:c>
      <x:c r="I65" s="9" t="str">
        <x:v>1. 执行角色为未登录用户；当前处于邮箱登录页面
2. 邮箱有效；验证码发送成功后已过60秒</x:v>
      </x:c>
      <x:c r="J65" s="9" t="str">
        <x:v>1. 点击获取验证码</x:v>
      </x:c>
      <x:c r="K65" s="9" t="str">
        <x:v>允许重新发送验证码</x:v>
      </x:c>
      <x:c r="L65" s="10" t="str"/>
      <x:c r="M65" s="10" t="str">
        <x:v>未测</x:v>
      </x:c>
      <x:c r="N65" s="10" t="str"/>
      <x:c r="O65" s="9" t="str">
        <x:v>1. 来源（当前证据）：liveshow-proto/MainBasis/统一需求文档.md；位置：行1420、行1413
2. 规则：BR-796574e16e1e9718
3. 未动态验证</x:v>
      </x:c>
    </x:row>
    <x:row r="66" ht="85" customHeight="1">
      <x:c r="A66" s="10" t="n">
        <x:v>65</x:v>
      </x:c>
      <x:c r="B66" s="10" t="str">
        <x:v>USER-01-0065</x:v>
      </x:c>
      <x:c r="C66" s="10" t="str">
        <x:v>系统入口</x:v>
      </x:c>
      <x:c r="D66" s="10" t="str">
        <x:v>邮箱登录（未登录用户视角）</x:v>
      </x:c>
      <x:c r="E66" s="10" t="str">
        <x:v>业务流程</x:v>
      </x:c>
      <x:c r="F66" s="10" t="str">
        <x:v>P1</x:v>
      </x:c>
      <x:c r="G66" s="9" t="str">
        <x:v>验证验证码正常登录</x:v>
      </x:c>
      <x:c r="H66" s="9" t="str">
        <x:v>凭证有效性</x:v>
      </x:c>
      <x:c r="I66" s="9" t="str">
        <x:v>1. 执行角色为未登录用户；当前处于邮箱登录页面
2. 邮箱已注册且账号正常；协议已勾选；验证码已发送4分钟</x:v>
      </x:c>
      <x:c r="J66" s="9" t="str">
        <x:v>1. 输入邮箱及本次收到的正确六位验证码
2. 点击继续</x:v>
      </x:c>
      <x:c r="K66" s="9" t="str">
        <x:v>进入首页</x:v>
      </x:c>
      <x:c r="L66" s="10" t="str"/>
      <x:c r="M66" s="10" t="str">
        <x:v>未测</x:v>
      </x:c>
      <x:c r="N66" s="10" t="str"/>
      <x:c r="O66" s="9" t="str">
        <x:v>1. 来源（当前证据）：liveshow-proto/MainBasis/统一需求文档.md；位置：行1416、行1421、行1413
2. 规则：BR-d1edb0cb768b87d0
3. 未动态验证</x:v>
      </x:c>
    </x:row>
    <x:row r="67" ht="85" customHeight="1">
      <x:c r="A67" s="10" t="n">
        <x:v>66</x:v>
      </x:c>
      <x:c r="B67" s="10" t="str">
        <x:v>USER-01-0066</x:v>
      </x:c>
      <x:c r="C67" s="10" t="str">
        <x:v>系统入口</x:v>
      </x:c>
      <x:c r="D67" s="10" t="str">
        <x:v>邮箱登录（未登录用户视角）</x:v>
      </x:c>
      <x:c r="E67" s="10" t="str">
        <x:v>逻辑校验</x:v>
      </x:c>
      <x:c r="F67" s="10" t="str">
        <x:v>P1</x:v>
      </x:c>
      <x:c r="G67" s="9" t="str">
        <x:v>验证验证码五分钟到期</x:v>
      </x:c>
      <x:c r="H67" s="9" t="str">
        <x:v>凭证有效性</x:v>
      </x:c>
      <x:c r="I67" s="9" t="str">
        <x:v>1. 执行角色为未登录用户；当前处于邮箱登录页面
2. 邮箱已注册；协议已勾选；本次验证码发送后已满5分钟</x:v>
      </x:c>
      <x:c r="J67" s="9" t="str">
        <x:v>1. 输入本次已到期的验证码
2. 点击继续</x:v>
      </x:c>
      <x:c r="K67" s="9" t="str">
        <x:v>不能使用该验证码完成登录</x:v>
      </x:c>
      <x:c r="L67" s="10" t="str"/>
      <x:c r="M67" s="10" t="str">
        <x:v>未测</x:v>
      </x:c>
      <x:c r="N67" s="10" t="str"/>
      <x:c r="O67" s="9" t="str">
        <x:v>1. 来源（当前证据）：liveshow-proto/MainBasis/统一需求文档.md；位置：行1416、行1413
2. 规则：BR-a44a2e674523b1fe
3. 未动态验证</x:v>
      </x:c>
    </x:row>
    <x:row r="68" ht="85" customHeight="1">
      <x:c r="A68" s="10" t="n">
        <x:v>67</x:v>
      </x:c>
      <x:c r="B68" s="10" t="str">
        <x:v>USER-01-0067</x:v>
      </x:c>
      <x:c r="C68" s="10" t="str">
        <x:v>系统入口</x:v>
      </x:c>
      <x:c r="D68" s="10" t="str">
        <x:v>邮箱登录（未登录用户视角）</x:v>
      </x:c>
      <x:c r="E68" s="10" t="str">
        <x:v>逻辑校验</x:v>
      </x:c>
      <x:c r="F68" s="10" t="str">
        <x:v>P1</x:v>
      </x:c>
      <x:c r="G68" s="9" t="str">
        <x:v>验证第五次验证码错误失效</x:v>
      </x:c>
      <x:c r="H68" s="9" t="str">
        <x:v>凭证有效性</x:v>
      </x:c>
      <x:c r="I68" s="9" t="str">
        <x:v>1. 执行角色为未登录用户；当前处于邮箱登录页面
2. 邮箱已注册；协议已勾选；本次验证码仍在有效期内且已连续输错4次</x:v>
      </x:c>
      <x:c r="J68" s="9" t="str">
        <x:v>1. 输入错误验证码并点击继续
2. 改为本次正确验证码并点击继续</x:v>
      </x:c>
      <x:c r="K68" s="9" t="str">
        <x:v>当前验证码不能再完成登录</x:v>
      </x:c>
      <x:c r="L68" s="10" t="str"/>
      <x:c r="M68" s="10" t="str">
        <x:v>未测</x:v>
      </x:c>
      <x:c r="N68" s="10" t="str"/>
      <x:c r="O68" s="9" t="str">
        <x:v>1. 来源（当前证据）：liveshow-proto/MainBasis/统一需求文档.md；位置：行1416、行1413
2. 规则：BR-15044391c5d4bcf5
3. 未动态验证</x:v>
      </x:c>
    </x:row>
    <x:row r="69" ht="85" customHeight="1">
      <x:c r="A69" s="10" t="n">
        <x:v>68</x:v>
      </x:c>
      <x:c r="B69" s="10" t="str">
        <x:v>USER-01-0068</x:v>
      </x:c>
      <x:c r="C69" s="10" t="str">
        <x:v>系统入口</x:v>
      </x:c>
      <x:c r="D69" s="10" t="str">
        <x:v>邮箱登录（未登录用户视角）</x:v>
      </x:c>
      <x:c r="E69" s="10" t="str">
        <x:v>逻辑校验</x:v>
      </x:c>
      <x:c r="F69" s="10" t="str">
        <x:v>P1</x:v>
      </x:c>
      <x:c r="G69" s="9" t="str">
        <x:v>验证四次验证码错误后纠正</x:v>
      </x:c>
      <x:c r="H69" s="9" t="str">
        <x:v>凭证有效性</x:v>
      </x:c>
      <x:c r="I69" s="9" t="str">
        <x:v>1. 执行角色为未登录用户；当前处于邮箱登录页面
2. 邮箱已注册；协议已勾选；本次验证码仍在有效期内且已连续输错4次</x:v>
      </x:c>
      <x:c r="J69" s="9" t="str">
        <x:v>1. 输入本次正确验证码
2. 点击继续</x:v>
      </x:c>
      <x:c r="K69" s="9" t="str">
        <x:v>进入首页</x:v>
      </x:c>
      <x:c r="L69" s="10" t="str"/>
      <x:c r="M69" s="10" t="str">
        <x:v>未测</x:v>
      </x:c>
      <x:c r="N69" s="10" t="str"/>
      <x:c r="O69" s="9" t="str">
        <x:v>1. 来源（当前证据）：liveshow-proto/MainBasis/统一需求文档.md；位置：行1416、行1421、行1413
2. 规则：BR-9937314bbf11b51c
3. 未动态验证</x:v>
      </x:c>
    </x:row>
    <x:row r="70" ht="85" customHeight="1">
      <x:c r="A70" s="10" t="n">
        <x:v>69</x:v>
      </x:c>
      <x:c r="B70" s="10" t="str">
        <x:v>USER-01-0069</x:v>
      </x:c>
      <x:c r="C70" s="10" t="str">
        <x:v>系统入口</x:v>
      </x:c>
      <x:c r="D70" s="10" t="str">
        <x:v>邮箱登录（未登录用户视角）</x:v>
      </x:c>
      <x:c r="E70" s="10" t="str">
        <x:v>异常用例</x:v>
      </x:c>
      <x:c r="F70" s="10" t="str">
        <x:v>P1</x:v>
      </x:c>
      <x:c r="G70" s="9" t="str">
        <x:v>验证空密码拦截</x:v>
      </x:c>
      <x:c r="H70" s="9" t="str">
        <x:v>凭证有效性</x:v>
      </x:c>
      <x:c r="I70" s="9" t="str">
        <x:v>1. 执行角色为未登录用户；当前处于邮箱登录页面
2. 邮箱已输入；当前密码登录；协议已勾选</x:v>
      </x:c>
      <x:c r="J70" s="9" t="str">
        <x:v>1. 清空密码
2. 查看继续按钮</x:v>
      </x:c>
      <x:c r="K70" s="9" t="str">
        <x:v>不能提交密码登录</x:v>
      </x:c>
      <x:c r="L70" s="10" t="str"/>
      <x:c r="M70" s="10" t="str">
        <x:v>未测</x:v>
      </x:c>
      <x:c r="N70" s="10" t="str"/>
      <x:c r="O70" s="9" t="str">
        <x:v>1. 来源（当前证据）：liveshow-proto/MainBasis/统一需求文档.md；位置：行1417、行1421、行1413
2. 规则：BR-305553c4e5cae34b
3. 未动态验证</x:v>
      </x:c>
    </x:row>
    <x:row r="71" ht="100" customHeight="1">
      <x:c r="A71" s="10" t="n">
        <x:v>70</x:v>
      </x:c>
      <x:c r="B71" s="10" t="str">
        <x:v>USER-01-0070</x:v>
      </x:c>
      <x:c r="C71" s="10" t="str">
        <x:v>系统入口</x:v>
      </x:c>
      <x:c r="D71" s="10" t="str">
        <x:v>邮箱登录（未登录用户视角）</x:v>
      </x:c>
      <x:c r="E71" s="10" t="str">
        <x:v>业务流程</x:v>
      </x:c>
      <x:c r="F71" s="10" t="str">
        <x:v>P1</x:v>
      </x:c>
      <x:c r="G71" s="9" t="str">
        <x:v>验证密码登录成功</x:v>
      </x:c>
      <x:c r="H71" s="9" t="str">
        <x:v>凭证有效性</x:v>
      </x:c>
      <x:c r="I71" s="9" t="str">
        <x:v>1. 执行角色为未登录用户；当前处于邮箱登录页面
2. 邮箱已注册；当前密码登录；协议已勾选；账号状态正常
3. 本次待验证的当前有效密码为QaTest123</x:v>
      </x:c>
      <x:c r="J71" s="9" t="str">
        <x:v>1. 输入密码QaTest123
2. 点击继续</x:v>
      </x:c>
      <x:c r="K71" s="9" t="str">
        <x:v>进入首页</x:v>
      </x:c>
      <x:c r="L71" s="10" t="str"/>
      <x:c r="M71" s="10" t="str">
        <x:v>未测</x:v>
      </x:c>
      <x:c r="N71" s="10" t="str"/>
      <x:c r="O71" s="9" t="str">
        <x:v>1. 来源（当前证据）：liveshow-proto/MainBasis/统一需求文档.md；位置：行1421、行1413
2. 规则：BR-300094432b5e39a2
3. 未动态验证</x:v>
      </x:c>
    </x:row>
    <x:row r="72" ht="85" customHeight="1">
      <x:c r="A72" s="10" t="n">
        <x:v>71</x:v>
      </x:c>
      <x:c r="B72" s="10" t="str">
        <x:v>USER-01-0071</x:v>
      </x:c>
      <x:c r="C72" s="10" t="str">
        <x:v>系统入口</x:v>
      </x:c>
      <x:c r="D72" s="10" t="str">
        <x:v>邮箱登录（未登录用户视角）</x:v>
      </x:c>
      <x:c r="E72" s="10" t="str">
        <x:v>异常用例</x:v>
      </x:c>
      <x:c r="F72" s="10" t="str">
        <x:v>P1</x:v>
      </x:c>
      <x:c r="G72" s="9" t="str">
        <x:v>验证协议未勾选拦截</x:v>
      </x:c>
      <x:c r="H72" s="9" t="str">
        <x:v>入口可用性</x:v>
      </x:c>
      <x:c r="I72" s="9" t="str">
        <x:v>1. 执行角色为未登录用户；当前处于邮箱登录页面
2. 邮箱及登录凭证有效；协议未勾选</x:v>
      </x:c>
      <x:c r="J72" s="9" t="str">
        <x:v>1. 查看继续按钮</x:v>
      </x:c>
      <x:c r="K72" s="9" t="str">
        <x:v>继续按钮不可用</x:v>
      </x:c>
      <x:c r="L72" s="10" t="str"/>
      <x:c r="M72" s="10" t="str">
        <x:v>未测</x:v>
      </x:c>
      <x:c r="N72" s="10" t="str"/>
      <x:c r="O72" s="9" t="str">
        <x:v>1. 来源（当前证据）：liveshow-proto/MainBasis/统一需求文档.md；位置：行1421、行1413
2. 规则：BR-f6aa878594f0ebf5
3. 未动态验证</x:v>
      </x:c>
    </x:row>
    <x:row r="73" ht="85" customHeight="1">
      <x:c r="A73" s="10" t="n">
        <x:v>72</x:v>
      </x:c>
      <x:c r="B73" s="10" t="str">
        <x:v>USER-01-0072</x:v>
      </x:c>
      <x:c r="C73" s="10" t="str">
        <x:v>系统入口</x:v>
      </x:c>
      <x:c r="D73" s="10" t="str">
        <x:v>邮箱登录（未登录用户视角）</x:v>
      </x:c>
      <x:c r="E73" s="10" t="str">
        <x:v>业务流程</x:v>
      </x:c>
      <x:c r="F73" s="10" t="str">
        <x:v>P1</x:v>
      </x:c>
      <x:c r="G73" s="9" t="str">
        <x:v>验证注销冷静期拦截</x:v>
      </x:c>
      <x:c r="H73" s="9" t="str">
        <x:v>冷静期确认弹窗</x:v>
      </x:c>
      <x:c r="I73" s="9" t="str">
        <x:v>1. 执行角色为未登录用户；当前处于邮箱登录页面
2. 邮箱及登录凭证有效；协议已勾选；账号正在七日注销冷静期</x:v>
      </x:c>
      <x:c r="J73" s="9" t="str">
        <x:v>1. 点击继续</x:v>
      </x:c>
      <x:c r="K73" s="9" t="str">
        <x:v>显示注销冷静期弹窗</x:v>
      </x:c>
      <x:c r="L73" s="10" t="str"/>
      <x:c r="M73" s="10" t="str">
        <x:v>未测</x:v>
      </x:c>
      <x:c r="N73" s="10" t="str"/>
      <x:c r="O73" s="9" t="str">
        <x:v>1. 来源（当前证据）：liveshow-proto/MainBasis/统一需求文档.md；位置：行1419、行1413
2. 规则：BR-7d45f9cf6915d0e2
3. 未动态验证</x:v>
      </x:c>
    </x:row>
    <x:row r="74" ht="85" customHeight="1">
      <x:c r="A74" s="10" t="n">
        <x:v>73</x:v>
      </x:c>
      <x:c r="B74" s="10" t="str">
        <x:v>USER-01-0073</x:v>
      </x:c>
      <x:c r="C74" s="10" t="str">
        <x:v>系统入口</x:v>
      </x:c>
      <x:c r="D74" s="10" t="str">
        <x:v>邮箱登录（未登录用户视角）</x:v>
      </x:c>
      <x:c r="E74" s="10" t="str">
        <x:v>逻辑校验</x:v>
      </x:c>
      <x:c r="F74" s="10" t="str">
        <x:v>P1</x:v>
      </x:c>
      <x:c r="G74" s="9" t="str">
        <x:v>验证验证码格式12345</x:v>
      </x:c>
      <x:c r="H74" s="9" t="str">
        <x:v>凭证格式</x:v>
      </x:c>
      <x:c r="I74" s="9" t="str">
        <x:v>1. 执行角色为未登录用户；当前处于邮箱登录页面
2. 邮箱有效；协议已勾选</x:v>
      </x:c>
      <x:c r="J74" s="9" t="str">
        <x:v>1. 输入验证码“12345”
2. 查看继续按钮</x:v>
      </x:c>
      <x:c r="K74" s="9" t="str">
        <x:v>不能提交不符合六位数字格式的验证码登录</x:v>
      </x:c>
      <x:c r="L74" s="10" t="str"/>
      <x:c r="M74" s="10" t="str">
        <x:v>未测</x:v>
      </x:c>
      <x:c r="N74" s="10" t="str"/>
      <x:c r="O74" s="9" t="str">
        <x:v>1. 来源（当前证据）：liveshow-proto/MainBasis/统一需求文档.md；位置：行1416、行1413
2. 规则：BR-57e28026dd4738a4
3. 未动态验证</x:v>
      </x:c>
    </x:row>
    <x:row r="75" ht="85" customHeight="1">
      <x:c r="A75" s="10" t="n">
        <x:v>74</x:v>
      </x:c>
      <x:c r="B75" s="10" t="str">
        <x:v>USER-01-0074</x:v>
      </x:c>
      <x:c r="C75" s="10" t="str">
        <x:v>系统入口</x:v>
      </x:c>
      <x:c r="D75" s="10" t="str">
        <x:v>邮箱登录（未登录用户视角）</x:v>
      </x:c>
      <x:c r="E75" s="10" t="str">
        <x:v>逻辑校验</x:v>
      </x:c>
      <x:c r="F75" s="10" t="str">
        <x:v>P1</x:v>
      </x:c>
      <x:c r="G75" s="9" t="str">
        <x:v>验证验证码格式1234567</x:v>
      </x:c>
      <x:c r="H75" s="9" t="str">
        <x:v>凭证格式</x:v>
      </x:c>
      <x:c r="I75" s="9" t="str">
        <x:v>1. 执行角色为未登录用户；当前处于邮箱登录页面
2. 邮箱有效；协议已勾选</x:v>
      </x:c>
      <x:c r="J75" s="9" t="str">
        <x:v>1. 输入验证码“1234567”
2. 查看继续按钮</x:v>
      </x:c>
      <x:c r="K75" s="9" t="str">
        <x:v>不能提交不符合六位数字格式的验证码登录</x:v>
      </x:c>
      <x:c r="L75" s="10" t="str"/>
      <x:c r="M75" s="10" t="str">
        <x:v>未测</x:v>
      </x:c>
      <x:c r="N75" s="10" t="str"/>
      <x:c r="O75" s="9" t="str">
        <x:v>1. 来源（当前证据）：liveshow-proto/MainBasis/统一需求文档.md；位置：行1416、行1413
2. 规则：BR-7b10bfbf2ac4ddda
3. 未动态验证</x:v>
      </x:c>
    </x:row>
    <x:row r="76" ht="85" customHeight="1">
      <x:c r="A76" s="10" t="n">
        <x:v>75</x:v>
      </x:c>
      <x:c r="B76" s="10" t="str">
        <x:v>USER-01-0075</x:v>
      </x:c>
      <x:c r="C76" s="10" t="str">
        <x:v>系统入口</x:v>
      </x:c>
      <x:c r="D76" s="10" t="str">
        <x:v>邮箱登录（未登录用户视角）</x:v>
      </x:c>
      <x:c r="E76" s="10" t="str">
        <x:v>逻辑校验</x:v>
      </x:c>
      <x:c r="F76" s="10" t="str">
        <x:v>P1</x:v>
      </x:c>
      <x:c r="G76" s="9" t="str">
        <x:v>验证验证码格式12a456</x:v>
      </x:c>
      <x:c r="H76" s="9" t="str">
        <x:v>凭证格式</x:v>
      </x:c>
      <x:c r="I76" s="9" t="str">
        <x:v>1. 执行角色为未登录用户；当前处于邮箱登录页面
2. 邮箱有效；协议已勾选</x:v>
      </x:c>
      <x:c r="J76" s="9" t="str">
        <x:v>1. 输入验证码“12a456”
2. 查看继续按钮</x:v>
      </x:c>
      <x:c r="K76" s="9" t="str">
        <x:v>不能提交不符合六位数字格式的验证码登录</x:v>
      </x:c>
      <x:c r="L76" s="10" t="str"/>
      <x:c r="M76" s="10" t="str">
        <x:v>未测</x:v>
      </x:c>
      <x:c r="N76" s="10" t="str"/>
      <x:c r="O76" s="9" t="str">
        <x:v>1. 来源（当前证据）：liveshow-proto/MainBasis/统一需求文档.md；位置：行1416、行1413
2. 规则：BR-e10d5b452d7c2e6f
3. 未动态验证</x:v>
      </x:c>
    </x:row>
    <x:row r="77" ht="85" customHeight="1">
      <x:c r="A77" s="10" t="n">
        <x:v>76</x:v>
      </x:c>
      <x:c r="B77" s="10" t="str">
        <x:v>USER-01-0076</x:v>
      </x:c>
      <x:c r="C77" s="10" t="str">
        <x:v>系统入口</x:v>
      </x:c>
      <x:c r="D77" s="10" t="str">
        <x:v>邮箱登录（未登录用户视角）</x:v>
      </x:c>
      <x:c r="E77" s="10" t="str">
        <x:v>逻辑校验</x:v>
      </x:c>
      <x:c r="F77" s="10" t="str">
        <x:v>P1</x:v>
      </x:c>
      <x:c r="G77" s="9" t="str">
        <x:v>验证验证码格式空</x:v>
      </x:c>
      <x:c r="H77" s="9" t="str">
        <x:v>凭证格式</x:v>
      </x:c>
      <x:c r="I77" s="9" t="str">
        <x:v>1. 执行角色为未登录用户；当前处于邮箱登录页面
2. 邮箱有效；协议已勾选</x:v>
      </x:c>
      <x:c r="J77" s="9" t="str">
        <x:v>1. 输入验证码“”
2. 查看继续按钮</x:v>
      </x:c>
      <x:c r="K77" s="9" t="str">
        <x:v>不能提交不符合六位数字格式的验证码登录</x:v>
      </x:c>
      <x:c r="L77" s="10" t="str"/>
      <x:c r="M77" s="10" t="str">
        <x:v>未测</x:v>
      </x:c>
      <x:c r="N77" s="10" t="str"/>
      <x:c r="O77" s="9" t="str">
        <x:v>1. 来源（当前证据）：liveshow-proto/MainBasis/统一需求文档.md；位置：行1416、行1413
2. 规则：BR-5922f38d91fa0db3
3. 未动态验证</x:v>
      </x:c>
    </x:row>
    <x:row r="78" ht="85" customHeight="1">
      <x:c r="A78" s="10" t="n">
        <x:v>77</x:v>
      </x:c>
      <x:c r="B78" s="10" t="str">
        <x:v>USER-01-0077</x:v>
      </x:c>
      <x:c r="C78" s="10" t="str">
        <x:v>系统入口</x:v>
      </x:c>
      <x:c r="D78" s="10" t="str">
        <x:v>邮箱登录（未登录用户视角）</x:v>
      </x:c>
      <x:c r="E78" s="10" t="str">
        <x:v>逻辑校验</x:v>
      </x:c>
      <x:c r="F78" s="10" t="str">
        <x:v>P1</x:v>
      </x:c>
      <x:c r="G78" s="9" t="str">
        <x:v>验证邮箱格式qa.user@example.test</x:v>
      </x:c>
      <x:c r="H78" s="9" t="str">
        <x:v>邮箱格式校验</x:v>
      </x:c>
      <x:c r="I78" s="9" t="str">
        <x:v>1. 执行角色为未登录用户；当前处于邮箱登录页面</x:v>
      </x:c>
      <x:c r="J78" s="9" t="str">
        <x:v>1. 输入邮箱“qa.user@example.test”
2. 查看获取验证码按钮</x:v>
      </x:c>
      <x:c r="K78" s="9" t="str">
        <x:v>允许为该邮箱获取验证码</x:v>
      </x:c>
      <x:c r="L78" s="10" t="str"/>
      <x:c r="M78" s="10" t="str">
        <x:v>未测</x:v>
      </x:c>
      <x:c r="N78" s="10" t="str"/>
      <x:c r="O78" s="9" t="str">
        <x:v>1. 来源（当前证据）：liveshow-proto/MainBasis/统一需求文档.md；位置：行1415、行1420、行1413
2. 规则：BR-59b0ff3e8c96b103
3. 未动态验证</x:v>
      </x:c>
    </x:row>
    <x:row r="79" ht="85" customHeight="1">
      <x:c r="A79" s="10" t="n">
        <x:v>78</x:v>
      </x:c>
      <x:c r="B79" s="10" t="str">
        <x:v>USER-01-0078</x:v>
      </x:c>
      <x:c r="C79" s="10" t="str">
        <x:v>系统入口</x:v>
      </x:c>
      <x:c r="D79" s="10" t="str">
        <x:v>邮箱登录（未登录用户视角）</x:v>
      </x:c>
      <x:c r="E79" s="10" t="str">
        <x:v>逻辑校验</x:v>
      </x:c>
      <x:c r="F79" s="10" t="str">
        <x:v>P1</x:v>
      </x:c>
      <x:c r="G79" s="9" t="str">
        <x:v>验证邮箱格式invalid-email</x:v>
      </x:c>
      <x:c r="H79" s="9" t="str">
        <x:v>入口可用性</x:v>
      </x:c>
      <x:c r="I79" s="9" t="str">
        <x:v>1. 执行角色为未登录用户；当前处于邮箱登录页面</x:v>
      </x:c>
      <x:c r="J79" s="9" t="str">
        <x:v>1. 输入邮箱“invalid-email”
2. 查看获取验证码按钮</x:v>
      </x:c>
      <x:c r="K79" s="9" t="str">
        <x:v>不能为该邮箱发送验证码</x:v>
      </x:c>
      <x:c r="L79" s="10" t="str"/>
      <x:c r="M79" s="10" t="str">
        <x:v>未测</x:v>
      </x:c>
      <x:c r="N79" s="10" t="str"/>
      <x:c r="O79" s="9" t="str">
        <x:v>1. 来源（当前证据）：liveshow-proto/MainBasis/统一需求文档.md；位置：行1415、行1420、行1413
2. 规则：BR-4e237d5594eb9771
3. 未动态验证</x:v>
      </x:c>
    </x:row>
    <x:row r="80" ht="85" customHeight="1">
      <x:c r="A80" s="10" t="n">
        <x:v>79</x:v>
      </x:c>
      <x:c r="B80" s="10" t="str">
        <x:v>USER-01-0079</x:v>
      </x:c>
      <x:c r="C80" s="10" t="str">
        <x:v>系统入口</x:v>
      </x:c>
      <x:c r="D80" s="10" t="str">
        <x:v>邮箱登录（未登录用户视角）</x:v>
      </x:c>
      <x:c r="E80" s="10" t="str">
        <x:v>逻辑校验</x:v>
      </x:c>
      <x:c r="F80" s="10" t="str">
        <x:v>P1</x:v>
      </x:c>
      <x:c r="G80" s="9" t="str">
        <x:v>验证邮箱格式@example.test</x:v>
      </x:c>
      <x:c r="H80" s="9" t="str">
        <x:v>入口可用性</x:v>
      </x:c>
      <x:c r="I80" s="9" t="str">
        <x:v>1. 执行角色为未登录用户；当前处于邮箱登录页面</x:v>
      </x:c>
      <x:c r="J80" s="9" t="str">
        <x:v>1. 输入邮箱“@example.test”
2. 查看获取验证码按钮</x:v>
      </x:c>
      <x:c r="K80" s="9" t="str">
        <x:v>不能为该邮箱发送验证码</x:v>
      </x:c>
      <x:c r="L80" s="10" t="str"/>
      <x:c r="M80" s="10" t="str">
        <x:v>未测</x:v>
      </x:c>
      <x:c r="N80" s="10" t="str"/>
      <x:c r="O80" s="9" t="str">
        <x:v>1. 来源（当前证据）：liveshow-proto/MainBasis/统一需求文档.md；位置：行1415、行1420、行1413
2. 规则：BR-1772790070c804fd
3. 未动态验证</x:v>
      </x:c>
    </x:row>
    <x:row r="81" ht="85" customHeight="1">
      <x:c r="A81" s="10" t="n">
        <x:v>80</x:v>
      </x:c>
      <x:c r="B81" s="10" t="str">
        <x:v>USER-01-0080</x:v>
      </x:c>
      <x:c r="C81" s="10" t="str">
        <x:v>系统入口</x:v>
      </x:c>
      <x:c r="D81" s="10" t="str">
        <x:v>邮箱登录（未登录用户视角）</x:v>
      </x:c>
      <x:c r="E81" s="10" t="str">
        <x:v>逻辑校验</x:v>
      </x:c>
      <x:c r="F81" s="10" t="str">
        <x:v>P1</x:v>
      </x:c>
      <x:c r="G81" s="9" t="str">
        <x:v>验证邮箱格式qa@</x:v>
      </x:c>
      <x:c r="H81" s="9" t="str">
        <x:v>入口可用性</x:v>
      </x:c>
      <x:c r="I81" s="9" t="str">
        <x:v>1. 执行角色为未登录用户；当前处于邮箱登录页面</x:v>
      </x:c>
      <x:c r="J81" s="9" t="str">
        <x:v>1. 输入邮箱“qa@”
2. 查看获取验证码按钮</x:v>
      </x:c>
      <x:c r="K81" s="9" t="str">
        <x:v>不能为该邮箱发送验证码</x:v>
      </x:c>
      <x:c r="L81" s="10" t="str"/>
      <x:c r="M81" s="10" t="str">
        <x:v>未测</x:v>
      </x:c>
      <x:c r="N81" s="10" t="str"/>
      <x:c r="O81" s="9" t="str">
        <x:v>1. 来源（当前证据）：liveshow-proto/MainBasis/统一需求文档.md；位置：行1415、行1420、行1413
2. 规则：BR-3eb533027dd7428e
3. 未动态验证</x:v>
      </x:c>
    </x:row>
    <x:row r="82" ht="85" customHeight="1">
      <x:c r="A82" s="10" t="n">
        <x:v>81</x:v>
      </x:c>
      <x:c r="B82" s="10" t="str">
        <x:v>USER-01-0081</x:v>
      </x:c>
      <x:c r="C82" s="10" t="str">
        <x:v>系统入口</x:v>
      </x:c>
      <x:c r="D82" s="10" t="str">
        <x:v>邮箱登录（未登录用户视角）</x:v>
      </x:c>
      <x:c r="E82" s="10" t="str">
        <x:v>逻辑校验</x:v>
      </x:c>
      <x:c r="F82" s="10" t="str">
        <x:v>P1</x:v>
      </x:c>
      <x:c r="G82" s="9" t="str">
        <x:v>验证邮箱格式空</x:v>
      </x:c>
      <x:c r="H82" s="9" t="str">
        <x:v>入口可用性</x:v>
      </x:c>
      <x:c r="I82" s="9" t="str">
        <x:v>1. 执行角色为未登录用户；当前处于邮箱登录页面</x:v>
      </x:c>
      <x:c r="J82" s="9" t="str">
        <x:v>1. 输入邮箱“”
2. 查看获取验证码按钮</x:v>
      </x:c>
      <x:c r="K82" s="9" t="str">
        <x:v>不能为该邮箱发送验证码</x:v>
      </x:c>
      <x:c r="L82" s="10" t="str"/>
      <x:c r="M82" s="10" t="str">
        <x:v>未测</x:v>
      </x:c>
      <x:c r="N82" s="10" t="str"/>
      <x:c r="O82" s="9" t="str">
        <x:v>1. 来源（当前证据）：liveshow-proto/MainBasis/统一需求文档.md；位置：行1415、行1420、行1413
2. 规则：BR-96b2b018d14e0640
3. 未动态验证</x:v>
      </x:c>
    </x:row>
    <x:row r="83" ht="85" customHeight="1">
      <x:c r="A83" s="10" t="n">
        <x:v>82</x:v>
      </x:c>
      <x:c r="B83" s="10" t="str">
        <x:v>USER-01-0082</x:v>
      </x:c>
      <x:c r="C83" s="10" t="str">
        <x:v>系统入口</x:v>
      </x:c>
      <x:c r="D83" s="10" t="str">
        <x:v>选择国家/地区（未登录用户视角）</x:v>
      </x:c>
      <x:c r="E83" s="10" t="str">
        <x:v>功能需求</x:v>
      </x:c>
      <x:c r="F83" s="10" t="str">
        <x:v>P2</x:v>
      </x:c>
      <x:c r="G83" s="9" t="str">
        <x:v>验证按地区名称搜索</x:v>
      </x:c>
      <x:c r="H83" s="9" t="str">
        <x:v>地区名称匹配结果</x:v>
      </x:c>
      <x:c r="I83" s="9" t="str">
        <x:v>1. 执行角色为未登录用户；当前处于选择国家/地区页面
2. 手机号登录页已填入81234567890且已勾选协议</x:v>
      </x:c>
      <x:c r="J83" s="9" t="str">
        <x:v>1. 输入国家或地区名称“印度尼西亚”</x:v>
      </x:c>
      <x:c r="K83" s="9" t="str">
        <x:v>搜索结果包含印度尼西亚</x:v>
      </x:c>
      <x:c r="L83" s="10" t="str"/>
      <x:c r="M83" s="10" t="str">
        <x:v>未测</x:v>
      </x:c>
      <x:c r="N83" s="10" t="str"/>
      <x:c r="O83" s="9" t="str">
        <x:v>1. 来源（当前证据）：liveshow-proto/MainBasis/统一需求文档.md；位置：行1402、行1408、行1400
2. 规则：BR-ba246f7b6b30badf
3. 未动态验证</x:v>
      </x:c>
    </x:row>
    <x:row r="84" ht="85" customHeight="1">
      <x:c r="A84" s="10" t="n">
        <x:v>83</x:v>
      </x:c>
      <x:c r="B84" s="10" t="str">
        <x:v>USER-01-0083</x:v>
      </x:c>
      <x:c r="C84" s="10" t="str">
        <x:v>系统入口</x:v>
      </x:c>
      <x:c r="D84" s="10" t="str">
        <x:v>选择国家/地区（未登录用户视角）</x:v>
      </x:c>
      <x:c r="E84" s="10" t="str">
        <x:v>功能需求</x:v>
      </x:c>
      <x:c r="F84" s="10" t="str">
        <x:v>P2</x:v>
      </x:c>
      <x:c r="G84" s="9" t="str">
        <x:v>验证按区号搜索</x:v>
      </x:c>
      <x:c r="H84" s="9" t="str">
        <x:v>电话区号匹配结果</x:v>
      </x:c>
      <x:c r="I84" s="9" t="str">
        <x:v>1. 执行角色为未登录用户；当前处于选择国家/地区页面
2. 手机号登录页已填入81234567890且已勾选协议</x:v>
      </x:c>
      <x:c r="J84" s="9" t="str">
        <x:v>1. 输入区号“+62”</x:v>
      </x:c>
      <x:c r="K84" s="9" t="str">
        <x:v>搜索结果包含印度尼西亚+62</x:v>
      </x:c>
      <x:c r="L84" s="10" t="str"/>
      <x:c r="M84" s="10" t="str">
        <x:v>未测</x:v>
      </x:c>
      <x:c r="N84" s="10" t="str"/>
      <x:c r="O84" s="9" t="str">
        <x:v>1. 来源（当前证据）：liveshow-proto/MainBasis/统一需求文档.md；位置：行1408、行1400
2. 规则：BR-5b97081537ba6c0b
3. 未动态验证</x:v>
      </x:c>
    </x:row>
    <x:row r="85" ht="85" customHeight="1">
      <x:c r="A85" s="10" t="n">
        <x:v>84</x:v>
      </x:c>
      <x:c r="B85" s="10" t="str">
        <x:v>USER-01-0084</x:v>
      </x:c>
      <x:c r="C85" s="10" t="str">
        <x:v>系统入口</x:v>
      </x:c>
      <x:c r="D85" s="10" t="str">
        <x:v>选择国家/地区（未登录用户视角）</x:v>
      </x:c>
      <x:c r="E85" s="10" t="str">
        <x:v>功能需求</x:v>
      </x:c>
      <x:c r="F85" s="10" t="str">
        <x:v>P2</x:v>
      </x:c>
      <x:c r="G85" s="9" t="str">
        <x:v>验证搜索无结果</x:v>
      </x:c>
      <x:c r="H85" s="9" t="str">
        <x:v>地区搜索空态</x:v>
      </x:c>
      <x:c r="I85" s="9" t="str">
        <x:v>1. 执行角色为未登录用户；当前处于选择国家/地区页面
2. 手机号登录页已填入81234567890且已勾选协议</x:v>
      </x:c>
      <x:c r="J85" s="9" t="str">
        <x:v>1. 输入不属于支持地区的关键字“zzzz-no-country”</x:v>
      </x:c>
      <x:c r="K85" s="9" t="str">
        <x:v>显示无结果空态</x:v>
      </x:c>
      <x:c r="L85" s="10" t="str"/>
      <x:c r="M85" s="10" t="str">
        <x:v>未测</x:v>
      </x:c>
      <x:c r="N85" s="10" t="str"/>
      <x:c r="O85" s="9" t="str">
        <x:v>1. 来源（当前证据）：liveshow-proto/MainBasis/统一需求文档.md；位置：行1402、行1400
2. 规则：BR-408bf3ded8d7a40c
3. 未动态验证</x:v>
      </x:c>
    </x:row>
    <x:row r="86" ht="85" customHeight="1">
      <x:c r="A86" s="10" t="n">
        <x:v>85</x:v>
      </x:c>
      <x:c r="B86" s="10" t="str">
        <x:v>USER-01-0085</x:v>
      </x:c>
      <x:c r="C86" s="10" t="str">
        <x:v>系统入口</x:v>
      </x:c>
      <x:c r="D86" s="10" t="str">
        <x:v>选择国家/地区（未登录用户视角）</x:v>
      </x:c>
      <x:c r="E86" s="10" t="str">
        <x:v>功能需求</x:v>
      </x:c>
      <x:c r="F86" s="10" t="str">
        <x:v>P2</x:v>
      </x:c>
      <x:c r="G86" s="9" t="str">
        <x:v>验证清空地区搜索</x:v>
      </x:c>
      <x:c r="H86" s="9" t="str">
        <x:v>数据保持</x:v>
      </x:c>
      <x:c r="I86" s="9" t="str">
        <x:v>1. 执行角色为未登录用户；当前处于选择国家/地区页面
2. 手机号登录页已填入81234567890且已勾选协议
3. 搜索结果正在筛选</x:v>
      </x:c>
      <x:c r="J86" s="9" t="str">
        <x:v>1. 清空搜索内容</x:v>
      </x:c>
      <x:c r="K86" s="9" t="str">
        <x:v>恢复全部可选地区列表</x:v>
      </x:c>
      <x:c r="L86" s="10" t="str"/>
      <x:c r="M86" s="10" t="str">
        <x:v>未测</x:v>
      </x:c>
      <x:c r="N86" s="10" t="str"/>
      <x:c r="O86" s="9" t="str">
        <x:v>1. 来源（当前证据）：liveshow-proto/MainBasis/统一需求文档.md；位置：行1408、行1400
2. 规则：BR-99991b513929a1dc
3. 未动态验证</x:v>
      </x:c>
    </x:row>
    <x:row r="87" ht="85" customHeight="1">
      <x:c r="A87" s="10" t="n">
        <x:v>86</x:v>
      </x:c>
      <x:c r="B87" s="10" t="str">
        <x:v>USER-01-0086</x:v>
      </x:c>
      <x:c r="C87" s="10" t="str">
        <x:v>系统入口</x:v>
      </x:c>
      <x:c r="D87" s="10" t="str">
        <x:v>选择国家/地区（未登录用户视角）</x:v>
      </x:c>
      <x:c r="E87" s="10" t="str">
        <x:v>功能需求</x:v>
      </x:c>
      <x:c r="F87" s="10" t="str">
        <x:v>P1</x:v>
      </x:c>
      <x:c r="G87" s="9" t="str">
        <x:v>验证不提供86区号</x:v>
      </x:c>
      <x:c r="H87" s="9" t="str">
        <x:v>禁用地区过滤</x:v>
      </x:c>
      <x:c r="I87" s="9" t="str">
        <x:v>1. 执行角色为未登录用户；当前处于选择国家/地区页面
2. 手机号登录页已填入81234567890且已勾选协议</x:v>
      </x:c>
      <x:c r="J87" s="9" t="str">
        <x:v>1. 输入区号“+86”</x:v>
      </x:c>
      <x:c r="K87" s="9" t="str">
        <x:v>结果不包含中国大陆+86</x:v>
      </x:c>
      <x:c r="L87" s="10" t="str"/>
      <x:c r="M87" s="10" t="str">
        <x:v>未测</x:v>
      </x:c>
      <x:c r="N87" s="10" t="str"/>
      <x:c r="O87" s="9" t="str">
        <x:v>1. 来源（当前证据）：liveshow-proto/MainBasis/统一需求文档.md；位置：行1405、行1400
2. 规则：BR-b7cb9cc52f8e1228
3. 未动态验证</x:v>
      </x:c>
    </x:row>
    <x:row r="88" ht="85" customHeight="1">
      <x:c r="A88" s="10" t="n">
        <x:v>87</x:v>
      </x:c>
      <x:c r="B88" s="10" t="str">
        <x:v>USER-01-0087</x:v>
      </x:c>
      <x:c r="C88" s="10" t="str">
        <x:v>系统入口</x:v>
      </x:c>
      <x:c r="D88" s="10" t="str">
        <x:v>选择国家/地区（未登录用户视角）</x:v>
      </x:c>
      <x:c r="E88" s="10" t="str">
        <x:v>功能需求</x:v>
      </x:c>
      <x:c r="F88" s="10" t="str">
        <x:v>P2</x:v>
      </x:c>
      <x:c r="G88" s="9" t="str">
        <x:v>验证统一地区列表</x:v>
      </x:c>
      <x:c r="H88" s="9" t="str">
        <x:v>地区列表分组</x:v>
      </x:c>
      <x:c r="I88" s="9" t="str">
        <x:v>1. 执行角色为未登录用户；当前处于选择国家/地区页面
2. 手机号登录页已填入81234567890且已勾选协议</x:v>
      </x:c>
      <x:c r="J88" s="9" t="str">
        <x:v>1. 查看地区列表分组</x:v>
      </x:c>
      <x:c r="K88" s="9" t="str">
        <x:v>不设置常用地区分组</x:v>
      </x:c>
      <x:c r="L88" s="10" t="str"/>
      <x:c r="M88" s="10" t="str">
        <x:v>未测</x:v>
      </x:c>
      <x:c r="N88" s="10" t="str"/>
      <x:c r="O88" s="9" t="str">
        <x:v>1. 来源（当前证据）：liveshow-proto/MainBasis/统一需求文档.md；位置：行1403、行1400
2. 规则：BR-a23bd44bacefe1c3
3. 未动态验证</x:v>
      </x:c>
    </x:row>
    <x:row r="89" ht="85" customHeight="1">
      <x:c r="A89" s="10" t="n">
        <x:v>88</x:v>
      </x:c>
      <x:c r="B89" s="10" t="str">
        <x:v>USER-01-0088</x:v>
      </x:c>
      <x:c r="C89" s="10" t="str">
        <x:v>系统入口</x:v>
      </x:c>
      <x:c r="D89" s="10" t="str">
        <x:v>选择国家/地区（未登录用户视角）</x:v>
      </x:c>
      <x:c r="E89" s="10" t="str">
        <x:v>功能需求</x:v>
      </x:c>
      <x:c r="F89" s="10" t="str">
        <x:v>P2</x:v>
      </x:c>
      <x:c r="G89" s="9" t="str">
        <x:v>验证选中地区返回</x:v>
      </x:c>
      <x:c r="H89" s="9" t="str">
        <x:v>选区完成返回页</x:v>
      </x:c>
      <x:c r="I89" s="9" t="str">
        <x:v>1. 执行角色为未登录用户；当前处于选择国家/地区页面
2. 手机号登录页已填入81234567890且已勾选协议</x:v>
      </x:c>
      <x:c r="J89" s="9" t="str">
        <x:v>1. 选择印度尼西亚+62</x:v>
      </x:c>
      <x:c r="K89" s="9" t="str">
        <x:v>返回手机号登录页</x:v>
      </x:c>
      <x:c r="L89" s="10" t="str"/>
      <x:c r="M89" s="10" t="str">
        <x:v>未测</x:v>
      </x:c>
      <x:c r="N89" s="10" t="str"/>
      <x:c r="O89" s="9" t="str">
        <x:v>1. 来源（当前证据）：liveshow-proto/MainBasis/统一需求文档.md；位置：行1409、行1400
2. 规则：BR-b31200a69b83c394
3. 未动态验证</x:v>
      </x:c>
    </x:row>
    <x:row r="90" ht="85" customHeight="1">
      <x:c r="A90" s="10" t="n">
        <x:v>89</x:v>
      </x:c>
      <x:c r="B90" s="10" t="str">
        <x:v>USER-01-0089</x:v>
      </x:c>
      <x:c r="C90" s="10" t="str">
        <x:v>系统入口</x:v>
      </x:c>
      <x:c r="D90" s="10" t="str">
        <x:v>选择国家/地区（未登录用户视角）</x:v>
      </x:c>
      <x:c r="E90" s="10" t="str">
        <x:v>功能需求</x:v>
      </x:c>
      <x:c r="F90" s="10" t="str">
        <x:v>P1</x:v>
      </x:c>
      <x:c r="G90" s="9" t="str">
        <x:v>验证选择后保留手机号</x:v>
      </x:c>
      <x:c r="H90" s="9" t="str">
        <x:v>号码输入保留</x:v>
      </x:c>
      <x:c r="I90" s="9" t="str">
        <x:v>1. 执行角色为未登录用户；当前处于选择国家/地区页面
2. 手机号登录页已填入81234567890且已勾选协议</x:v>
      </x:c>
      <x:c r="J90" s="9" t="str">
        <x:v>1. 选择印度尼西亚+62</x:v>
      </x:c>
      <x:c r="K90" s="9" t="str">
        <x:v>手机号输入仍为81234567890</x:v>
      </x:c>
      <x:c r="L90" s="10" t="str"/>
      <x:c r="M90" s="10" t="str">
        <x:v>未测</x:v>
      </x:c>
      <x:c r="N90" s="10" t="str"/>
      <x:c r="O90" s="9" t="str">
        <x:v>1. 来源（当前证据）：liveshow-proto/MainBasis/统一需求文档.md；位置：行1409、行1400
2. 规则：BR-b4714a2f815ba943
3. 未动态验证</x:v>
      </x:c>
    </x:row>
    <x:row r="91" ht="85" customHeight="1">
      <x:c r="A91" s="10" t="n">
        <x:v>90</x:v>
      </x:c>
      <x:c r="B91" s="10" t="str">
        <x:v>USER-01-0090</x:v>
      </x:c>
      <x:c r="C91" s="10" t="str">
        <x:v>系统入口</x:v>
      </x:c>
      <x:c r="D91" s="10" t="str">
        <x:v>选择国家/地区（未登录用户视角）</x:v>
      </x:c>
      <x:c r="E91" s="10" t="str">
        <x:v>功能需求</x:v>
      </x:c>
      <x:c r="F91" s="10" t="str">
        <x:v>P1</x:v>
      </x:c>
      <x:c r="G91" s="9" t="str">
        <x:v>验证选择后保留协议</x:v>
      </x:c>
      <x:c r="H91" s="9" t="str">
        <x:v>协议勾选保留</x:v>
      </x:c>
      <x:c r="I91" s="9" t="str">
        <x:v>1. 执行角色为未登录用户；当前处于选择国家/地区页面
2. 手机号登录页已填入81234567890且已勾选协议</x:v>
      </x:c>
      <x:c r="J91" s="9" t="str">
        <x:v>1. 选择印度尼西亚+62</x:v>
      </x:c>
      <x:c r="K91" s="9" t="str">
        <x:v>协议仍为勾选状态</x:v>
      </x:c>
      <x:c r="L91" s="10" t="str"/>
      <x:c r="M91" s="10" t="str">
        <x:v>未测</x:v>
      </x:c>
      <x:c r="N91" s="10" t="str"/>
      <x:c r="O91" s="9" t="str">
        <x:v>1. 来源（当前证据）：liveshow-proto/MainBasis/统一需求文档.md；位置：行1409、行1400
2. 规则：BR-cde421f5edac63a1
3. 未动态验证</x:v>
      </x:c>
    </x:row>
    <x:row r="92" ht="85" customHeight="1">
      <x:c r="A92" s="10" t="n">
        <x:v>91</x:v>
      </x:c>
      <x:c r="B92" s="10" t="str">
        <x:v>USER-01-0091</x:v>
      </x:c>
      <x:c r="C92" s="10" t="str">
        <x:v>系统入口</x:v>
      </x:c>
      <x:c r="D92" s="10" t="str">
        <x:v>选择国家/地区（未登录用户视角）</x:v>
      </x:c>
      <x:c r="E92" s="10" t="str">
        <x:v>功能需求</x:v>
      </x:c>
      <x:c r="F92" s="10" t="str">
        <x:v>P2</x:v>
      </x:c>
      <x:c r="G92" s="9" t="str">
        <x:v>验证返回不修改区号</x:v>
      </x:c>
      <x:c r="H92" s="9" t="str">
        <x:v>原选区号保持</x:v>
      </x:c>
      <x:c r="I92" s="9" t="str">
        <x:v>1. 执行角色为未登录用户；当前处于选择国家/地区页面
2. 手机号登录页已填入81234567890且已勾选协议
3. 原选中区号为+60</x:v>
      </x:c>
      <x:c r="J92" s="9" t="str">
        <x:v>1. 点击返回</x:v>
      </x:c>
      <x:c r="K92" s="9" t="str">
        <x:v>手机号登录页区号仍为+60</x:v>
      </x:c>
      <x:c r="L92" s="10" t="str"/>
      <x:c r="M92" s="10" t="str">
        <x:v>未测</x:v>
      </x:c>
      <x:c r="N92" s="10" t="str"/>
      <x:c r="O92" s="9" t="str">
        <x:v>1. 来源（当前证据）：liveshow-proto/MainBasis/统一需求文档.md；位置：行1410、行1400
2. 规则：BR-fdf7d51d531e397e
3. 未动态验证</x:v>
      </x:c>
    </x:row>
    <x:row r="93" ht="100" customHeight="1">
      <x:c r="A93" s="10" t="n">
        <x:v>92</x:v>
      </x:c>
      <x:c r="B93" s="10" t="str">
        <x:v>USER-01-0092</x:v>
      </x:c>
      <x:c r="C93" s="10" t="str">
        <x:v>系统入口</x:v>
      </x:c>
      <x:c r="D93" s="10" t="str">
        <x:v>选择国家/地区（未登录用户视角）</x:v>
      </x:c>
      <x:c r="E93" s="10" t="str">
        <x:v>功能需求</x:v>
      </x:c>
      <x:c r="F93" s="10" t="str">
        <x:v>P2</x:v>
      </x:c>
      <x:c r="G93" s="9" t="str">
        <x:v>验证不支持设备地区回退</x:v>
      </x:c>
      <x:c r="H93" s="9" t="str">
        <x:v>默认区号回退值</x:v>
      </x:c>
      <x:c r="I93" s="9" t="str">
        <x:v>1. 执行角色为未登录用户；当前处于选择国家/地区页面
2. 手机号登录页已填入81234567890且已勾选协议
3. 设备地区为中国大陆且未设置过区号</x:v>
      </x:c>
      <x:c r="J93" s="9" t="str">
        <x:v>1. 查看当前勾选的地区</x:v>
      </x:c>
      <x:c r="K93" s="9" t="str">
        <x:v>当前选中印度尼西亚+62</x:v>
      </x:c>
      <x:c r="L93" s="10" t="str"/>
      <x:c r="M93" s="10" t="str">
        <x:v>未测</x:v>
      </x:c>
      <x:c r="N93" s="10" t="str"/>
      <x:c r="O93" s="9" t="str">
        <x:v>1. 来源（当前证据）：liveshow-proto/MainBasis/统一需求文档.md；位置：行1404、行1400
2. 规则：BR-5484116573a08ff8
3. 未动态验证</x:v>
      </x:c>
    </x:row>
    <x:row r="94" ht="100" customHeight="1">
      <x:c r="A94" s="10" t="n">
        <x:v>93</x:v>
      </x:c>
      <x:c r="B94" s="10" t="str">
        <x:v>USER-01-0093</x:v>
      </x:c>
      <x:c r="C94" s="10" t="str">
        <x:v>系统入口</x:v>
      </x:c>
      <x:c r="D94" s="10" t="str">
        <x:v>选择国家/地区（未登录用户视角）</x:v>
      </x:c>
      <x:c r="E94" s="10" t="str">
        <x:v>功能需求</x:v>
      </x:c>
      <x:c r="F94" s="10" t="str">
        <x:v>P2</x:v>
      </x:c>
      <x:c r="G94" s="9" t="str">
        <x:v>验证未知设备地区回退</x:v>
      </x:c>
      <x:c r="H94" s="9" t="str">
        <x:v>默认区号回退值</x:v>
      </x:c>
      <x:c r="I94" s="9" t="str">
        <x:v>1. 执行角色为未登录用户；当前处于选择国家/地区页面
2. 手机号登录页已填入81234567890且已勾选协议
3. 无法识别设备地区且未设置过区号</x:v>
      </x:c>
      <x:c r="J94" s="9" t="str">
        <x:v>1. 查看当前勾选的地区</x:v>
      </x:c>
      <x:c r="K94" s="9" t="str">
        <x:v>当前选中印度尼西亚+62</x:v>
      </x:c>
      <x:c r="L94" s="10" t="str"/>
      <x:c r="M94" s="10" t="str">
        <x:v>未测</x:v>
      </x:c>
      <x:c r="N94" s="10" t="str"/>
      <x:c r="O94" s="9" t="str">
        <x:v>1. 来源（当前证据）：liveshow-proto/MainBasis/统一需求文档.md；位置：行1404、行1400
2. 规则：BR-e13eb152ba2948cd
3. 未动态验证</x:v>
      </x:c>
    </x:row>
    <x:row r="95" ht="85" customHeight="1">
      <x:c r="A95" s="10" t="n">
        <x:v>94</x:v>
      </x:c>
      <x:c r="B95" s="10" t="str">
        <x:v>USER-01-0094</x:v>
      </x:c>
      <x:c r="C95" s="10" t="str">
        <x:v>系统入口</x:v>
      </x:c>
      <x:c r="D95" s="10" t="str">
        <x:v>资料补全（首次登录的新用户视角）</x:v>
      </x:c>
      <x:c r="E95" s="10" t="str">
        <x:v>功能需求</x:v>
      </x:c>
      <x:c r="F95" s="10" t="str">
        <x:v>P2</x:v>
      </x:c>
      <x:c r="G95" s="9" t="str">
        <x:v>验证默认头像</x:v>
      </x:c>
      <x:c r="H95" s="9" t="str">
        <x:v>初始头像来源</x:v>
      </x:c>
      <x:c r="I95" s="9" t="str">
        <x:v>1. 执行角色为首次登录的新用户；当前处于资料补全页面</x:v>
      </x:c>
      <x:c r="J95" s="9" t="str">
        <x:v>1. 查看头像</x:v>
      </x:c>
      <x:c r="K95" s="9" t="str">
        <x:v>显示系统默认头像</x:v>
      </x:c>
      <x:c r="L95" s="10" t="str"/>
      <x:c r="M95" s="10" t="str">
        <x:v>未测</x:v>
      </x:c>
      <x:c r="N95" s="10" t="str"/>
      <x:c r="O95" s="9" t="str">
        <x:v>1. 来源（当前证据）：liveshow-proto/MainBasis/统一需求文档.md；位置：行1377、行1375
2. 规则：BR-52de68f000995da2
3. 未动态验证</x:v>
      </x:c>
    </x:row>
    <x:row r="96" ht="85" customHeight="1">
      <x:c r="A96" s="10" t="n">
        <x:v>95</x:v>
      </x:c>
      <x:c r="B96" s="10" t="str">
        <x:v>USER-01-0095</x:v>
      </x:c>
      <x:c r="C96" s="10" t="str">
        <x:v>系统入口</x:v>
      </x:c>
      <x:c r="D96" s="10" t="str">
        <x:v>资料补全（首次登录的新用户视角）</x:v>
      </x:c>
      <x:c r="E96" s="10" t="str">
        <x:v>功能需求</x:v>
      </x:c>
      <x:c r="F96" s="10" t="str">
        <x:v>P2</x:v>
      </x:c>
      <x:c r="G96" s="9" t="str">
        <x:v>验证默认昵称</x:v>
      </x:c>
      <x:c r="H96" s="9" t="str">
        <x:v>初始昵称来源</x:v>
      </x:c>
      <x:c r="I96" s="9" t="str">
        <x:v>1. 执行角色为首次登录的新用户；当前处于资料补全页面</x:v>
      </x:c>
      <x:c r="J96" s="9" t="str">
        <x:v>1. 查看昵称</x:v>
      </x:c>
      <x:c r="K96" s="9" t="str">
        <x:v>显示系统默认昵称</x:v>
      </x:c>
      <x:c r="L96" s="10" t="str"/>
      <x:c r="M96" s="10" t="str">
        <x:v>未测</x:v>
      </x:c>
      <x:c r="N96" s="10" t="str"/>
      <x:c r="O96" s="9" t="str">
        <x:v>1. 来源（当前证据）：liveshow-proto/MainBasis/统一需求文档.md；位置：行1378、行1375
2. 规则：BR-308bd9e5cdb0a762
3. 未动态验证</x:v>
      </x:c>
    </x:row>
    <x:row r="97" ht="85" customHeight="1">
      <x:c r="A97" s="10" t="n">
        <x:v>96</x:v>
      </x:c>
      <x:c r="B97" s="10" t="str">
        <x:v>USER-01-0096</x:v>
      </x:c>
      <x:c r="C97" s="10" t="str">
        <x:v>系统入口</x:v>
      </x:c>
      <x:c r="D97" s="10" t="str">
        <x:v>资料补全（首次登录的新用户视角）</x:v>
      </x:c>
      <x:c r="E97" s="10" t="str">
        <x:v>功能需求</x:v>
      </x:c>
      <x:c r="F97" s="10" t="str">
        <x:v>P2</x:v>
      </x:c>
      <x:c r="G97" s="9" t="str">
        <x:v>验证选择预置头像</x:v>
      </x:c>
      <x:c r="H97" s="9" t="str">
        <x:v>预置头像回显</x:v>
      </x:c>
      <x:c r="I97" s="9" t="str">
        <x:v>1. 执行角色为首次登录的新用户；当前处于资料补全页面</x:v>
      </x:c>
      <x:c r="J97" s="9" t="str">
        <x:v>1. 点击更换头像
2. 选择一个不同的预置头像</x:v>
      </x:c>
      <x:c r="K97" s="9" t="str">
        <x:v>头像预览更新为所选头像</x:v>
      </x:c>
      <x:c r="L97" s="10" t="str"/>
      <x:c r="M97" s="10" t="str">
        <x:v>未测</x:v>
      </x:c>
      <x:c r="N97" s="10" t="str"/>
      <x:c r="O97" s="9" t="str">
        <x:v>1. 来源（当前证据）：liveshow-proto/MainBasis/统一需求文档.md；位置：行1377、行1375
2. 规则：BR-318732b5bcfbef46
3. 未动态验证</x:v>
      </x:c>
    </x:row>
    <x:row r="98" ht="85" customHeight="1">
      <x:c r="A98" s="10" t="n">
        <x:v>97</x:v>
      </x:c>
      <x:c r="B98" s="10" t="str">
        <x:v>USER-01-0097</x:v>
      </x:c>
      <x:c r="C98" s="10" t="str">
        <x:v>系统入口</x:v>
      </x:c>
      <x:c r="D98" s="10" t="str">
        <x:v>资料补全（首次登录的新用户视角）</x:v>
      </x:c>
      <x:c r="E98" s="10" t="str">
        <x:v>异常用例</x:v>
      </x:c>
      <x:c r="F98" s="10" t="str">
        <x:v>P1</x:v>
      </x:c>
      <x:c r="G98" s="9" t="str">
        <x:v>验证昵称为空</x:v>
      </x:c>
      <x:c r="H98" s="9" t="str">
        <x:v>昵称必填校验</x:v>
      </x:c>
      <x:c r="I98" s="9" t="str">
        <x:v>1. 执行角色为首次登录的新用户；当前处于资料补全页面</x:v>
      </x:c>
      <x:c r="J98" s="9" t="str">
        <x:v>1. 清空昵称
2. 点击保存并进入首页</x:v>
      </x:c>
      <x:c r="K98" s="9" t="str">
        <x:v>不能保存空昵称</x:v>
      </x:c>
      <x:c r="L98" s="10" t="str"/>
      <x:c r="M98" s="10" t="str">
        <x:v>未测</x:v>
      </x:c>
      <x:c r="N98" s="10" t="str"/>
      <x:c r="O98" s="9" t="str">
        <x:v>1. 来源（当前证据）：liveshow-proto/MainBasis/统一需求文档.md；位置：行1378、行1375
2. 规则：BR-56bf8c26e073fa41
3. 未动态验证</x:v>
      </x:c>
    </x:row>
    <x:row r="99" ht="85" customHeight="1">
      <x:c r="A99" s="10" t="n">
        <x:v>98</x:v>
      </x:c>
      <x:c r="B99" s="10" t="str">
        <x:v>USER-01-0098</x:v>
      </x:c>
      <x:c r="C99" s="10" t="str">
        <x:v>系统入口</x:v>
      </x:c>
      <x:c r="D99" s="10" t="str">
        <x:v>资料补全（首次登录的新用户视角）</x:v>
      </x:c>
      <x:c r="E99" s="10" t="str">
        <x:v>逻辑校验</x:v>
      </x:c>
      <x:c r="F99" s="10" t="str">
        <x:v>P1</x:v>
      </x:c>
      <x:c r="G99" s="9" t="str">
        <x:v>验证二十字昵称</x:v>
      </x:c>
      <x:c r="H99" s="9" t="str">
        <x:v>昵称上界保存去向</x:v>
      </x:c>
      <x:c r="I99" s="9" t="str">
        <x:v>1. 执行角色为首次登录的新用户；当前处于资料补全页面</x:v>
      </x:c>
      <x:c r="J99" s="9" t="str">
        <x:v>1. 输入由20个“测”组成的昵称
2. 点击保存并进入首页</x:v>
      </x:c>
      <x:c r="K99" s="9" t="str">
        <x:v>进入首页</x:v>
      </x:c>
      <x:c r="L99" s="10" t="str"/>
      <x:c r="M99" s="10" t="str">
        <x:v>未测</x:v>
      </x:c>
      <x:c r="N99" s="10" t="str"/>
      <x:c r="O99" s="9" t="str">
        <x:v>1. 来源（当前证据）：liveshow-proto/MainBasis/统一需求文档.md；位置：行1378、行1380、行1375
2. 规则：BR-278170366c2445f1
3. 未动态验证</x:v>
      </x:c>
    </x:row>
    <x:row r="100" ht="85" customHeight="1">
      <x:c r="A100" s="10" t="n">
        <x:v>99</x:v>
      </x:c>
      <x:c r="B100" s="10" t="str">
        <x:v>USER-01-0099</x:v>
      </x:c>
      <x:c r="C100" s="10" t="str">
        <x:v>系统入口</x:v>
      </x:c>
      <x:c r="D100" s="10" t="str">
        <x:v>资料补全（首次登录的新用户视角）</x:v>
      </x:c>
      <x:c r="E100" s="10" t="str">
        <x:v>逻辑校验</x:v>
      </x:c>
      <x:c r="F100" s="10" t="str">
        <x:v>P1</x:v>
      </x:c>
      <x:c r="G100" s="9" t="str">
        <x:v>验证昵称超长</x:v>
      </x:c>
      <x:c r="H100" s="9" t="str">
        <x:v>昵称长度上限</x:v>
      </x:c>
      <x:c r="I100" s="9" t="str">
        <x:v>1. 执行角色为首次登录的新用户；当前处于资料补全页面</x:v>
      </x:c>
      <x:c r="J100" s="9" t="str">
        <x:v>1. 输入由21个“测”组成的昵称
2. 点击保存并进入首页</x:v>
      </x:c>
      <x:c r="K100" s="9" t="str">
        <x:v>不能保存超过20个字符的昵称</x:v>
      </x:c>
      <x:c r="L100" s="10" t="str"/>
      <x:c r="M100" s="10" t="str">
        <x:v>未测</x:v>
      </x:c>
      <x:c r="N100" s="10" t="str"/>
      <x:c r="O100" s="9" t="str">
        <x:v>1. 来源（当前证据）：liveshow-proto/MainBasis/统一需求文档.md；位置：行1378、行1375
2. 规则：BR-205bf5e1f7990c53
3. 未动态验证</x:v>
      </x:c>
    </x:row>
    <x:row r="101" ht="85" customHeight="1">
      <x:c r="A101" s="10" t="n">
        <x:v>100</x:v>
      </x:c>
      <x:c r="B101" s="10" t="str">
        <x:v>USER-01-0100</x:v>
      </x:c>
      <x:c r="C101" s="10" t="str">
        <x:v>系统入口</x:v>
      </x:c>
      <x:c r="D101" s="10" t="str">
        <x:v>资料补全（首次登录的新用户视角）</x:v>
      </x:c>
      <x:c r="E101" s="10" t="str">
        <x:v>功能需求</x:v>
      </x:c>
      <x:c r="F101" s="10" t="str">
        <x:v>P2</x:v>
      </x:c>
      <x:c r="G101" s="9" t="str">
        <x:v>验证保存自定义资料</x:v>
      </x:c>
      <x:c r="H101" s="9" t="str">
        <x:v>自定义昵称回显</x:v>
      </x:c>
      <x:c r="I101" s="9" t="str">
        <x:v>1. 执行角色为首次登录的新用户；当前处于资料补全页面
2. 预置头像已选为与默认不同的头像</x:v>
      </x:c>
      <x:c r="J101" s="9" t="str">
        <x:v>1. 输入昵称“测试昵称”
2. 点击保存并进入首页
3. 查看我的资料昵称</x:v>
      </x:c>
      <x:c r="K101" s="9" t="str">
        <x:v>昵称为“测试昵称”</x:v>
      </x:c>
      <x:c r="L101" s="10" t="str"/>
      <x:c r="M101" s="10" t="str">
        <x:v>未测</x:v>
      </x:c>
      <x:c r="N101" s="10" t="str"/>
      <x:c r="O101" s="9" t="str">
        <x:v>1. 来源（当前证据）：liveshow-proto/MainBasis/统一需求文档.md；位置：行1379、行1380、行1375
2. 规则：BR-ace29b444b91bfca
3. 未动态验证</x:v>
      </x:c>
    </x:row>
    <x:row r="102" ht="85" customHeight="1">
      <x:c r="A102" s="10" t="n">
        <x:v>101</x:v>
      </x:c>
      <x:c r="B102" s="10" t="str">
        <x:v>USER-01-0101</x:v>
      </x:c>
      <x:c r="C102" s="10" t="str">
        <x:v>系统入口</x:v>
      </x:c>
      <x:c r="D102" s="10" t="str">
        <x:v>资料补全（首次登录的新用户视角）</x:v>
      </x:c>
      <x:c r="E102" s="10" t="str">
        <x:v>功能需求</x:v>
      </x:c>
      <x:c r="F102" s="10" t="str">
        <x:v>P2</x:v>
      </x:c>
      <x:c r="G102" s="9" t="str">
        <x:v>验证跳过补全</x:v>
      </x:c>
      <x:c r="H102" s="9" t="str">
        <x:v>跳过补全去向</x:v>
      </x:c>
      <x:c r="I102" s="9" t="str">
        <x:v>1. 执行角色为首次登录的新用户；当前处于资料补全页面</x:v>
      </x:c>
      <x:c r="J102" s="9" t="str">
        <x:v>1. 点击先跳过</x:v>
      </x:c>
      <x:c r="K102" s="9" t="str">
        <x:v>进入首页</x:v>
      </x:c>
      <x:c r="L102" s="10" t="str"/>
      <x:c r="M102" s="10" t="str">
        <x:v>未测</x:v>
      </x:c>
      <x:c r="N102" s="10" t="str"/>
      <x:c r="O102" s="9" t="str">
        <x:v>1. 来源（当前证据）：liveshow-proto/MainBasis/统一需求文档.md；位置：行1381、行1375
2. 规则：BR-b43b275455e81464
3. 未动态验证</x:v>
      </x:c>
    </x:row>
    <x:row r="103" ht="85" customHeight="1">
      <x:c r="A103" s="10" t="n">
        <x:v>102</x:v>
      </x:c>
      <x:c r="B103" s="10" t="str">
        <x:v>USER-05-0001</x:v>
      </x:c>
      <x:c r="C103" s="10" t="str">
        <x:v>我的</x:v>
      </x:c>
      <x:c r="D103" s="10" t="str">
        <x:v>资料编辑（已登录普通用户视角）</x:v>
      </x:c>
      <x:c r="E103" s="10" t="str">
        <x:v>功能需求</x:v>
      </x:c>
      <x:c r="F103" s="10" t="str">
        <x:v>P1</x:v>
      </x:c>
      <x:c r="G103" s="9" t="str">
        <x:v>验证用户ID不可修改</x:v>
      </x:c>
      <x:c r="H103" s="9" t="str">
        <x:v>用户ID只读性</x:v>
      </x:c>
      <x:c r="I103" s="9" t="str">
        <x:v>1. 执行角色为已登录普通用户；当前处于资料编辑页面</x:v>
      </x:c>
      <x:c r="J103" s="9" t="str">
        <x:v>1. 查看ID字段</x:v>
      </x:c>
      <x:c r="K103" s="9" t="str">
        <x:v>ID字段只读</x:v>
      </x:c>
      <x:c r="L103" s="10" t="str"/>
      <x:c r="M103" s="10" t="str">
        <x:v>未测</x:v>
      </x:c>
      <x:c r="N103" s="10" t="str"/>
      <x:c r="O103" s="9" t="str">
        <x:v>1. 来源（当前证据）：liveshow-proto/MainBasis/统一需求文档.md；位置：行1428、行1426
2. 规则：BR-50928b55cb8f5cb1
3. 未动态验证</x:v>
      </x:c>
    </x:row>
    <x:row r="104" ht="85" customHeight="1">
      <x:c r="A104" s="10" t="n">
        <x:v>103</x:v>
      </x:c>
      <x:c r="B104" s="10" t="str">
        <x:v>USER-05-0002</x:v>
      </x:c>
      <x:c r="C104" s="10" t="str">
        <x:v>我的</x:v>
      </x:c>
      <x:c r="D104" s="10" t="str">
        <x:v>资料编辑（已登录普通用户视角）</x:v>
      </x:c>
      <x:c r="E104" s="10" t="str">
        <x:v>功能需求</x:v>
      </x:c>
      <x:c r="F104" s="10" t="str">
        <x:v>P2</x:v>
      </x:c>
      <x:c r="G104" s="9" t="str">
        <x:v>验证背景图保存</x:v>
      </x:c>
      <x:c r="H104" s="9" t="str">
        <x:v>个人背景图片回显</x:v>
      </x:c>
      <x:c r="I104" s="9" t="str">
        <x:v>1. 执行角色为已登录普通用户；当前处于资料编辑页面
2. 已准备JPG测试背景图</x:v>
      </x:c>
      <x:c r="J104" s="9" t="str">
        <x:v>1. 选择背景图
2. 点击保存</x:v>
      </x:c>
      <x:c r="K104" s="9" t="str">
        <x:v>个人背景显示所选图片</x:v>
      </x:c>
      <x:c r="L104" s="10" t="str"/>
      <x:c r="M104" s="10" t="str">
        <x:v>未测</x:v>
      </x:c>
      <x:c r="N104" s="10" t="str"/>
      <x:c r="O104" s="9" t="str">
        <x:v>1. 来源（当前证据）：liveshow-proto/MainBasis/统一需求文档.md；位置：行1429、行1426
2. 规则：BR-ee5a7f96b18f915a
3. 未动态验证</x:v>
      </x:c>
    </x:row>
    <x:row r="105" ht="85" customHeight="1">
      <x:c r="A105" s="10" t="n">
        <x:v>104</x:v>
      </x:c>
      <x:c r="B105" s="10" t="str">
        <x:v>USER-05-0003</x:v>
      </x:c>
      <x:c r="C105" s="10" t="str">
        <x:v>我的</x:v>
      </x:c>
      <x:c r="D105" s="10" t="str">
        <x:v>资料编辑（已登录普通用户视角）</x:v>
      </x:c>
      <x:c r="E105" s="10" t="str">
        <x:v>功能需求</x:v>
      </x:c>
      <x:c r="F105" s="10" t="str">
        <x:v>P1</x:v>
      </x:c>
      <x:c r="G105" s="9" t="str">
        <x:v>验证头像审核通过</x:v>
      </x:c>
      <x:c r="H105" s="9" t="str">
        <x:v>审核后头像生效</x:v>
      </x:c>
      <x:c r="I105" s="9" t="str">
        <x:v>1. 执行角色为已登录普通用户；当前处于资料编辑页面
2. 已准备合规头像；头像审核服务返回通过</x:v>
      </x:c>
      <x:c r="J105" s="9" t="str">
        <x:v>1. 选择头像
2. 点击保存</x:v>
      </x:c>
      <x:c r="K105" s="9" t="str">
        <x:v>头像更新为本次选择的图片</x:v>
      </x:c>
      <x:c r="L105" s="10" t="str"/>
      <x:c r="M105" s="10" t="str">
        <x:v>未测</x:v>
      </x:c>
      <x:c r="N105" s="10" t="str"/>
      <x:c r="O105" s="9" t="str">
        <x:v>1. 来源（当前证据）：liveshow-proto/MainBasis/统一需求文档.md；位置：行1430、行1436、行1426
2. 规则：BR-f9383d2fea1040c5
3. 未动态验证</x:v>
      </x:c>
    </x:row>
    <x:row r="106" ht="85" customHeight="1">
      <x:c r="A106" s="10" t="n">
        <x:v>105</x:v>
      </x:c>
      <x:c r="B106" s="10" t="str">
        <x:v>USER-05-0004</x:v>
      </x:c>
      <x:c r="C106" s="10" t="str">
        <x:v>我的</x:v>
      </x:c>
      <x:c r="D106" s="10" t="str">
        <x:v>资料编辑（已登录普通用户视角）</x:v>
      </x:c>
      <x:c r="E106" s="10" t="str">
        <x:v>功能需求</x:v>
      </x:c>
      <x:c r="F106" s="10" t="str">
        <x:v>P1</x:v>
      </x:c>
      <x:c r="G106" s="9" t="str">
        <x:v>验证昵称审核通过</x:v>
      </x:c>
      <x:c r="H106" s="9" t="str">
        <x:v>审核后昵称生效</x:v>
      </x:c>
      <x:c r="I106" s="9" t="str">
        <x:v>1. 执行角色为已登录普通用户；当前处于资料编辑页面
2. 昵称审核服务返回通过</x:v>
      </x:c>
      <x:c r="J106" s="9" t="str">
        <x:v>1. 输入昵称“QA昵称A”
2. 点击保存</x:v>
      </x:c>
      <x:c r="K106" s="9" t="str">
        <x:v>昵称更新为“QA昵称A”</x:v>
      </x:c>
      <x:c r="L106" s="10" t="str"/>
      <x:c r="M106" s="10" t="str">
        <x:v>未测</x:v>
      </x:c>
      <x:c r="N106" s="10" t="str"/>
      <x:c r="O106" s="9" t="str">
        <x:v>1. 来源（当前证据）：liveshow-proto/MainBasis/统一需求文档.md；位置：行1431、行1439、行1426
2. 规则：BR-918bcd2b26dce503
3. 未动态验证</x:v>
      </x:c>
    </x:row>
    <x:row r="107" ht="85" customHeight="1">
      <x:c r="A107" s="10" t="n">
        <x:v>106</x:v>
      </x:c>
      <x:c r="B107" s="10" t="str">
        <x:v>USER-05-0005</x:v>
      </x:c>
      <x:c r="C107" s="10" t="str">
        <x:v>我的</x:v>
      </x:c>
      <x:c r="D107" s="10" t="str">
        <x:v>资料编辑（已登录普通用户视角）</x:v>
      </x:c>
      <x:c r="E107" s="10" t="str">
        <x:v>功能需求</x:v>
      </x:c>
      <x:c r="F107" s="10" t="str">
        <x:v>P1</x:v>
      </x:c>
      <x:c r="G107" s="9" t="str">
        <x:v>验证昵称空值</x:v>
      </x:c>
      <x:c r="H107" s="9" t="str">
        <x:v>入口可用性</x:v>
      </x:c>
      <x:c r="I107" s="9" t="str">
        <x:v>1. 执行角色为已登录普通用户；当前处于资料编辑页面</x:v>
      </x:c>
      <x:c r="J107" s="9" t="str">
        <x:v>1. 清空昵称
2. 查看保存按钮</x:v>
      </x:c>
      <x:c r="K107" s="9" t="str">
        <x:v>保存按钮不可用</x:v>
      </x:c>
      <x:c r="L107" s="10" t="str"/>
      <x:c r="M107" s="10" t="str">
        <x:v>未测</x:v>
      </x:c>
      <x:c r="N107" s="10" t="str"/>
      <x:c r="O107" s="9" t="str">
        <x:v>1. 来源（当前证据）：liveshow-proto/MainBasis/统一需求文档.md；位置：行1437、行1426
2. 规则：BR-ebbbd3adce211392
3. 未动态验证</x:v>
      </x:c>
    </x:row>
    <x:row r="108" ht="85" customHeight="1">
      <x:c r="A108" s="10" t="n">
        <x:v>107</x:v>
      </x:c>
      <x:c r="B108" s="10" t="str">
        <x:v>USER-05-0006</x:v>
      </x:c>
      <x:c r="C108" s="10" t="str">
        <x:v>我的</x:v>
      </x:c>
      <x:c r="D108" s="10" t="str">
        <x:v>资料编辑（已登录普通用户视角）</x:v>
      </x:c>
      <x:c r="E108" s="10" t="str">
        <x:v>功能需求</x:v>
      </x:c>
      <x:c r="F108" s="10" t="str">
        <x:v>P2</x:v>
      </x:c>
      <x:c r="G108" s="9" t="str">
        <x:v>验证性别选项</x:v>
      </x:c>
      <x:c r="H108" s="9" t="str">
        <x:v>性别可选集合</x:v>
      </x:c>
      <x:c r="I108" s="9" t="str">
        <x:v>1. 执行角色为已登录普通用户；当前处于资料编辑页面</x:v>
      </x:c>
      <x:c r="J108" s="9" t="str">
        <x:v>1. 查看性别选项</x:v>
      </x:c>
      <x:c r="K108" s="9" t="str">
        <x:v>可选值为男、女、不公开</x:v>
      </x:c>
      <x:c r="L108" s="10" t="str"/>
      <x:c r="M108" s="10" t="str">
        <x:v>未测</x:v>
      </x:c>
      <x:c r="N108" s="10" t="str"/>
      <x:c r="O108" s="9" t="str">
        <x:v>1. 来源（当前证据）：liveshow-proto/MainBasis/统一需求文档.md；位置：行1433、行1426
2. 规则：BR-f9860e9c38de473d
3. 未动态验证</x:v>
      </x:c>
    </x:row>
    <x:row r="109" ht="85" customHeight="1">
      <x:c r="A109" s="10" t="n">
        <x:v>108</x:v>
      </x:c>
      <x:c r="B109" s="10" t="str">
        <x:v>USER-05-0007</x:v>
      </x:c>
      <x:c r="C109" s="10" t="str">
        <x:v>我的</x:v>
      </x:c>
      <x:c r="D109" s="10" t="str">
        <x:v>资料编辑（已登录普通用户视角）</x:v>
      </x:c>
      <x:c r="E109" s="10" t="str">
        <x:v>功能需求</x:v>
      </x:c>
      <x:c r="F109" s="10" t="str">
        <x:v>P2</x:v>
      </x:c>
      <x:c r="G109" s="9" t="str">
        <x:v>验证生日当天边界</x:v>
      </x:c>
      <x:c r="H109" s="9" t="str">
        <x:v>数据保持</x:v>
      </x:c>
      <x:c r="I109" s="9" t="str">
        <x:v>1. 执行角色为已登录普通用户；当前处于资料编辑页面</x:v>
      </x:c>
      <x:c r="J109" s="9" t="str">
        <x:v>1. 选择今天为生日
2. 点击保存</x:v>
      </x:c>
      <x:c r="K109" s="9" t="str">
        <x:v>生日保存为今天</x:v>
      </x:c>
      <x:c r="L109" s="10" t="str"/>
      <x:c r="M109" s="10" t="str">
        <x:v>未测</x:v>
      </x:c>
      <x:c r="N109" s="10" t="str"/>
      <x:c r="O109" s="9" t="str">
        <x:v>1. 来源（当前证据）：liveshow-proto/MainBasis/统一需求文档.md；位置：行1435、行1426
2. 规则：BR-011cac80c31203a9
3. 未动态验证</x:v>
      </x:c>
    </x:row>
    <x:row r="110" ht="85" customHeight="1">
      <x:c r="A110" s="10" t="n">
        <x:v>109</x:v>
      </x:c>
      <x:c r="B110" s="10" t="str">
        <x:v>USER-05-0008</x:v>
      </x:c>
      <x:c r="C110" s="10" t="str">
        <x:v>我的</x:v>
      </x:c>
      <x:c r="D110" s="10" t="str">
        <x:v>资料编辑（已登录普通用户视角）</x:v>
      </x:c>
      <x:c r="E110" s="10" t="str">
        <x:v>逻辑校验</x:v>
      </x:c>
      <x:c r="F110" s="10" t="str">
        <x:v>P1</x:v>
      </x:c>
      <x:c r="G110" s="9" t="str">
        <x:v>验证生日未来日期</x:v>
      </x:c>
      <x:c r="H110" s="9" t="str">
        <x:v>入口可用性</x:v>
      </x:c>
      <x:c r="I110" s="9" t="str">
        <x:v>1. 执行角色为已登录普通用户；当前处于资料编辑页面</x:v>
      </x:c>
      <x:c r="J110" s="9" t="str">
        <x:v>1. 尝试选择明天为生日</x:v>
      </x:c>
      <x:c r="K110" s="9" t="str">
        <x:v>不能将生日设为未来日期</x:v>
      </x:c>
      <x:c r="L110" s="10" t="str"/>
      <x:c r="M110" s="10" t="str">
        <x:v>未测</x:v>
      </x:c>
      <x:c r="N110" s="10" t="str"/>
      <x:c r="O110" s="9" t="str">
        <x:v>1. 来源（当前证据）：liveshow-proto/MainBasis/统一需求文档.md；位置：行1435、行1426
2. 规则：BR-f9e8a5f3a6b39637
3. 未动态验证</x:v>
      </x:c>
    </x:row>
    <x:row r="111" ht="85" customHeight="1">
      <x:c r="A111" s="10" t="n">
        <x:v>110</x:v>
      </x:c>
      <x:c r="B111" s="10" t="str">
        <x:v>USER-05-0009</x:v>
      </x:c>
      <x:c r="C111" s="10" t="str">
        <x:v>我的</x:v>
      </x:c>
      <x:c r="D111" s="10" t="str">
        <x:v>资料编辑（已登录普通用户视角）</x:v>
      </x:c>
      <x:c r="E111" s="10" t="str">
        <x:v>功能需求</x:v>
      </x:c>
      <x:c r="F111" s="10" t="str">
        <x:v>P2</x:v>
      </x:c>
      <x:c r="G111" s="9" t="str">
        <x:v>验证非审核字段直接保存</x:v>
      </x:c>
      <x:c r="H111" s="9" t="str">
        <x:v>个性签名保存</x:v>
      </x:c>
      <x:c r="I111" s="9" t="str">
        <x:v>1. 执行角色为已登录普通用户；当前处于资料编辑页面</x:v>
      </x:c>
      <x:c r="J111" s="9" t="str">
        <x:v>1. 输入个性签名“QA签名”
2. 点击保存</x:v>
      </x:c>
      <x:c r="K111" s="9" t="str">
        <x:v>个性签名更新为“QA签名”</x:v>
      </x:c>
      <x:c r="L111" s="10" t="str"/>
      <x:c r="M111" s="10" t="str">
        <x:v>未测</x:v>
      </x:c>
      <x:c r="N111" s="10" t="str"/>
      <x:c r="O111" s="9" t="str">
        <x:v>1. 来源（当前证据）：liveshow-proto/MainBasis/统一需求文档.md；位置：行1432、行1436、行1426
2. 规则：BR-162d8059f5be9c50
3. 未动态验证</x:v>
      </x:c>
    </x:row>
    <x:row r="112" ht="85" customHeight="1">
      <x:c r="A112" s="10" t="n">
        <x:v>111</x:v>
      </x:c>
      <x:c r="B112" s="10" t="str">
        <x:v>USER-05-0010</x:v>
      </x:c>
      <x:c r="C112" s="10" t="str">
        <x:v>我的</x:v>
      </x:c>
      <x:c r="D112" s="10" t="str">
        <x:v>资料编辑（已登录普通用户视角）</x:v>
      </x:c>
      <x:c r="E112" s="10" t="str">
        <x:v>功能需求</x:v>
      </x:c>
      <x:c r="F112" s="10" t="str">
        <x:v>P1</x:v>
      </x:c>
      <x:c r="G112" s="9" t="str">
        <x:v>验证审核中保存状态</x:v>
      </x:c>
      <x:c r="H112" s="9" t="str">
        <x:v>资料保存加载状态</x:v>
      </x:c>
      <x:c r="I112" s="9" t="str">
        <x:v>1. 执行角色为已登录普通用户；当前处于资料编辑页面
2. 头像或昵称有改动；审核响应尚未返回</x:v>
      </x:c>
      <x:c r="J112" s="9" t="str">
        <x:v>1. 点击保存</x:v>
      </x:c>
      <x:c r="K112" s="9" t="str">
        <x:v>保存进入加载状态</x:v>
      </x:c>
      <x:c r="L112" s="10" t="str"/>
      <x:c r="M112" s="10" t="str">
        <x:v>未测</x:v>
      </x:c>
      <x:c r="N112" s="10" t="str"/>
      <x:c r="O112" s="9" t="str">
        <x:v>1. 来源（当前证据）：liveshow-proto/MainBasis/统一需求文档.md；位置：行1438、行1426
2. 规则：BR-588c9ac0ae661890
3. 未动态验证</x:v>
      </x:c>
    </x:row>
    <x:row r="113" ht="160" customHeight="1">
      <x:c r="A113" s="10" t="n">
        <x:v>112</x:v>
      </x:c>
      <x:c r="B113" s="10" t="str">
        <x:v>USER-05-0011</x:v>
      </x:c>
      <x:c r="C113" s="10" t="str">
        <x:v>我的</x:v>
      </x:c>
      <x:c r="D113" s="10" t="str">
        <x:v>资料编辑（已登录普通用户视角）</x:v>
      </x:c>
      <x:c r="E113" s="10" t="str">
        <x:v>异常用例</x:v>
      </x:c>
      <x:c r="F113" s="10" t="str">
        <x:v>P1</x:v>
      </x:c>
      <x:c r="G113" s="9" t="str">
        <x:v>验证审核拒绝提示</x:v>
      </x:c>
      <x:c r="H113" s="9" t="str">
        <x:v>资料审核拒绝文案</x:v>
      </x:c>
      <x:c r="I113" s="9" t="str">
        <x:v>1. 执行角色为已登录普通用户；当前处于资料编辑页面
2. 昵称审核返回不合规
3. 环境准备要求（尚未具备）：需开发在测试构建中将本次审核结果固定为不合规拒绝；保留用户输入和原已生效资料，不预先修改被测页面</x:v>
      </x:c>
      <x:c r="J113" s="9" t="str">
        <x:v>1. 输入昵称“审核拒绝样本”
2. 点击保存</x:v>
      </x:c>
      <x:c r="K113" s="9" t="str">
        <x:v>提示“头像或昵称不合规”</x:v>
      </x:c>
      <x:c r="L113" s="10" t="str"/>
      <x:c r="M113" s="10" t="str">
        <x:v>未测</x:v>
      </x:c>
      <x:c r="N113" s="10" t="str"/>
      <x:c r="O113" s="9" t="str">
        <x:v>1. 来源（当前证据）：liveshow-proto/MainBasis/统一需求文档.md；位置：行1439、行1426
2. 规则：BR-a5ea2fd6db8d9a1a
3. 未动态验证
4. 环境待准备：头像/昵称内容审核；时点：资料保存触发审核结果返回时；恢复：本条结束后撤销故障设置，恢复真实请求处理；使用新测试对象复跑正常路径，避免污染后续用例</x:v>
      </x:c>
    </x:row>
    <x:row r="114" ht="145" customHeight="1">
      <x:c r="A114" s="10" t="n">
        <x:v>113</x:v>
      </x:c>
      <x:c r="B114" s="10" t="str">
        <x:v>USER-05-0012</x:v>
      </x:c>
      <x:c r="C114" s="10" t="str">
        <x:v>我的</x:v>
      </x:c>
      <x:c r="D114" s="10" t="str">
        <x:v>资料编辑（已登录普通用户视角）</x:v>
      </x:c>
      <x:c r="E114" s="10" t="str">
        <x:v>异常用例</x:v>
      </x:c>
      <x:c r="F114" s="10" t="str">
        <x:v>P1</x:v>
      </x:c>
      <x:c r="G114" s="9" t="str">
        <x:v>验证审核网络失败提示</x:v>
      </x:c>
      <x:c r="H114" s="9" t="str">
        <x:v>资料审核网络提示</x:v>
      </x:c>
      <x:c r="I114" s="9" t="str">
        <x:v>1. 执行角色为已登录普通用户；当前处于资料编辑页面
2. 审核请求返回网络错误
3. 环境准备要求（尚未具备）：需开发提供仅作用于本次资料审核请求的网络错误注入，确保走网络异常分支；不能以内容不合规拒绝替代</x:v>
      </x:c>
      <x:c r="J114" s="9" t="str">
        <x:v>1. 输入昵称“QA新昵称”
2. 点击保存</x:v>
      </x:c>
      <x:c r="K114" s="9" t="str">
        <x:v>提示“网络异常，请重试”</x:v>
      </x:c>
      <x:c r="L114" s="10" t="str"/>
      <x:c r="M114" s="10" t="str">
        <x:v>未测</x:v>
      </x:c>
      <x:c r="N114" s="10" t="str"/>
      <x:c r="O114" s="9" t="str">
        <x:v>1. 来源（当前证据）：liveshow-proto/MainBasis/统一需求文档.md；位置：行1439、行1426
2. 规则：BR-8167d76f89aaf33f
3. 未动态验证
4. 环境待准备：资料保存审核请求；时点：提交昵称保存请求时；恢复：本条结束后撤销故障设置，恢复真实请求处理；使用新测试对象复跑正常路径，避免污染后续用例</x:v>
      </x:c>
    </x:row>
    <x:row r="115" ht="160" customHeight="1">
      <x:c r="A115" s="10" t="n">
        <x:v>114</x:v>
      </x:c>
      <x:c r="B115" s="10" t="str">
        <x:v>USER-05-0013</x:v>
      </x:c>
      <x:c r="C115" s="10" t="str">
        <x:v>我的</x:v>
      </x:c>
      <x:c r="D115" s="10" t="str">
        <x:v>资料编辑（已登录普通用户视角）</x:v>
      </x:c>
      <x:c r="E115" s="10" t="str">
        <x:v>异常用例</x:v>
      </x:c>
      <x:c r="F115" s="10" t="str">
        <x:v>P1</x:v>
      </x:c>
      <x:c r="G115" s="9" t="str">
        <x:v>验证审核失败保留编辑内容</x:v>
      </x:c>
      <x:c r="H115" s="9" t="str">
        <x:v>审核失败输入保留</x:v>
      </x:c>
      <x:c r="I115" s="9" t="str">
        <x:v>1. 执行角色为已登录普通用户；当前处于资料编辑页面
2. 原昵称为QA旧昵称；审核返回拒绝
3. 环境准备要求（尚未具备）：需开发在测试构建中将本次审核结果固定为不合规拒绝；保留用户输入和原已生效资料，不预先修改被测页面</x:v>
      </x:c>
      <x:c r="J115" s="9" t="str">
        <x:v>1. 输入昵称“QA新昵称”
2. 点击保存</x:v>
      </x:c>
      <x:c r="K115" s="9" t="str">
        <x:v>编辑框仍保留“QA新昵称”</x:v>
      </x:c>
      <x:c r="L115" s="10" t="str"/>
      <x:c r="M115" s="10" t="str">
        <x:v>未测</x:v>
      </x:c>
      <x:c r="N115" s="10" t="str"/>
      <x:c r="O115" s="9" t="str">
        <x:v>1. 来源（当前证据）：liveshow-proto/MainBasis/统一需求文档.md；位置：行1440、行1426
2. 规则：BR-e0c24efed9ef3806
3. 未动态验证
4. 环境待准备：头像/昵称内容审核；时点：资料保存触发审核结果返回时；恢复：本条结束后撤销故障设置，恢复真实请求处理；使用新测试对象复跑正常路径，避免污染后续用例</x:v>
      </x:c>
    </x:row>
    <x:row r="116" ht="160" customHeight="1">
      <x:c r="A116" s="10" t="n">
        <x:v>115</x:v>
      </x:c>
      <x:c r="B116" s="10" t="str">
        <x:v>USER-05-0014</x:v>
      </x:c>
      <x:c r="C116" s="10" t="str">
        <x:v>我的</x:v>
      </x:c>
      <x:c r="D116" s="10" t="str">
        <x:v>资料编辑（已登录普通用户视角）</x:v>
      </x:c>
      <x:c r="E116" s="10" t="str">
        <x:v>异常用例</x:v>
      </x:c>
      <x:c r="F116" s="10" t="str">
        <x:v>P1</x:v>
      </x:c>
      <x:c r="G116" s="9" t="str">
        <x:v>验证审核失败不覆盖已生效资料</x:v>
      </x:c>
      <x:c r="H116" s="9" t="str">
        <x:v>生效昵称保留</x:v>
      </x:c>
      <x:c r="I116" s="9" t="str">
        <x:v>1. 执行角色为已登录普通用户；当前处于资料编辑页面
2. 原昵称为QA旧昵称；审核返回拒绝
3. 环境准备要求（尚未具备）：需开发在测试构建中将本次审核结果固定为不合规拒绝；保留用户输入和原已生效资料，不预先修改被测页面</x:v>
      </x:c>
      <x:c r="J116" s="9" t="str">
        <x:v>1. 输入昵称“QA新昵称”
2. 点击保存
3. 返回我的页面</x:v>
      </x:c>
      <x:c r="K116" s="9" t="str">
        <x:v>个人昵称仍为“QA旧昵称”</x:v>
      </x:c>
      <x:c r="L116" s="10" t="str"/>
      <x:c r="M116" s="10" t="str">
        <x:v>未测</x:v>
      </x:c>
      <x:c r="N116" s="10" t="str"/>
      <x:c r="O116" s="9" t="str">
        <x:v>1. 来源（当前证据）：liveshow-proto/MainBasis/统一需求文档.md；位置：行1440、行679、行1426
2. 规则：BR-3787f51eb947f26d
3. 未动态验证
4. 环境待准备：头像/昵称内容审核；时点：资料保存触发审核结果返回时；恢复：本条结束后撤销故障设置，恢复真实请求处理；使用新测试对象复跑正常路径，避免污染后续用例</x:v>
      </x:c>
    </x:row>
    <x:row r="117" ht="85" customHeight="1">
      <x:c r="A117" s="10" t="n">
        <x:v>116</x:v>
      </x:c>
      <x:c r="B117" s="10" t="str">
        <x:v>USER-05-0015</x:v>
      </x:c>
      <x:c r="C117" s="10" t="str">
        <x:v>我的</x:v>
      </x:c>
      <x:c r="D117" s="10" t="str">
        <x:v>资料编辑（已登录普通用户视角）</x:v>
      </x:c>
      <x:c r="E117" s="10" t="str">
        <x:v>逻辑校验</x:v>
      </x:c>
      <x:c r="F117" s="10" t="str">
        <x:v>P2</x:v>
      </x:c>
      <x:c r="G117" s="9" t="str">
        <x:v>验证昵称最大长度</x:v>
      </x:c>
      <x:c r="H117" s="9" t="str">
        <x:v>数据保持</x:v>
      </x:c>
      <x:c r="I117" s="9" t="str">
        <x:v>1. 执行角色为已登录普通用户；当前处于资料编辑页面</x:v>
      </x:c>
      <x:c r="J117" s="9" t="str">
        <x:v>1. 输入20个“测”作为昵称</x:v>
      </x:c>
      <x:c r="K117" s="9" t="str">
        <x:v>昵称保留20个字符</x:v>
      </x:c>
      <x:c r="L117" s="10" t="str"/>
      <x:c r="M117" s="10" t="str">
        <x:v>未测</x:v>
      </x:c>
      <x:c r="N117" s="10" t="str"/>
      <x:c r="O117" s="9" t="str">
        <x:v>1. 来源（当前证据）：liveshow-proto/MainBasis/统一需求文档.md；位置：行1431、行1437、行1426
2. 规则：BR-f1bb8db09b29857e
3. 未动态验证</x:v>
      </x:c>
    </x:row>
    <x:row r="118" ht="85" customHeight="1">
      <x:c r="A118" s="10" t="n">
        <x:v>117</x:v>
      </x:c>
      <x:c r="B118" s="10" t="str">
        <x:v>USER-05-0016</x:v>
      </x:c>
      <x:c r="C118" s="10" t="str">
        <x:v>我的</x:v>
      </x:c>
      <x:c r="D118" s="10" t="str">
        <x:v>资料编辑（已登录普通用户视角）</x:v>
      </x:c>
      <x:c r="E118" s="10" t="str">
        <x:v>逻辑校验</x:v>
      </x:c>
      <x:c r="F118" s="10" t="str">
        <x:v>P2</x:v>
      </x:c>
      <x:c r="G118" s="9" t="str">
        <x:v>验证昵称超过最大长度</x:v>
      </x:c>
      <x:c r="H118" s="9" t="str">
        <x:v>昵称超长截断</x:v>
      </x:c>
      <x:c r="I118" s="9" t="str">
        <x:v>1. 执行角色为已登录普通用户；当前处于资料编辑页面</x:v>
      </x:c>
      <x:c r="J118" s="9" t="str">
        <x:v>1. 输入20个“测”作为昵称
2. 继续输入字符“多”</x:v>
      </x:c>
      <x:c r="K118" s="9" t="str">
        <x:v>昵称仍只有20个字符</x:v>
      </x:c>
      <x:c r="L118" s="10" t="str"/>
      <x:c r="M118" s="10" t="str">
        <x:v>未测</x:v>
      </x:c>
      <x:c r="N118" s="10" t="str"/>
      <x:c r="O118" s="9" t="str">
        <x:v>1. 来源（当前证据）：liveshow-proto/MainBasis/统一需求文档.md；位置：行1431、行1437、行1426
2. 规则：BR-c02c1000d174a7ba
3. 未动态验证</x:v>
      </x:c>
    </x:row>
    <x:row r="119" ht="85" customHeight="1">
      <x:c r="A119" s="10" t="n">
        <x:v>118</x:v>
      </x:c>
      <x:c r="B119" s="10" t="str">
        <x:v>USER-05-0017</x:v>
      </x:c>
      <x:c r="C119" s="10" t="str">
        <x:v>我的</x:v>
      </x:c>
      <x:c r="D119" s="10" t="str">
        <x:v>资料编辑（已登录普通用户视角）</x:v>
      </x:c>
      <x:c r="E119" s="10" t="str">
        <x:v>逻辑校验</x:v>
      </x:c>
      <x:c r="F119" s="10" t="str">
        <x:v>P2</x:v>
      </x:c>
      <x:c r="G119" s="9" t="str">
        <x:v>验证个性签名最大长度</x:v>
      </x:c>
      <x:c r="H119" s="9" t="str">
        <x:v>数据保持</x:v>
      </x:c>
      <x:c r="I119" s="9" t="str">
        <x:v>1. 执行角色为已登录普通用户；当前处于资料编辑页面</x:v>
      </x:c>
      <x:c r="J119" s="9" t="str">
        <x:v>1. 输入80个“测”作为个性签名</x:v>
      </x:c>
      <x:c r="K119" s="9" t="str">
        <x:v>个性签名保留80个字符</x:v>
      </x:c>
      <x:c r="L119" s="10" t="str"/>
      <x:c r="M119" s="10" t="str">
        <x:v>未测</x:v>
      </x:c>
      <x:c r="N119" s="10" t="str"/>
      <x:c r="O119" s="9" t="str">
        <x:v>1. 来源（当前证据）：liveshow-proto/MainBasis/统一需求文档.md；位置：行1432、行1437、行1426
2. 规则：BR-f7f0438b1a8e58f3
3. 未动态验证</x:v>
      </x:c>
    </x:row>
    <x:row r="120" ht="85" customHeight="1">
      <x:c r="A120" s="10" t="n">
        <x:v>119</x:v>
      </x:c>
      <x:c r="B120" s="10" t="str">
        <x:v>USER-05-0018</x:v>
      </x:c>
      <x:c r="C120" s="10" t="str">
        <x:v>我的</x:v>
      </x:c>
      <x:c r="D120" s="10" t="str">
        <x:v>资料编辑（已登录普通用户视角）</x:v>
      </x:c>
      <x:c r="E120" s="10" t="str">
        <x:v>逻辑校验</x:v>
      </x:c>
      <x:c r="F120" s="10" t="str">
        <x:v>P2</x:v>
      </x:c>
      <x:c r="G120" s="9" t="str">
        <x:v>验证个性签名超过最大长度</x:v>
      </x:c>
      <x:c r="H120" s="9" t="str">
        <x:v>签名超长截断</x:v>
      </x:c>
      <x:c r="I120" s="9" t="str">
        <x:v>1. 执行角色为已登录普通用户；当前处于资料编辑页面</x:v>
      </x:c>
      <x:c r="J120" s="9" t="str">
        <x:v>1. 输入80个“测”作为个性签名
2. 继续输入字符“多”</x:v>
      </x:c>
      <x:c r="K120" s="9" t="str">
        <x:v>个性签名仍只有80个字符</x:v>
      </x:c>
      <x:c r="L120" s="10" t="str"/>
      <x:c r="M120" s="10" t="str">
        <x:v>未测</x:v>
      </x:c>
      <x:c r="N120" s="10" t="str"/>
      <x:c r="O120" s="9" t="str">
        <x:v>1. 来源（当前证据）：liveshow-proto/MainBasis/统一需求文档.md；位置：行1432、行1437、行1426
2. 规则：BR-528562130e71d01b
3. 未动态验证</x:v>
      </x:c>
    </x:row>
    <x:row r="121" ht="85" customHeight="1">
      <x:c r="A121" s="10" t="n">
        <x:v>120</x:v>
      </x:c>
      <x:c r="B121" s="10" t="str">
        <x:v>USER-05-0019</x:v>
      </x:c>
      <x:c r="C121" s="10" t="str">
        <x:v>我的</x:v>
      </x:c>
      <x:c r="D121" s="10" t="str">
        <x:v>资料编辑（已登录普通用户视角）</x:v>
      </x:c>
      <x:c r="E121" s="10" t="str">
        <x:v>逻辑校验</x:v>
      </x:c>
      <x:c r="F121" s="10" t="str">
        <x:v>P2</x:v>
      </x:c>
      <x:c r="G121" s="9" t="str">
        <x:v>验证地区最大长度</x:v>
      </x:c>
      <x:c r="H121" s="9" t="str">
        <x:v>数据保持</x:v>
      </x:c>
      <x:c r="I121" s="9" t="str">
        <x:v>1. 执行角色为已登录普通用户；当前处于资料编辑页面</x:v>
      </x:c>
      <x:c r="J121" s="9" t="str">
        <x:v>1. 输入30个“测”作为地区</x:v>
      </x:c>
      <x:c r="K121" s="9" t="str">
        <x:v>地区保留30个字符</x:v>
      </x:c>
      <x:c r="L121" s="10" t="str"/>
      <x:c r="M121" s="10" t="str">
        <x:v>未测</x:v>
      </x:c>
      <x:c r="N121" s="10" t="str"/>
      <x:c r="O121" s="9" t="str">
        <x:v>1. 来源（当前证据）：liveshow-proto/MainBasis/统一需求文档.md；位置：行1434、行1437、行1426
2. 规则：BR-7dabe06134a4f7ec
3. 未动态验证</x:v>
      </x:c>
    </x:row>
    <x:row r="122" ht="85" customHeight="1">
      <x:c r="A122" s="10" t="n">
        <x:v>121</x:v>
      </x:c>
      <x:c r="B122" s="10" t="str">
        <x:v>USER-05-0020</x:v>
      </x:c>
      <x:c r="C122" s="10" t="str">
        <x:v>我的</x:v>
      </x:c>
      <x:c r="D122" s="10" t="str">
        <x:v>资料编辑（已登录普通用户视角）</x:v>
      </x:c>
      <x:c r="E122" s="10" t="str">
        <x:v>逻辑校验</x:v>
      </x:c>
      <x:c r="F122" s="10" t="str">
        <x:v>P2</x:v>
      </x:c>
      <x:c r="G122" s="9" t="str">
        <x:v>验证地区超过最大长度</x:v>
      </x:c>
      <x:c r="H122" s="9" t="str">
        <x:v>地区超长截断</x:v>
      </x:c>
      <x:c r="I122" s="9" t="str">
        <x:v>1. 执行角色为已登录普通用户；当前处于资料编辑页面</x:v>
      </x:c>
      <x:c r="J122" s="9" t="str">
        <x:v>1. 输入30个“测”作为地区
2. 继续输入字符“多”</x:v>
      </x:c>
      <x:c r="K122" s="9" t="str">
        <x:v>地区仍只有30个字符</x:v>
      </x:c>
      <x:c r="L122" s="10" t="str"/>
      <x:c r="M122" s="10" t="str">
        <x:v>未测</x:v>
      </x:c>
      <x:c r="N122" s="10" t="str"/>
      <x:c r="O122" s="9" t="str">
        <x:v>1. 来源（当前证据）：liveshow-proto/MainBasis/统一需求文档.md；位置：行1434、行1437、行1426
2. 规则：BR-0d104dc72bc2c774
3. 未动态验证</x:v>
      </x:c>
    </x:row>
    <x:row r="123" ht="85" customHeight="1">
      <x:c r="A123" s="10" t="n">
        <x:v>122</x:v>
      </x:c>
      <x:c r="B123" s="10" t="str">
        <x:v>USER-05-0021</x:v>
      </x:c>
      <x:c r="C123" s="10" t="str">
        <x:v>我的</x:v>
      </x:c>
      <x:c r="D123" s="10" t="str">
        <x:v>设置（已登录普通用户视角）</x:v>
      </x:c>
      <x:c r="E123" s="10" t="str">
        <x:v>功能需求</x:v>
      </x:c>
      <x:c r="F123" s="10" t="str">
        <x:v>P1</x:v>
      </x:c>
      <x:c r="G123" s="9" t="str">
        <x:v>验证手机号脱敏：区号保留</x:v>
      </x:c>
      <x:c r="H123" s="9" t="str">
        <x:v>区号保留</x:v>
      </x:c>
      <x:c r="I123" s="9" t="str">
        <x:v>1. 执行角色为已登录普通用户；当前处于设置页面
2. 账号已绑定+62 81234567890</x:v>
      </x:c>
      <x:c r="J123" s="9" t="str">
        <x:v>1. 查看绑定手机号</x:v>
      </x:c>
      <x:c r="K123" s="9" t="str">
        <x:v>绑定手机号保留区号+62</x:v>
      </x:c>
      <x:c r="L123" s="10" t="str"/>
      <x:c r="M123" s="10" t="str">
        <x:v>未测</x:v>
      </x:c>
      <x:c r="N123" s="10" t="str"/>
      <x:c r="O123" s="9" t="str">
        <x:v>1. 来源（当前证据）：liveshow-proto/MainBasis/统一需求文档.md；位置：行1445、行1443
2. 规则：BR-a94ecf9b6637b479
3. 未动态验证</x:v>
      </x:c>
    </x:row>
    <x:row r="124" ht="85" customHeight="1">
      <x:c r="A124" s="10" t="n">
        <x:v>123</x:v>
      </x:c>
      <x:c r="B124" s="10" t="str">
        <x:v>USER-05-0022</x:v>
      </x:c>
      <x:c r="C124" s="10" t="str">
        <x:v>我的</x:v>
      </x:c>
      <x:c r="D124" s="10" t="str">
        <x:v>设置（已登录普通用户视角）</x:v>
      </x:c>
      <x:c r="E124" s="10" t="str">
        <x:v>功能需求</x:v>
      </x:c>
      <x:c r="F124" s="10" t="str">
        <x:v>P1</x:v>
      </x:c>
      <x:c r="G124" s="9" t="str">
        <x:v>验证手机号脱敏：号码脱敏</x:v>
      </x:c>
      <x:c r="H124" s="9" t="str">
        <x:v>号码脱敏</x:v>
      </x:c>
      <x:c r="I124" s="9" t="str">
        <x:v>1. 执行角色为已登录普通用户；当前处于设置页面
2. 账号已绑定+62 81234567890</x:v>
      </x:c>
      <x:c r="J124" s="9" t="str">
        <x:v>1. 查看绑定手机号</x:v>
      </x:c>
      <x:c r="K124" s="9" t="str">
        <x:v>绑定手机号中间号码已隐藏</x:v>
      </x:c>
      <x:c r="L124" s="10" t="str"/>
      <x:c r="M124" s="10" t="str">
        <x:v>未测</x:v>
      </x:c>
      <x:c r="N124" s="10" t="str"/>
      <x:c r="O124" s="9" t="str">
        <x:v>1. 来源（当前证据）：liveshow-proto/MainBasis/统一需求文档.md；位置：行1445、行1443
2. 规则：BR-44f5046061697300
3. 未动态验证</x:v>
      </x:c>
    </x:row>
    <x:row r="125" ht="85" customHeight="1">
      <x:c r="A125" s="10" t="n">
        <x:v>124</x:v>
      </x:c>
      <x:c r="B125" s="10" t="str">
        <x:v>USER-05-0023</x:v>
      </x:c>
      <x:c r="C125" s="10" t="str">
        <x:v>我的</x:v>
      </x:c>
      <x:c r="D125" s="10" t="str">
        <x:v>设置（已登录普通用户视角）</x:v>
      </x:c>
      <x:c r="E125" s="10" t="str">
        <x:v>功能需求</x:v>
      </x:c>
      <x:c r="F125" s="10" t="str">
        <x:v>P1</x:v>
      </x:c>
      <x:c r="G125" s="9" t="str">
        <x:v>验证邮箱脱敏</x:v>
      </x:c>
      <x:c r="H125" s="9" t="str">
        <x:v>邮箱账号脱敏</x:v>
      </x:c>
      <x:c r="I125" s="9" t="str">
        <x:v>1. 执行角色为已登录普通用户；当前处于设置页面
2. 账号已绑定qa.user@example.test</x:v>
      </x:c>
      <x:c r="J125" s="9" t="str">
        <x:v>1. 查看绑定邮箱</x:v>
      </x:c>
      <x:c r="K125" s="9" t="str">
        <x:v>邮箱账号部分已隐藏</x:v>
      </x:c>
      <x:c r="L125" s="10" t="str"/>
      <x:c r="M125" s="10" t="str">
        <x:v>未测</x:v>
      </x:c>
      <x:c r="N125" s="10" t="str"/>
      <x:c r="O125" s="9" t="str">
        <x:v>1. 来源（当前证据）：liveshow-proto/MainBasis/统一需求文档.md；位置：行1446、行1443
2. 规则：BR-b1f394601203217a
3. 未动态验证</x:v>
      </x:c>
    </x:row>
    <x:row r="126" ht="85" customHeight="1">
      <x:c r="A126" s="10" t="n">
        <x:v>125</x:v>
      </x:c>
      <x:c r="B126" s="10" t="str">
        <x:v>USER-05-0024</x:v>
      </x:c>
      <x:c r="C126" s="10" t="str">
        <x:v>我的</x:v>
      </x:c>
      <x:c r="D126" s="10" t="str">
        <x:v>设置（已登录普通用户视角）</x:v>
      </x:c>
      <x:c r="E126" s="10" t="str">
        <x:v>功能需求</x:v>
      </x:c>
      <x:c r="F126" s="10" t="str">
        <x:v>P1</x:v>
      </x:c>
      <x:c r="G126" s="9" t="str">
        <x:v>验证未设置密码展示</x:v>
      </x:c>
      <x:c r="H126" s="9" t="str">
        <x:v>密码设置状态</x:v>
      </x:c>
      <x:c r="I126" s="9" t="str">
        <x:v>1. 执行角色为已登录普通用户；当前处于设置页面
2. 账号没有密码</x:v>
      </x:c>
      <x:c r="J126" s="9" t="str">
        <x:v>1. 查看密码状态</x:v>
      </x:c>
      <x:c r="K126" s="9" t="str">
        <x:v>显示未设置</x:v>
      </x:c>
      <x:c r="L126" s="10" t="str"/>
      <x:c r="M126" s="10" t="str">
        <x:v>未测</x:v>
      </x:c>
      <x:c r="N126" s="10" t="str"/>
      <x:c r="O126" s="9" t="str">
        <x:v>1. 来源（当前证据）：liveshow-proto/MainBasis/统一需求文档.md；位置：行1447、行1477、行1443
2. 规则：BR-933a92bde8fec196
3. 未动态验证</x:v>
      </x:c>
    </x:row>
    <x:row r="127" ht="85" customHeight="1">
      <x:c r="A127" s="10" t="n">
        <x:v>126</x:v>
      </x:c>
      <x:c r="B127" s="10" t="str">
        <x:v>USER-05-0025</x:v>
      </x:c>
      <x:c r="C127" s="10" t="str">
        <x:v>我的</x:v>
      </x:c>
      <x:c r="D127" s="10" t="str">
        <x:v>设置（已登录普通用户视角）</x:v>
      </x:c>
      <x:c r="E127" s="10" t="str">
        <x:v>功能需求</x:v>
      </x:c>
      <x:c r="F127" s="10" t="str">
        <x:v>P1</x:v>
      </x:c>
      <x:c r="G127" s="9" t="str">
        <x:v>验证已设置密码展示：设置状态</x:v>
      </x:c>
      <x:c r="H127" s="9" t="str">
        <x:v>设置状态</x:v>
      </x:c>
      <x:c r="I127" s="9" t="str">
        <x:v>1. 执行角色为已登录普通用户；当前处于设置页面
2. 账号已设置密码</x:v>
      </x:c>
      <x:c r="J127" s="9" t="str">
        <x:v>1. 查看密码状态</x:v>
      </x:c>
      <x:c r="K127" s="9" t="str">
        <x:v>密码状态为已设置</x:v>
      </x:c>
      <x:c r="L127" s="10" t="str"/>
      <x:c r="M127" s="10" t="str">
        <x:v>未测</x:v>
      </x:c>
      <x:c r="N127" s="10" t="str"/>
      <x:c r="O127" s="9" t="str">
        <x:v>1. 来源（当前证据）：liveshow-proto/MainBasis/统一需求文档.md；位置：行1447、行1443
2. 规则：BR-5b9eb7508b7ac71e
3. 未动态验证</x:v>
      </x:c>
    </x:row>
    <x:row r="128" ht="85" customHeight="1">
      <x:c r="A128" s="10" t="n">
        <x:v>127</x:v>
      </x:c>
      <x:c r="B128" s="10" t="str">
        <x:v>USER-05-0026</x:v>
      </x:c>
      <x:c r="C128" s="10" t="str">
        <x:v>我的</x:v>
      </x:c>
      <x:c r="D128" s="10" t="str">
        <x:v>设置（已登录普通用户视角）</x:v>
      </x:c>
      <x:c r="E128" s="10" t="str">
        <x:v>功能需求</x:v>
      </x:c>
      <x:c r="F128" s="10" t="str">
        <x:v>P1</x:v>
      </x:c>
      <x:c r="G128" s="9" t="str">
        <x:v>验证已设置密码展示：密码保密</x:v>
      </x:c>
      <x:c r="H128" s="9" t="str">
        <x:v>密码保密</x:v>
      </x:c>
      <x:c r="I128" s="9" t="str">
        <x:v>1. 执行角色为已登录普通用户；当前处于设置页面
2. 账号已设置密码</x:v>
      </x:c>
      <x:c r="J128" s="9" t="str">
        <x:v>1. 查看密码状态</x:v>
      </x:c>
      <x:c r="K128" s="9" t="str">
        <x:v>不展示密码实际内容</x:v>
      </x:c>
      <x:c r="L128" s="10" t="str"/>
      <x:c r="M128" s="10" t="str">
        <x:v>未测</x:v>
      </x:c>
      <x:c r="N128" s="10" t="str"/>
      <x:c r="O128" s="9" t="str">
        <x:v>1. 来源（当前证据）：liveshow-proto/MainBasis/统一需求文档.md；位置：行1447、行1443
2. 规则：BR-9ba9bca66f0acefd
3. 未动态验证</x:v>
      </x:c>
    </x:row>
    <x:row r="129" ht="85" customHeight="1">
      <x:c r="A129" s="10" t="n">
        <x:v>128</x:v>
      </x:c>
      <x:c r="B129" s="10" t="str">
        <x:v>USER-05-0027</x:v>
      </x:c>
      <x:c r="C129" s="10" t="str">
        <x:v>我的</x:v>
      </x:c>
      <x:c r="D129" s="10" t="str">
        <x:v>设置（已登录普通用户视角）</x:v>
      </x:c>
      <x:c r="E129" s="10" t="str">
        <x:v>功能需求</x:v>
      </x:c>
      <x:c r="F129" s="10" t="str">
        <x:v>P1</x:v>
      </x:c>
      <x:c r="G129" s="9" t="str">
        <x:v>验证设置密码入口</x:v>
      </x:c>
      <x:c r="H129" s="9" t="str">
        <x:v>设置密码页面去向</x:v>
      </x:c>
      <x:c r="I129" s="9" t="str">
        <x:v>1. 执行角色为已登录普通用户；当前处于设置页面
2. 账号没有密码</x:v>
      </x:c>
      <x:c r="J129" s="9" t="str">
        <x:v>1. 点击设置密码</x:v>
      </x:c>
      <x:c r="K129" s="9" t="str">
        <x:v>进入设置密码页</x:v>
      </x:c>
      <x:c r="L129" s="10" t="str"/>
      <x:c r="M129" s="10" t="str">
        <x:v>未测</x:v>
      </x:c>
      <x:c r="N129" s="10" t="str"/>
      <x:c r="O129" s="9" t="str">
        <x:v>1. 来源（当前证据）：liveshow-proto/MainBasis/统一需求文档.md；位置：行1462、行1480、行1443
2. 规则：BR-670b3a1146478397
3. 未动态验证</x:v>
      </x:c>
    </x:row>
    <x:row r="130" ht="85" customHeight="1">
      <x:c r="A130" s="10" t="n">
        <x:v>129</x:v>
      </x:c>
      <x:c r="B130" s="10" t="str">
        <x:v>USER-05-0028</x:v>
      </x:c>
      <x:c r="C130" s="10" t="str">
        <x:v>我的</x:v>
      </x:c>
      <x:c r="D130" s="10" t="str">
        <x:v>设置（已登录普通用户视角）</x:v>
      </x:c>
      <x:c r="E130" s="10" t="str">
        <x:v>功能需求</x:v>
      </x:c>
      <x:c r="F130" s="10" t="str">
        <x:v>P1</x:v>
      </x:c>
      <x:c r="G130" s="9" t="str">
        <x:v>验证修改密码入口</x:v>
      </x:c>
      <x:c r="H130" s="9" t="str">
        <x:v>修改密码页面去向</x:v>
      </x:c>
      <x:c r="I130" s="9" t="str">
        <x:v>1. 执行角色为已登录普通用户；当前处于设置页面
2. 账号已设置密码</x:v>
      </x:c>
      <x:c r="J130" s="9" t="str">
        <x:v>1. 点击修改密码</x:v>
      </x:c>
      <x:c r="K130" s="9" t="str">
        <x:v>进入修改密码页</x:v>
      </x:c>
      <x:c r="L130" s="10" t="str"/>
      <x:c r="M130" s="10" t="str">
        <x:v>未测</x:v>
      </x:c>
      <x:c r="N130" s="10" t="str"/>
      <x:c r="O130" s="9" t="str">
        <x:v>1. 来源（当前证据）：liveshow-proto/MainBasis/统一需求文档.md；位置：行1462、行1443
2. 规则：BR-988aa932b2e2f7d1
3. 未动态验证</x:v>
      </x:c>
    </x:row>
    <x:row r="131" ht="85" customHeight="1">
      <x:c r="A131" s="10" t="n">
        <x:v>130</x:v>
      </x:c>
      <x:c r="B131" s="10" t="str">
        <x:v>USER-05-0029</x:v>
      </x:c>
      <x:c r="C131" s="10" t="str">
        <x:v>我的</x:v>
      </x:c>
      <x:c r="D131" s="10" t="str">
        <x:v>设置（已登录普通用户视角）</x:v>
      </x:c>
      <x:c r="E131" s="10" t="str">
        <x:v>功能需求</x:v>
      </x:c>
      <x:c r="F131" s="10" t="str">
        <x:v>P2</x:v>
      </x:c>
      <x:c r="G131" s="9" t="str">
        <x:v>验证首次系统通知申请</x:v>
      </x:c>
      <x:c r="H131" s="9" t="str">
        <x:v>通知授权弹窗</x:v>
      </x:c>
      <x:c r="I131" s="9" t="str">
        <x:v>1. 执行角色为已登录普通用户；当前处于设置页面
2. 从未申请过系统通知权限</x:v>
      </x:c>
      <x:c r="J131" s="9" t="str">
        <x:v>1. 点击系统通知</x:v>
      </x:c>
      <x:c r="K131" s="9" t="str">
        <x:v>唤起系统通知授权弹窗</x:v>
      </x:c>
      <x:c r="L131" s="10" t="str"/>
      <x:c r="M131" s="10" t="str">
        <x:v>未测</x:v>
      </x:c>
      <x:c r="N131" s="10" t="str"/>
      <x:c r="O131" s="9" t="str">
        <x:v>1. 来源（当前证据）：liveshow-proto/MainBasis/统一需求文档.md；位置：行1464、行1556、行1443
2. 规则：BR-37dc0e2cdb601412
3. 未动态验证</x:v>
      </x:c>
    </x:row>
    <x:row r="132" ht="85" customHeight="1">
      <x:c r="A132" s="10" t="n">
        <x:v>131</x:v>
      </x:c>
      <x:c r="B132" s="10" t="str">
        <x:v>USER-05-0030</x:v>
      </x:c>
      <x:c r="C132" s="10" t="str">
        <x:v>我的</x:v>
      </x:c>
      <x:c r="D132" s="10" t="str">
        <x:v>设置（已登录普通用户视角）</x:v>
      </x:c>
      <x:c r="E132" s="10" t="str">
        <x:v>功能需求</x:v>
      </x:c>
      <x:c r="F132" s="10" t="str">
        <x:v>P2</x:v>
      </x:c>
      <x:c r="G132" s="9" t="str">
        <x:v>验证拒绝通知授权</x:v>
      </x:c>
      <x:c r="H132" s="9" t="str">
        <x:v>系统通知拒绝状态</x:v>
      </x:c>
      <x:c r="I132" s="9" t="str">
        <x:v>1. 执行角色为已登录普通用户；当前处于设置页面
2. 系统通知授权弹窗已打开</x:v>
      </x:c>
      <x:c r="J132" s="9" t="str">
        <x:v>1. 选择拒绝通知权限</x:v>
      </x:c>
      <x:c r="K132" s="9" t="str">
        <x:v>设置页系统通知状态为已拒绝</x:v>
      </x:c>
      <x:c r="L132" s="10" t="str"/>
      <x:c r="M132" s="10" t="str">
        <x:v>未测</x:v>
      </x:c>
      <x:c r="N132" s="10" t="str"/>
      <x:c r="O132" s="9" t="str">
        <x:v>1. 来源（当前证据）：liveshow-proto/MainBasis/统一需求文档.md；位置：行1464、行1561、行1443
2. 规则：BR-6ea4fe82cc30540b
3. 未动态验证</x:v>
      </x:c>
    </x:row>
    <x:row r="133" ht="85" customHeight="1">
      <x:c r="A133" s="10" t="n">
        <x:v>132</x:v>
      </x:c>
      <x:c r="B133" s="10" t="str">
        <x:v>USER-05-0031</x:v>
      </x:c>
      <x:c r="C133" s="10" t="str">
        <x:v>我的</x:v>
      </x:c>
      <x:c r="D133" s="10" t="str">
        <x:v>设置（已登录普通用户视角）</x:v>
      </x:c>
      <x:c r="E133" s="10" t="str">
        <x:v>功能需求</x:v>
      </x:c>
      <x:c r="F133" s="10" t="str">
        <x:v>P2</x:v>
      </x:c>
      <x:c r="G133" s="9" t="str">
        <x:v>验证已拒绝通知再次开启</x:v>
      </x:c>
      <x:c r="H133" s="9" t="str">
        <x:v>系统授权设置引导</x:v>
      </x:c>
      <x:c r="I133" s="9" t="str">
        <x:v>1. 执行角色为已登录普通用户；当前处于设置页面
2. 系统通知权限已拒绝</x:v>
      </x:c>
      <x:c r="J133" s="9" t="str">
        <x:v>1. 点击系统通知</x:v>
      </x:c>
      <x:c r="K133" s="9" t="str">
        <x:v>显示前往系统设置的引导弹窗</x:v>
      </x:c>
      <x:c r="L133" s="10" t="str"/>
      <x:c r="M133" s="10" t="str">
        <x:v>未测</x:v>
      </x:c>
      <x:c r="N133" s="10" t="str"/>
      <x:c r="O133" s="9" t="str">
        <x:v>1. 来源（当前证据）：liveshow-proto/MainBasis/统一需求文档.md；位置：行1465、行1564、行1443
2. 规则：BR-121ea8f53d5cb68f
3. 未动态验证</x:v>
      </x:c>
    </x:row>
    <x:row r="134" ht="85" customHeight="1">
      <x:c r="A134" s="10" t="n">
        <x:v>133</x:v>
      </x:c>
      <x:c r="B134" s="10" t="str">
        <x:v>USER-05-0032</x:v>
      </x:c>
      <x:c r="C134" s="10" t="str">
        <x:v>我的</x:v>
      </x:c>
      <x:c r="D134" s="10" t="str">
        <x:v>设置（已登录普通用户视角）</x:v>
      </x:c>
      <x:c r="E134" s="10" t="str">
        <x:v>功能需求</x:v>
      </x:c>
      <x:c r="F134" s="10" t="str">
        <x:v>P2</x:v>
      </x:c>
      <x:c r="G134" s="9" t="str">
        <x:v>验证暂不开启系统通知</x:v>
      </x:c>
      <x:c r="H134" s="9" t="str">
        <x:v>通知引导关闭</x:v>
      </x:c>
      <x:c r="I134" s="9" t="str">
        <x:v>1. 执行角色为已登录普通用户；当前处于设置页面
2. 前往系统设置的引导弹窗已打开</x:v>
      </x:c>
      <x:c r="J134" s="9" t="str">
        <x:v>1. 点击暂不开启</x:v>
      </x:c>
      <x:c r="K134" s="9" t="str">
        <x:v>引导弹窗关闭</x:v>
      </x:c>
      <x:c r="L134" s="10" t="str"/>
      <x:c r="M134" s="10" t="str">
        <x:v>未测</x:v>
      </x:c>
      <x:c r="N134" s="10" t="str"/>
      <x:c r="O134" s="9" t="str">
        <x:v>1. 来源（当前证据）：liveshow-proto/MainBasis/统一需求文档.md；位置：行1562、行1443
2. 规则：BR-19b3297712dd65ad
3. 未动态验证</x:v>
      </x:c>
    </x:row>
    <x:row r="135" ht="85" customHeight="1">
      <x:c r="A135" s="10" t="n">
        <x:v>134</x:v>
      </x:c>
      <x:c r="B135" s="10" t="str">
        <x:v>USER-05-0033</x:v>
      </x:c>
      <x:c r="C135" s="10" t="str">
        <x:v>我的</x:v>
      </x:c>
      <x:c r="D135" s="10" t="str">
        <x:v>设置（已登录普通用户视角）</x:v>
      </x:c>
      <x:c r="E135" s="10" t="str">
        <x:v>功能需求</x:v>
      </x:c>
      <x:c r="F135" s="10" t="str">
        <x:v>P2</x:v>
      </x:c>
      <x:c r="G135" s="9" t="str">
        <x:v>验证前往设备通知设置</x:v>
      </x:c>
      <x:c r="H135" s="9" t="str">
        <x:v>设备通知设置去向</x:v>
      </x:c>
      <x:c r="I135" s="9" t="str">
        <x:v>1. 执行角色为已登录普通用户；当前处于设置页面
2. 前往系统设置的引导弹窗已打开</x:v>
      </x:c>
      <x:c r="J135" s="9" t="str">
        <x:v>1. 点击前往设置</x:v>
      </x:c>
      <x:c r="K135" s="9" t="str">
        <x:v>打开设备的系统设置入口</x:v>
      </x:c>
      <x:c r="L135" s="10" t="str"/>
      <x:c r="M135" s="10" t="str">
        <x:v>未测</x:v>
      </x:c>
      <x:c r="N135" s="10" t="str"/>
      <x:c r="O135" s="9" t="str">
        <x:v>1. 来源（当前证据）：liveshow-proto/MainBasis/统一需求文档.md；位置：行1562、行1443
2. 规则：BR-d7dee71ddb350616
3. 未动态验证</x:v>
      </x:c>
    </x:row>
    <x:row r="136" ht="85" customHeight="1">
      <x:c r="A136" s="10" t="n">
        <x:v>135</x:v>
      </x:c>
      <x:c r="B136" s="10" t="str">
        <x:v>USER-05-0034</x:v>
      </x:c>
      <x:c r="C136" s="10" t="str">
        <x:v>我的</x:v>
      </x:c>
      <x:c r="D136" s="10" t="str">
        <x:v>设置（已登录普通用户视角）</x:v>
      </x:c>
      <x:c r="E136" s="10" t="str">
        <x:v>功能需求</x:v>
      </x:c>
      <x:c r="F136" s="10" t="str">
        <x:v>P2</x:v>
      </x:c>
      <x:c r="G136" s="9" t="str">
        <x:v>验证设备已授权展示</x:v>
      </x:c>
      <x:c r="H136" s="9" t="str">
        <x:v>系统通知授权状态</x:v>
      </x:c>
      <x:c r="I136" s="9" t="str">
        <x:v>1. 执行角色为已登录普通用户；当前处于设置页面
2. 设备系统通知权限已开启</x:v>
      </x:c>
      <x:c r="J136" s="9" t="str">
        <x:v>1. 查看系统通知状态</x:v>
      </x:c>
      <x:c r="K136" s="9" t="str">
        <x:v>显示已开启</x:v>
      </x:c>
      <x:c r="L136" s="10" t="str"/>
      <x:c r="M136" s="10" t="str">
        <x:v>未测</x:v>
      </x:c>
      <x:c r="N136" s="10" t="str"/>
      <x:c r="O136" s="9" t="str">
        <x:v>1. 来源（当前证据）：liveshow-proto/MainBasis/统一需求文档.md；位置：行1569、行1443
2. 规则：BR-8955b8653f876f52
3. 未动态验证</x:v>
      </x:c>
    </x:row>
    <x:row r="137" ht="85" customHeight="1">
      <x:c r="A137" s="10" t="n">
        <x:v>136</x:v>
      </x:c>
      <x:c r="B137" s="10" t="str">
        <x:v>USER-05-0035</x:v>
      </x:c>
      <x:c r="C137" s="10" t="str">
        <x:v>我的</x:v>
      </x:c>
      <x:c r="D137" s="10" t="str">
        <x:v>设置（已登录普通用户视角）</x:v>
      </x:c>
      <x:c r="E137" s="10" t="str">
        <x:v>功能需求</x:v>
      </x:c>
      <x:c r="F137" s="10" t="str">
        <x:v>P2</x:v>
      </x:c>
      <x:c r="G137" s="9" t="str">
        <x:v>验证已授权再次点击</x:v>
      </x:c>
      <x:c r="H137" s="9" t="str">
        <x:v>重复授权提示</x:v>
      </x:c>
      <x:c r="I137" s="9" t="str">
        <x:v>1. 执行角色为已登录普通用户；当前处于设置页面
2. 设备系统通知权限已开启</x:v>
      </x:c>
      <x:c r="J137" s="9" t="str">
        <x:v>1. 点击系统通知</x:v>
      </x:c>
      <x:c r="K137" s="9" t="str">
        <x:v>提示“系统通知已开启”</x:v>
      </x:c>
      <x:c r="L137" s="10" t="str"/>
      <x:c r="M137" s="10" t="str">
        <x:v>未测</x:v>
      </x:c>
      <x:c r="N137" s="10" t="str"/>
      <x:c r="O137" s="9" t="str">
        <x:v>1. 来源（当前证据）：liveshow-proto/MainBasis/统一需求文档.md；位置：行1572、行1443
2. 规则：BR-d8fc123ef043ef9e
3. 未动态验证</x:v>
      </x:c>
    </x:row>
    <x:row r="138" ht="85" customHeight="1">
      <x:c r="A138" s="10" t="n">
        <x:v>137</x:v>
      </x:c>
      <x:c r="B138" s="10" t="str">
        <x:v>USER-05-0036</x:v>
      </x:c>
      <x:c r="C138" s="10" t="str">
        <x:v>我的</x:v>
      </x:c>
      <x:c r="D138" s="10" t="str">
        <x:v>设置（已登录普通用户视角）</x:v>
      </x:c>
      <x:c r="E138" s="10" t="str">
        <x:v>功能需求</x:v>
      </x:c>
      <x:c r="F138" s="10" t="str">
        <x:v>P1</x:v>
      </x:c>
      <x:c r="G138" s="9" t="str">
        <x:v>验证应用通知不代替系统权限</x:v>
      </x:c>
      <x:c r="H138" s="9" t="str">
        <x:v>系统通知权限保持</x:v>
      </x:c>
      <x:c r="I138" s="9" t="str">
        <x:v>1. 执行角色为已登录普通用户；当前处于设置页面
2. 系统通知已拒绝；应用通知分类开关关闭</x:v>
      </x:c>
      <x:c r="J138" s="9" t="str">
        <x:v>1. 打开应用通知分类开关
2. 查看系统通知状态</x:v>
      </x:c>
      <x:c r="K138" s="9" t="str">
        <x:v>系统通知状态仍为已拒绝</x:v>
      </x:c>
      <x:c r="L138" s="10" t="str"/>
      <x:c r="M138" s="10" t="str">
        <x:v>未测</x:v>
      </x:c>
      <x:c r="N138" s="10" t="str"/>
      <x:c r="O138" s="9" t="str">
        <x:v>1. 来源（当前证据）：liveshow-proto/MainBasis/统一需求文档.md；位置：行1563、行1443
2. 规则：BR-4353bac6a7cec0ce
3. 未动态验证</x:v>
      </x:c>
    </x:row>
    <x:row r="139" ht="85" customHeight="1">
      <x:c r="A139" s="10" t="n">
        <x:v>138</x:v>
      </x:c>
      <x:c r="B139" s="10" t="str">
        <x:v>USER-05-0037</x:v>
      </x:c>
      <x:c r="C139" s="10" t="str">
        <x:v>我的</x:v>
      </x:c>
      <x:c r="D139" s="10" t="str">
        <x:v>设置（已登录普通用户视角）</x:v>
      </x:c>
      <x:c r="E139" s="10" t="str">
        <x:v>功能需求</x:v>
      </x:c>
      <x:c r="F139" s="10" t="str">
        <x:v>P1</x:v>
      </x:c>
      <x:c r="G139" s="9" t="str">
        <x:v>验证通知分类独立</x:v>
      </x:c>
      <x:c r="H139" s="9" t="str">
        <x:v>通知类别设置隔离</x:v>
      </x:c>
      <x:c r="I139" s="9" t="str">
        <x:v>1. 执行角色为已登录普通用户；当前处于设置页面
2. 存在两个应用通知分类A和B且均开启</x:v>
      </x:c>
      <x:c r="J139" s="9" t="str">
        <x:v>1. 关闭通知分类A
2. 查看通知分类B</x:v>
      </x:c>
      <x:c r="K139" s="9" t="str">
        <x:v>分类B仍为开启状态</x:v>
      </x:c>
      <x:c r="L139" s="10" t="str"/>
      <x:c r="M139" s="10" t="str">
        <x:v>未测</x:v>
      </x:c>
      <x:c r="N139" s="10" t="str"/>
      <x:c r="O139" s="9" t="str">
        <x:v>1. 来源（当前证据）：liveshow-proto/MainBasis/统一需求文档.md；位置：行1458、行1570、行1443
2. 规则：BR-ba29c755337239e2
3. 未动态验证</x:v>
      </x:c>
    </x:row>
    <x:row r="140" ht="85" customHeight="1">
      <x:c r="A140" s="10" t="n">
        <x:v>139</x:v>
      </x:c>
      <x:c r="B140" s="10" t="str">
        <x:v>USER-05-0038</x:v>
      </x:c>
      <x:c r="C140" s="10" t="str">
        <x:v>我的</x:v>
      </x:c>
      <x:c r="D140" s="10" t="str">
        <x:v>设置（已登录普通用户视角）</x:v>
      </x:c>
      <x:c r="E140" s="10" t="str">
        <x:v>功能需求</x:v>
      </x:c>
      <x:c r="F140" s="10" t="str">
        <x:v>P2</x:v>
      </x:c>
      <x:c r="G140" s="9" t="str">
        <x:v>验证协议与版本信息：版本号</x:v>
      </x:c>
      <x:c r="H140" s="9" t="str">
        <x:v>版本号</x:v>
      </x:c>
      <x:c r="I140" s="9" t="str">
        <x:v>1. 执行角色为已登录普通用户；当前处于设置页面</x:v>
      </x:c>
      <x:c r="J140" s="9" t="str">
        <x:v>1. 查看设置页关于信息</x:v>
      </x:c>
      <x:c r="K140" s="9" t="str">
        <x:v>展示当前App版本号</x:v>
      </x:c>
      <x:c r="L140" s="10" t="str"/>
      <x:c r="M140" s="10" t="str">
        <x:v>未测</x:v>
      </x:c>
      <x:c r="N140" s="10" t="str"/>
      <x:c r="O140" s="9" t="str">
        <x:v>1. 来源（当前证据）：liveshow-proto/MainBasis/统一需求文档.md；位置：行1451、行1443
2. 规则：BR-a5c1a2bee32579ee
3. 未动态验证</x:v>
      </x:c>
    </x:row>
    <x:row r="141" ht="85" customHeight="1">
      <x:c r="A141" s="10" t="n">
        <x:v>140</x:v>
      </x:c>
      <x:c r="B141" s="10" t="str">
        <x:v>USER-05-0039</x:v>
      </x:c>
      <x:c r="C141" s="10" t="str">
        <x:v>我的</x:v>
      </x:c>
      <x:c r="D141" s="10" t="str">
        <x:v>设置（已登录普通用户视角）</x:v>
      </x:c>
      <x:c r="E141" s="10" t="str">
        <x:v>功能需求</x:v>
      </x:c>
      <x:c r="F141" s="10" t="str">
        <x:v>P2</x:v>
      </x:c>
      <x:c r="G141" s="9" t="str">
        <x:v>验证协议与版本信息：用户协议入口</x:v>
      </x:c>
      <x:c r="H141" s="9" t="str">
        <x:v>用户协议入口</x:v>
      </x:c>
      <x:c r="I141" s="9" t="str">
        <x:v>1. 执行角色为已登录普通用户；当前处于设置页面</x:v>
      </x:c>
      <x:c r="J141" s="9" t="str">
        <x:v>1. 查看设置页关于信息</x:v>
      </x:c>
      <x:c r="K141" s="9" t="str">
        <x:v>提供用户协议入口</x:v>
      </x:c>
      <x:c r="L141" s="10" t="str"/>
      <x:c r="M141" s="10" t="str">
        <x:v>未测</x:v>
      </x:c>
      <x:c r="N141" s="10" t="str"/>
      <x:c r="O141" s="9" t="str">
        <x:v>1. 来源（当前证据）：liveshow-proto/MainBasis/统一需求文档.md；位置：行1451、行1443
2. 规则：BR-ac5f46679fef5b77
3. 未动态验证</x:v>
      </x:c>
    </x:row>
    <x:row r="142" ht="85" customHeight="1">
      <x:c r="A142" s="10" t="n">
        <x:v>141</x:v>
      </x:c>
      <x:c r="B142" s="10" t="str">
        <x:v>USER-05-0040</x:v>
      </x:c>
      <x:c r="C142" s="10" t="str">
        <x:v>我的</x:v>
      </x:c>
      <x:c r="D142" s="10" t="str">
        <x:v>设置（已登录普通用户视角）</x:v>
      </x:c>
      <x:c r="E142" s="10" t="str">
        <x:v>功能需求</x:v>
      </x:c>
      <x:c r="F142" s="10" t="str">
        <x:v>P2</x:v>
      </x:c>
      <x:c r="G142" s="9" t="str">
        <x:v>验证协议与版本信息：隐私政策入口</x:v>
      </x:c>
      <x:c r="H142" s="9" t="str">
        <x:v>隐私政策入口</x:v>
      </x:c>
      <x:c r="I142" s="9" t="str">
        <x:v>1. 执行角色为已登录普通用户；当前处于设置页面</x:v>
      </x:c>
      <x:c r="J142" s="9" t="str">
        <x:v>1. 查看设置页关于信息</x:v>
      </x:c>
      <x:c r="K142" s="9" t="str">
        <x:v>提供隐私政策入口</x:v>
      </x:c>
      <x:c r="L142" s="10" t="str"/>
      <x:c r="M142" s="10" t="str">
        <x:v>未测</x:v>
      </x:c>
      <x:c r="N142" s="10" t="str"/>
      <x:c r="O142" s="9" t="str">
        <x:v>1. 来源（当前证据）：liveshow-proto/MainBasis/统一需求文档.md；位置：行1451、行1443
2. 规则：BR-2f0c7f53321c6d10
3. 未动态验证</x:v>
      </x:c>
    </x:row>
    <x:row r="143" ht="85" customHeight="1">
      <x:c r="A143" s="10" t="n">
        <x:v>142</x:v>
      </x:c>
      <x:c r="B143" s="10" t="str">
        <x:v>USER-05-0041</x:v>
      </x:c>
      <x:c r="C143" s="10" t="str">
        <x:v>我的</x:v>
      </x:c>
      <x:c r="D143" s="10" t="str">
        <x:v>设置（已登录普通用户视角）</x:v>
      </x:c>
      <x:c r="E143" s="10" t="str">
        <x:v>逻辑校验</x:v>
      </x:c>
      <x:c r="F143" s="10" t="str">
        <x:v>P1</x:v>
      </x:c>
      <x:c r="G143" s="9" t="str">
        <x:v>验证100金币不可注销：余额查看入口</x:v>
      </x:c>
      <x:c r="H143" s="9" t="str">
        <x:v>余额查看入口</x:v>
      </x:c>
      <x:c r="I143" s="9" t="str">
        <x:v>1. 执行角色为已登录普通用户；当前处于设置页面
2. 真实金币余额为100</x:v>
      </x:c>
      <x:c r="J143" s="9" t="str">
        <x:v>1. 点击注销账号</x:v>
      </x:c>
      <x:c r="K143" s="9" t="str">
        <x:v>提供查看余额按钮</x:v>
      </x:c>
      <x:c r="L143" s="10" t="str"/>
      <x:c r="M143" s="10" t="str">
        <x:v>未测</x:v>
      </x:c>
      <x:c r="N143" s="10" t="str"/>
      <x:c r="O143" s="9" t="str">
        <x:v>1. 来源（当前证据）：liveshow-proto/MainBasis/统一需求文档.md；位置：行1459、行1468、行1443
2. 规则：BR-05db054cc0a33e87
3. 未动态验证</x:v>
      </x:c>
    </x:row>
    <x:row r="144" ht="85" customHeight="1">
      <x:c r="A144" s="10" t="n">
        <x:v>143</x:v>
      </x:c>
      <x:c r="B144" s="10" t="str">
        <x:v>USER-05-0042</x:v>
      </x:c>
      <x:c r="C144" s="10" t="str">
        <x:v>我的</x:v>
      </x:c>
      <x:c r="D144" s="10" t="str">
        <x:v>设置（已登录普通用户视角）</x:v>
      </x:c>
      <x:c r="E144" s="10" t="str">
        <x:v>逻辑校验</x:v>
      </x:c>
      <x:c r="F144" s="10" t="str">
        <x:v>P1</x:v>
      </x:c>
      <x:c r="G144" s="9" t="str">
        <x:v>验证100金币不可注销：注销拦截</x:v>
      </x:c>
      <x:c r="H144" s="9" t="str">
        <x:v>注销拦截</x:v>
      </x:c>
      <x:c r="I144" s="9" t="str">
        <x:v>1. 执行角色为已登录普通用户；当前处于设置页面
2. 真实金币余额为100</x:v>
      </x:c>
      <x:c r="J144" s="9" t="str">
        <x:v>1. 点击注销账号</x:v>
      </x:c>
      <x:c r="K144" s="9" t="str">
        <x:v>不提供确认注销按钮</x:v>
      </x:c>
      <x:c r="L144" s="10" t="str"/>
      <x:c r="M144" s="10" t="str">
        <x:v>未测</x:v>
      </x:c>
      <x:c r="N144" s="10" t="str"/>
      <x:c r="O144" s="9" t="str">
        <x:v>1. 来源（当前证据）：liveshow-proto/MainBasis/统一需求文档.md；位置：行1459、行1468、行1443
2. 规则：BR-447118ce27cf12a1
3. 未动态验证</x:v>
      </x:c>
    </x:row>
    <x:row r="145" ht="85" customHeight="1">
      <x:c r="A145" s="10" t="n">
        <x:v>144</x:v>
      </x:c>
      <x:c r="B145" s="10" t="str">
        <x:v>USER-05-0043</x:v>
      </x:c>
      <x:c r="C145" s="10" t="str">
        <x:v>我的</x:v>
      </x:c>
      <x:c r="D145" s="10" t="str">
        <x:v>设置（已登录普通用户视角）</x:v>
      </x:c>
      <x:c r="E145" s="10" t="str">
        <x:v>逻辑校验</x:v>
      </x:c>
      <x:c r="F145" s="10" t="str">
        <x:v>P1</x:v>
      </x:c>
      <x:c r="G145" s="9" t="str">
        <x:v>验证101金币不可注销</x:v>
      </x:c>
      <x:c r="H145" s="9" t="str">
        <x:v>入口可用性</x:v>
      </x:c>
      <x:c r="I145" s="9" t="str">
        <x:v>1. 执行角色为已登录普通用户；当前处于设置页面
2. 真实金币余额为101</x:v>
      </x:c>
      <x:c r="J145" s="9" t="str">
        <x:v>1. 点击注销账号</x:v>
      </x:c>
      <x:c r="K145" s="9" t="str">
        <x:v>不能提交注销申请</x:v>
      </x:c>
      <x:c r="L145" s="10" t="str"/>
      <x:c r="M145" s="10" t="str">
        <x:v>未测</x:v>
      </x:c>
      <x:c r="N145" s="10" t="str"/>
      <x:c r="O145" s="9" t="str">
        <x:v>1. 来源（当前证据）：liveshow-proto/MainBasis/统一需求文档.md；位置：行1452、行1443
2. 规则：BR-6f18f2dda9e7d7ca
3. 未动态验证</x:v>
      </x:c>
    </x:row>
    <x:row r="146" ht="85" customHeight="1">
      <x:c r="A146" s="10" t="n">
        <x:v>145</x:v>
      </x:c>
      <x:c r="B146" s="10" t="str">
        <x:v>USER-05-0044</x:v>
      </x:c>
      <x:c r="C146" s="10" t="str">
        <x:v>我的</x:v>
      </x:c>
      <x:c r="D146" s="10" t="str">
        <x:v>设置（已登录普通用户视角）</x:v>
      </x:c>
      <x:c r="E146" s="10" t="str">
        <x:v>逻辑校验</x:v>
      </x:c>
      <x:c r="F146" s="10" t="str">
        <x:v>P1</x:v>
      </x:c>
      <x:c r="G146" s="9" t="str">
        <x:v>验证99金币注销确认：注销确认按钮</x:v>
      </x:c>
      <x:c r="H146" s="9" t="str">
        <x:v>注销确认按钮</x:v>
      </x:c>
      <x:c r="I146" s="9" t="str">
        <x:v>1. 执行角色为已登录普通用户；当前处于设置页面
2. 真实金币余额为99</x:v>
      </x:c>
      <x:c r="J146" s="9" t="str">
        <x:v>1. 点击注销账号</x:v>
      </x:c>
      <x:c r="K146" s="9" t="str">
        <x:v>提供确认注销按钮</x:v>
      </x:c>
      <x:c r="L146" s="10" t="str"/>
      <x:c r="M146" s="10" t="str">
        <x:v>未测</x:v>
      </x:c>
      <x:c r="N146" s="10" t="str"/>
      <x:c r="O146" s="9" t="str">
        <x:v>1. 来源（当前证据）：liveshow-proto/MainBasis/统一需求文档.md；位置：行1459、行1469、行1443
2. 规则：BR-e7b139a0e74f4aa9
3. 未动态验证</x:v>
      </x:c>
    </x:row>
    <x:row r="147" ht="85" customHeight="1">
      <x:c r="A147" s="10" t="n">
        <x:v>146</x:v>
      </x:c>
      <x:c r="B147" s="10" t="str">
        <x:v>USER-05-0045</x:v>
      </x:c>
      <x:c r="C147" s="10" t="str">
        <x:v>我的</x:v>
      </x:c>
      <x:c r="D147" s="10" t="str">
        <x:v>设置（已登录普通用户视角）</x:v>
      </x:c>
      <x:c r="E147" s="10" t="str">
        <x:v>逻辑校验</x:v>
      </x:c>
      <x:c r="F147" s="10" t="str">
        <x:v>P1</x:v>
      </x:c>
      <x:c r="G147" s="9" t="str">
        <x:v>验证99金币注销确认：注销取消按钮</x:v>
      </x:c>
      <x:c r="H147" s="9" t="str">
        <x:v>注销取消按钮</x:v>
      </x:c>
      <x:c r="I147" s="9" t="str">
        <x:v>1. 执行角色为已登录普通用户；当前处于设置页面
2. 真实金币余额为99</x:v>
      </x:c>
      <x:c r="J147" s="9" t="str">
        <x:v>1. 点击注销账号</x:v>
      </x:c>
      <x:c r="K147" s="9" t="str">
        <x:v>提供取消按钮</x:v>
      </x:c>
      <x:c r="L147" s="10" t="str"/>
      <x:c r="M147" s="10" t="str">
        <x:v>未测</x:v>
      </x:c>
      <x:c r="N147" s="10" t="str"/>
      <x:c r="O147" s="9" t="str">
        <x:v>1. 来源（当前证据）：liveshow-proto/MainBasis/统一需求文档.md；位置：行1459、行1469、行1443
2. 规则：BR-b6a4607ec2603a49
3. 未动态验证</x:v>
      </x:c>
    </x:row>
    <x:row r="148" ht="85" customHeight="1">
      <x:c r="A148" s="10" t="n">
        <x:v>147</x:v>
      </x:c>
      <x:c r="B148" s="10" t="str">
        <x:v>USER-05-0046</x:v>
      </x:c>
      <x:c r="C148" s="10" t="str">
        <x:v>我的</x:v>
      </x:c>
      <x:c r="D148" s="10" t="str">
        <x:v>设置（已登录普通用户视角）</x:v>
      </x:c>
      <x:c r="E148" s="10" t="str">
        <x:v>功能需求</x:v>
      </x:c>
      <x:c r="F148" s="10" t="str">
        <x:v>P1</x:v>
      </x:c>
      <x:c r="G148" s="9" t="str">
        <x:v>验证注销确认风险提示</x:v>
      </x:c>
      <x:c r="H148" s="9" t="str">
        <x:v>注销风险告知</x:v>
      </x:c>
      <x:c r="I148" s="9" t="str">
        <x:v>1. 执行角色为已登录普通用户；当前处于设置页面
2. 真实金币余额为0</x:v>
      </x:c>
      <x:c r="J148" s="9" t="str">
        <x:v>1. 点击注销账号</x:v>
      </x:c>
      <x:c r="K148" s="9" t="str">
        <x:v>提示七日冷静期及最终删除关系和粉丝团的风险</x:v>
      </x:c>
      <x:c r="L148" s="10" t="str"/>
      <x:c r="M148" s="10" t="str">
        <x:v>未测</x:v>
      </x:c>
      <x:c r="N148" s="10" t="str"/>
      <x:c r="O148" s="9" t="str">
        <x:v>1. 来源（当前证据）：liveshow-proto/MainBasis/统一需求文档.md；位置：行1467、行1443
2. 规则：BR-b7a766fbf8b1f257
3. 未动态验证</x:v>
      </x:c>
    </x:row>
    <x:row r="149" ht="85" customHeight="1">
      <x:c r="A149" s="10" t="n">
        <x:v>148</x:v>
      </x:c>
      <x:c r="B149" s="10" t="str">
        <x:v>USER-05-0047</x:v>
      </x:c>
      <x:c r="C149" s="10" t="str">
        <x:v>我的</x:v>
      </x:c>
      <x:c r="D149" s="10" t="str">
        <x:v>设置（已登录普通用户视角）</x:v>
      </x:c>
      <x:c r="E149" s="10" t="str">
        <x:v>业务流程</x:v>
      </x:c>
      <x:c r="F149" s="10" t="str">
        <x:v>P1</x:v>
      </x:c>
      <x:c r="G149" s="9" t="str">
        <x:v>验证注销十秒倒计时</x:v>
      </x:c>
      <x:c r="H149" s="9" t="str">
        <x:v>入口可用性</x:v>
      </x:c>
      <x:c r="I149" s="9" t="str">
        <x:v>1. 执行角色为已登录普通用户；当前处于设置页面
2. 真实金币余额为0；注销确认弹窗已打开</x:v>
      </x:c>
      <x:c r="J149" s="9" t="str">
        <x:v>1. 点击确认注销</x:v>
      </x:c>
      <x:c r="K149" s="9" t="str">
        <x:v>开始10秒倒计时且只保留取消按钮</x:v>
      </x:c>
      <x:c r="L149" s="10" t="str"/>
      <x:c r="M149" s="10" t="str">
        <x:v>未测</x:v>
      </x:c>
      <x:c r="N149" s="10" t="str"/>
      <x:c r="O149" s="9" t="str">
        <x:v>1. 来源（当前证据）：liveshow-proto/MainBasis/统一需求文档.md；位置：行1469、行1443
2. 规则：BR-c94ef0e49d2f746b
3. 未动态验证</x:v>
      </x:c>
    </x:row>
    <x:row r="150" ht="85" customHeight="1">
      <x:c r="A150" s="10" t="n">
        <x:v>149</x:v>
      </x:c>
      <x:c r="B150" s="10" t="str">
        <x:v>USER-05-0048</x:v>
      </x:c>
      <x:c r="C150" s="10" t="str">
        <x:v>我的</x:v>
      </x:c>
      <x:c r="D150" s="10" t="str">
        <x:v>设置（已登录普通用户视角）</x:v>
      </x:c>
      <x:c r="E150" s="10" t="str">
        <x:v>业务流程</x:v>
      </x:c>
      <x:c r="F150" s="10" t="str">
        <x:v>P1</x:v>
      </x:c>
      <x:c r="G150" s="9" t="str">
        <x:v>验证倒计时取消注销</x:v>
      </x:c>
      <x:c r="H150" s="9" t="str">
        <x:v>注销提交取消</x:v>
      </x:c>
      <x:c r="I150" s="9" t="str">
        <x:v>1. 执行角色为已登录普通用户；当前处于设置页面
2. 注销倒计时已开始且未满10秒</x:v>
      </x:c>
      <x:c r="J150" s="9" t="str">
        <x:v>1. 点击取消</x:v>
      </x:c>
      <x:c r="K150" s="9" t="str">
        <x:v>注销申请未提交</x:v>
      </x:c>
      <x:c r="L150" s="10" t="str"/>
      <x:c r="M150" s="10" t="str">
        <x:v>未测</x:v>
      </x:c>
      <x:c r="N150" s="10" t="str"/>
      <x:c r="O150" s="9" t="str">
        <x:v>1. 来源（当前证据）：liveshow-proto/MainBasis/统一需求文档.md；位置：行1470、行1443
2. 规则：BR-f3958e870ffba91a
3. 未动态验证</x:v>
      </x:c>
    </x:row>
    <x:row r="151" ht="130" customHeight="1">
      <x:c r="A151" s="10" t="n">
        <x:v>150</x:v>
      </x:c>
      <x:c r="B151" s="10" t="str">
        <x:v>USER-05-0049</x:v>
      </x:c>
      <x:c r="C151" s="10" t="str">
        <x:v>我的</x:v>
      </x:c>
      <x:c r="D151" s="10" t="str">
        <x:v>设置（已登录普通用户视角）</x:v>
      </x:c>
      <x:c r="E151" s="10" t="str">
        <x:v>业务流程</x:v>
      </x:c>
      <x:c r="F151" s="10" t="str">
        <x:v>P1</x:v>
      </x:c>
      <x:c r="G151" s="9" t="str">
        <x:v>验证倒计时完成提交</x:v>
      </x:c>
      <x:c r="H151" s="9" t="str">
        <x:v>注销提交去向</x:v>
      </x:c>
      <x:c r="I151" s="9" t="str">
        <x:v>1. 执行角色为已登录普通用户；当前处于设置页面
2. 注销倒计时已开始</x:v>
      </x:c>
      <x:c r="J151" s="9" t="str">
        <x:v>1. 查看10秒倒计时至结束</x:v>
      </x:c>
      <x:c r="K151" s="9" t="str">
        <x:v>提交注销申请并返回登录页</x:v>
      </x:c>
      <x:c r="L151" s="10" t="str">
        <x:v>FLOW-634569CC</x:v>
      </x:c>
      <x:c r="M151" s="10" t="str">
        <x:v>未测</x:v>
      </x:c>
      <x:c r="N151" s="10" t="str"/>
      <x:c r="O151" s="9" t="str">
        <x:v>1. 来源（当前证据）：liveshow-proto/MainBasis/统一需求文档.md；位置：行1470、行1443
2. 规则：BR-fbf7874099bc8b46
3. 未动态验证
4. 状态转换：ST-USER-004；共同业务对象：账号注销；当前阶段：确认注销并等待10秒后的用户App观察</x:v>
      </x:c>
    </x:row>
    <x:row r="152" ht="85" customHeight="1">
      <x:c r="A152" s="10" t="n">
        <x:v>151</x:v>
      </x:c>
      <x:c r="B152" s="10" t="str">
        <x:v>USER-05-0050</x:v>
      </x:c>
      <x:c r="C152" s="10" t="str">
        <x:v>我的</x:v>
      </x:c>
      <x:c r="D152" s="10" t="str">
        <x:v>设置（已登录普通用户视角）</x:v>
      </x:c>
      <x:c r="E152" s="10" t="str">
        <x:v>功能需求</x:v>
      </x:c>
      <x:c r="F152" s="10" t="str">
        <x:v>P1</x:v>
      </x:c>
      <x:c r="G152" s="9" t="str">
        <x:v>验证退出登录确认</x:v>
      </x:c>
      <x:c r="H152" s="9" t="str">
        <x:v>退出登录确认弹窗</x:v>
      </x:c>
      <x:c r="I152" s="9" t="str">
        <x:v>1. 执行角色为已登录普通用户；当前处于设置页面</x:v>
      </x:c>
      <x:c r="J152" s="9" t="str">
        <x:v>1. 点击退出登录</x:v>
      </x:c>
      <x:c r="K152" s="9" t="str">
        <x:v>显示退出登录确认弹窗</x:v>
      </x:c>
      <x:c r="L152" s="10" t="str"/>
      <x:c r="M152" s="10" t="str">
        <x:v>未测</x:v>
      </x:c>
      <x:c r="N152" s="10" t="str"/>
      <x:c r="O152" s="9" t="str">
        <x:v>1. 来源（当前证据）：liveshow-proto/MainBasis/统一需求文档.md；位置：行1472、行1443
2. 规则：BR-4121b39c511fd713
3. 未动态验证</x:v>
      </x:c>
    </x:row>
    <x:row r="153" ht="130" customHeight="1">
      <x:c r="A153" s="10" t="n">
        <x:v>152</x:v>
      </x:c>
      <x:c r="B153" s="10" t="str">
        <x:v>USER-05-0051</x:v>
      </x:c>
      <x:c r="C153" s="10" t="str">
        <x:v>我的</x:v>
      </x:c>
      <x:c r="D153" s="10" t="str">
        <x:v>设置（已登录普通用户视角）</x:v>
      </x:c>
      <x:c r="E153" s="10" t="str">
        <x:v>业务流程</x:v>
      </x:c>
      <x:c r="F153" s="10" t="str">
        <x:v>P1</x:v>
      </x:c>
      <x:c r="G153" s="9" t="str">
        <x:v>验证退出当前设备</x:v>
      </x:c>
      <x:c r="H153" s="9" t="str">
        <x:v>本机退出去向</x:v>
      </x:c>
      <x:c r="I153" s="9" t="str">
        <x:v>1. 执行角色为已登录普通用户；当前处于设置页面</x:v>
      </x:c>
      <x:c r="J153" s="9" t="str">
        <x:v>1. 点击退出登录
2. 点击确认退出</x:v>
      </x:c>
      <x:c r="K153" s="9" t="str">
        <x:v>当前设备返回登录页</x:v>
      </x:c>
      <x:c r="L153" s="10" t="str">
        <x:v>FLOW-311BB313</x:v>
      </x:c>
      <x:c r="M153" s="10" t="str">
        <x:v>未测</x:v>
      </x:c>
      <x:c r="N153" s="10" t="str"/>
      <x:c r="O153" s="9" t="str">
        <x:v>1. 来源（当前证据）：liveshow-proto/MainBasis/统一需求文档.md；位置：行1472、行1443
2. 规则：BR-f25650c4181a98dd
3. 未动态验证
4. 状态转换：ST-USER-003；共同业务对象：账号；当前阶段：确认退出登录后的用户App观察</x:v>
      </x:c>
    </x:row>
    <x:row r="154" ht="85" customHeight="1">
      <x:c r="A154" s="10" t="n">
        <x:v>153</x:v>
      </x:c>
      <x:c r="B154" s="10" t="str">
        <x:v>USER-05-0052</x:v>
      </x:c>
      <x:c r="C154" s="10" t="str">
        <x:v>我的</x:v>
      </x:c>
      <x:c r="D154" s="10" t="str">
        <x:v>设置（已登录普通用户视角）</x:v>
      </x:c>
      <x:c r="E154" s="10" t="str">
        <x:v>业务流程</x:v>
      </x:c>
      <x:c r="F154" s="10" t="str">
        <x:v>P1</x:v>
      </x:c>
      <x:c r="G154" s="9" t="str">
        <x:v>验证退出不影响其他设备</x:v>
      </x:c>
      <x:c r="H154" s="9" t="str">
        <x:v>其他设备会话保持</x:v>
      </x:c>
      <x:c r="I154" s="9" t="str">
        <x:v>1. 执行角色为已登录普通用户；当前处于设置页面
2. 同一账号在测试设备A和B处于已登录状态；当前操作设备A</x:v>
      </x:c>
      <x:c r="J154" s="9" t="str">
        <x:v>1. 点击退出登录
2. 点击确认退出
3. 查看设备B会话</x:v>
      </x:c>
      <x:c r="K154" s="9" t="str">
        <x:v>设备B仍保持登录状态</x:v>
      </x:c>
      <x:c r="L154" s="10" t="str"/>
      <x:c r="M154" s="10" t="str">
        <x:v>未测</x:v>
      </x:c>
      <x:c r="N154" s="10" t="str"/>
      <x:c r="O154" s="9" t="str">
        <x:v>1. 来源（当前证据）：liveshow-proto/MainBasis/统一需求文档.md；位置：行1456、行1443
2. 规则：BR-9303dfbe99c2ff39
3. 未动态验证</x:v>
      </x:c>
    </x:row>
    <x:row r="155" ht="85" customHeight="1">
      <x:c r="A155" s="10" t="n">
        <x:v>154</x:v>
      </x:c>
      <x:c r="B155" s="10" t="str">
        <x:v>USER-05-0053</x:v>
      </x:c>
      <x:c r="C155" s="10" t="str">
        <x:v>我的</x:v>
      </x:c>
      <x:c r="D155" s="10" t="str">
        <x:v>设置（已登录普通用户视角）</x:v>
      </x:c>
      <x:c r="E155" s="10" t="str">
        <x:v>功能需求</x:v>
      </x:c>
      <x:c r="F155" s="10" t="str">
        <x:v>P2</x:v>
      </x:c>
      <x:c r="G155" s="9" t="str">
        <x:v>验证切换语言中文</x:v>
      </x:c>
      <x:c r="H155" s="9" t="str">
        <x:v>界面语言切换</x:v>
      </x:c>
      <x:c r="I155" s="9" t="str">
        <x:v>1. 执行角色为已登录普通用户；当前处于设置页面</x:v>
      </x:c>
      <x:c r="J155" s="9" t="str">
        <x:v>1. 点击语言设置
2. 选择中文</x:v>
      </x:c>
      <x:c r="K155" s="9" t="str">
        <x:v>页面文案切换为中文</x:v>
      </x:c>
      <x:c r="L155" s="10" t="str"/>
      <x:c r="M155" s="10" t="str">
        <x:v>未测</x:v>
      </x:c>
      <x:c r="N155" s="10" t="str"/>
      <x:c r="O155" s="9" t="str">
        <x:v>1. 来源（当前证据）：liveshow-proto/MainBasis/统一需求文档.md；位置：行1463、行499、行1443
2. 规则：BR-5aa1a5fd80f4d670
3. 未动态验证</x:v>
      </x:c>
    </x:row>
    <x:row r="156" ht="85" customHeight="1">
      <x:c r="A156" s="10" t="n">
        <x:v>155</x:v>
      </x:c>
      <x:c r="B156" s="10" t="str">
        <x:v>USER-05-0054</x:v>
      </x:c>
      <x:c r="C156" s="10" t="str">
        <x:v>我的</x:v>
      </x:c>
      <x:c r="D156" s="10" t="str">
        <x:v>设置（已登录普通用户视角）</x:v>
      </x:c>
      <x:c r="E156" s="10" t="str">
        <x:v>功能需求</x:v>
      </x:c>
      <x:c r="F156" s="10" t="str">
        <x:v>P2</x:v>
      </x:c>
      <x:c r="G156" s="9" t="str">
        <x:v>验证切换语言English</x:v>
      </x:c>
      <x:c r="H156" s="9" t="str">
        <x:v>界面语言切换</x:v>
      </x:c>
      <x:c r="I156" s="9" t="str">
        <x:v>1. 执行角色为已登录普通用户；当前处于设置页面</x:v>
      </x:c>
      <x:c r="J156" s="9" t="str">
        <x:v>1. 点击语言设置
2. 选择English</x:v>
      </x:c>
      <x:c r="K156" s="9" t="str">
        <x:v>页面文案切换为English</x:v>
      </x:c>
      <x:c r="L156" s="10" t="str"/>
      <x:c r="M156" s="10" t="str">
        <x:v>未测</x:v>
      </x:c>
      <x:c r="N156" s="10" t="str"/>
      <x:c r="O156" s="9" t="str">
        <x:v>1. 来源（当前证据）：liveshow-proto/MainBasis/统一需求文档.md；位置：行1463、行499、行1443
2. 规则：BR-79359af32db4e709
3. 未动态验证</x:v>
      </x:c>
    </x:row>
    <x:row r="157" ht="85" customHeight="1">
      <x:c r="A157" s="10" t="n">
        <x:v>156</x:v>
      </x:c>
      <x:c r="B157" s="10" t="str">
        <x:v>USER-05-0055</x:v>
      </x:c>
      <x:c r="C157" s="10" t="str">
        <x:v>我的</x:v>
      </x:c>
      <x:c r="D157" s="10" t="str">
        <x:v>设置（已登录普通用户视角）</x:v>
      </x:c>
      <x:c r="E157" s="10" t="str">
        <x:v>功能需求</x:v>
      </x:c>
      <x:c r="F157" s="10" t="str">
        <x:v>P2</x:v>
      </x:c>
      <x:c r="G157" s="9" t="str">
        <x:v>验证切换语言Bahasa Indonesia</x:v>
      </x:c>
      <x:c r="H157" s="9" t="str">
        <x:v>界面语言切换</x:v>
      </x:c>
      <x:c r="I157" s="9" t="str">
        <x:v>1. 执行角色为已登录普通用户；当前处于设置页面</x:v>
      </x:c>
      <x:c r="J157" s="9" t="str">
        <x:v>1. 点击语言设置
2. 选择Bahasa Indonesia</x:v>
      </x:c>
      <x:c r="K157" s="9" t="str">
        <x:v>页面文案切换为Bahasa Indonesia</x:v>
      </x:c>
      <x:c r="L157" s="10" t="str"/>
      <x:c r="M157" s="10" t="str">
        <x:v>未测</x:v>
      </x:c>
      <x:c r="N157" s="10" t="str"/>
      <x:c r="O157" s="9" t="str">
        <x:v>1. 来源（当前证据）：liveshow-proto/MainBasis/统一需求文档.md；位置：行1463、行499、行1443
2. 规则：BR-b0cb790745302353
3. 未动态验证</x:v>
      </x:c>
    </x:row>
    <x:row r="158" ht="85" customHeight="1">
      <x:c r="A158" s="10" t="n">
        <x:v>157</x:v>
      </x:c>
      <x:c r="B158" s="10" t="str">
        <x:v>USER-05-0056</x:v>
      </x:c>
      <x:c r="C158" s="10" t="str">
        <x:v>我的</x:v>
      </x:c>
      <x:c r="D158" s="10" t="str">
        <x:v>设置（已登录普通用户视角）</x:v>
      </x:c>
      <x:c r="E158" s="10" t="str">
        <x:v>功能需求</x:v>
      </x:c>
      <x:c r="F158" s="10" t="str">
        <x:v>P2</x:v>
      </x:c>
      <x:c r="G158" s="9" t="str">
        <x:v>验证切换语言Bahasa Melayu</x:v>
      </x:c>
      <x:c r="H158" s="9" t="str">
        <x:v>界面语言切换</x:v>
      </x:c>
      <x:c r="I158" s="9" t="str">
        <x:v>1. 执行角色为已登录普通用户；当前处于设置页面</x:v>
      </x:c>
      <x:c r="J158" s="9" t="str">
        <x:v>1. 点击语言设置
2. 选择Bahasa Melayu</x:v>
      </x:c>
      <x:c r="K158" s="9" t="str">
        <x:v>页面文案切换为Bahasa Melayu</x:v>
      </x:c>
      <x:c r="L158" s="10" t="str"/>
      <x:c r="M158" s="10" t="str">
        <x:v>未测</x:v>
      </x:c>
      <x:c r="N158" s="10" t="str"/>
      <x:c r="O158" s="9" t="str">
        <x:v>1. 来源（当前证据）：liveshow-proto/MainBasis/统一需求文档.md；位置：行1463、行499、行1443
2. 规则：BR-76718e8d44d1c5d4
3. 未动态验证</x:v>
      </x:c>
    </x:row>
    <x:row r="159" ht="85" customHeight="1">
      <x:c r="A159" s="10" t="n">
        <x:v>158</x:v>
      </x:c>
      <x:c r="B159" s="10" t="str">
        <x:v>USER-05-0057</x:v>
      </x:c>
      <x:c r="C159" s="10" t="str">
        <x:v>我的</x:v>
      </x:c>
      <x:c r="D159" s="10" t="str">
        <x:v>设置密码（已登录普通用户视角）</x:v>
      </x:c>
      <x:c r="E159" s="10" t="str">
        <x:v>功能需求</x:v>
      </x:c>
      <x:c r="F159" s="10" t="str">
        <x:v>P1</x:v>
      </x:c>
      <x:c r="G159" s="9" t="str">
        <x:v>验证设置密码账号脱敏：手机号验证选项</x:v>
      </x:c>
      <x:c r="H159" s="9" t="str">
        <x:v>手机号验证选项</x:v>
      </x:c>
      <x:c r="I159" s="9" t="str">
        <x:v>1. 执行角色为已登录普通用户；当前处于设置密码页面
2. 账号已绑定本人可接收验证码的手机号和邮箱</x:v>
      </x:c>
      <x:c r="J159" s="9" t="str">
        <x:v>1. 查看验证方式</x:v>
      </x:c>
      <x:c r="K159" s="9" t="str">
        <x:v>仅提供本账号已绑定的脱敏手机号</x:v>
      </x:c>
      <x:c r="L159" s="10" t="str"/>
      <x:c r="M159" s="10" t="str">
        <x:v>未测</x:v>
      </x:c>
      <x:c r="N159" s="10" t="str"/>
      <x:c r="O159" s="9" t="str">
        <x:v>1. 来源（当前证据）：liveshow-proto/MainBasis/统一需求文档.md；位置：行1485、行1483
2. 规则：BR-47419890542c3659
3. 未动态验证</x:v>
      </x:c>
    </x:row>
    <x:row r="160" ht="85" customHeight="1">
      <x:c r="A160" s="10" t="n">
        <x:v>159</x:v>
      </x:c>
      <x:c r="B160" s="10" t="str">
        <x:v>USER-05-0058</x:v>
      </x:c>
      <x:c r="C160" s="10" t="str">
        <x:v>我的</x:v>
      </x:c>
      <x:c r="D160" s="10" t="str">
        <x:v>设置密码（已登录普通用户视角）</x:v>
      </x:c>
      <x:c r="E160" s="10" t="str">
        <x:v>功能需求</x:v>
      </x:c>
      <x:c r="F160" s="10" t="str">
        <x:v>P1</x:v>
      </x:c>
      <x:c r="G160" s="9" t="str">
        <x:v>验证设置密码账号脱敏：邮箱验证选项</x:v>
      </x:c>
      <x:c r="H160" s="9" t="str">
        <x:v>邮箱验证选项</x:v>
      </x:c>
      <x:c r="I160" s="9" t="str">
        <x:v>1. 执行角色为已登录普通用户；当前处于设置密码页面
2. 账号已绑定本人可接收验证码的手机号和邮箱</x:v>
      </x:c>
      <x:c r="J160" s="9" t="str">
        <x:v>1. 查看验证方式</x:v>
      </x:c>
      <x:c r="K160" s="9" t="str">
        <x:v>仅提供本账号已绑定的脱敏邮箱</x:v>
      </x:c>
      <x:c r="L160" s="10" t="str"/>
      <x:c r="M160" s="10" t="str">
        <x:v>未测</x:v>
      </x:c>
      <x:c r="N160" s="10" t="str"/>
      <x:c r="O160" s="9" t="str">
        <x:v>1. 来源（当前证据）：liveshow-proto/MainBasis/统一需求文档.md；位置：行1485、行1483
2. 规则：BR-f650962735327924
3. 未动态验证</x:v>
      </x:c>
    </x:row>
    <x:row r="161" ht="85" customHeight="1">
      <x:c r="A161" s="10" t="n">
        <x:v>160</x:v>
      </x:c>
      <x:c r="B161" s="10" t="str">
        <x:v>USER-05-0059</x:v>
      </x:c>
      <x:c r="C161" s="10" t="str">
        <x:v>我的</x:v>
      </x:c>
      <x:c r="D161" s="10" t="str">
        <x:v>设置密码（已登录普通用户视角）</x:v>
      </x:c>
      <x:c r="E161" s="10" t="str">
        <x:v>功能需求</x:v>
      </x:c>
      <x:c r="F161" s="10" t="str">
        <x:v>P1</x:v>
      </x:c>
      <x:c r="G161" s="9" t="str">
        <x:v>验证设置密码手机号验证</x:v>
      </x:c>
      <x:c r="H161" s="9" t="str">
        <x:v>验证码接收手机号</x:v>
      </x:c>
      <x:c r="I161" s="9" t="str">
        <x:v>1. 执行角色为已登录普通用户；当前处于设置密码页面
2. 账号已绑定本人可接收验证码的手机号和邮箱</x:v>
      </x:c>
      <x:c r="J161" s="9" t="str">
        <x:v>1. 选择已绑定手机号
2. 点击获取验证码</x:v>
      </x:c>
      <x:c r="K161" s="9" t="str">
        <x:v>验证码发送到选中的绑定手机号</x:v>
      </x:c>
      <x:c r="L161" s="10" t="str"/>
      <x:c r="M161" s="10" t="str">
        <x:v>未测</x:v>
      </x:c>
      <x:c r="N161" s="10" t="str"/>
      <x:c r="O161" s="9" t="str">
        <x:v>1. 来源（当前证据）：liveshow-proto/MainBasis/统一需求文档.md；位置：行1492、行1483
2. 规则：BR-0122833576c5cbf5
3. 未动态验证</x:v>
      </x:c>
    </x:row>
    <x:row r="162" ht="85" customHeight="1">
      <x:c r="A162" s="10" t="n">
        <x:v>161</x:v>
      </x:c>
      <x:c r="B162" s="10" t="str">
        <x:v>USER-05-0060</x:v>
      </x:c>
      <x:c r="C162" s="10" t="str">
        <x:v>我的</x:v>
      </x:c>
      <x:c r="D162" s="10" t="str">
        <x:v>设置密码（已登录普通用户视角）</x:v>
      </x:c>
      <x:c r="E162" s="10" t="str">
        <x:v>功能需求</x:v>
      </x:c>
      <x:c r="F162" s="10" t="str">
        <x:v>P1</x:v>
      </x:c>
      <x:c r="G162" s="9" t="str">
        <x:v>验证设置密码邮箱验证</x:v>
      </x:c>
      <x:c r="H162" s="9" t="str">
        <x:v>验证码接收邮箱</x:v>
      </x:c>
      <x:c r="I162" s="9" t="str">
        <x:v>1. 执行角色为已登录普通用户；当前处于设置密码页面
2. 账号已绑定本人可接收验证码的手机号和邮箱</x:v>
      </x:c>
      <x:c r="J162" s="9" t="str">
        <x:v>1. 选择已绑定邮箱
2. 点击获取验证码</x:v>
      </x:c>
      <x:c r="K162" s="9" t="str">
        <x:v>验证码发送到选中的绑定邮箱</x:v>
      </x:c>
      <x:c r="L162" s="10" t="str"/>
      <x:c r="M162" s="10" t="str">
        <x:v>未测</x:v>
      </x:c>
      <x:c r="N162" s="10" t="str"/>
      <x:c r="O162" s="9" t="str">
        <x:v>1. 来源（当前证据）：liveshow-proto/MainBasis/统一需求文档.md；位置：行1492、行1483
2. 规则：BR-3a17429a62b24217
3. 未动态验证</x:v>
      </x:c>
    </x:row>
    <x:row r="163" ht="85" customHeight="1">
      <x:c r="A163" s="10" t="n">
        <x:v>162</x:v>
      </x:c>
      <x:c r="B163" s="10" t="str">
        <x:v>USER-05-0061</x:v>
      </x:c>
      <x:c r="C163" s="10" t="str">
        <x:v>我的</x:v>
      </x:c>
      <x:c r="D163" s="10" t="str">
        <x:v>设置密码（已登录普通用户视角）</x:v>
      </x:c>
      <x:c r="E163" s="10" t="str">
        <x:v>逻辑校验</x:v>
      </x:c>
      <x:c r="F163" s="10" t="str">
        <x:v>P1</x:v>
      </x:c>
      <x:c r="G163" s="9" t="str">
        <x:v>验证设置密码倒计时限制</x:v>
      </x:c>
      <x:c r="H163" s="9" t="str">
        <x:v>验证码重发按钮状态</x:v>
      </x:c>
      <x:c r="I163" s="9" t="str">
        <x:v>1. 执行角色为已登录普通用户；当前处于设置密码页面
2. 账号已绑定本人可接收验证码的手机号和邮箱
3. 验证码发送成功后已过59秒</x:v>
      </x:c>
      <x:c r="J163" s="9" t="str">
        <x:v>1. 查看获取验证码按钮</x:v>
      </x:c>
      <x:c r="K163" s="9" t="str">
        <x:v>重发按钮不可用</x:v>
      </x:c>
      <x:c r="L163" s="10" t="str"/>
      <x:c r="M163" s="10" t="str">
        <x:v>未测</x:v>
      </x:c>
      <x:c r="N163" s="10" t="str"/>
      <x:c r="O163" s="9" t="str">
        <x:v>1. 来源（当前证据）：liveshow-proto/MainBasis/统一需求文档.md；位置：行1492、行1483
2. 规则：BR-c2b0a26cc79a159c
3. 未动态验证</x:v>
      </x:c>
    </x:row>
    <x:row r="164" ht="85" customHeight="1">
      <x:c r="A164" s="10" t="n">
        <x:v>163</x:v>
      </x:c>
      <x:c r="B164" s="10" t="str">
        <x:v>USER-05-0062</x:v>
      </x:c>
      <x:c r="C164" s="10" t="str">
        <x:v>我的</x:v>
      </x:c>
      <x:c r="D164" s="10" t="str">
        <x:v>设置密码（已登录普通用户视角）</x:v>
      </x:c>
      <x:c r="E164" s="10" t="str">
        <x:v>逻辑校验</x:v>
      </x:c>
      <x:c r="F164" s="10" t="str">
        <x:v>P1</x:v>
      </x:c>
      <x:c r="G164" s="9" t="str">
        <x:v>验证设置密码重新发送</x:v>
      </x:c>
      <x:c r="H164" s="9" t="str">
        <x:v>验证码重发恢复</x:v>
      </x:c>
      <x:c r="I164" s="9" t="str">
        <x:v>1. 执行角色为已登录普通用户；当前处于设置密码页面
2. 账号已绑定本人可接收验证码的手机号和邮箱
3. 验证码发送成功后已过60秒</x:v>
      </x:c>
      <x:c r="J164" s="9" t="str">
        <x:v>1. 点击获取验证码</x:v>
      </x:c>
      <x:c r="K164" s="9" t="str">
        <x:v>允许重新发送验证码</x:v>
      </x:c>
      <x:c r="L164" s="10" t="str"/>
      <x:c r="M164" s="10" t="str">
        <x:v>未测</x:v>
      </x:c>
      <x:c r="N164" s="10" t="str"/>
      <x:c r="O164" s="9" t="str">
        <x:v>1. 来源（当前证据）：liveshow-proto/MainBasis/统一需求文档.md；位置：行1492、行1483
2. 规则：BR-2fb6fc0c657122d8
3. 未动态验证</x:v>
      </x:c>
    </x:row>
    <x:row r="165" ht="100" customHeight="1">
      <x:c r="A165" s="10" t="n">
        <x:v>164</x:v>
      </x:c>
      <x:c r="B165" s="10" t="str">
        <x:v>USER-05-0063</x:v>
      </x:c>
      <x:c r="C165" s="10" t="str">
        <x:v>我的</x:v>
      </x:c>
      <x:c r="D165" s="10" t="str">
        <x:v>设置密码（已登录普通用户视角）</x:v>
      </x:c>
      <x:c r="E165" s="10" t="str">
        <x:v>逻辑校验</x:v>
      </x:c>
      <x:c r="F165" s="10" t="str">
        <x:v>P1</x:v>
      </x:c>
      <x:c r="G165" s="9" t="str">
        <x:v>验证设置密码六位格式</x:v>
      </x:c>
      <x:c r="H165" s="9" t="str">
        <x:v>凭证格式</x:v>
      </x:c>
      <x:c r="I165" s="9" t="str">
        <x:v>1. 执行角色为已登录普通用户；当前处于设置密码页面
2. 账号已绑定本人可接收验证码的手机号和邮箱
3. 已填入符合要求的新密码及确认密码</x:v>
      </x:c>
      <x:c r="J165" s="9" t="str">
        <x:v>1. 输入五位验证码“12345”
2. 查看完成按钮</x:v>
      </x:c>
      <x:c r="K165" s="9" t="str">
        <x:v>完成按钮不可用</x:v>
      </x:c>
      <x:c r="L165" s="10" t="str"/>
      <x:c r="M165" s="10" t="str">
        <x:v>未测</x:v>
      </x:c>
      <x:c r="N165" s="10" t="str"/>
      <x:c r="O165" s="9" t="str">
        <x:v>1. 来源（当前证据）：liveshow-proto/MainBasis/统一需求文档.md；位置：行1486、行1493、行1483
2. 规则：BR-91b6e72d3bf55c76
3. 未动态验证</x:v>
      </x:c>
    </x:row>
    <x:row r="166" ht="85" customHeight="1">
      <x:c r="A166" s="10" t="n">
        <x:v>165</x:v>
      </x:c>
      <x:c r="B166" s="10" t="str">
        <x:v>USER-05-0064</x:v>
      </x:c>
      <x:c r="C166" s="10" t="str">
        <x:v>我的</x:v>
      </x:c>
      <x:c r="D166" s="10" t="str">
        <x:v>设置密码（已登录普通用户视角）</x:v>
      </x:c>
      <x:c r="E166" s="10" t="str">
        <x:v>逻辑校验</x:v>
      </x:c>
      <x:c r="F166" s="10" t="str">
        <x:v>P1</x:v>
      </x:c>
      <x:c r="G166" s="9" t="str">
        <x:v>验证设置密码七位边界</x:v>
      </x:c>
      <x:c r="H166" s="9" t="str">
        <x:v>凭证格式</x:v>
      </x:c>
      <x:c r="I166" s="9" t="str">
        <x:v>1. 执行角色为已登录普通用户；当前处于设置密码页面
2. 账号已绑定本人可接收验证码的手机号和邮箱
3. 验证码有效</x:v>
      </x:c>
      <x:c r="J166" s="9" t="str">
        <x:v>1. 输入新密码“Qa12345”
2. 输入相同确认密码
3. 查看完成按钮</x:v>
      </x:c>
      <x:c r="K166" s="9" t="str">
        <x:v>完成按钮不可用</x:v>
      </x:c>
      <x:c r="L166" s="10" t="str"/>
      <x:c r="M166" s="10" t="str">
        <x:v>未测</x:v>
      </x:c>
      <x:c r="N166" s="10" t="str"/>
      <x:c r="O166" s="9" t="str">
        <x:v>1. 来源（当前证据）：liveshow-proto/MainBasis/统一需求文档.md；位置：行1487、行1493、行1483
2. 规则：BR-f8b36d9cfbc5ccf6
3. 未动态验证</x:v>
      </x:c>
    </x:row>
    <x:row r="167" ht="85" customHeight="1">
      <x:c r="A167" s="10" t="n">
        <x:v>166</x:v>
      </x:c>
      <x:c r="B167" s="10" t="str">
        <x:v>USER-05-0065</x:v>
      </x:c>
      <x:c r="C167" s="10" t="str">
        <x:v>我的</x:v>
      </x:c>
      <x:c r="D167" s="10" t="str">
        <x:v>设置密码（已登录普通用户视角）</x:v>
      </x:c>
      <x:c r="E167" s="10" t="str">
        <x:v>业务流程</x:v>
      </x:c>
      <x:c r="F167" s="10" t="str">
        <x:v>P0</x:v>
      </x:c>
      <x:c r="G167" s="9" t="str">
        <x:v>验证设置密码八位边界：密码保存</x:v>
      </x:c>
      <x:c r="H167" s="9" t="str">
        <x:v>密码保存</x:v>
      </x:c>
      <x:c r="I167" s="9" t="str">
        <x:v>1. 执行角色为已登录普通用户；当前处于设置密码页面
2. 账号已绑定本人可接收验证码的手机号和邮箱
3. 本次验证码有效</x:v>
      </x:c>
      <x:c r="J167" s="9" t="str">
        <x:v>1. 输入本次验证码
2. 输入新密码“Qa123456”
3. 输入相同确认密码
4. 点击完成</x:v>
      </x:c>
      <x:c r="K167" s="9" t="str">
        <x:v>新密码保存为Qa123456</x:v>
      </x:c>
      <x:c r="L167" s="10" t="str"/>
      <x:c r="M167" s="10" t="str">
        <x:v>未测</x:v>
      </x:c>
      <x:c r="N167" s="10" t="str"/>
      <x:c r="O167" s="9" t="str">
        <x:v>1. 来源（当前证据）：liveshow-proto/MainBasis/统一需求文档.md；位置：行1487、行1494、行1483
2. 规则：BR-563d0e0f9bbef1a3
3. 未动态验证</x:v>
      </x:c>
    </x:row>
    <x:row r="168" ht="85" customHeight="1">
      <x:c r="A168" s="10" t="n">
        <x:v>167</x:v>
      </x:c>
      <x:c r="B168" s="10" t="str">
        <x:v>USER-05-0066</x:v>
      </x:c>
      <x:c r="C168" s="10" t="str">
        <x:v>我的</x:v>
      </x:c>
      <x:c r="D168" s="10" t="str">
        <x:v>设置密码（已登录普通用户视角）</x:v>
      </x:c>
      <x:c r="E168" s="10" t="str">
        <x:v>业务流程</x:v>
      </x:c>
      <x:c r="F168" s="10" t="str">
        <x:v>P1</x:v>
      </x:c>
      <x:c r="G168" s="9" t="str">
        <x:v>验证设置密码八位边界：保存后去向</x:v>
      </x:c>
      <x:c r="H168" s="9" t="str">
        <x:v>保存后去向</x:v>
      </x:c>
      <x:c r="I168" s="9" t="str">
        <x:v>1. 执行角色为已登录普通用户；当前处于设置密码页面
2. 账号已绑定本人可接收验证码的手机号和邮箱
3. 本次验证码有效</x:v>
      </x:c>
      <x:c r="J168" s="9" t="str">
        <x:v>1. 输入本次验证码
2. 输入新密码“Qa123456”
3. 输入相同确认密码
4. 点击完成</x:v>
      </x:c>
      <x:c r="K168" s="9" t="str">
        <x:v>返回设置页</x:v>
      </x:c>
      <x:c r="L168" s="10" t="str"/>
      <x:c r="M168" s="10" t="str">
        <x:v>未测</x:v>
      </x:c>
      <x:c r="N168" s="10" t="str"/>
      <x:c r="O168" s="9" t="str">
        <x:v>1. 来源（当前证据）：liveshow-proto/MainBasis/统一需求文档.md；位置：行1487、行1494、行1483
2. 规则：BR-7ebce1955d2f9cb9
3. 未动态验证</x:v>
      </x:c>
    </x:row>
    <x:row r="169" ht="85" customHeight="1">
      <x:c r="A169" s="10" t="n">
        <x:v>168</x:v>
      </x:c>
      <x:c r="B169" s="10" t="str">
        <x:v>USER-05-0067</x:v>
      </x:c>
      <x:c r="C169" s="10" t="str">
        <x:v>我的</x:v>
      </x:c>
      <x:c r="D169" s="10" t="str">
        <x:v>设置密码（已登录普通用户视角）</x:v>
      </x:c>
      <x:c r="E169" s="10" t="str">
        <x:v>异常用例</x:v>
      </x:c>
      <x:c r="F169" s="10" t="str">
        <x:v>P1</x:v>
      </x:c>
      <x:c r="G169" s="9" t="str">
        <x:v>验证设置密码确认不一致</x:v>
      </x:c>
      <x:c r="H169" s="9" t="str">
        <x:v>密码确认拒绝提示</x:v>
      </x:c>
      <x:c r="I169" s="9" t="str">
        <x:v>1. 执行角色为已登录普通用户；当前处于设置密码页面
2. 账号已绑定本人可接收验证码的手机号和邮箱
3. 本次验证码有效</x:v>
      </x:c>
      <x:c r="J169" s="9" t="str">
        <x:v>1. 输入验证码
2. 输入新密码“Qa123456”
3. 输入确认密码“Qa654321”
4. 点击完成</x:v>
      </x:c>
      <x:c r="K169" s="9" t="str">
        <x:v>不提交密码变更并提示两次密码不一致</x:v>
      </x:c>
      <x:c r="L169" s="10" t="str"/>
      <x:c r="M169" s="10" t="str">
        <x:v>未测</x:v>
      </x:c>
      <x:c r="N169" s="10" t="str"/>
      <x:c r="O169" s="9" t="str">
        <x:v>1. 来源（当前证据）：liveshow-proto/MainBasis/统一需求文档.md；位置：行1488、行1494、行1483
2. 规则：BR-93d76eb696d1043b
3. 未动态验证</x:v>
      </x:c>
    </x:row>
    <x:row r="170" ht="100" customHeight="1">
      <x:c r="A170" s="10" t="n">
        <x:v>169</x:v>
      </x:c>
      <x:c r="B170" s="10" t="str">
        <x:v>USER-05-0068</x:v>
      </x:c>
      <x:c r="C170" s="10" t="str">
        <x:v>我的</x:v>
      </x:c>
      <x:c r="D170" s="10" t="str">
        <x:v>设置密码（已登录普通用户视角）</x:v>
      </x:c>
      <x:c r="E170" s="10" t="str">
        <x:v>异常用例</x:v>
      </x:c>
      <x:c r="F170" s="10" t="str">
        <x:v>P1</x:v>
      </x:c>
      <x:c r="G170" s="9" t="str">
        <x:v>验证设置密码验证码绑定所选方式</x:v>
      </x:c>
      <x:c r="H170" s="9" t="str">
        <x:v>凭证有效性</x:v>
      </x:c>
      <x:c r="I170" s="9" t="str">
        <x:v>1. 执行角色为已登录普通用户；当前处于设置密码页面
2. 账号已绑定本人可接收验证码的手机号和邮箱
3. 已取得手机号验证码；当前改选邮箱</x:v>
      </x:c>
      <x:c r="J170" s="9" t="str">
        <x:v>1. 输入手机号收到的验证码
2. 输入新密码及相同确认密码“Qa123456”
3. 点击完成</x:v>
      </x:c>
      <x:c r="K170" s="9" t="str">
        <x:v>不能使用其他验证方式的验证码修改密码</x:v>
      </x:c>
      <x:c r="L170" s="10" t="str"/>
      <x:c r="M170" s="10" t="str">
        <x:v>未测</x:v>
      </x:c>
      <x:c r="N170" s="10" t="str"/>
      <x:c r="O170" s="9" t="str">
        <x:v>1. 来源（当前证据）：liveshow-proto/MainBasis/统一需求文档.md；位置：行1486、行1483
2. 规则：BR-29a6c3261ed88865
3. 未动态验证</x:v>
      </x:c>
    </x:row>
    <x:row r="171" ht="85" customHeight="1">
      <x:c r="A171" s="10" t="n">
        <x:v>170</x:v>
      </x:c>
      <x:c r="B171" s="10" t="str">
        <x:v>USER-05-0069</x:v>
      </x:c>
      <x:c r="C171" s="10" t="str">
        <x:v>我的</x:v>
      </x:c>
      <x:c r="D171" s="10" t="str">
        <x:v>设置密码（已登录普通用户视角）</x:v>
      </x:c>
      <x:c r="E171" s="10" t="str">
        <x:v>异常用例</x:v>
      </x:c>
      <x:c r="F171" s="10" t="str">
        <x:v>P1</x:v>
      </x:c>
      <x:c r="G171" s="9" t="str">
        <x:v>验证设置密码错误验证码</x:v>
      </x:c>
      <x:c r="H171" s="9" t="str">
        <x:v>凭证有效性</x:v>
      </x:c>
      <x:c r="I171" s="9" t="str">
        <x:v>1. 执行角色为已登录普通用户；当前处于设置密码页面
2. 新密码及确认密码均为Qa123456</x:v>
      </x:c>
      <x:c r="J171" s="9" t="str">
        <x:v>1. 输入错误的验证码
2. 点击完成</x:v>
      </x:c>
      <x:c r="K171" s="9" t="str">
        <x:v>密码未修改且保留当前输入</x:v>
      </x:c>
      <x:c r="L171" s="10" t="str"/>
      <x:c r="M171" s="10" t="str">
        <x:v>未测</x:v>
      </x:c>
      <x:c r="N171" s="10" t="str"/>
      <x:c r="O171" s="9" t="str">
        <x:v>1. 来源（当前证据）：liveshow-proto/MainBasis/统一需求文档.md；位置：行1490、行1483
2. 规则：BR-a24e8c2fd0cc3f4a
3. 未动态验证</x:v>
      </x:c>
    </x:row>
    <x:row r="172" ht="85" customHeight="1">
      <x:c r="A172" s="10" t="n">
        <x:v>171</x:v>
      </x:c>
      <x:c r="B172" s="10" t="str">
        <x:v>USER-05-0070</x:v>
      </x:c>
      <x:c r="C172" s="10" t="str">
        <x:v>我的</x:v>
      </x:c>
      <x:c r="D172" s="10" t="str">
        <x:v>设置密码（已登录普通用户视角）</x:v>
      </x:c>
      <x:c r="E172" s="10" t="str">
        <x:v>异常用例</x:v>
      </x:c>
      <x:c r="F172" s="10" t="str">
        <x:v>P1</x:v>
      </x:c>
      <x:c r="G172" s="9" t="str">
        <x:v>验证设置密码已过期验证码</x:v>
      </x:c>
      <x:c r="H172" s="9" t="str">
        <x:v>凭证有效性</x:v>
      </x:c>
      <x:c r="I172" s="9" t="str">
        <x:v>1. 执行角色为已登录普通用户；当前处于设置密码页面
2. 新密码及确认密码均为Qa123456</x:v>
      </x:c>
      <x:c r="J172" s="9" t="str">
        <x:v>1. 输入已过期的验证码
2. 点击完成</x:v>
      </x:c>
      <x:c r="K172" s="9" t="str">
        <x:v>密码未修改且保留当前输入</x:v>
      </x:c>
      <x:c r="L172" s="10" t="str"/>
      <x:c r="M172" s="10" t="str">
        <x:v>未测</x:v>
      </x:c>
      <x:c r="N172" s="10" t="str"/>
      <x:c r="O172" s="9" t="str">
        <x:v>1. 来源（当前证据）：liveshow-proto/MainBasis/统一需求文档.md；位置：行1490、行1483
2. 规则：BR-cb85749a9cce4e15
3. 未动态验证</x:v>
      </x:c>
    </x:row>
    <x:row r="173" ht="85" customHeight="1">
      <x:c r="A173" s="10" t="n">
        <x:v>172</x:v>
      </x:c>
      <x:c r="B173" s="10" t="str">
        <x:v>USER-05-0071</x:v>
      </x:c>
      <x:c r="C173" s="10" t="str">
        <x:v>我的</x:v>
      </x:c>
      <x:c r="D173" s="10" t="str">
        <x:v>设置密码（已登录普通用户视角）</x:v>
      </x:c>
      <x:c r="E173" s="10" t="str">
        <x:v>异常用例</x:v>
      </x:c>
      <x:c r="F173" s="10" t="str">
        <x:v>P1</x:v>
      </x:c>
      <x:c r="G173" s="9" t="str">
        <x:v>验证设置密码已使用验证码</x:v>
      </x:c>
      <x:c r="H173" s="9" t="str">
        <x:v>凭证有效性</x:v>
      </x:c>
      <x:c r="I173" s="9" t="str">
        <x:v>1. 执行角色为已登录普通用户；当前处于设置密码页面
2. 新密码及确认密码均为Qa123456</x:v>
      </x:c>
      <x:c r="J173" s="9" t="str">
        <x:v>1. 输入已使用的验证码
2. 点击完成</x:v>
      </x:c>
      <x:c r="K173" s="9" t="str">
        <x:v>密码未修改且保留当前输入</x:v>
      </x:c>
      <x:c r="L173" s="10" t="str"/>
      <x:c r="M173" s="10" t="str">
        <x:v>未测</x:v>
      </x:c>
      <x:c r="N173" s="10" t="str"/>
      <x:c r="O173" s="9" t="str">
        <x:v>1. 来源（当前证据）：liveshow-proto/MainBasis/统一需求文档.md；位置：行1490、行1483
2. 规则：BR-64dc1f72791fa27b
3. 未动态验证</x:v>
      </x:c>
    </x:row>
    <x:row r="174" ht="85" customHeight="1">
      <x:c r="A174" s="10" t="n">
        <x:v>173</x:v>
      </x:c>
      <x:c r="B174" s="10" t="str">
        <x:v>USER-05-0072</x:v>
      </x:c>
      <x:c r="C174" s="10" t="str">
        <x:v>我的</x:v>
      </x:c>
      <x:c r="D174" s="10" t="str">
        <x:v>忘记密码（已登录普通用户视角）</x:v>
      </x:c>
      <x:c r="E174" s="10" t="str">
        <x:v>功能需求</x:v>
      </x:c>
      <x:c r="F174" s="10" t="str">
        <x:v>P1</x:v>
      </x:c>
      <x:c r="G174" s="9" t="str">
        <x:v>验证重置密码账号脱敏：手机号验证选项</x:v>
      </x:c>
      <x:c r="H174" s="9" t="str">
        <x:v>手机号验证选项</x:v>
      </x:c>
      <x:c r="I174" s="9" t="str">
        <x:v>1. 执行角色为已登录普通用户；当前处于忘记密码页面
2. 账号已绑定本人可接收验证码的手机号和邮箱</x:v>
      </x:c>
      <x:c r="J174" s="9" t="str">
        <x:v>1. 查看验证方式</x:v>
      </x:c>
      <x:c r="K174" s="9" t="str">
        <x:v>仅提供本账号已绑定的脱敏手机号</x:v>
      </x:c>
      <x:c r="L174" s="10" t="str"/>
      <x:c r="M174" s="10" t="str">
        <x:v>未测</x:v>
      </x:c>
      <x:c r="N174" s="10" t="str"/>
      <x:c r="O174" s="9" t="str">
        <x:v>1. 来源（当前证据）：liveshow-proto/MainBasis/统一需求文档.md；位置：行1512、行1510
2. 规则：BR-4486b0bba2cd6b81
3. 未动态验证</x:v>
      </x:c>
    </x:row>
    <x:row r="175" ht="85" customHeight="1">
      <x:c r="A175" s="10" t="n">
        <x:v>174</x:v>
      </x:c>
      <x:c r="B175" s="10" t="str">
        <x:v>USER-05-0073</x:v>
      </x:c>
      <x:c r="C175" s="10" t="str">
        <x:v>我的</x:v>
      </x:c>
      <x:c r="D175" s="10" t="str">
        <x:v>忘记密码（已登录普通用户视角）</x:v>
      </x:c>
      <x:c r="E175" s="10" t="str">
        <x:v>功能需求</x:v>
      </x:c>
      <x:c r="F175" s="10" t="str">
        <x:v>P1</x:v>
      </x:c>
      <x:c r="G175" s="9" t="str">
        <x:v>验证重置密码账号脱敏：邮箱验证选项</x:v>
      </x:c>
      <x:c r="H175" s="9" t="str">
        <x:v>邮箱验证选项</x:v>
      </x:c>
      <x:c r="I175" s="9" t="str">
        <x:v>1. 执行角色为已登录普通用户；当前处于忘记密码页面
2. 账号已绑定本人可接收验证码的手机号和邮箱</x:v>
      </x:c>
      <x:c r="J175" s="9" t="str">
        <x:v>1. 查看验证方式</x:v>
      </x:c>
      <x:c r="K175" s="9" t="str">
        <x:v>仅提供本账号已绑定的脱敏邮箱</x:v>
      </x:c>
      <x:c r="L175" s="10" t="str"/>
      <x:c r="M175" s="10" t="str">
        <x:v>未测</x:v>
      </x:c>
      <x:c r="N175" s="10" t="str"/>
      <x:c r="O175" s="9" t="str">
        <x:v>1. 来源（当前证据）：liveshow-proto/MainBasis/统一需求文档.md；位置：行1512、行1510
2. 规则：BR-dc0694f82a6b7663
3. 未动态验证</x:v>
      </x:c>
    </x:row>
    <x:row r="176" ht="85" customHeight="1">
      <x:c r="A176" s="10" t="n">
        <x:v>175</x:v>
      </x:c>
      <x:c r="B176" s="10" t="str">
        <x:v>USER-05-0074</x:v>
      </x:c>
      <x:c r="C176" s="10" t="str">
        <x:v>我的</x:v>
      </x:c>
      <x:c r="D176" s="10" t="str">
        <x:v>忘记密码（已登录普通用户视角）</x:v>
      </x:c>
      <x:c r="E176" s="10" t="str">
        <x:v>功能需求</x:v>
      </x:c>
      <x:c r="F176" s="10" t="str">
        <x:v>P1</x:v>
      </x:c>
      <x:c r="G176" s="9" t="str">
        <x:v>验证重置密码手机号验证</x:v>
      </x:c>
      <x:c r="H176" s="9" t="str">
        <x:v>验证码接收手机号</x:v>
      </x:c>
      <x:c r="I176" s="9" t="str">
        <x:v>1. 执行角色为已登录普通用户；当前处于忘记密码页面
2. 账号已绑定本人可接收验证码的手机号和邮箱</x:v>
      </x:c>
      <x:c r="J176" s="9" t="str">
        <x:v>1. 选择已绑定手机号
2. 点击获取验证码</x:v>
      </x:c>
      <x:c r="K176" s="9" t="str">
        <x:v>验证码发送到选中的绑定手机号</x:v>
      </x:c>
      <x:c r="L176" s="10" t="str"/>
      <x:c r="M176" s="10" t="str">
        <x:v>未测</x:v>
      </x:c>
      <x:c r="N176" s="10" t="str"/>
      <x:c r="O176" s="9" t="str">
        <x:v>1. 来源（当前证据）：liveshow-proto/MainBasis/统一需求文档.md；位置：行1519、行1510
2. 规则：BR-fba62eafcc5427bd
3. 未动态验证</x:v>
      </x:c>
    </x:row>
    <x:row r="177" ht="85" customHeight="1">
      <x:c r="A177" s="10" t="n">
        <x:v>176</x:v>
      </x:c>
      <x:c r="B177" s="10" t="str">
        <x:v>USER-05-0075</x:v>
      </x:c>
      <x:c r="C177" s="10" t="str">
        <x:v>我的</x:v>
      </x:c>
      <x:c r="D177" s="10" t="str">
        <x:v>忘记密码（已登录普通用户视角）</x:v>
      </x:c>
      <x:c r="E177" s="10" t="str">
        <x:v>功能需求</x:v>
      </x:c>
      <x:c r="F177" s="10" t="str">
        <x:v>P1</x:v>
      </x:c>
      <x:c r="G177" s="9" t="str">
        <x:v>验证重置密码邮箱验证</x:v>
      </x:c>
      <x:c r="H177" s="9" t="str">
        <x:v>验证码接收邮箱</x:v>
      </x:c>
      <x:c r="I177" s="9" t="str">
        <x:v>1. 执行角色为已登录普通用户；当前处于忘记密码页面
2. 账号已绑定本人可接收验证码的手机号和邮箱</x:v>
      </x:c>
      <x:c r="J177" s="9" t="str">
        <x:v>1. 选择已绑定邮箱
2. 点击获取验证码</x:v>
      </x:c>
      <x:c r="K177" s="9" t="str">
        <x:v>验证码发送到选中的绑定邮箱</x:v>
      </x:c>
      <x:c r="L177" s="10" t="str"/>
      <x:c r="M177" s="10" t="str">
        <x:v>未测</x:v>
      </x:c>
      <x:c r="N177" s="10" t="str"/>
      <x:c r="O177" s="9" t="str">
        <x:v>1. 来源（当前证据）：liveshow-proto/MainBasis/统一需求文档.md；位置：行1519、行1510
2. 规则：BR-aebc2d6675ea33bf
3. 未动态验证</x:v>
      </x:c>
    </x:row>
    <x:row r="178" ht="85" customHeight="1">
      <x:c r="A178" s="10" t="n">
        <x:v>177</x:v>
      </x:c>
      <x:c r="B178" s="10" t="str">
        <x:v>USER-05-0076</x:v>
      </x:c>
      <x:c r="C178" s="10" t="str">
        <x:v>我的</x:v>
      </x:c>
      <x:c r="D178" s="10" t="str">
        <x:v>忘记密码（已登录普通用户视角）</x:v>
      </x:c>
      <x:c r="E178" s="10" t="str">
        <x:v>逻辑校验</x:v>
      </x:c>
      <x:c r="F178" s="10" t="str">
        <x:v>P1</x:v>
      </x:c>
      <x:c r="G178" s="9" t="str">
        <x:v>验证重置密码倒计时限制</x:v>
      </x:c>
      <x:c r="H178" s="9" t="str">
        <x:v>验证码重发按钮状态</x:v>
      </x:c>
      <x:c r="I178" s="9" t="str">
        <x:v>1. 执行角色为已登录普通用户；当前处于忘记密码页面
2. 账号已绑定本人可接收验证码的手机号和邮箱
3. 验证码发送成功后已过59秒</x:v>
      </x:c>
      <x:c r="J178" s="9" t="str">
        <x:v>1. 查看获取验证码按钮</x:v>
      </x:c>
      <x:c r="K178" s="9" t="str">
        <x:v>重发按钮不可用</x:v>
      </x:c>
      <x:c r="L178" s="10" t="str"/>
      <x:c r="M178" s="10" t="str">
        <x:v>未测</x:v>
      </x:c>
      <x:c r="N178" s="10" t="str"/>
      <x:c r="O178" s="9" t="str">
        <x:v>1. 来源（当前证据）：liveshow-proto/MainBasis/统一需求文档.md；位置：行1519、行1510
2. 规则：BR-088a5fa3037c7f1d
3. 未动态验证</x:v>
      </x:c>
    </x:row>
    <x:row r="179" ht="85" customHeight="1">
      <x:c r="A179" s="10" t="n">
        <x:v>178</x:v>
      </x:c>
      <x:c r="B179" s="10" t="str">
        <x:v>USER-05-0077</x:v>
      </x:c>
      <x:c r="C179" s="10" t="str">
        <x:v>我的</x:v>
      </x:c>
      <x:c r="D179" s="10" t="str">
        <x:v>忘记密码（已登录普通用户视角）</x:v>
      </x:c>
      <x:c r="E179" s="10" t="str">
        <x:v>逻辑校验</x:v>
      </x:c>
      <x:c r="F179" s="10" t="str">
        <x:v>P1</x:v>
      </x:c>
      <x:c r="G179" s="9" t="str">
        <x:v>验证重置密码重新发送</x:v>
      </x:c>
      <x:c r="H179" s="9" t="str">
        <x:v>验证码重发恢复</x:v>
      </x:c>
      <x:c r="I179" s="9" t="str">
        <x:v>1. 执行角色为已登录普通用户；当前处于忘记密码页面
2. 账号已绑定本人可接收验证码的手机号和邮箱
3. 验证码发送成功后已过60秒</x:v>
      </x:c>
      <x:c r="J179" s="9" t="str">
        <x:v>1. 点击获取验证码</x:v>
      </x:c>
      <x:c r="K179" s="9" t="str">
        <x:v>允许重新发送验证码</x:v>
      </x:c>
      <x:c r="L179" s="10" t="str"/>
      <x:c r="M179" s="10" t="str">
        <x:v>未测</x:v>
      </x:c>
      <x:c r="N179" s="10" t="str"/>
      <x:c r="O179" s="9" t="str">
        <x:v>1. 来源（当前证据）：liveshow-proto/MainBasis/统一需求文档.md；位置：行1519、行1510
2. 规则：BR-57f651e4991735e6
3. 未动态验证</x:v>
      </x:c>
    </x:row>
    <x:row r="180" ht="100" customHeight="1">
      <x:c r="A180" s="10" t="n">
        <x:v>179</x:v>
      </x:c>
      <x:c r="B180" s="10" t="str">
        <x:v>USER-05-0078</x:v>
      </x:c>
      <x:c r="C180" s="10" t="str">
        <x:v>我的</x:v>
      </x:c>
      <x:c r="D180" s="10" t="str">
        <x:v>忘记密码（已登录普通用户视角）</x:v>
      </x:c>
      <x:c r="E180" s="10" t="str">
        <x:v>逻辑校验</x:v>
      </x:c>
      <x:c r="F180" s="10" t="str">
        <x:v>P1</x:v>
      </x:c>
      <x:c r="G180" s="9" t="str">
        <x:v>验证重置密码六位格式</x:v>
      </x:c>
      <x:c r="H180" s="9" t="str">
        <x:v>凭证格式</x:v>
      </x:c>
      <x:c r="I180" s="9" t="str">
        <x:v>1. 执行角色为已登录普通用户；当前处于忘记密码页面
2. 账号已绑定本人可接收验证码的手机号和邮箱
3. 已填入符合要求的新密码及确认密码</x:v>
      </x:c>
      <x:c r="J180" s="9" t="str">
        <x:v>1. 输入五位验证码“12345”
2. 查看完成按钮</x:v>
      </x:c>
      <x:c r="K180" s="9" t="str">
        <x:v>完成按钮不可用</x:v>
      </x:c>
      <x:c r="L180" s="10" t="str"/>
      <x:c r="M180" s="10" t="str">
        <x:v>未测</x:v>
      </x:c>
      <x:c r="N180" s="10" t="str"/>
      <x:c r="O180" s="9" t="str">
        <x:v>1. 来源（当前证据）：liveshow-proto/MainBasis/统一需求文档.md；位置：行1513、行1520、行1510
2. 规则：BR-4b418ad5c150158c
3. 未动态验证</x:v>
      </x:c>
    </x:row>
    <x:row r="181" ht="85" customHeight="1">
      <x:c r="A181" s="10" t="n">
        <x:v>180</x:v>
      </x:c>
      <x:c r="B181" s="10" t="str">
        <x:v>USER-05-0079</x:v>
      </x:c>
      <x:c r="C181" s="10" t="str">
        <x:v>我的</x:v>
      </x:c>
      <x:c r="D181" s="10" t="str">
        <x:v>忘记密码（已登录普通用户视角）</x:v>
      </x:c>
      <x:c r="E181" s="10" t="str">
        <x:v>逻辑校验</x:v>
      </x:c>
      <x:c r="F181" s="10" t="str">
        <x:v>P1</x:v>
      </x:c>
      <x:c r="G181" s="9" t="str">
        <x:v>验证重置密码七位边界</x:v>
      </x:c>
      <x:c r="H181" s="9" t="str">
        <x:v>凭证格式</x:v>
      </x:c>
      <x:c r="I181" s="9" t="str">
        <x:v>1. 执行角色为已登录普通用户；当前处于忘记密码页面
2. 账号已绑定本人可接收验证码的手机号和邮箱
3. 验证码有效</x:v>
      </x:c>
      <x:c r="J181" s="9" t="str">
        <x:v>1. 输入新密码“Qa12345”
2. 输入相同确认密码
3. 查看完成按钮</x:v>
      </x:c>
      <x:c r="K181" s="9" t="str">
        <x:v>完成按钮不可用</x:v>
      </x:c>
      <x:c r="L181" s="10" t="str"/>
      <x:c r="M181" s="10" t="str">
        <x:v>未测</x:v>
      </x:c>
      <x:c r="N181" s="10" t="str"/>
      <x:c r="O181" s="9" t="str">
        <x:v>1. 来源（当前证据）：liveshow-proto/MainBasis/统一需求文档.md；位置：行1514、行1520、行1510
2. 规则：BR-9a011faffc4ddf20
3. 未动态验证</x:v>
      </x:c>
    </x:row>
    <x:row r="182" ht="85" customHeight="1">
      <x:c r="A182" s="10" t="n">
        <x:v>181</x:v>
      </x:c>
      <x:c r="B182" s="10" t="str">
        <x:v>USER-05-0080</x:v>
      </x:c>
      <x:c r="C182" s="10" t="str">
        <x:v>我的</x:v>
      </x:c>
      <x:c r="D182" s="10" t="str">
        <x:v>忘记密码（已登录普通用户视角）</x:v>
      </x:c>
      <x:c r="E182" s="10" t="str">
        <x:v>业务流程</x:v>
      </x:c>
      <x:c r="F182" s="10" t="str">
        <x:v>P1</x:v>
      </x:c>
      <x:c r="G182" s="9" t="str">
        <x:v>验证重置密码八位边界：密码保存</x:v>
      </x:c>
      <x:c r="H182" s="9" t="str">
        <x:v>密码保存</x:v>
      </x:c>
      <x:c r="I182" s="9" t="str">
        <x:v>1. 执行角色为已登录普通用户；当前处于忘记密码页面
2. 账号已绑定本人可接收验证码的手机号和邮箱
3. 本次验证码有效</x:v>
      </x:c>
      <x:c r="J182" s="9" t="str">
        <x:v>1. 输入本次验证码
2. 输入新密码“Qa123456”
3. 输入相同确认密码
4. 点击完成</x:v>
      </x:c>
      <x:c r="K182" s="9" t="str">
        <x:v>新密码保存为Qa123456</x:v>
      </x:c>
      <x:c r="L182" s="10" t="str"/>
      <x:c r="M182" s="10" t="str">
        <x:v>未测</x:v>
      </x:c>
      <x:c r="N182" s="10" t="str"/>
      <x:c r="O182" s="9" t="str">
        <x:v>1. 来源（当前证据）：liveshow-proto/MainBasis/统一需求文档.md；位置：行1514、行1521、行1510
2. 规则：BR-0db671fd3717f00a
3. 未动态验证</x:v>
      </x:c>
    </x:row>
    <x:row r="183" ht="85" customHeight="1">
      <x:c r="A183" s="10" t="n">
        <x:v>182</x:v>
      </x:c>
      <x:c r="B183" s="10" t="str">
        <x:v>USER-05-0081</x:v>
      </x:c>
      <x:c r="C183" s="10" t="str">
        <x:v>我的</x:v>
      </x:c>
      <x:c r="D183" s="10" t="str">
        <x:v>忘记密码（已登录普通用户视角）</x:v>
      </x:c>
      <x:c r="E183" s="10" t="str">
        <x:v>业务流程</x:v>
      </x:c>
      <x:c r="F183" s="10" t="str">
        <x:v>P1</x:v>
      </x:c>
      <x:c r="G183" s="9" t="str">
        <x:v>验证重置密码八位边界：保存后去向</x:v>
      </x:c>
      <x:c r="H183" s="9" t="str">
        <x:v>保存后去向</x:v>
      </x:c>
      <x:c r="I183" s="9" t="str">
        <x:v>1. 执行角色为已登录普通用户；当前处于忘记密码页面
2. 账号已绑定本人可接收验证码的手机号和邮箱
3. 本次验证码有效</x:v>
      </x:c>
      <x:c r="J183" s="9" t="str">
        <x:v>1. 输入本次验证码
2. 输入新密码“Qa123456”
3. 输入相同确认密码
4. 点击完成</x:v>
      </x:c>
      <x:c r="K183" s="9" t="str">
        <x:v>返回设置页</x:v>
      </x:c>
      <x:c r="L183" s="10" t="str"/>
      <x:c r="M183" s="10" t="str">
        <x:v>未测</x:v>
      </x:c>
      <x:c r="N183" s="10" t="str"/>
      <x:c r="O183" s="9" t="str">
        <x:v>1. 来源（当前证据）：liveshow-proto/MainBasis/统一需求文档.md；位置：行1514、行1521、行1510
2. 规则：BR-eee4a84275f73bc8
3. 未动态验证</x:v>
      </x:c>
    </x:row>
    <x:row r="184" ht="85" customHeight="1">
      <x:c r="A184" s="10" t="n">
        <x:v>183</x:v>
      </x:c>
      <x:c r="B184" s="10" t="str">
        <x:v>USER-05-0082</x:v>
      </x:c>
      <x:c r="C184" s="10" t="str">
        <x:v>我的</x:v>
      </x:c>
      <x:c r="D184" s="10" t="str">
        <x:v>忘记密码（已登录普通用户视角）</x:v>
      </x:c>
      <x:c r="E184" s="10" t="str">
        <x:v>异常用例</x:v>
      </x:c>
      <x:c r="F184" s="10" t="str">
        <x:v>P1</x:v>
      </x:c>
      <x:c r="G184" s="9" t="str">
        <x:v>验证重置密码确认不一致</x:v>
      </x:c>
      <x:c r="H184" s="9" t="str">
        <x:v>密码确认拒绝提示</x:v>
      </x:c>
      <x:c r="I184" s="9" t="str">
        <x:v>1. 执行角色为已登录普通用户；当前处于忘记密码页面
2. 账号已绑定本人可接收验证码的手机号和邮箱
3. 本次验证码有效</x:v>
      </x:c>
      <x:c r="J184" s="9" t="str">
        <x:v>1. 输入验证码
2. 输入新密码“Qa123456”
3. 输入确认密码“Qa654321”
4. 点击完成</x:v>
      </x:c>
      <x:c r="K184" s="9" t="str">
        <x:v>不提交密码变更并提示两次密码不一致</x:v>
      </x:c>
      <x:c r="L184" s="10" t="str"/>
      <x:c r="M184" s="10" t="str">
        <x:v>未测</x:v>
      </x:c>
      <x:c r="N184" s="10" t="str"/>
      <x:c r="O184" s="9" t="str">
        <x:v>1. 来源（当前证据）：liveshow-proto/MainBasis/统一需求文档.md；位置：行1515、行1521、行1510
2. 规则：BR-24fa9d8ef03aa2be
3. 未动态验证</x:v>
      </x:c>
    </x:row>
    <x:row r="185" ht="100" customHeight="1">
      <x:c r="A185" s="10" t="n">
        <x:v>184</x:v>
      </x:c>
      <x:c r="B185" s="10" t="str">
        <x:v>USER-05-0083</x:v>
      </x:c>
      <x:c r="C185" s="10" t="str">
        <x:v>我的</x:v>
      </x:c>
      <x:c r="D185" s="10" t="str">
        <x:v>忘记密码（已登录普通用户视角）</x:v>
      </x:c>
      <x:c r="E185" s="10" t="str">
        <x:v>异常用例</x:v>
      </x:c>
      <x:c r="F185" s="10" t="str">
        <x:v>P1</x:v>
      </x:c>
      <x:c r="G185" s="9" t="str">
        <x:v>验证重置密码验证码绑定所选方式</x:v>
      </x:c>
      <x:c r="H185" s="9" t="str">
        <x:v>凭证有效性</x:v>
      </x:c>
      <x:c r="I185" s="9" t="str">
        <x:v>1. 执行角色为已登录普通用户；当前处于忘记密码页面
2. 账号已绑定本人可接收验证码的手机号和邮箱
3. 已取得手机号验证码；当前改选邮箱</x:v>
      </x:c>
      <x:c r="J185" s="9" t="str">
        <x:v>1. 输入手机号收到的验证码
2. 输入新密码及相同确认密码“Qa123456”
3. 点击完成</x:v>
      </x:c>
      <x:c r="K185" s="9" t="str">
        <x:v>不能使用其他验证方式的验证码修改密码</x:v>
      </x:c>
      <x:c r="L185" s="10" t="str"/>
      <x:c r="M185" s="10" t="str">
        <x:v>未测</x:v>
      </x:c>
      <x:c r="N185" s="10" t="str"/>
      <x:c r="O185" s="9" t="str">
        <x:v>1. 来源（当前证据）：liveshow-proto/MainBasis/统一需求文档.md；位置：行1513、行1510
2. 规则：BR-ba892dae944449e9
3. 未动态验证</x:v>
      </x:c>
    </x:row>
    <x:row r="186" ht="85" customHeight="1">
      <x:c r="A186" s="10" t="n">
        <x:v>185</x:v>
      </x:c>
      <x:c r="B186" s="10" t="str">
        <x:v>USER-05-0084</x:v>
      </x:c>
      <x:c r="C186" s="10" t="str">
        <x:v>我的</x:v>
      </x:c>
      <x:c r="D186" s="10" t="str">
        <x:v>忘记密码（已登录普通用户视角）</x:v>
      </x:c>
      <x:c r="E186" s="10" t="str">
        <x:v>异常用例</x:v>
      </x:c>
      <x:c r="F186" s="10" t="str">
        <x:v>P1</x:v>
      </x:c>
      <x:c r="G186" s="9" t="str">
        <x:v>验证重置密码错误验证码</x:v>
      </x:c>
      <x:c r="H186" s="9" t="str">
        <x:v>凭证有效性</x:v>
      </x:c>
      <x:c r="I186" s="9" t="str">
        <x:v>1. 执行角色为已登录普通用户；当前处于忘记密码页面
2. 新密码及确认密码均为Qa123456</x:v>
      </x:c>
      <x:c r="J186" s="9" t="str">
        <x:v>1. 输入错误的验证码
2. 点击完成</x:v>
      </x:c>
      <x:c r="K186" s="9" t="str">
        <x:v>密码未修改且保留当前输入</x:v>
      </x:c>
      <x:c r="L186" s="10" t="str"/>
      <x:c r="M186" s="10" t="str">
        <x:v>未测</x:v>
      </x:c>
      <x:c r="N186" s="10" t="str"/>
      <x:c r="O186" s="9" t="str">
        <x:v>1. 来源（当前证据）：liveshow-proto/MainBasis/统一需求文档.md；位置：行1517、行1510
2. 规则：BR-6a2216fd39fb05c0
3. 未动态验证</x:v>
      </x:c>
    </x:row>
    <x:row r="187" ht="85" customHeight="1">
      <x:c r="A187" s="10" t="n">
        <x:v>186</x:v>
      </x:c>
      <x:c r="B187" s="10" t="str">
        <x:v>USER-05-0085</x:v>
      </x:c>
      <x:c r="C187" s="10" t="str">
        <x:v>我的</x:v>
      </x:c>
      <x:c r="D187" s="10" t="str">
        <x:v>忘记密码（已登录普通用户视角）</x:v>
      </x:c>
      <x:c r="E187" s="10" t="str">
        <x:v>异常用例</x:v>
      </x:c>
      <x:c r="F187" s="10" t="str">
        <x:v>P1</x:v>
      </x:c>
      <x:c r="G187" s="9" t="str">
        <x:v>验证重置密码已过期验证码</x:v>
      </x:c>
      <x:c r="H187" s="9" t="str">
        <x:v>凭证有效性</x:v>
      </x:c>
      <x:c r="I187" s="9" t="str">
        <x:v>1. 执行角色为已登录普通用户；当前处于忘记密码页面
2. 新密码及确认密码均为Qa123456</x:v>
      </x:c>
      <x:c r="J187" s="9" t="str">
        <x:v>1. 输入已过期的验证码
2. 点击完成</x:v>
      </x:c>
      <x:c r="K187" s="9" t="str">
        <x:v>密码未修改且保留当前输入</x:v>
      </x:c>
      <x:c r="L187" s="10" t="str"/>
      <x:c r="M187" s="10" t="str">
        <x:v>未测</x:v>
      </x:c>
      <x:c r="N187" s="10" t="str"/>
      <x:c r="O187" s="9" t="str">
        <x:v>1. 来源（当前证据）：liveshow-proto/MainBasis/统一需求文档.md；位置：行1517、行1510
2. 规则：BR-13f2e75cc8d7128e
3. 未动态验证</x:v>
      </x:c>
    </x:row>
    <x:row r="188" ht="85" customHeight="1">
      <x:c r="A188" s="10" t="n">
        <x:v>187</x:v>
      </x:c>
      <x:c r="B188" s="10" t="str">
        <x:v>USER-05-0086</x:v>
      </x:c>
      <x:c r="C188" s="10" t="str">
        <x:v>我的</x:v>
      </x:c>
      <x:c r="D188" s="10" t="str">
        <x:v>忘记密码（已登录普通用户视角）</x:v>
      </x:c>
      <x:c r="E188" s="10" t="str">
        <x:v>异常用例</x:v>
      </x:c>
      <x:c r="F188" s="10" t="str">
        <x:v>P1</x:v>
      </x:c>
      <x:c r="G188" s="9" t="str">
        <x:v>验证重置密码已使用验证码</x:v>
      </x:c>
      <x:c r="H188" s="9" t="str">
        <x:v>凭证有效性</x:v>
      </x:c>
      <x:c r="I188" s="9" t="str">
        <x:v>1. 执行角色为已登录普通用户；当前处于忘记密码页面
2. 新密码及确认密码均为Qa123456</x:v>
      </x:c>
      <x:c r="J188" s="9" t="str">
        <x:v>1. 输入已使用的验证码
2. 点击完成</x:v>
      </x:c>
      <x:c r="K188" s="9" t="str">
        <x:v>密码未修改且保留当前输入</x:v>
      </x:c>
      <x:c r="L188" s="10" t="str"/>
      <x:c r="M188" s="10" t="str">
        <x:v>未测</x:v>
      </x:c>
      <x:c r="N188" s="10" t="str"/>
      <x:c r="O188" s="9" t="str">
        <x:v>1. 来源（当前证据）：liveshow-proto/MainBasis/统一需求文档.md；位置：行1517、行1510
2. 规则：BR-4b6c1e6abed746e3
3. 未动态验证</x:v>
      </x:c>
    </x:row>
    <x:row r="189" ht="85" customHeight="1">
      <x:c r="A189" s="10" t="n">
        <x:v>188</x:v>
      </x:c>
      <x:c r="B189" s="10" t="str">
        <x:v>USER-05-0087</x:v>
      </x:c>
      <x:c r="C189" s="10" t="str">
        <x:v>我的</x:v>
      </x:c>
      <x:c r="D189" s="10" t="str">
        <x:v>修改密码（已登录普通用户视角）</x:v>
      </x:c>
      <x:c r="E189" s="10" t="str">
        <x:v>异常用例</x:v>
      </x:c>
      <x:c r="F189" s="10" t="str">
        <x:v>P1</x:v>
      </x:c>
      <x:c r="G189" s="9" t="str">
        <x:v>验证原密码错误</x:v>
      </x:c>
      <x:c r="H189" s="9" t="str">
        <x:v>凭证有效性</x:v>
      </x:c>
      <x:c r="I189" s="9" t="str">
        <x:v>1. 执行角色为已登录普通用户；当前处于修改密码页面
2. 当前密码为QaOld123</x:v>
      </x:c>
      <x:c r="J189" s="9" t="str">
        <x:v>1. 输入原密码“QaWrong1”
2. 输入新密码及确认密码“QaNew123”
3. 点击完成</x:v>
      </x:c>
      <x:c r="K189" s="9" t="str">
        <x:v>密码未修改</x:v>
      </x:c>
      <x:c r="L189" s="10" t="str"/>
      <x:c r="M189" s="10" t="str">
        <x:v>未测</x:v>
      </x:c>
      <x:c r="N189" s="10" t="str"/>
      <x:c r="O189" s="9" t="str">
        <x:v>1. 来源（当前证据）：liveshow-proto/MainBasis/统一需求文档.md；位置：行1502、行1497
2. 规则：BR-16e3e1c0af5a2162
3. 未动态验证</x:v>
      </x:c>
    </x:row>
    <x:row r="190" ht="85" customHeight="1">
      <x:c r="A190" s="10" t="n">
        <x:v>189</x:v>
      </x:c>
      <x:c r="B190" s="10" t="str">
        <x:v>USER-05-0088</x:v>
      </x:c>
      <x:c r="C190" s="10" t="str">
        <x:v>我的</x:v>
      </x:c>
      <x:c r="D190" s="10" t="str">
        <x:v>修改密码（已登录普通用户视角）</x:v>
      </x:c>
      <x:c r="E190" s="10" t="str">
        <x:v>逻辑校验</x:v>
      </x:c>
      <x:c r="F190" s="10" t="str">
        <x:v>P1</x:v>
      </x:c>
      <x:c r="G190" s="9" t="str">
        <x:v>验证新密码与旧密码相同：相同密码提示</x:v>
      </x:c>
      <x:c r="H190" s="9" t="str">
        <x:v>相同密码提示</x:v>
      </x:c>
      <x:c r="I190" s="9" t="str">
        <x:v>1. 执行角色为已登录普通用户；当前处于修改密码页面
2. 当前密码为QaOld123</x:v>
      </x:c>
      <x:c r="J190" s="9" t="str">
        <x:v>1. 输入原密码、新密码及确认密码“QaOld123”
2. 点击完成</x:v>
      </x:c>
      <x:c r="K190" s="9" t="str">
        <x:v>提示新密码不能与旧密码相同</x:v>
      </x:c>
      <x:c r="L190" s="10" t="str"/>
      <x:c r="M190" s="10" t="str">
        <x:v>未测</x:v>
      </x:c>
      <x:c r="N190" s="10" t="str"/>
      <x:c r="O190" s="9" t="str">
        <x:v>1. 来源（当前证据）：liveshow-proto/MainBasis/统一需求文档.md；位置：行1500、行1505、行1497
2. 规则：BR-71095aacd989ba25
3. 未动态验证</x:v>
      </x:c>
    </x:row>
    <x:row r="191" ht="85" customHeight="1">
      <x:c r="A191" s="10" t="n">
        <x:v>190</x:v>
      </x:c>
      <x:c r="B191" s="10" t="str">
        <x:v>USER-05-0089</x:v>
      </x:c>
      <x:c r="C191" s="10" t="str">
        <x:v>我的</x:v>
      </x:c>
      <x:c r="D191" s="10" t="str">
        <x:v>修改密码（已登录普通用户视角）</x:v>
      </x:c>
      <x:c r="E191" s="10" t="str">
        <x:v>逻辑校验</x:v>
      </x:c>
      <x:c r="F191" s="10" t="str">
        <x:v>P1</x:v>
      </x:c>
      <x:c r="G191" s="9" t="str">
        <x:v>验证新密码与旧密码相同：编辑值保留</x:v>
      </x:c>
      <x:c r="H191" s="9" t="str">
        <x:v>编辑值保留</x:v>
      </x:c>
      <x:c r="I191" s="9" t="str">
        <x:v>1. 执行角色为已登录普通用户；当前处于修改密码页面
2. 当前密码为QaOld123</x:v>
      </x:c>
      <x:c r="J191" s="9" t="str">
        <x:v>1. 输入原密码、新密码及确认密码“QaOld123”
2. 点击完成</x:v>
      </x:c>
      <x:c r="K191" s="9" t="str">
        <x:v>原密码、新密码及确认密码输入均保持QaOld123</x:v>
      </x:c>
      <x:c r="L191" s="10" t="str"/>
      <x:c r="M191" s="10" t="str">
        <x:v>未测</x:v>
      </x:c>
      <x:c r="N191" s="10" t="str"/>
      <x:c r="O191" s="9" t="str">
        <x:v>1. 来源（当前证据）：liveshow-proto/MainBasis/统一需求文档.md；位置：行1500、行1505、行1497
2. 规则：BR-7b3b35f9f8cd920a
3. 未动态验证</x:v>
      </x:c>
    </x:row>
    <x:row r="192" ht="85" customHeight="1">
      <x:c r="A192" s="10" t="n">
        <x:v>191</x:v>
      </x:c>
      <x:c r="B192" s="10" t="str">
        <x:v>USER-05-0090</x:v>
      </x:c>
      <x:c r="C192" s="10" t="str">
        <x:v>我的</x:v>
      </x:c>
      <x:c r="D192" s="10" t="str">
        <x:v>修改密码（已登录普通用户视角）</x:v>
      </x:c>
      <x:c r="E192" s="10" t="str">
        <x:v>异常用例</x:v>
      </x:c>
      <x:c r="F192" s="10" t="str">
        <x:v>P1</x:v>
      </x:c>
      <x:c r="G192" s="9" t="str">
        <x:v>验证确认密码不匹配：密码不一致提示</x:v>
      </x:c>
      <x:c r="H192" s="9" t="str">
        <x:v>密码不一致提示</x:v>
      </x:c>
      <x:c r="I192" s="9" t="str">
        <x:v>1. 执行角色为已登录普通用户；当前处于修改密码页面
2. 当前密码为QaOld123</x:v>
      </x:c>
      <x:c r="J192" s="9" t="str">
        <x:v>1. 输入原密码“QaOld123”
2. 输入新密码“QaNew123”
3. 输入确认密码“QaNew456”
4. 点击完成</x:v>
      </x:c>
      <x:c r="K192" s="9" t="str">
        <x:v>提示两次密码不一致</x:v>
      </x:c>
      <x:c r="L192" s="10" t="str"/>
      <x:c r="M192" s="10" t="str">
        <x:v>未测</x:v>
      </x:c>
      <x:c r="N192" s="10" t="str"/>
      <x:c r="O192" s="9" t="str">
        <x:v>1. 来源（当前证据）：liveshow-proto/MainBasis/统一需求文档.md；位置：行1501、行1505、行1497
2. 规则：BR-1b597e15ad7b920b
3. 未动态验证</x:v>
      </x:c>
    </x:row>
    <x:row r="193" ht="85" customHeight="1">
      <x:c r="A193" s="10" t="n">
        <x:v>192</x:v>
      </x:c>
      <x:c r="B193" s="10" t="str">
        <x:v>USER-05-0091</x:v>
      </x:c>
      <x:c r="C193" s="10" t="str">
        <x:v>我的</x:v>
      </x:c>
      <x:c r="D193" s="10" t="str">
        <x:v>修改密码（已登录普通用户视角）</x:v>
      </x:c>
      <x:c r="E193" s="10" t="str">
        <x:v>异常用例</x:v>
      </x:c>
      <x:c r="F193" s="10" t="str">
        <x:v>P1</x:v>
      </x:c>
      <x:c r="G193" s="9" t="str">
        <x:v>验证确认密码不匹配：确认值保留</x:v>
      </x:c>
      <x:c r="H193" s="9" t="str">
        <x:v>确认值保留</x:v>
      </x:c>
      <x:c r="I193" s="9" t="str">
        <x:v>1. 执行角色为已登录普通用户；当前处于修改密码页面
2. 当前密码为QaOld123</x:v>
      </x:c>
      <x:c r="J193" s="9" t="str">
        <x:v>1. 输入原密码“QaOld123”
2. 输入新密码“QaNew123”
3. 输入确认密码“QaNew456”
4. 点击完成</x:v>
      </x:c>
      <x:c r="K193" s="9" t="str">
        <x:v>确认密码输入仍为QaNew456</x:v>
      </x:c>
      <x:c r="L193" s="10" t="str"/>
      <x:c r="M193" s="10" t="str">
        <x:v>未测</x:v>
      </x:c>
      <x:c r="N193" s="10" t="str"/>
      <x:c r="O193" s="9" t="str">
        <x:v>1. 来源（当前证据）：liveshow-proto/MainBasis/统一需求文档.md；位置：行1501、行1505、行1497
2. 规则：BR-f4bf2a9818478d09
3. 未动态验证</x:v>
      </x:c>
    </x:row>
    <x:row r="194" ht="85" customHeight="1">
      <x:c r="A194" s="10" t="n">
        <x:v>193</x:v>
      </x:c>
      <x:c r="B194" s="10" t="str">
        <x:v>USER-05-0092</x:v>
      </x:c>
      <x:c r="C194" s="10" t="str">
        <x:v>我的</x:v>
      </x:c>
      <x:c r="D194" s="10" t="str">
        <x:v>修改密码（已登录普通用户视角）</x:v>
      </x:c>
      <x:c r="E194" s="10" t="str">
        <x:v>业务流程</x:v>
      </x:c>
      <x:c r="F194" s="10" t="str">
        <x:v>P0</x:v>
      </x:c>
      <x:c r="G194" s="9" t="str">
        <x:v>验证修改密码成功</x:v>
      </x:c>
      <x:c r="H194" s="9" t="str">
        <x:v>密码修改后页面去向</x:v>
      </x:c>
      <x:c r="I194" s="9" t="str">
        <x:v>1. 执行角色为已登录普通用户；当前处于修改密码页面
2. 当前密码为QaOld123</x:v>
      </x:c>
      <x:c r="J194" s="9" t="str">
        <x:v>1. 输入原密码“QaOld123”
2. 输入新密码和确认密码“QaNew123”
3. 点击完成</x:v>
      </x:c>
      <x:c r="K194" s="9" t="str">
        <x:v>修改成功返回设置页</x:v>
      </x:c>
      <x:c r="L194" s="10" t="str"/>
      <x:c r="M194" s="10" t="str">
        <x:v>未测</x:v>
      </x:c>
      <x:c r="N194" s="10" t="str"/>
      <x:c r="O194" s="9" t="str">
        <x:v>1. 来源（当前证据）：liveshow-proto/MainBasis/统一需求文档.md；位置：行1507、行1497
2. 规则：BR-567ce870fa75d6b5
3. 未动态验证</x:v>
      </x:c>
    </x:row>
    <x:row r="195" ht="85" customHeight="1">
      <x:c r="A195" s="10" t="n">
        <x:v>194</x:v>
      </x:c>
      <x:c r="B195" s="10" t="str">
        <x:v>USER-05-0093</x:v>
      </x:c>
      <x:c r="C195" s="10" t="str">
        <x:v>我的</x:v>
      </x:c>
      <x:c r="D195" s="10" t="str">
        <x:v>修改密码（已登录普通用户视角）</x:v>
      </x:c>
      <x:c r="E195" s="10" t="str">
        <x:v>功能需求</x:v>
      </x:c>
      <x:c r="F195" s="10" t="str">
        <x:v>P1</x:v>
      </x:c>
      <x:c r="G195" s="9" t="str">
        <x:v>验证忘记密码入口</x:v>
      </x:c>
      <x:c r="H195" s="9" t="str">
        <x:v>密码重置页面去向</x:v>
      </x:c>
      <x:c r="I195" s="9" t="str">
        <x:v>1. 执行角色为已登录普通用户；当前处于修改密码页面
2. 当前密码为QaOld123</x:v>
      </x:c>
      <x:c r="J195" s="9" t="str">
        <x:v>1. 点击忘记密码</x:v>
      </x:c>
      <x:c r="K195" s="9" t="str">
        <x:v>进入使用已绑定联系方式验证的密码重置页</x:v>
      </x:c>
      <x:c r="L195" s="10" t="str"/>
      <x:c r="M195" s="10" t="str">
        <x:v>未测</x:v>
      </x:c>
      <x:c r="N195" s="10" t="str"/>
      <x:c r="O195" s="9" t="str">
        <x:v>1. 来源（当前证据）：liveshow-proto/MainBasis/统一需求文档.md；位置：行1504、行1506、行1497
2. 规则：BR-2f0032edfafefbd8
3. 未动态验证</x:v>
      </x:c>
    </x:row>
    <x:row r="196" ht="85" customHeight="1">
      <x:c r="A196" s="10" t="n">
        <x:v>195</x:v>
      </x:c>
      <x:c r="B196" s="10" t="str">
        <x:v>USER-05-0094</x:v>
      </x:c>
      <x:c r="C196" s="10" t="str">
        <x:v>我的</x:v>
      </x:c>
      <x:c r="D196" s="10" t="str">
        <x:v>我的（已登录普通用户视角）</x:v>
      </x:c>
      <x:c r="E196" s="10" t="str">
        <x:v>功能需求</x:v>
      </x:c>
      <x:c r="F196" s="10" t="str">
        <x:v>P1</x:v>
      </x:c>
      <x:c r="G196" s="9" t="str">
        <x:v>验证个人资料与当前账号一致：账号标识</x:v>
      </x:c>
      <x:c r="H196" s="9" t="str">
        <x:v>账号标识</x:v>
      </x:c>
      <x:c r="I196" s="9" t="str">
        <x:v>1. 执行角色为已登录普通用户；当前处于我的页面
2. 账号ID、头像、昵称和财富等级已准备为已知测试数据</x:v>
      </x:c>
      <x:c r="J196" s="9" t="str">
        <x:v>1. 查看个人资料区</x:v>
      </x:c>
      <x:c r="K196" s="9" t="str">
        <x:v>ID为当前测试账号ID</x:v>
      </x:c>
      <x:c r="L196" s="10" t="str"/>
      <x:c r="M196" s="10" t="str">
        <x:v>未测</x:v>
      </x:c>
      <x:c r="N196" s="10" t="str"/>
      <x:c r="O196" s="9" t="str">
        <x:v>1. 来源（当前证据）：liveshow-proto/MainBasis/统一需求文档.md；位置：行679、行677
2. 规则：BR-0917c9e91b644076
3. 未动态验证</x:v>
      </x:c>
    </x:row>
    <x:row r="197" ht="85" customHeight="1">
      <x:c r="A197" s="10" t="n">
        <x:v>196</x:v>
      </x:c>
      <x:c r="B197" s="10" t="str">
        <x:v>USER-05-0095</x:v>
      </x:c>
      <x:c r="C197" s="10" t="str">
        <x:v>我的</x:v>
      </x:c>
      <x:c r="D197" s="10" t="str">
        <x:v>我的（已登录普通用户视角）</x:v>
      </x:c>
      <x:c r="E197" s="10" t="str">
        <x:v>功能需求</x:v>
      </x:c>
      <x:c r="F197" s="10" t="str">
        <x:v>P1</x:v>
      </x:c>
      <x:c r="G197" s="9" t="str">
        <x:v>验证个人资料与当前账号一致：头像</x:v>
      </x:c>
      <x:c r="H197" s="9" t="str">
        <x:v>头像</x:v>
      </x:c>
      <x:c r="I197" s="9" t="str">
        <x:v>1. 执行角色为已登录普通用户；当前处于我的页面
2. 账号ID、头像、昵称和财富等级已准备为已知测试数据</x:v>
      </x:c>
      <x:c r="J197" s="9" t="str">
        <x:v>1. 查看个人资料区</x:v>
      </x:c>
      <x:c r="K197" s="9" t="str">
        <x:v>头像为当前测试账号头像</x:v>
      </x:c>
      <x:c r="L197" s="10" t="str"/>
      <x:c r="M197" s="10" t="str">
        <x:v>未测</x:v>
      </x:c>
      <x:c r="N197" s="10" t="str"/>
      <x:c r="O197" s="9" t="str">
        <x:v>1. 来源（当前证据）：liveshow-proto/MainBasis/统一需求文档.md；位置：行679、行677
2. 规则：BR-d84f64939600a607
3. 未动态验证</x:v>
      </x:c>
    </x:row>
    <x:row r="198" ht="85" customHeight="1">
      <x:c r="A198" s="10" t="n">
        <x:v>197</x:v>
      </x:c>
      <x:c r="B198" s="10" t="str">
        <x:v>USER-05-0096</x:v>
      </x:c>
      <x:c r="C198" s="10" t="str">
        <x:v>我的</x:v>
      </x:c>
      <x:c r="D198" s="10" t="str">
        <x:v>我的（已登录普通用户视角）</x:v>
      </x:c>
      <x:c r="E198" s="10" t="str">
        <x:v>功能需求</x:v>
      </x:c>
      <x:c r="F198" s="10" t="str">
        <x:v>P1</x:v>
      </x:c>
      <x:c r="G198" s="9" t="str">
        <x:v>验证个人资料与当前账号一致：昵称</x:v>
      </x:c>
      <x:c r="H198" s="9" t="str">
        <x:v>昵称</x:v>
      </x:c>
      <x:c r="I198" s="9" t="str">
        <x:v>1. 执行角色为已登录普通用户；当前处于我的页面
2. 账号ID、头像、昵称和财富等级已准备为已知测试数据</x:v>
      </x:c>
      <x:c r="J198" s="9" t="str">
        <x:v>1. 查看个人资料区</x:v>
      </x:c>
      <x:c r="K198" s="9" t="str">
        <x:v>昵称为当前测试账号昵称</x:v>
      </x:c>
      <x:c r="L198" s="10" t="str"/>
      <x:c r="M198" s="10" t="str">
        <x:v>未测</x:v>
      </x:c>
      <x:c r="N198" s="10" t="str"/>
      <x:c r="O198" s="9" t="str">
        <x:v>1. 来源（当前证据）：liveshow-proto/MainBasis/统一需求文档.md；位置：行679、行677
2. 规则：BR-3f64b61a7e3543bc
3. 未动态验证</x:v>
      </x:c>
    </x:row>
    <x:row r="199" ht="85" customHeight="1">
      <x:c r="A199" s="10" t="n">
        <x:v>198</x:v>
      </x:c>
      <x:c r="B199" s="10" t="str">
        <x:v>USER-05-0097</x:v>
      </x:c>
      <x:c r="C199" s="10" t="str">
        <x:v>我的</x:v>
      </x:c>
      <x:c r="D199" s="10" t="str">
        <x:v>我的（已登录普通用户视角）</x:v>
      </x:c>
      <x:c r="E199" s="10" t="str">
        <x:v>功能需求</x:v>
      </x:c>
      <x:c r="F199" s="10" t="str">
        <x:v>P1</x:v>
      </x:c>
      <x:c r="G199" s="9" t="str">
        <x:v>验证个人资料与当前账号一致：财富等级</x:v>
      </x:c>
      <x:c r="H199" s="9" t="str">
        <x:v>财富等级</x:v>
      </x:c>
      <x:c r="I199" s="9" t="str">
        <x:v>1. 执行角色为已登录普通用户；当前处于我的页面
2. 账号ID、头像、昵称和财富等级已准备为已知测试数据</x:v>
      </x:c>
      <x:c r="J199" s="9" t="str">
        <x:v>1. 查看个人资料区</x:v>
      </x:c>
      <x:c r="K199" s="9" t="str">
        <x:v>财富等级为当前测试账号财富等级</x:v>
      </x:c>
      <x:c r="L199" s="10" t="str"/>
      <x:c r="M199" s="10" t="str">
        <x:v>未测</x:v>
      </x:c>
      <x:c r="N199" s="10" t="str"/>
      <x:c r="O199" s="9" t="str">
        <x:v>1. 来源（当前证据）：liveshow-proto/MainBasis/统一需求文档.md；位置：行679、行677
2. 规则：BR-be26e9d89529d230
3. 未动态验证</x:v>
      </x:c>
    </x:row>
    <x:row r="200" ht="85" customHeight="1">
      <x:c r="A200" s="10" t="n">
        <x:v>199</x:v>
      </x:c>
      <x:c r="B200" s="10" t="str">
        <x:v>USER-05-0098</x:v>
      </x:c>
      <x:c r="C200" s="10" t="str">
        <x:v>我的</x:v>
      </x:c>
      <x:c r="D200" s="10" t="str">
        <x:v>我的（已登录普通用户视角）</x:v>
      </x:c>
      <x:c r="E200" s="10" t="str">
        <x:v>功能需求</x:v>
      </x:c>
      <x:c r="F200" s="10" t="str">
        <x:v>P2</x:v>
      </x:c>
      <x:c r="G200" s="9" t="str">
        <x:v>验证没有有效勋章</x:v>
      </x:c>
      <x:c r="H200" s="9" t="str">
        <x:v>入口可用性</x:v>
      </x:c>
      <x:c r="I200" s="9" t="str">
        <x:v>1. 执行角色为已登录普通用户；当前处于我的页面
2. 账号没有有效且佩戴中的勋章</x:v>
      </x:c>
      <x:c r="J200" s="9" t="str">
        <x:v>1. 查看勋章区域</x:v>
      </x:c>
      <x:c r="K200" s="9" t="str">
        <x:v>勋章区域隐藏</x:v>
      </x:c>
      <x:c r="L200" s="10" t="str"/>
      <x:c r="M200" s="10" t="str">
        <x:v>未测</x:v>
      </x:c>
      <x:c r="N200" s="10" t="str"/>
      <x:c r="O200" s="9" t="str">
        <x:v>1. 来源（当前证据）：liveshow-proto/MainBasis/统一需求文档.md；位置：行680、行677
2. 规则：BR-8703d883fbc98883
3. 未动态验证</x:v>
      </x:c>
    </x:row>
    <x:row r="201" ht="85" customHeight="1">
      <x:c r="A201" s="10" t="n">
        <x:v>200</x:v>
      </x:c>
      <x:c r="B201" s="10" t="str">
        <x:v>USER-05-0099</x:v>
      </x:c>
      <x:c r="C201" s="10" t="str">
        <x:v>我的</x:v>
      </x:c>
      <x:c r="D201" s="10" t="str">
        <x:v>我的（已登录普通用户视角）</x:v>
      </x:c>
      <x:c r="E201" s="10" t="str">
        <x:v>功能需求</x:v>
      </x:c>
      <x:c r="F201" s="10" t="str">
        <x:v>P2</x:v>
      </x:c>
      <x:c r="G201" s="9" t="str">
        <x:v>验证勋章不足十枚不补位</x:v>
      </x:c>
      <x:c r="H201" s="9" t="str">
        <x:v>入口可用性</x:v>
      </x:c>
      <x:c r="I201" s="9" t="str">
        <x:v>1. 执行角色为已登录普通用户；当前处于我的页面
2. 账号仅佩戴2枚有效勋章</x:v>
      </x:c>
      <x:c r="J201" s="9" t="str">
        <x:v>1. 查看勋章区域</x:v>
      </x:c>
      <x:c r="K201" s="9" t="str">
        <x:v>仅显示2枚有效佩戴勋章且无占位</x:v>
      </x:c>
      <x:c r="L201" s="10" t="str"/>
      <x:c r="M201" s="10" t="str">
        <x:v>未测</x:v>
      </x:c>
      <x:c r="N201" s="10" t="str"/>
      <x:c r="O201" s="9" t="str">
        <x:v>1. 来源（当前证据）：liveshow-proto/MainBasis/统一需求文档.md；位置：行680、行677
2. 规则：BR-a8a4e6ca5174eaaa
3. 未动态验证</x:v>
      </x:c>
    </x:row>
    <x:row r="202" ht="85" customHeight="1">
      <x:c r="A202" s="10" t="n">
        <x:v>201</x:v>
      </x:c>
      <x:c r="B202" s="10" t="str">
        <x:v>USER-05-0100</x:v>
      </x:c>
      <x:c r="C202" s="10" t="str">
        <x:v>我的</x:v>
      </x:c>
      <x:c r="D202" s="10" t="str">
        <x:v>我的（已登录普通用户视角）</x:v>
      </x:c>
      <x:c r="E202" s="10" t="str">
        <x:v>功能需求</x:v>
      </x:c>
      <x:c r="F202" s="10" t="str">
        <x:v>P1</x:v>
      </x:c>
      <x:c r="G202" s="9" t="str">
        <x:v>验证粉丝计数</x:v>
      </x:c>
      <x:c r="H202" s="9" t="str">
        <x:v>粉丝数量回显</x:v>
      </x:c>
      <x:c r="I202" s="9" t="str">
        <x:v>1. 执行角色为已登录普通用户；当前处于我的页面
2. 当前账号有3名正在关注自己的用户</x:v>
      </x:c>
      <x:c r="J202" s="9" t="str">
        <x:v>1. 查看粉丝数量</x:v>
      </x:c>
      <x:c r="K202" s="9" t="str">
        <x:v>粉丝数量为3</x:v>
      </x:c>
      <x:c r="L202" s="10" t="str"/>
      <x:c r="M202" s="10" t="str">
        <x:v>未测</x:v>
      </x:c>
      <x:c r="N202" s="10" t="str"/>
      <x:c r="O202" s="9" t="str">
        <x:v>1. 来源（当前证据）：liveshow-proto/MainBasis/统一需求文档.md；位置：行681、行677
2. 规则：BR-64f45ee82356b60e
3. 未动态验证</x:v>
      </x:c>
    </x:row>
    <x:row r="203" ht="85" customHeight="1">
      <x:c r="A203" s="10" t="n">
        <x:v>202</x:v>
      </x:c>
      <x:c r="B203" s="10" t="str">
        <x:v>USER-05-0101</x:v>
      </x:c>
      <x:c r="C203" s="10" t="str">
        <x:v>我的</x:v>
      </x:c>
      <x:c r="D203" s="10" t="str">
        <x:v>我的（已登录普通用户视角）</x:v>
      </x:c>
      <x:c r="E203" s="10" t="str">
        <x:v>功能需求</x:v>
      </x:c>
      <x:c r="F203" s="10" t="str">
        <x:v>P1</x:v>
      </x:c>
      <x:c r="G203" s="9" t="str">
        <x:v>验证关注计数</x:v>
      </x:c>
      <x:c r="H203" s="9" t="str">
        <x:v>关注人数统计</x:v>
      </x:c>
      <x:c r="I203" s="9" t="str">
        <x:v>1. 执行角色为已登录普通用户；当前处于我的页面
2. 当前账号正在关注4名用户</x:v>
      </x:c>
      <x:c r="J203" s="9" t="str">
        <x:v>1. 查看关注数量</x:v>
      </x:c>
      <x:c r="K203" s="9" t="str">
        <x:v>关注数量为4</x:v>
      </x:c>
      <x:c r="L203" s="10" t="str"/>
      <x:c r="M203" s="10" t="str">
        <x:v>未测</x:v>
      </x:c>
      <x:c r="N203" s="10" t="str"/>
      <x:c r="O203" s="9" t="str">
        <x:v>1. 来源（当前证据）：liveshow-proto/MainBasis/统一需求文档.md；位置：行681、行677
2. 规则：BR-62c80a7edbd5b64d
3. 未动态验证</x:v>
      </x:c>
    </x:row>
    <x:row r="204" ht="85" customHeight="1">
      <x:c r="A204" s="10" t="n">
        <x:v>203</x:v>
      </x:c>
      <x:c r="B204" s="10" t="str">
        <x:v>USER-05-0102</x:v>
      </x:c>
      <x:c r="C204" s="10" t="str">
        <x:v>我的</x:v>
      </x:c>
      <x:c r="D204" s="10" t="str">
        <x:v>我的（已登录普通用户视角）</x:v>
      </x:c>
      <x:c r="E204" s="10" t="str">
        <x:v>功能需求</x:v>
      </x:c>
      <x:c r="F204" s="10" t="str">
        <x:v>P1</x:v>
      </x:c>
      <x:c r="G204" s="9" t="str">
        <x:v>验证好友计数</x:v>
      </x:c>
      <x:c r="H204" s="9" t="str">
        <x:v>好友人数统计</x:v>
      </x:c>
      <x:c r="I204" s="9" t="str">
        <x:v>1. 执行角色为已登录普通用户；当前处于我的页面
2. 当前账号有2名有效好友</x:v>
      </x:c>
      <x:c r="J204" s="9" t="str">
        <x:v>1. 查看好友数量</x:v>
      </x:c>
      <x:c r="K204" s="9" t="str">
        <x:v>好友数量为2</x:v>
      </x:c>
      <x:c r="L204" s="10" t="str"/>
      <x:c r="M204" s="10" t="str">
        <x:v>未测</x:v>
      </x:c>
      <x:c r="N204" s="10" t="str"/>
      <x:c r="O204" s="9" t="str">
        <x:v>1. 来源（当前证据）：liveshow-proto/MainBasis/统一需求文档.md；位置：行681、行677
2. 规则：BR-3392b3052f0d2284
3. 未动态验证</x:v>
      </x:c>
    </x:row>
    <x:row r="205" ht="85" customHeight="1">
      <x:c r="A205" s="10" t="n">
        <x:v>204</x:v>
      </x:c>
      <x:c r="B205" s="10" t="str">
        <x:v>USER-05-0103</x:v>
      </x:c>
      <x:c r="C205" s="10" t="str">
        <x:v>我的</x:v>
      </x:c>
      <x:c r="D205" s="10" t="str">
        <x:v>我的（已登录普通用户视角）</x:v>
      </x:c>
      <x:c r="E205" s="10" t="str">
        <x:v>功能需求</x:v>
      </x:c>
      <x:c r="F205" s="10" t="str">
        <x:v>P1</x:v>
      </x:c>
      <x:c r="G205" s="9" t="str">
        <x:v>验证负余额展示</x:v>
      </x:c>
      <x:c r="H205" s="9" t="str">
        <x:v>资产数值</x:v>
      </x:c>
      <x:c r="I205" s="9" t="str">
        <x:v>1. 执行角色为已登录普通用户；当前处于我的页面
2. 充值退款后当前真实金币为-20</x:v>
      </x:c>
      <x:c r="J205" s="9" t="str">
        <x:v>1. 查看金币余额</x:v>
      </x:c>
      <x:c r="K205" s="9" t="str">
        <x:v>显示金币余额-20</x:v>
      </x:c>
      <x:c r="L205" s="10" t="str"/>
      <x:c r="M205" s="10" t="str">
        <x:v>未测</x:v>
      </x:c>
      <x:c r="N205" s="10" t="str"/>
      <x:c r="O205" s="9" t="str">
        <x:v>1. 来源（当前证据）：liveshow-proto/MainBasis/统一需求文档.md；位置：行682、行677
2. 规则：BR-5ff0490f9598f41a
3. 未动态验证</x:v>
      </x:c>
    </x:row>
    <x:row r="206" ht="85" customHeight="1">
      <x:c r="A206" s="10" t="n">
        <x:v>205</x:v>
      </x:c>
      <x:c r="B206" s="10" t="str">
        <x:v>USER-05-0104</x:v>
      </x:c>
      <x:c r="C206" s="10" t="str">
        <x:v>我的</x:v>
      </x:c>
      <x:c r="D206" s="10" t="str">
        <x:v>我的（已登录普通用户视角）</x:v>
      </x:c>
      <x:c r="E206" s="10" t="str">
        <x:v>功能需求</x:v>
      </x:c>
      <x:c r="F206" s="10" t="str">
        <x:v>P2</x:v>
      </x:c>
      <x:c r="G206" s="9" t="str">
        <x:v>验证编辑资料入口</x:v>
      </x:c>
      <x:c r="H206" s="9" t="str">
        <x:v>资料编辑页面去向</x:v>
      </x:c>
      <x:c r="I206" s="9" t="str">
        <x:v>1. 执行角色为已登录普通用户；当前处于我的页面</x:v>
      </x:c>
      <x:c r="J206" s="9" t="str">
        <x:v>1. 点击编辑资料</x:v>
      </x:c>
      <x:c r="K206" s="9" t="str">
        <x:v>进入资料编辑页面</x:v>
      </x:c>
      <x:c r="L206" s="10" t="str"/>
      <x:c r="M206" s="10" t="str">
        <x:v>未测</x:v>
      </x:c>
      <x:c r="N206" s="10" t="str"/>
      <x:c r="O206" s="9" t="str">
        <x:v>1. 来源（当前证据）：liveshow-proto/MainBasis/统一需求文档.md；位置：行687、行677
2. 规则：BR-bb5df6cdcd31d1e5
3. 未动态验证</x:v>
      </x:c>
    </x:row>
    <x:row r="207" ht="85" customHeight="1">
      <x:c r="A207" s="10" t="n">
        <x:v>206</x:v>
      </x:c>
      <x:c r="B207" s="10" t="str">
        <x:v>USER-05-0105</x:v>
      </x:c>
      <x:c r="C207" s="10" t="str">
        <x:v>我的</x:v>
      </x:c>
      <x:c r="D207" s="10" t="str">
        <x:v>我的（已登录普通用户视角）</x:v>
      </x:c>
      <x:c r="E207" s="10" t="str">
        <x:v>功能需求</x:v>
      </x:c>
      <x:c r="F207" s="10" t="str">
        <x:v>P2</x:v>
      </x:c>
      <x:c r="G207" s="9" t="str">
        <x:v>验证设置入口</x:v>
      </x:c>
      <x:c r="H207" s="9" t="str">
        <x:v>账号设置页面去向</x:v>
      </x:c>
      <x:c r="I207" s="9" t="str">
        <x:v>1. 执行角色为已登录普通用户；当前处于我的页面</x:v>
      </x:c>
      <x:c r="J207" s="9" t="str">
        <x:v>1. 点击设置</x:v>
      </x:c>
      <x:c r="K207" s="9" t="str">
        <x:v>进入设置页面</x:v>
      </x:c>
      <x:c r="L207" s="10" t="str"/>
      <x:c r="M207" s="10" t="str">
        <x:v>未测</x:v>
      </x:c>
      <x:c r="N207" s="10" t="str"/>
      <x:c r="O207" s="9" t="str">
        <x:v>1. 来源（当前证据）：liveshow-proto/MainBasis/统一需求文档.md；位置：行688、行677
2. 规则：BR-3821f787344bbeb7
3. 未动态验证</x:v>
      </x:c>
    </x:row>
    <x:row r="208" ht="85" customHeight="1">
      <x:c r="A208" s="10" t="n">
        <x:v>207</x:v>
      </x:c>
      <x:c r="B208" s="10" t="str">
        <x:v>USER-05-0106</x:v>
      </x:c>
      <x:c r="C208" s="10" t="str">
        <x:v>我的</x:v>
      </x:c>
      <x:c r="D208" s="10" t="str">
        <x:v>我的（已登录普通用户视角）</x:v>
      </x:c>
      <x:c r="E208" s="10" t="str">
        <x:v>功能需求</x:v>
      </x:c>
      <x:c r="F208" s="10" t="str">
        <x:v>P2</x:v>
      </x:c>
      <x:c r="G208" s="9" t="str">
        <x:v>验证充值入口</x:v>
      </x:c>
      <x:c r="H208" s="9" t="str">
        <x:v>充值页面去向</x:v>
      </x:c>
      <x:c r="I208" s="9" t="str">
        <x:v>1. 执行角色为已登录普通用户；当前处于我的页面</x:v>
      </x:c>
      <x:c r="J208" s="9" t="str">
        <x:v>1. 点击充值</x:v>
      </x:c>
      <x:c r="K208" s="9" t="str">
        <x:v>进入余额充值页面</x:v>
      </x:c>
      <x:c r="L208" s="10" t="str"/>
      <x:c r="M208" s="10" t="str">
        <x:v>未测</x:v>
      </x:c>
      <x:c r="N208" s="10" t="str"/>
      <x:c r="O208" s="9" t="str">
        <x:v>1. 来源（当前证据）：liveshow-proto/MainBasis/统一需求文档.md；位置：行689、行677
2. 规则：BR-3a933e20c64f21a3
3. 未动态验证</x:v>
      </x:c>
    </x:row>
    <x:row r="209" ht="85" customHeight="1">
      <x:c r="A209" s="10" t="n">
        <x:v>208</x:v>
      </x:c>
      <x:c r="B209" s="10" t="str">
        <x:v>USER-05-0107</x:v>
      </x:c>
      <x:c r="C209" s="10" t="str">
        <x:v>我的</x:v>
      </x:c>
      <x:c r="D209" s="10" t="str">
        <x:v>我的（已登录普通用户视角）</x:v>
      </x:c>
      <x:c r="E209" s="10" t="str">
        <x:v>功能需求</x:v>
      </x:c>
      <x:c r="F209" s="10" t="str">
        <x:v>P2</x:v>
      </x:c>
      <x:c r="G209" s="9" t="str">
        <x:v>验证我的装扮入口</x:v>
      </x:c>
      <x:c r="H209" s="9" t="str">
        <x:v>装扮管理页面去向</x:v>
      </x:c>
      <x:c r="I209" s="9" t="str">
        <x:v>1. 执行角色为已登录普通用户；当前处于我的页面</x:v>
      </x:c>
      <x:c r="J209" s="9" t="str">
        <x:v>1. 点击我的装扮</x:v>
      </x:c>
      <x:c r="K209" s="9" t="str">
        <x:v>进入我的装扮页面</x:v>
      </x:c>
      <x:c r="L209" s="10" t="str"/>
      <x:c r="M209" s="10" t="str">
        <x:v>未测</x:v>
      </x:c>
      <x:c r="N209" s="10" t="str"/>
      <x:c r="O209" s="9" t="str">
        <x:v>1. 来源（当前证据）：liveshow-proto/MainBasis/统一需求文档.md；位置：行690、行677
2. 规则：BR-ea361b50adc6993d
3. 未动态验证</x:v>
      </x:c>
    </x:row>
    <x:row r="210" ht="85" customHeight="1">
      <x:c r="A210" s="10" t="n">
        <x:v>209</x:v>
      </x:c>
      <x:c r="B210" s="10" t="str">
        <x:v>USER-05-0108</x:v>
      </x:c>
      <x:c r="C210" s="10" t="str">
        <x:v>我的</x:v>
      </x:c>
      <x:c r="D210" s="10" t="str">
        <x:v>我的（已登录普通用户视角）</x:v>
      </x:c>
      <x:c r="E210" s="10" t="str">
        <x:v>功能需求</x:v>
      </x:c>
      <x:c r="F210" s="10" t="str">
        <x:v>P2</x:v>
      </x:c>
      <x:c r="G210" s="9" t="str">
        <x:v>验证我的粉丝团入口</x:v>
      </x:c>
      <x:c r="H210" s="9" t="str">
        <x:v>粉丝团管理页面去向</x:v>
      </x:c>
      <x:c r="I210" s="9" t="str">
        <x:v>1. 执行角色为已登录普通用户；当前处于我的页面</x:v>
      </x:c>
      <x:c r="J210" s="9" t="str">
        <x:v>1. 点击我的粉丝团</x:v>
      </x:c>
      <x:c r="K210" s="9" t="str">
        <x:v>进入我的粉丝团页面</x:v>
      </x:c>
      <x:c r="L210" s="10" t="str"/>
      <x:c r="M210" s="10" t="str">
        <x:v>未测</x:v>
      </x:c>
      <x:c r="N210" s="10" t="str"/>
      <x:c r="O210" s="9" t="str">
        <x:v>1. 来源（当前证据）：liveshow-proto/MainBasis/统一需求文档.md；位置：行691、行677
2. 规则：BR-ca464a6c40fb905a
3. 未动态验证</x:v>
      </x:c>
    </x:row>
    <x:row r="211" ht="85" customHeight="1">
      <x:c r="A211" s="10" t="n">
        <x:v>210</x:v>
      </x:c>
      <x:c r="B211" s="10" t="str">
        <x:v>USER-05-0109</x:v>
      </x:c>
      <x:c r="C211" s="10" t="str">
        <x:v>我的</x:v>
      </x:c>
      <x:c r="D211" s="10" t="str">
        <x:v>我的（已登录普通用户视角）</x:v>
      </x:c>
      <x:c r="E211" s="10" t="str">
        <x:v>功能需求</x:v>
      </x:c>
      <x:c r="F211" s="10" t="str">
        <x:v>P2</x:v>
      </x:c>
      <x:c r="G211" s="9" t="str">
        <x:v>验证邀请奖励入口</x:v>
      </x:c>
      <x:c r="H211" s="9" t="str">
        <x:v>邀请奖励页面去向</x:v>
      </x:c>
      <x:c r="I211" s="9" t="str">
        <x:v>1. 执行角色为已登录普通用户；当前处于我的页面</x:v>
      </x:c>
      <x:c r="J211" s="9" t="str">
        <x:v>1. 点击邀请奖励</x:v>
      </x:c>
      <x:c r="K211" s="9" t="str">
        <x:v>进入邀请好友页面</x:v>
      </x:c>
      <x:c r="L211" s="10" t="str"/>
      <x:c r="M211" s="10" t="str">
        <x:v>未测</x:v>
      </x:c>
      <x:c r="N211" s="10" t="str"/>
      <x:c r="O211" s="9" t="str">
        <x:v>1. 来源（当前证据）：liveshow-proto/MainBasis/统一需求文档.md；位置：行692、行677
2. 规则：BR-768372a4f45497a0
3. 未动态验证</x:v>
      </x:c>
    </x:row>
    <x:row r="212" ht="85" customHeight="1">
      <x:c r="A212" s="10" t="n">
        <x:v>211</x:v>
      </x:c>
      <x:c r="B212" s="10" t="str">
        <x:v>USER-05-0110</x:v>
      </x:c>
      <x:c r="C212" s="10" t="str">
        <x:v>我的</x:v>
      </x:c>
      <x:c r="D212" s="10" t="str">
        <x:v>我的（已登录普通用户视角）</x:v>
      </x:c>
      <x:c r="E212" s="10" t="str">
        <x:v>功能需求</x:v>
      </x:c>
      <x:c r="F212" s="10" t="str">
        <x:v>P2</x:v>
      </x:c>
      <x:c r="G212" s="9" t="str">
        <x:v>验证黑名单入口</x:v>
      </x:c>
      <x:c r="H212" s="9" t="str">
        <x:v>黑名单页面去向</x:v>
      </x:c>
      <x:c r="I212" s="9" t="str">
        <x:v>1. 执行角色为已登录普通用户；当前处于我的页面</x:v>
      </x:c>
      <x:c r="J212" s="9" t="str">
        <x:v>1. 点击黑名单</x:v>
      </x:c>
      <x:c r="K212" s="9" t="str">
        <x:v>进入黑名单管理页面</x:v>
      </x:c>
      <x:c r="L212" s="10" t="str"/>
      <x:c r="M212" s="10" t="str">
        <x:v>未测</x:v>
      </x:c>
      <x:c r="N212" s="10" t="str"/>
      <x:c r="O212" s="9" t="str">
        <x:v>1. 来源（当前证据）：liveshow-proto/MainBasis/统一需求文档.md；位置：行696、行677
2. 规则：BR-9a114d3e435dc9b8
3. 未动态验证</x:v>
      </x:c>
    </x:row>
    <x:row r="213" ht="85" customHeight="1">
      <x:c r="A213" s="10" t="n">
        <x:v>212</x:v>
      </x:c>
      <x:c r="B213" s="10" t="str">
        <x:v>USER-05-0111</x:v>
      </x:c>
      <x:c r="C213" s="10" t="str">
        <x:v>我的</x:v>
      </x:c>
      <x:c r="D213" s="10" t="str">
        <x:v>我的（已登录普通用户视角）</x:v>
      </x:c>
      <x:c r="E213" s="10" t="str">
        <x:v>功能需求</x:v>
      </x:c>
      <x:c r="F213" s="10" t="str">
        <x:v>P2</x:v>
      </x:c>
      <x:c r="G213" s="9" t="str">
        <x:v>验证联系客服入口</x:v>
      </x:c>
      <x:c r="H213" s="9" t="str">
        <x:v>客服页面去向</x:v>
      </x:c>
      <x:c r="I213" s="9" t="str">
        <x:v>1. 执行角色为已登录普通用户；当前处于我的页面</x:v>
      </x:c>
      <x:c r="J213" s="9" t="str">
        <x:v>1. 点击联系客服</x:v>
      </x:c>
      <x:c r="K213" s="9" t="str">
        <x:v>进入联系客服页面</x:v>
      </x:c>
      <x:c r="L213" s="10" t="str"/>
      <x:c r="M213" s="10" t="str">
        <x:v>未测</x:v>
      </x:c>
      <x:c r="N213" s="10" t="str"/>
      <x:c r="O213" s="9" t="str">
        <x:v>1. 来源（当前证据）：liveshow-proto/MainBasis/统一需求文档.md；位置：行697、行677
2. 规则：BR-e1b24491f8dcd31e
3. 未动态验证</x:v>
      </x:c>
    </x:row>
    <x:row r="214" ht="85" customHeight="1">
      <x:c r="A214" s="10" t="n">
        <x:v>213</x:v>
      </x:c>
      <x:c r="B214" s="10" t="str">
        <x:v>USER-05-0112</x:v>
      </x:c>
      <x:c r="C214" s="10" t="str">
        <x:v>我的</x:v>
      </x:c>
      <x:c r="D214" s="10" t="str">
        <x:v>我的（已登录普通用户视角）</x:v>
      </x:c>
      <x:c r="E214" s="10" t="str">
        <x:v>功能需求</x:v>
      </x:c>
      <x:c r="F214" s="10" t="str">
        <x:v>P2</x:v>
      </x:c>
      <x:c r="G214" s="9" t="str">
        <x:v>验证公会中心入口</x:v>
      </x:c>
      <x:c r="H214" s="9" t="str">
        <x:v>公会中心页面去向</x:v>
      </x:c>
      <x:c r="I214" s="9" t="str">
        <x:v>1. 执行角色为已登录普通用户；当前处于我的页面</x:v>
      </x:c>
      <x:c r="J214" s="9" t="str">
        <x:v>1. 点击公会中心</x:v>
      </x:c>
      <x:c r="K214" s="9" t="str">
        <x:v>进入公会中心页面</x:v>
      </x:c>
      <x:c r="L214" s="10" t="str"/>
      <x:c r="M214" s="10" t="str">
        <x:v>未测</x:v>
      </x:c>
      <x:c r="N214" s="10" t="str"/>
      <x:c r="O214" s="9" t="str">
        <x:v>1. 来源（当前证据）：liveshow-proto/MainBasis/统一需求文档.md；位置：行695、行677
2. 规则：BR-0d280c9665d48b35
3. 未动态验证</x:v>
      </x:c>
    </x:row>
    <x:row r="215" ht="85" customHeight="1">
      <x:c r="A215" s="10" t="n">
        <x:v>214</x:v>
      </x:c>
      <x:c r="B215" s="10" t="str">
        <x:v>USER-05-0113</x:v>
      </x:c>
      <x:c r="C215" s="10" t="str">
        <x:v>我的</x:v>
      </x:c>
      <x:c r="D215" s="10" t="str">
        <x:v>联系客服（已登录普通用户视角）</x:v>
      </x:c>
      <x:c r="E215" s="10" t="str">
        <x:v>功能需求</x:v>
      </x:c>
      <x:c r="F215" s="10" t="str">
        <x:v>P2</x:v>
      </x:c>
      <x:c r="G215" s="9" t="str">
        <x:v>验证WhatsApp客服配置展示</x:v>
      </x:c>
      <x:c r="H215" s="9" t="str">
        <x:v>WhatsApp客服配置值</x:v>
      </x:c>
      <x:c r="I215" s="9" t="str">
        <x:v>1. 执行角色为已登录普通用户；当前处于联系客服页面
2. 当前官方WhatsApp和客服邮箱已配置为已知测试联系方式</x:v>
      </x:c>
      <x:c r="J215" s="9" t="str">
        <x:v>1. 查看WhatsApp联系方式</x:v>
      </x:c>
      <x:c r="K215" s="9" t="str">
        <x:v>显示当前配置的官方WhatsApp</x:v>
      </x:c>
      <x:c r="L215" s="10" t="str"/>
      <x:c r="M215" s="10" t="str">
        <x:v>未测</x:v>
      </x:c>
      <x:c r="N215" s="10" t="str"/>
      <x:c r="O215" s="9" t="str">
        <x:v>1. 来源（当前证据）：liveshow-proto/MainBasis/统一需求文档.md；位置：行702、行700
2. 规则：BR-f3d5f67f8fc4c5ad
3. 未动态验证</x:v>
      </x:c>
    </x:row>
    <x:row r="216" ht="85" customHeight="1">
      <x:c r="A216" s="10" t="n">
        <x:v>215</x:v>
      </x:c>
      <x:c r="B216" s="10" t="str">
        <x:v>USER-05-0114</x:v>
      </x:c>
      <x:c r="C216" s="10" t="str">
        <x:v>我的</x:v>
      </x:c>
      <x:c r="D216" s="10" t="str">
        <x:v>联系客服（已登录普通用户视角）</x:v>
      </x:c>
      <x:c r="E216" s="10" t="str">
        <x:v>功能需求</x:v>
      </x:c>
      <x:c r="F216" s="10" t="str">
        <x:v>P2</x:v>
      </x:c>
      <x:c r="G216" s="9" t="str">
        <x:v>验证邮箱客服配置展示</x:v>
      </x:c>
      <x:c r="H216" s="9" t="str">
        <x:v>客服邮箱配置值</x:v>
      </x:c>
      <x:c r="I216" s="9" t="str">
        <x:v>1. 执行角色为已登录普通用户；当前处于联系客服页面
2. 当前官方WhatsApp和客服邮箱已配置为已知测试联系方式</x:v>
      </x:c>
      <x:c r="J216" s="9" t="str">
        <x:v>1. 查看客服邮箱</x:v>
      </x:c>
      <x:c r="K216" s="9" t="str">
        <x:v>显示当前配置的官方邮箱</x:v>
      </x:c>
      <x:c r="L216" s="10" t="str"/>
      <x:c r="M216" s="10" t="str">
        <x:v>未测</x:v>
      </x:c>
      <x:c r="N216" s="10" t="str"/>
      <x:c r="O216" s="9" t="str">
        <x:v>1. 来源（当前证据）：liveshow-proto/MainBasis/统一需求文档.md；位置：行703、行700
2. 规则：BR-b664d0e2403434a2
3. 未动态验证</x:v>
      </x:c>
    </x:row>
    <x:row r="217" ht="85" customHeight="1">
      <x:c r="A217" s="10" t="n">
        <x:v>216</x:v>
      </x:c>
      <x:c r="B217" s="10" t="str">
        <x:v>USER-05-0115</x:v>
      </x:c>
      <x:c r="C217" s="10" t="str">
        <x:v>我的</x:v>
      </x:c>
      <x:c r="D217" s="10" t="str">
        <x:v>联系客服（已登录普通用户视角）</x:v>
      </x:c>
      <x:c r="E217" s="10" t="str">
        <x:v>功能需求</x:v>
      </x:c>
      <x:c r="F217" s="10" t="str">
        <x:v>P2</x:v>
      </x:c>
      <x:c r="G217" s="9" t="str">
        <x:v>验证复制WhatsApp</x:v>
      </x:c>
      <x:c r="H217" s="9" t="str">
        <x:v>WhatsApp联系方式复制</x:v>
      </x:c>
      <x:c r="I217" s="9" t="str">
        <x:v>1. 执行角色为已登录普通用户；当前处于联系客服页面
2. 当前官方WhatsApp和客服邮箱已配置为已知测试联系方式</x:v>
      </x:c>
      <x:c r="J217" s="9" t="str">
        <x:v>1. 点击WhatsApp联系方式</x:v>
      </x:c>
      <x:c r="K217" s="9" t="str">
        <x:v>WhatsApp联系方式已复制到剪贴板</x:v>
      </x:c>
      <x:c r="L217" s="10" t="str"/>
      <x:c r="M217" s="10" t="str">
        <x:v>未测</x:v>
      </x:c>
      <x:c r="N217" s="10" t="str"/>
      <x:c r="O217" s="9" t="str">
        <x:v>1. 来源（当前证据）：liveshow-proto/MainBasis/统一需求文档.md；位置：行705、行700
2. 规则：BR-5df3ab500d3de246
3. 未动态验证</x:v>
      </x:c>
    </x:row>
    <x:row r="218" ht="85" customHeight="1">
      <x:c r="A218" s="10" t="n">
        <x:v>217</x:v>
      </x:c>
      <x:c r="B218" s="10" t="str">
        <x:v>USER-05-0116</x:v>
      </x:c>
      <x:c r="C218" s="10" t="str">
        <x:v>我的</x:v>
      </x:c>
      <x:c r="D218" s="10" t="str">
        <x:v>联系客服（已登录普通用户视角）</x:v>
      </x:c>
      <x:c r="E218" s="10" t="str">
        <x:v>功能需求</x:v>
      </x:c>
      <x:c r="F218" s="10" t="str">
        <x:v>P2</x:v>
      </x:c>
      <x:c r="G218" s="9" t="str">
        <x:v>验证复制客服邮箱</x:v>
      </x:c>
      <x:c r="H218" s="9" t="str">
        <x:v>客服邮箱复制</x:v>
      </x:c>
      <x:c r="I218" s="9" t="str">
        <x:v>1. 执行角色为已登录普通用户；当前处于联系客服页面
2. 当前官方WhatsApp和客服邮箱已配置为已知测试联系方式</x:v>
      </x:c>
      <x:c r="J218" s="9" t="str">
        <x:v>1. 点击客服邮箱</x:v>
      </x:c>
      <x:c r="K218" s="9" t="str">
        <x:v>客服邮箱已复制到剪贴板</x:v>
      </x:c>
      <x:c r="L218" s="10" t="str"/>
      <x:c r="M218" s="10" t="str">
        <x:v>未测</x:v>
      </x:c>
      <x:c r="N218" s="10" t="str"/>
      <x:c r="O218" s="9" t="str">
        <x:v>1. 来源（当前证据）：liveshow-proto/MainBasis/统一需求文档.md；位置：行705、行700
2. 规则：BR-a1e70f2a54d42373
3. 未动态验证</x:v>
      </x:c>
    </x:row>
    <x:row r="219" ht="115" customHeight="1">
      <x:c r="A219" s="10" t="n">
        <x:v>218</x:v>
      </x:c>
      <x:c r="B219" s="10" t="str">
        <x:v>USER-05-0117</x:v>
      </x:c>
      <x:c r="C219" s="10" t="str">
        <x:v>我的</x:v>
      </x:c>
      <x:c r="D219" s="10" t="str">
        <x:v>联系客服（已登录普通用户视角）</x:v>
      </x:c>
      <x:c r="E219" s="10" t="str">
        <x:v>功能需求</x:v>
      </x:c>
      <x:c r="F219" s="10" t="str">
        <x:v>P2</x:v>
      </x:c>
      <x:c r="G219" s="9" t="str">
        <x:v>验证客服配置更新</x:v>
      </x:c>
      <x:c r="H219" s="9" t="str">
        <x:v>新客服邮箱回显</x:v>
      </x:c>
      <x:c r="I219" s="9" t="str">
        <x:v>1. 执行角色为已登录普通用户；当前处于联系客服页面
2. 当前官方WhatsApp和客服邮箱已配置为已知测试联系方式
3. 平台已将客服邮箱由qa.old@example.test改为qa.new@example.test</x:v>
      </x:c>
      <x:c r="J219" s="9" t="str">
        <x:v>1. 重新进入联系客服页面</x:v>
      </x:c>
      <x:c r="K219" s="9" t="str">
        <x:v>客服邮箱显示qa.new@example.test</x:v>
      </x:c>
      <x:c r="L219" s="10" t="str"/>
      <x:c r="M219" s="10" t="str">
        <x:v>未测</x:v>
      </x:c>
      <x:c r="N219" s="10" t="str"/>
      <x:c r="O219" s="9" t="str">
        <x:v>1. 来源（当前证据）：liveshow-proto/MainBasis/统一需求文档.md；位置：行704、行700
2. 规则：BR-4eda061d977143e3
3. 未动态验证</x:v>
      </x:c>
    </x:row>
    <x:row r="220" ht="85" customHeight="1">
      <x:c r="A220" s="10" t="n">
        <x:v>219</x:v>
      </x:c>
      <x:c r="B220" s="10" t="str">
        <x:v>USER-02-0001</x:v>
      </x:c>
      <x:c r="C220" s="10" t="str">
        <x:v>首页与福利</x:v>
      </x:c>
      <x:c r="D220" s="10" t="str">
        <x:v>首页（已登录普通用户视角）</x:v>
      </x:c>
      <x:c r="E220" s="10" t="str">
        <x:v>功能需求</x:v>
      </x:c>
      <x:c r="F220" s="10" t="str">
        <x:v>P2</x:v>
      </x:c>
      <x:c r="G220" s="9" t="str">
        <x:v>验证当前场次直播卡片：场次封面</x:v>
      </x:c>
      <x:c r="H220" s="9" t="str">
        <x:v>场次封面</x:v>
      </x:c>
      <x:c r="I220" s="9" t="str">
        <x:v>1. 执行角色为已登录普通用户；当前处于首页页面
2. 存在已知封面、标题、主播和分类的正在直播场次</x:v>
      </x:c>
      <x:c r="J220" s="9" t="str">
        <x:v>1. 查看对应直播卡片</x:v>
      </x:c>
      <x:c r="K220" s="9" t="str">
        <x:v>卡片封面为当前场次封面</x:v>
      </x:c>
      <x:c r="L220" s="10" t="str"/>
      <x:c r="M220" s="10" t="str">
        <x:v>未测</x:v>
      </x:c>
      <x:c r="N220" s="10" t="str"/>
      <x:c r="O220" s="9" t="str">
        <x:v>1. 来源（当前证据）：liveshow-proto/MainBasis/统一需求文档.md；位置：行520、行518
2. 规则：BR-efe6f28e84cf612e
3. 未动态验证</x:v>
      </x:c>
    </x:row>
    <x:row r="221" ht="85" customHeight="1">
      <x:c r="A221" s="10" t="n">
        <x:v>220</x:v>
      </x:c>
      <x:c r="B221" s="10" t="str">
        <x:v>USER-02-0002</x:v>
      </x:c>
      <x:c r="C221" s="10" t="str">
        <x:v>首页与福利</x:v>
      </x:c>
      <x:c r="D221" s="10" t="str">
        <x:v>首页（已登录普通用户视角）</x:v>
      </x:c>
      <x:c r="E221" s="10" t="str">
        <x:v>功能需求</x:v>
      </x:c>
      <x:c r="F221" s="10" t="str">
        <x:v>P2</x:v>
      </x:c>
      <x:c r="G221" s="9" t="str">
        <x:v>验证当前场次直播卡片：场次主题</x:v>
      </x:c>
      <x:c r="H221" s="9" t="str">
        <x:v>场次主题</x:v>
      </x:c>
      <x:c r="I221" s="9" t="str">
        <x:v>1. 执行角色为已登录普通用户；当前处于首页页面
2. 存在已知封面、标题、主播和分类的正在直播场次</x:v>
      </x:c>
      <x:c r="J221" s="9" t="str">
        <x:v>1. 查看对应直播卡片</x:v>
      </x:c>
      <x:c r="K221" s="9" t="str">
        <x:v>卡片主题为当前场次主题</x:v>
      </x:c>
      <x:c r="L221" s="10" t="str"/>
      <x:c r="M221" s="10" t="str">
        <x:v>未测</x:v>
      </x:c>
      <x:c r="N221" s="10" t="str"/>
      <x:c r="O221" s="9" t="str">
        <x:v>1. 来源（当前证据）：liveshow-proto/MainBasis/统一需求文档.md；位置：行520、行518
2. 规则：BR-d950bf2212d80ef6
3. 未动态验证</x:v>
      </x:c>
    </x:row>
    <x:row r="222" ht="85" customHeight="1">
      <x:c r="A222" s="10" t="n">
        <x:v>221</x:v>
      </x:c>
      <x:c r="B222" s="10" t="str">
        <x:v>USER-02-0003</x:v>
      </x:c>
      <x:c r="C222" s="10" t="str">
        <x:v>首页与福利</x:v>
      </x:c>
      <x:c r="D222" s="10" t="str">
        <x:v>首页（已登录普通用户视角）</x:v>
      </x:c>
      <x:c r="E222" s="10" t="str">
        <x:v>功能需求</x:v>
      </x:c>
      <x:c r="F222" s="10" t="str">
        <x:v>P2</x:v>
      </x:c>
      <x:c r="G222" s="9" t="str">
        <x:v>验证当前场次直播卡片：场次主播</x:v>
      </x:c>
      <x:c r="H222" s="9" t="str">
        <x:v>场次主播</x:v>
      </x:c>
      <x:c r="I222" s="9" t="str">
        <x:v>1. 执行角色为已登录普通用户；当前处于首页页面
2. 存在已知封面、标题、主播和分类的正在直播场次</x:v>
      </x:c>
      <x:c r="J222" s="9" t="str">
        <x:v>1. 查看对应直播卡片</x:v>
      </x:c>
      <x:c r="K222" s="9" t="str">
        <x:v>卡片主播为当前场次主播</x:v>
      </x:c>
      <x:c r="L222" s="10" t="str"/>
      <x:c r="M222" s="10" t="str">
        <x:v>未测</x:v>
      </x:c>
      <x:c r="N222" s="10" t="str"/>
      <x:c r="O222" s="9" t="str">
        <x:v>1. 来源（当前证据）：liveshow-proto/MainBasis/统一需求文档.md；位置：行520、行518
2. 规则：BR-7feec132787c7471
3. 未动态验证</x:v>
      </x:c>
    </x:row>
    <x:row r="223" ht="85" customHeight="1">
      <x:c r="A223" s="10" t="n">
        <x:v>222</x:v>
      </x:c>
      <x:c r="B223" s="10" t="str">
        <x:v>USER-02-0004</x:v>
      </x:c>
      <x:c r="C223" s="10" t="str">
        <x:v>首页与福利</x:v>
      </x:c>
      <x:c r="D223" s="10" t="str">
        <x:v>首页（已登录普通用户视角）</x:v>
      </x:c>
      <x:c r="E223" s="10" t="str">
        <x:v>功能需求</x:v>
      </x:c>
      <x:c r="F223" s="10" t="str">
        <x:v>P2</x:v>
      </x:c>
      <x:c r="G223" s="9" t="str">
        <x:v>验证当前场次直播卡片：场次分类</x:v>
      </x:c>
      <x:c r="H223" s="9" t="str">
        <x:v>场次分类</x:v>
      </x:c>
      <x:c r="I223" s="9" t="str">
        <x:v>1. 执行角色为已登录普通用户；当前处于首页页面
2. 存在已知封面、标题、主播和分类的正在直播场次</x:v>
      </x:c>
      <x:c r="J223" s="9" t="str">
        <x:v>1. 查看对应直播卡片</x:v>
      </x:c>
      <x:c r="K223" s="9" t="str">
        <x:v>卡片分类为当前场次分类</x:v>
      </x:c>
      <x:c r="L223" s="10" t="str"/>
      <x:c r="M223" s="10" t="str">
        <x:v>未测</x:v>
      </x:c>
      <x:c r="N223" s="10" t="str"/>
      <x:c r="O223" s="9" t="str">
        <x:v>1. 来源（当前证据）：liveshow-proto/MainBasis/统一需求文档.md；位置：行520、行518
2. 规则：BR-9910e73c64aef0f8
3. 未动态验证</x:v>
      </x:c>
    </x:row>
    <x:row r="224" ht="85" customHeight="1">
      <x:c r="A224" s="10" t="n">
        <x:v>223</x:v>
      </x:c>
      <x:c r="B224" s="10" t="str">
        <x:v>USER-02-0005</x:v>
      </x:c>
      <x:c r="C224" s="10" t="str">
        <x:v>首页与福利</x:v>
      </x:c>
      <x:c r="D224" s="10" t="str">
        <x:v>首页（已登录普通用户视角）</x:v>
      </x:c>
      <x:c r="E224" s="10" t="str">
        <x:v>逻辑校验</x:v>
      </x:c>
      <x:c r="F224" s="10" t="str">
        <x:v>P1</x:v>
      </x:c>
      <x:c r="G224" s="9" t="str">
        <x:v>验证成功进入累计访问</x:v>
      </x:c>
      <x:c r="H224" s="9" t="str">
        <x:v>场次访问次数累计</x:v>
      </x:c>
      <x:c r="I224" s="9" t="str">
        <x:v>1. 执行角色为已登录普通用户；当前处于首页页面
2. 目标场次已有2次成功访问；本账号有入场资格</x:v>
      </x:c>
      <x:c r="J224" s="9" t="str">
        <x:v>1. 点击目标直播间
2. 返回首页
3. 查看该场次访问次数</x:v>
      </x:c>
      <x:c r="K224" s="9" t="str">
        <x:v>访问次数变为3</x:v>
      </x:c>
      <x:c r="L224" s="10" t="str"/>
      <x:c r="M224" s="10" t="str">
        <x:v>未测</x:v>
      </x:c>
      <x:c r="N224" s="10" t="str"/>
      <x:c r="O224" s="9" t="str">
        <x:v>1. 来源（当前证据）：liveshow-proto/MainBasis/统一需求文档.md；位置：行520、行518
2. 规则：BR-fc50b811b8a3b7e2
3. 未动态验证</x:v>
      </x:c>
    </x:row>
    <x:row r="225" ht="85" customHeight="1">
      <x:c r="A225" s="10" t="n">
        <x:v>224</x:v>
      </x:c>
      <x:c r="B225" s="10" t="str">
        <x:v>USER-02-0006</x:v>
      </x:c>
      <x:c r="C225" s="10" t="str">
        <x:v>首页与福利</x:v>
      </x:c>
      <x:c r="D225" s="10" t="str">
        <x:v>首页（已登录普通用户视角）</x:v>
      </x:c>
      <x:c r="E225" s="10" t="str">
        <x:v>逻辑校验</x:v>
      </x:c>
      <x:c r="F225" s="10" t="str">
        <x:v>P1</x:v>
      </x:c>
      <x:c r="G225" s="9" t="str">
        <x:v>验证同账号重复访问累计</x:v>
      </x:c>
      <x:c r="H225" s="9" t="str">
        <x:v>场次访问次数累计</x:v>
      </x:c>
      <x:c r="I225" s="9" t="str">
        <x:v>1. 执行角色为已登录普通用户；当前处于首页页面
2. 目标场次已有2次成功访问；本账号已访问过该场次</x:v>
      </x:c>
      <x:c r="J225" s="9" t="str">
        <x:v>1. 再次进入目标直播间
2. 返回首页
3. 查看该場次访问次数</x:v>
      </x:c>
      <x:c r="K225" s="9" t="str">
        <x:v>访问次数变为3</x:v>
      </x:c>
      <x:c r="L225" s="10" t="str"/>
      <x:c r="M225" s="10" t="str">
        <x:v>未测</x:v>
      </x:c>
      <x:c r="N225" s="10" t="str"/>
      <x:c r="O225" s="9" t="str">
        <x:v>1. 来源（当前证据）：liveshow-proto/MainBasis/统一需求文档.md；位置：行520、行518
2. 规则：BR-3d19ff27426ee7ef
3. 未动态验证</x:v>
      </x:c>
    </x:row>
    <x:row r="226" ht="85" customHeight="1">
      <x:c r="A226" s="10" t="n">
        <x:v>225</x:v>
      </x:c>
      <x:c r="B226" s="10" t="str">
        <x:v>USER-02-0007</x:v>
      </x:c>
      <x:c r="C226" s="10" t="str">
        <x:v>首页与福利</x:v>
      </x:c>
      <x:c r="D226" s="10" t="str">
        <x:v>首页（已登录普通用户视角）</x:v>
      </x:c>
      <x:c r="E226" s="10" t="str">
        <x:v>功能需求</x:v>
      </x:c>
      <x:c r="F226" s="10" t="str">
        <x:v>P1</x:v>
      </x:c>
      <x:c r="G226" s="9" t="str">
        <x:v>验证列表曝光不累计访问</x:v>
      </x:c>
      <x:c r="H226" s="9" t="str">
        <x:v>列表曝光访问计数</x:v>
      </x:c>
      <x:c r="I226" s="9" t="str">
        <x:v>1. 执行角色为已登录普通用户；当前处于首页页面
2. 目标场次访问次数为2</x:v>
      </x:c>
      <x:c r="J226" s="9" t="str">
        <x:v>1. 刷新首页直播列表
2. 查看目标场次访问次数</x:v>
      </x:c>
      <x:c r="K226" s="9" t="str">
        <x:v>访问次数仍为2</x:v>
      </x:c>
      <x:c r="L226" s="10" t="str"/>
      <x:c r="M226" s="10" t="str">
        <x:v>未测</x:v>
      </x:c>
      <x:c r="N226" s="10" t="str"/>
      <x:c r="O226" s="9" t="str">
        <x:v>1. 来源（当前证据）：liveshow-proto/MainBasis/统一需求文档.md；位置：行520、行518
2. 规则：BR-f9708c32a1324242
3. 未动态验证</x:v>
      </x:c>
    </x:row>
    <x:row r="227" ht="85" customHeight="1">
      <x:c r="A227" s="10" t="n">
        <x:v>226</x:v>
      </x:c>
      <x:c r="B227" s="10" t="str">
        <x:v>USER-02-0008</x:v>
      </x:c>
      <x:c r="C227" s="10" t="str">
        <x:v>首页与福利</x:v>
      </x:c>
      <x:c r="D227" s="10" t="str">
        <x:v>首页（已登录普通用户视角）</x:v>
      </x:c>
      <x:c r="E227" s="10" t="str">
        <x:v>功能需求</x:v>
      </x:c>
      <x:c r="F227" s="10" t="str">
        <x:v>P2</x:v>
      </x:c>
      <x:c r="G227" s="9" t="str">
        <x:v>验证普通房卡片标识</x:v>
      </x:c>
      <x:c r="H227" s="9" t="str">
        <x:v>普通房准入标记</x:v>
      </x:c>
      <x:c r="I227" s="9" t="str">
        <x:v>1. 执行角色为已登录普通用户；当前处于首页页面
2. 目标为普通房</x:v>
      </x:c>
      <x:c r="J227" s="9" t="str">
        <x:v>1. 查看目标直播卡片</x:v>
      </x:c>
      <x:c r="K227" s="9" t="str">
        <x:v>不显示门票或密码准入标识</x:v>
      </x:c>
      <x:c r="L227" s="10" t="str"/>
      <x:c r="M227" s="10" t="str">
        <x:v>未测</x:v>
      </x:c>
      <x:c r="N227" s="10" t="str"/>
      <x:c r="O227" s="9" t="str">
        <x:v>1. 来源（当前证据）：liveshow-proto/MainBasis/统一需求文档.md；位置：行521、行518
2. 规则：BR-fbe8fd9e73485be5
3. 未动态验证</x:v>
      </x:c>
    </x:row>
    <x:row r="228" ht="85" customHeight="1">
      <x:c r="A228" s="10" t="n">
        <x:v>227</x:v>
      </x:c>
      <x:c r="B228" s="10" t="str">
        <x:v>USER-02-0009</x:v>
      </x:c>
      <x:c r="C228" s="10" t="str">
        <x:v>首页与福利</x:v>
      </x:c>
      <x:c r="D228" s="10" t="str">
        <x:v>首页（已登录普通用户视角）</x:v>
      </x:c>
      <x:c r="E228" s="10" t="str">
        <x:v>功能需求</x:v>
      </x:c>
      <x:c r="F228" s="10" t="str">
        <x:v>P1</x:v>
      </x:c>
      <x:c r="G228" s="9" t="str">
        <x:v>验证门票房卡片价格</x:v>
      </x:c>
      <x:c r="H228" s="9" t="str">
        <x:v>资产数值</x:v>
      </x:c>
      <x:c r="I228" s="9" t="str">
        <x:v>1. 执行角色为已登录普通用户；当前处于首页页面
2. 目标场次门票为50金币</x:v>
      </x:c>
      <x:c r="J228" s="9" t="str">
        <x:v>1. 查看目标直播卡片</x:v>
      </x:c>
      <x:c r="K228" s="9" t="str">
        <x:v>显示门票价格50金币</x:v>
      </x:c>
      <x:c r="L228" s="10" t="str"/>
      <x:c r="M228" s="10" t="str">
        <x:v>未测</x:v>
      </x:c>
      <x:c r="N228" s="10" t="str"/>
      <x:c r="O228" s="9" t="str">
        <x:v>1. 来源（当前证据）：liveshow-proto/MainBasis/统一需求文档.md；位置：行521、行518
2. 规则：BR-13887d110c43d041
3. 未动态验证</x:v>
      </x:c>
    </x:row>
    <x:row r="229" ht="85" customHeight="1">
      <x:c r="A229" s="10" t="n">
        <x:v>228</x:v>
      </x:c>
      <x:c r="B229" s="10" t="str">
        <x:v>USER-02-0010</x:v>
      </x:c>
      <x:c r="C229" s="10" t="str">
        <x:v>首页与福利</x:v>
      </x:c>
      <x:c r="D229" s="10" t="str">
        <x:v>首页（已登录普通用户视角）</x:v>
      </x:c>
      <x:c r="E229" s="10" t="str">
        <x:v>功能需求</x:v>
      </x:c>
      <x:c r="F229" s="10" t="str">
        <x:v>P2</x:v>
      </x:c>
      <x:c r="G229" s="9" t="str">
        <x:v>验证密码房卡片标识</x:v>
      </x:c>
      <x:c r="H229" s="9" t="str">
        <x:v>密码房准入标记</x:v>
      </x:c>
      <x:c r="I229" s="9" t="str">
        <x:v>1. 执行角色为已登录普通用户；当前处于首页页面
2. 目标为密码房</x:v>
      </x:c>
      <x:c r="J229" s="9" t="str">
        <x:v>1. 查看目标直播卡片</x:v>
      </x:c>
      <x:c r="K229" s="9" t="str">
        <x:v>显示密码准入提示</x:v>
      </x:c>
      <x:c r="L229" s="10" t="str"/>
      <x:c r="M229" s="10" t="str">
        <x:v>未测</x:v>
      </x:c>
      <x:c r="N229" s="10" t="str"/>
      <x:c r="O229" s="9" t="str">
        <x:v>1. 来源（当前证据）：liveshow-proto/MainBasis/统一需求文档.md；位置：行521、行518
2. 规则：BR-c64564882179c4c9
3. 未动态验证</x:v>
      </x:c>
    </x:row>
    <x:row r="230" ht="85" customHeight="1">
      <x:c r="A230" s="10" t="n">
        <x:v>229</x:v>
      </x:c>
      <x:c r="B230" s="10" t="str">
        <x:v>USER-02-0011</x:v>
      </x:c>
      <x:c r="C230" s="10" t="str">
        <x:v>首页与福利</x:v>
      </x:c>
      <x:c r="D230" s="10" t="str">
        <x:v>首页（已登录普通用户视角）</x:v>
      </x:c>
      <x:c r="E230" s="10" t="str">
        <x:v>功能需求</x:v>
      </x:c>
      <x:c r="F230" s="10" t="str">
        <x:v>P2</x:v>
      </x:c>
      <x:c r="G230" s="9" t="str">
        <x:v>验证关注区主播过滤</x:v>
      </x:c>
      <x:c r="H230" s="9" t="str">
        <x:v>账号关系</x:v>
      </x:c>
      <x:c r="I230" s="9" t="str">
        <x:v>1. 执行角色为已登录普通用户；当前处于首页页面
2. 已关注主播A在播、B未开播；未关注主播C在播</x:v>
      </x:c>
      <x:c r="J230" s="9" t="str">
        <x:v>1. 查看关注主播区</x:v>
      </x:c>
      <x:c r="K230" s="9" t="str">
        <x:v>只展示已关注且在播的主播A</x:v>
      </x:c>
      <x:c r="L230" s="10" t="str"/>
      <x:c r="M230" s="10" t="str">
        <x:v>未测</x:v>
      </x:c>
      <x:c r="N230" s="10" t="str"/>
      <x:c r="O230" s="9" t="str">
        <x:v>1. 来源（当前证据）：liveshow-proto/MainBasis/统一需求文档.md；位置：行522、行529、行518
2. 规则：BR-b405248008ebdc38
3. 未动态验证</x:v>
      </x:c>
    </x:row>
    <x:row r="231" ht="85" customHeight="1">
      <x:c r="A231" s="10" t="n">
        <x:v>230</x:v>
      </x:c>
      <x:c r="B231" s="10" t="str">
        <x:v>USER-02-0012</x:v>
      </x:c>
      <x:c r="C231" s="10" t="str">
        <x:v>首页与福利</x:v>
      </x:c>
      <x:c r="D231" s="10" t="str">
        <x:v>首页（已登录普通用户视角）</x:v>
      </x:c>
      <x:c r="E231" s="10" t="str">
        <x:v>功能需求</x:v>
      </x:c>
      <x:c r="F231" s="10" t="str">
        <x:v>P2</x:v>
      </x:c>
      <x:c r="G231" s="9" t="str">
        <x:v>验证关注区空态</x:v>
      </x:c>
      <x:c r="H231" s="9" t="str">
        <x:v>关注主播区可见性</x:v>
      </x:c>
      <x:c r="I231" s="9" t="str">
        <x:v>1. 执行角色为已登录普通用户；当前处于首页页面
2. 没有已关注且在播的主播</x:v>
      </x:c>
      <x:c r="J231" s="9" t="str">
        <x:v>1. 查看首页</x:v>
      </x:c>
      <x:c r="K231" s="9" t="str">
        <x:v>关注主播区隐藏</x:v>
      </x:c>
      <x:c r="L231" s="10" t="str"/>
      <x:c r="M231" s="10" t="str">
        <x:v>未测</x:v>
      </x:c>
      <x:c r="N231" s="10" t="str"/>
      <x:c r="O231" s="9" t="str">
        <x:v>1. 来源（当前证据）：liveshow-proto/MainBasis/统一需求文档.md；位置：行529、行518
2. 规则：BR-7c6a36513efe0831
3. 未动态验证</x:v>
      </x:c>
    </x:row>
    <x:row r="232" ht="85" customHeight="1">
      <x:c r="A232" s="10" t="n">
        <x:v>231</x:v>
      </x:c>
      <x:c r="B232" s="10" t="str">
        <x:v>USER-02-0013</x:v>
      </x:c>
      <x:c r="C232" s="10" t="str">
        <x:v>首页与福利</x:v>
      </x:c>
      <x:c r="D232" s="10" t="str">
        <x:v>首页（已登录普通用户视角）</x:v>
      </x:c>
      <x:c r="E232" s="10" t="str">
        <x:v>功能需求</x:v>
      </x:c>
      <x:c r="F232" s="10" t="str">
        <x:v>P2</x:v>
      </x:c>
      <x:c r="G232" s="9" t="str">
        <x:v>验证平台Banner展示</x:v>
      </x:c>
      <x:c r="H232" s="9" t="str">
        <x:v>排列次序</x:v>
      </x:c>
      <x:c r="I232" s="9" t="str">
        <x:v>1. 执行角色为已登录普通用户；当前处于首页页面
2. 平台当前启用两张有效Banner并指定先B后A</x:v>
      </x:c>
      <x:c r="J232" s="9" t="str">
        <x:v>1. 查看首页Banner</x:v>
      </x:c>
      <x:c r="K232" s="9" t="str">
        <x:v>Banner按B、A顺序展示</x:v>
      </x:c>
      <x:c r="L232" s="10" t="str"/>
      <x:c r="M232" s="10" t="str">
        <x:v>未测</x:v>
      </x:c>
      <x:c r="N232" s="10" t="str"/>
      <x:c r="O232" s="9" t="str">
        <x:v>1. 来源（当前证据）：liveshow-proto/MainBasis/统一需求文档.md；位置：行523、行518
2. 规则：BR-b9aba9bfeae72534
3. 未动态验证</x:v>
      </x:c>
    </x:row>
    <x:row r="233" ht="85" customHeight="1">
      <x:c r="A233" s="10" t="n">
        <x:v>232</x:v>
      </x:c>
      <x:c r="B233" s="10" t="str">
        <x:v>USER-02-0014</x:v>
      </x:c>
      <x:c r="C233" s="10" t="str">
        <x:v>首页与福利</x:v>
      </x:c>
      <x:c r="D233" s="10" t="str">
        <x:v>首页（已登录普通用户视角）</x:v>
      </x:c>
      <x:c r="E233" s="10" t="str">
        <x:v>功能需求</x:v>
      </x:c>
      <x:c r="F233" s="10" t="str">
        <x:v>P2</x:v>
      </x:c>
      <x:c r="G233" s="9" t="str">
        <x:v>验证过期Banner过滤</x:v>
      </x:c>
      <x:c r="H233" s="9" t="str">
        <x:v>失效Banner过滤</x:v>
      </x:c>
      <x:c r="I233" s="9" t="str">
        <x:v>1. 执行角色为已登录普通用户；当前处于首页页面
2. BannerA已超过配置的有效期</x:v>
      </x:c>
      <x:c r="J233" s="9" t="str">
        <x:v>1. 刷新首页</x:v>
      </x:c>
      <x:c r="K233" s="9" t="str">
        <x:v>不展示已过期的BannerA</x:v>
      </x:c>
      <x:c r="L233" s="10" t="str"/>
      <x:c r="M233" s="10" t="str">
        <x:v>未测</x:v>
      </x:c>
      <x:c r="N233" s="10" t="str"/>
      <x:c r="O233" s="9" t="str">
        <x:v>1. 来源（当前证据）：liveshow-proto/MainBasis/统一需求文档.md；位置：行523、行518
2. 规则：BR-5f4205fe3e67b656
3. 未动态验证</x:v>
      </x:c>
    </x:row>
    <x:row r="234" ht="85" customHeight="1">
      <x:c r="A234" s="10" t="n">
        <x:v>233</x:v>
      </x:c>
      <x:c r="B234" s="10" t="str">
        <x:v>USER-02-0015</x:v>
      </x:c>
      <x:c r="C234" s="10" t="str">
        <x:v>首页与福利</x:v>
      </x:c>
      <x:c r="D234" s="10" t="str">
        <x:v>首页（已登录普通用户视角）</x:v>
      </x:c>
      <x:c r="E234" s="10" t="str">
        <x:v>功能需求</x:v>
      </x:c>
      <x:c r="F234" s="10" t="str">
        <x:v>P2</x:v>
      </x:c>
      <x:c r="G234" s="9" t="str">
        <x:v>验证Banner配置跳转</x:v>
      </x:c>
      <x:c r="H234" s="9" t="str">
        <x:v>Banner目标页面</x:v>
      </x:c>
      <x:c r="I234" s="9" t="str">
        <x:v>1. 执行角色为已登录普通用户；当前处于首页页面
2. 有效Banner配置跳转至充值页</x:v>
      </x:c>
      <x:c r="J234" s="9" t="str">
        <x:v>1. 点击该Banner</x:v>
      </x:c>
      <x:c r="K234" s="9" t="str">
        <x:v>进入充值页</x:v>
      </x:c>
      <x:c r="L234" s="10" t="str"/>
      <x:c r="M234" s="10" t="str">
        <x:v>未测</x:v>
      </x:c>
      <x:c r="N234" s="10" t="str"/>
      <x:c r="O234" s="9" t="str">
        <x:v>1. 来源（当前证据）：liveshow-proto/MainBasis/统一需求文档.md；位置：行523、行518
2. 规则：BR-e798447df0bb37a2
3. 未动态验证</x:v>
      </x:c>
    </x:row>
    <x:row r="235" ht="85" customHeight="1">
      <x:c r="A235" s="10" t="n">
        <x:v>234</x:v>
      </x:c>
      <x:c r="B235" s="10" t="str">
        <x:v>USER-02-0016</x:v>
      </x:c>
      <x:c r="C235" s="10" t="str">
        <x:v>首页与福利</x:v>
      </x:c>
      <x:c r="D235" s="10" t="str">
        <x:v>首页（已登录普通用户视角）</x:v>
      </x:c>
      <x:c r="E235" s="10" t="str">
        <x:v>功能需求</x:v>
      </x:c>
      <x:c r="F235" s="10" t="str">
        <x:v>P2</x:v>
      </x:c>
      <x:c r="G235" s="9" t="str">
        <x:v>验证搜索入口</x:v>
      </x:c>
      <x:c r="H235" s="9" t="str">
        <x:v>搜索页面去向</x:v>
      </x:c>
      <x:c r="I235" s="9" t="str">
        <x:v>1. 执行角色为已登录普通用户；当前处于首页页面</x:v>
      </x:c>
      <x:c r="J235" s="9" t="str">
        <x:v>1. 点击搜索</x:v>
      </x:c>
      <x:c r="K235" s="9" t="str">
        <x:v>进入搜索页</x:v>
      </x:c>
      <x:c r="L235" s="10" t="str"/>
      <x:c r="M235" s="10" t="str">
        <x:v>未测</x:v>
      </x:c>
      <x:c r="N235" s="10" t="str"/>
      <x:c r="O235" s="9" t="str">
        <x:v>1. 来源（当前证据）：liveshow-proto/MainBasis/统一需求文档.md；位置：行534、行518
2. 规则：BR-40a86a49e636e3b5
3. 未动态验证</x:v>
      </x:c>
    </x:row>
    <x:row r="236" ht="85" customHeight="1">
      <x:c r="A236" s="10" t="n">
        <x:v>235</x:v>
      </x:c>
      <x:c r="B236" s="10" t="str">
        <x:v>USER-02-0017</x:v>
      </x:c>
      <x:c r="C236" s="10" t="str">
        <x:v>首页与福利</x:v>
      </x:c>
      <x:c r="D236" s="10" t="str">
        <x:v>首页（已登录普通用户视角）</x:v>
      </x:c>
      <x:c r="E236" s="10" t="str">
        <x:v>功能需求</x:v>
      </x:c>
      <x:c r="F236" s="10" t="str">
        <x:v>P2</x:v>
      </x:c>
      <x:c r="G236" s="9" t="str">
        <x:v>验证热门新人切换</x:v>
      </x:c>
      <x:c r="H236" s="9" t="str">
        <x:v>新人列表切换</x:v>
      </x:c>
      <x:c r="I236" s="9" t="str">
        <x:v>1. 执行角色为已登录普通用户；当前处于首页页面
2. 存在热门及新人分类的测试直播数据</x:v>
      </x:c>
      <x:c r="J236" s="9" t="str">
        <x:v>1. 点击新人</x:v>
      </x:c>
      <x:c r="K236" s="9" t="str">
        <x:v>刷新为新人直播列表</x:v>
      </x:c>
      <x:c r="L236" s="10" t="str"/>
      <x:c r="M236" s="10" t="str">
        <x:v>未测</x:v>
      </x:c>
      <x:c r="N236" s="10" t="str"/>
      <x:c r="O236" s="9" t="str">
        <x:v>1. 来源（当前证据）：liveshow-proto/MainBasis/统一需求文档.md；位置：行535、行518
2. 规则：BR-e20ee47d32e6bd31
3. 未动态验证</x:v>
      </x:c>
    </x:row>
    <x:row r="237" ht="85" customHeight="1">
      <x:c r="A237" s="10" t="n">
        <x:v>236</x:v>
      </x:c>
      <x:c r="B237" s="10" t="str">
        <x:v>USER-02-0018</x:v>
      </x:c>
      <x:c r="C237" s="10" t="str">
        <x:v>首页与福利</x:v>
      </x:c>
      <x:c r="D237" s="10" t="str">
        <x:v>首页（已登录普通用户视角）</x:v>
      </x:c>
      <x:c r="E237" s="10" t="str">
        <x:v>功能需求</x:v>
      </x:c>
      <x:c r="F237" s="10" t="str">
        <x:v>P2</x:v>
      </x:c>
      <x:c r="G237" s="9" t="str">
        <x:v>验证直播分类筛选</x:v>
      </x:c>
      <x:c r="H237" s="9" t="str">
        <x:v>分类筛选结果</x:v>
      </x:c>
      <x:c r="I237" s="9" t="str">
        <x:v>1. 执行角色为已登录普通用户；当前处于首页页面
2. 目标分类有在播主播</x:v>
      </x:c>
      <x:c r="J237" s="9" t="str">
        <x:v>1. 选择目标分类</x:v>
      </x:c>
      <x:c r="K237" s="9" t="str">
        <x:v>列表刷新为该分类直播</x:v>
      </x:c>
      <x:c r="L237" s="10" t="str"/>
      <x:c r="M237" s="10" t="str">
        <x:v>未测</x:v>
      </x:c>
      <x:c r="N237" s="10" t="str"/>
      <x:c r="O237" s="9" t="str">
        <x:v>1. 来源（当前证据）：liveshow-proto/MainBasis/统一需求文档.md；位置：行535、行518
2. 规则：BR-2c3bf17355a7178e
3. 未动态验证</x:v>
      </x:c>
    </x:row>
    <x:row r="238" ht="85" customHeight="1">
      <x:c r="A238" s="10" t="n">
        <x:v>237</x:v>
      </x:c>
      <x:c r="B238" s="10" t="str">
        <x:v>USER-02-0019</x:v>
      </x:c>
      <x:c r="C238" s="10" t="str">
        <x:v>首页与福利</x:v>
      </x:c>
      <x:c r="D238" s="10" t="str">
        <x:v>首页（已登录普通用户视角）</x:v>
      </x:c>
      <x:c r="E238" s="10" t="str">
        <x:v>功能需求</x:v>
      </x:c>
      <x:c r="F238" s="10" t="str">
        <x:v>P2</x:v>
      </x:c>
      <x:c r="G238" s="9" t="str">
        <x:v>验证粉丝专属密码房卡片不隐藏</x:v>
      </x:c>
      <x:c r="H238" s="9" t="str">
        <x:v>密码房卡片可见性</x:v>
      </x:c>
      <x:c r="I238" s="9" t="str">
        <x:v>1. 执行角色为已登录普通用户；当前处于首页页面
2. 密码房已开启仅粉丝团成员进入及广场展示；当前不是该团成员</x:v>
      </x:c>
      <x:c r="J238" s="9" t="str">
        <x:v>1. 查看广场列表</x:v>
      </x:c>
      <x:c r="K238" s="9" t="str">
        <x:v>该密码房卡片仍然展示</x:v>
      </x:c>
      <x:c r="L238" s="10" t="str"/>
      <x:c r="M238" s="10" t="str">
        <x:v>未测</x:v>
      </x:c>
      <x:c r="N238" s="10" t="str"/>
      <x:c r="O238" s="9" t="str">
        <x:v>1. 来源（当前证据）：liveshow-proto/MainBasis/统一需求文档.md；位置：行531、行518
2. 规则：BR-df6d1d75e2b95ddc
3. 未动态验证</x:v>
      </x:c>
    </x:row>
    <x:row r="239" ht="85" customHeight="1">
      <x:c r="A239" s="10" t="n">
        <x:v>238</x:v>
      </x:c>
      <x:c r="B239" s="10" t="str">
        <x:v>USER-02-0020</x:v>
      </x:c>
      <x:c r="C239" s="10" t="str">
        <x:v>首页与福利</x:v>
      </x:c>
      <x:c r="D239" s="10" t="str">
        <x:v>首页（已登录普通用户视角）</x:v>
      </x:c>
      <x:c r="E239" s="10" t="str">
        <x:v>异常用例</x:v>
      </x:c>
      <x:c r="F239" s="10" t="str">
        <x:v>P1</x:v>
      </x:c>
      <x:c r="G239" s="9" t="str">
        <x:v>验证非粉丝点击专属密码房</x:v>
      </x:c>
      <x:c r="H239" s="9" t="str">
        <x:v>粉丝专属房访问资格</x:v>
      </x:c>
      <x:c r="I239" s="9" t="str">
        <x:v>1. 执行角色为已登录普通用户；当前处于首页页面
2. 密码房已开启仅粉丝团成员进入；当前非成员</x:v>
      </x:c>
      <x:c r="J239" s="9" t="str">
        <x:v>1. 点击该房间卡片</x:v>
      </x:c>
      <x:c r="K239" s="9" t="str">
        <x:v>显示访问受限</x:v>
      </x:c>
      <x:c r="L239" s="10" t="str"/>
      <x:c r="M239" s="10" t="str">
        <x:v>未测</x:v>
      </x:c>
      <x:c r="N239" s="10" t="str"/>
      <x:c r="O239" s="9" t="str">
        <x:v>1. 来源（当前证据）：liveshow-proto/MainBasis/统一需求文档.md；位置：行531、行518
2. 规则：BR-8d16a15796169e50
3. 未动态验证</x:v>
      </x:c>
    </x:row>
    <x:row r="240" ht="85" customHeight="1">
      <x:c r="A240" s="10" t="n">
        <x:v>239</x:v>
      </x:c>
      <x:c r="B240" s="10" t="str">
        <x:v>USER-02-0021</x:v>
      </x:c>
      <x:c r="C240" s="10" t="str">
        <x:v>首页与福利</x:v>
      </x:c>
      <x:c r="D240" s="10" t="str">
        <x:v>首页（已登录普通用户视角）</x:v>
      </x:c>
      <x:c r="E240" s="10" t="str">
        <x:v>功能需求</x:v>
      </x:c>
      <x:c r="F240" s="10" t="str">
        <x:v>P1</x:v>
      </x:c>
      <x:c r="G240" s="9" t="str">
        <x:v>验证粉丝进入专属密码房仍需密码</x:v>
      </x:c>
      <x:c r="H240" s="9" t="str">
        <x:v>凭证有效性</x:v>
      </x:c>
      <x:c r="I240" s="9" t="str">
        <x:v>1. 执行角色为已登录普通用户；当前处于首页页面
2. 密码房已开启仅粉丝团成员进入；当前已入团</x:v>
      </x:c>
      <x:c r="J240" s="9" t="str">
        <x:v>1. 点击该房间卡片</x:v>
      </x:c>
      <x:c r="K240" s="9" t="str">
        <x:v>继续要求校验房间密码</x:v>
      </x:c>
      <x:c r="L240" s="10" t="str"/>
      <x:c r="M240" s="10" t="str">
        <x:v>未测</x:v>
      </x:c>
      <x:c r="N240" s="10" t="str"/>
      <x:c r="O240" s="9" t="str">
        <x:v>1. 来源（当前证据）：liveshow-proto/MainBasis/统一需求文档.md；位置：行531、行518
2. 规则：BR-03d1ae11c10a6aa2
3. 未动态验证</x:v>
      </x:c>
    </x:row>
    <x:row r="241" ht="85" customHeight="1">
      <x:c r="A241" s="10" t="n">
        <x:v>240</x:v>
      </x:c>
      <x:c r="B241" s="10" t="str">
        <x:v>USER-02-0022</x:v>
      </x:c>
      <x:c r="C241" s="10" t="str">
        <x:v>首页与福利</x:v>
      </x:c>
      <x:c r="D241" s="10" t="str">
        <x:v>首页（已登录普通用户视角）</x:v>
      </x:c>
      <x:c r="E241" s="10" t="str">
        <x:v>异常用例</x:v>
      </x:c>
      <x:c r="F241" s="10" t="str">
        <x:v>P1</x:v>
      </x:c>
      <x:c r="G241" s="9" t="str">
        <x:v>验证密码错误保留页面：失败页面保持</x:v>
      </x:c>
      <x:c r="H241" s="9" t="str">
        <x:v>失败页面保持</x:v>
      </x:c>
      <x:c r="I241" s="9" t="str">
        <x:v>1. 执行角色为已登录普通用户；当前处于首页页面
2. 目标为密码房；当前具备其他准入资格</x:v>
      </x:c>
      <x:c r="J241" s="9" t="str">
        <x:v>1. 点击目标房间
2. 输入错误密码
3. 点击确认</x:v>
      </x:c>
      <x:c r="K241" s="9" t="str">
        <x:v>保留当前密码校验页面</x:v>
      </x:c>
      <x:c r="L241" s="10" t="str"/>
      <x:c r="M241" s="10" t="str">
        <x:v>未测</x:v>
      </x:c>
      <x:c r="N241" s="10" t="str"/>
      <x:c r="O241" s="9" t="str">
        <x:v>1. 来源（当前证据）：liveshow-proto/MainBasis/统一需求文档.md；位置：行532、行518
2. 规则：BR-5422571072581ff8
3. 未动态验证</x:v>
      </x:c>
    </x:row>
    <x:row r="242" ht="85" customHeight="1">
      <x:c r="A242" s="10" t="n">
        <x:v>241</x:v>
      </x:c>
      <x:c r="B242" s="10" t="str">
        <x:v>USER-02-0023</x:v>
      </x:c>
      <x:c r="C242" s="10" t="str">
        <x:v>首页与福利</x:v>
      </x:c>
      <x:c r="D242" s="10" t="str">
        <x:v>首页（已登录普通用户视角）</x:v>
      </x:c>
      <x:c r="E242" s="10" t="str">
        <x:v>异常用例</x:v>
      </x:c>
      <x:c r="F242" s="10" t="str">
        <x:v>P1</x:v>
      </x:c>
      <x:c r="G242" s="9" t="str">
        <x:v>验证密码错误保留页面：失败提示</x:v>
      </x:c>
      <x:c r="H242" s="9" t="str">
        <x:v>失败提示</x:v>
      </x:c>
      <x:c r="I242" s="9" t="str">
        <x:v>1. 执行角色为已登录普通用户；当前处于首页页面
2. 目标为密码房；当前具备其他准入资格</x:v>
      </x:c>
      <x:c r="J242" s="9" t="str">
        <x:v>1. 点击目标房间
2. 输入错误密码
3. 点击确认</x:v>
      </x:c>
      <x:c r="K242" s="9" t="str">
        <x:v>提示密码校验失败并重试</x:v>
      </x:c>
      <x:c r="L242" s="10" t="str"/>
      <x:c r="M242" s="10" t="str">
        <x:v>未测</x:v>
      </x:c>
      <x:c r="N242" s="10" t="str"/>
      <x:c r="O242" s="9" t="str">
        <x:v>1. 来源（当前证据）：liveshow-proto/MainBasis/统一需求文档.md；位置：行532、行518
2. 规则：BR-748a17fba6dbf559
3. 未动态验证</x:v>
      </x:c>
    </x:row>
    <x:row r="243" ht="85" customHeight="1">
      <x:c r="A243" s="10" t="n">
        <x:v>242</x:v>
      </x:c>
      <x:c r="B243" s="10" t="str">
        <x:v>USER-02-0024</x:v>
      </x:c>
      <x:c r="C243" s="10" t="str">
        <x:v>首页与福利</x:v>
      </x:c>
      <x:c r="D243" s="10" t="str">
        <x:v>首页（已登录普通用户视角）</x:v>
      </x:c>
      <x:c r="E243" s="10" t="str">
        <x:v>业务流程</x:v>
      </x:c>
      <x:c r="F243" s="10" t="str">
        <x:v>P1</x:v>
      </x:c>
      <x:c r="G243" s="9" t="str">
        <x:v>验证密码正确入场</x:v>
      </x:c>
      <x:c r="H243" s="9" t="str">
        <x:v>凭证有效性</x:v>
      </x:c>
      <x:c r="I243" s="9" t="str">
        <x:v>1. 执行角色为已登录普通用户；当前处于首页页面
2. 目标为密码房；当前具备其他准入资格
3. 本场有效密码为1234</x:v>
      </x:c>
      <x:c r="J243" s="9" t="str">
        <x:v>1. 点击目标房间
2. 输入密码1234
3. 点击确认</x:v>
      </x:c>
      <x:c r="K243" s="9" t="str">
        <x:v>进入目标直播间</x:v>
      </x:c>
      <x:c r="L243" s="10" t="str"/>
      <x:c r="M243" s="10" t="str">
        <x:v>未测</x:v>
      </x:c>
      <x:c r="N243" s="10" t="str"/>
      <x:c r="O243" s="9" t="str">
        <x:v>1. 来源（当前证据）：liveshow-proto/MainBasis/统一需求文档.md；位置：行532、行518
2. 规则：BR-b46105cd22cbbb08
3. 未动态验证</x:v>
      </x:c>
    </x:row>
    <x:row r="244" ht="85" customHeight="1">
      <x:c r="A244" s="10" t="n">
        <x:v>243</x:v>
      </x:c>
      <x:c r="B244" s="10" t="str">
        <x:v>USER-02-0025</x:v>
      </x:c>
      <x:c r="C244" s="10" t="str">
        <x:v>首页与福利</x:v>
      </x:c>
      <x:c r="D244" s="10" t="str">
        <x:v>首页（已登录普通用户视角）</x:v>
      </x:c>
      <x:c r="E244" s="10" t="str">
        <x:v>功能需求</x:v>
      </x:c>
      <x:c r="F244" s="10" t="str">
        <x:v>P2</x:v>
      </x:c>
      <x:c r="G244" s="9" t="str">
        <x:v>验证首次登录通知说明：通知说明</x:v>
      </x:c>
      <x:c r="H244" s="9" t="str">
        <x:v>通知说明</x:v>
      </x:c>
      <x:c r="I244" s="9" t="str">
        <x:v>1. 执行角色为已登录普通用户；当前处于首页页面
2. 当前设备首次登录后进入首页</x:v>
      </x:c>
      <x:c r="J244" s="9" t="str">
        <x:v>1. 查看首页弹窗</x:v>
      </x:c>
      <x:c r="K244" s="9" t="str">
        <x:v>显示开启通知用途说明</x:v>
      </x:c>
      <x:c r="L244" s="10" t="str"/>
      <x:c r="M244" s="10" t="str">
        <x:v>未测</x:v>
      </x:c>
      <x:c r="N244" s="10" t="str"/>
      <x:c r="O244" s="9" t="str">
        <x:v>1. 来源（当前证据）：liveshow-proto/MainBasis/统一需求文档.md；位置：行524、行533、行518
2. 规则：BR-e1ef1f2d7c2e2c55
3. 未动态验证</x:v>
      </x:c>
    </x:row>
    <x:row r="245" ht="85" customHeight="1">
      <x:c r="A245" s="10" t="n">
        <x:v>244</x:v>
      </x:c>
      <x:c r="B245" s="10" t="str">
        <x:v>USER-02-0026</x:v>
      </x:c>
      <x:c r="C245" s="10" t="str">
        <x:v>首页与福利</x:v>
      </x:c>
      <x:c r="D245" s="10" t="str">
        <x:v>首页（已登录普通用户视角）</x:v>
      </x:c>
      <x:c r="E245" s="10" t="str">
        <x:v>功能需求</x:v>
      </x:c>
      <x:c r="F245" s="10" t="str">
        <x:v>P2</x:v>
      </x:c>
      <x:c r="G245" s="9" t="str">
        <x:v>验证首次登录通知说明：暂不开启按钮</x:v>
      </x:c>
      <x:c r="H245" s="9" t="str">
        <x:v>暂不开启按钮</x:v>
      </x:c>
      <x:c r="I245" s="9" t="str">
        <x:v>1. 执行角色为已登录普通用户；当前处于首页页面
2. 当前设备首次登录后进入首页</x:v>
      </x:c>
      <x:c r="J245" s="9" t="str">
        <x:v>1. 查看首页弹窗</x:v>
      </x:c>
      <x:c r="K245" s="9" t="str">
        <x:v>提供暂不开启按钮</x:v>
      </x:c>
      <x:c r="L245" s="10" t="str"/>
      <x:c r="M245" s="10" t="str">
        <x:v>未测</x:v>
      </x:c>
      <x:c r="N245" s="10" t="str"/>
      <x:c r="O245" s="9" t="str">
        <x:v>1. 来源（当前证据）：liveshow-proto/MainBasis/统一需求文档.md；位置：行524、行533、行518
2. 规则：BR-b66c5ab57b1a209a
3. 未动态验证</x:v>
      </x:c>
    </x:row>
    <x:row r="246" ht="85" customHeight="1">
      <x:c r="A246" s="10" t="n">
        <x:v>245</x:v>
      </x:c>
      <x:c r="B246" s="10" t="str">
        <x:v>USER-02-0027</x:v>
      </x:c>
      <x:c r="C246" s="10" t="str">
        <x:v>首页与福利</x:v>
      </x:c>
      <x:c r="D246" s="10" t="str">
        <x:v>首页（已登录普通用户视角）</x:v>
      </x:c>
      <x:c r="E246" s="10" t="str">
        <x:v>功能需求</x:v>
      </x:c>
      <x:c r="F246" s="10" t="str">
        <x:v>P2</x:v>
      </x:c>
      <x:c r="G246" s="9" t="str">
        <x:v>验证首次登录通知说明：开启通知按钮</x:v>
      </x:c>
      <x:c r="H246" s="9" t="str">
        <x:v>开启通知按钮</x:v>
      </x:c>
      <x:c r="I246" s="9" t="str">
        <x:v>1. 执行角色为已登录普通用户；当前处于首页页面
2. 当前设备首次登录后进入首页</x:v>
      </x:c>
      <x:c r="J246" s="9" t="str">
        <x:v>1. 查看首页弹窗</x:v>
      </x:c>
      <x:c r="K246" s="9" t="str">
        <x:v>提供开启通知按钮</x:v>
      </x:c>
      <x:c r="L246" s="10" t="str"/>
      <x:c r="M246" s="10" t="str">
        <x:v>未测</x:v>
      </x:c>
      <x:c r="N246" s="10" t="str"/>
      <x:c r="O246" s="9" t="str">
        <x:v>1. 来源（当前证据）：liveshow-proto/MainBasis/统一需求文档.md；位置：行524、行533、行518
2. 规则：BR-ac1dab313a37f9bb
3. 未动态验证</x:v>
      </x:c>
    </x:row>
    <x:row r="247" ht="85" customHeight="1">
      <x:c r="A247" s="10" t="n">
        <x:v>246</x:v>
      </x:c>
      <x:c r="B247" s="10" t="str">
        <x:v>USER-02-0028</x:v>
      </x:c>
      <x:c r="C247" s="10" t="str">
        <x:v>首页与福利</x:v>
      </x:c>
      <x:c r="D247" s="10" t="str">
        <x:v>首页（已登录普通用户视角）</x:v>
      </x:c>
      <x:c r="E247" s="10" t="str">
        <x:v>功能需求</x:v>
      </x:c>
      <x:c r="F247" s="10" t="str">
        <x:v>P2</x:v>
      </x:c>
      <x:c r="G247" s="9" t="str">
        <x:v>验证暂不开启通知</x:v>
      </x:c>
      <x:c r="H247" s="9" t="str">
        <x:v>通知说明取消反馈</x:v>
      </x:c>
      <x:c r="I247" s="9" t="str">
        <x:v>1. 执行角色为已登录普通用户；当前处于首页页面
2. 首次通知说明已打开</x:v>
      </x:c>
      <x:c r="J247" s="9" t="str">
        <x:v>1. 点击暂不开启</x:v>
      </x:c>
      <x:c r="K247" s="9" t="str">
        <x:v>关闭说明且不请求系统通知权限</x:v>
      </x:c>
      <x:c r="L247" s="10" t="str"/>
      <x:c r="M247" s="10" t="str">
        <x:v>未测</x:v>
      </x:c>
      <x:c r="N247" s="10" t="str"/>
      <x:c r="O247" s="9" t="str">
        <x:v>1. 来源（当前证据）：liveshow-proto/MainBasis/统一需求文档.md；位置：行536、行518
2. 规则：BR-6f5aed7cdf08ff63
3. 未动态验证</x:v>
      </x:c>
    </x:row>
    <x:row r="248" ht="85" customHeight="1">
      <x:c r="A248" s="10" t="n">
        <x:v>247</x:v>
      </x:c>
      <x:c r="B248" s="10" t="str">
        <x:v>USER-02-0029</x:v>
      </x:c>
      <x:c r="C248" s="10" t="str">
        <x:v>首页与福利</x:v>
      </x:c>
      <x:c r="D248" s="10" t="str">
        <x:v>首页（已登录普通用户视角）</x:v>
      </x:c>
      <x:c r="E248" s="10" t="str">
        <x:v>功能需求</x:v>
      </x:c>
      <x:c r="F248" s="10" t="str">
        <x:v>P2</x:v>
      </x:c>
      <x:c r="G248" s="9" t="str">
        <x:v>验证同意开启通知</x:v>
      </x:c>
      <x:c r="H248" s="9" t="str">
        <x:v>系统通知授权入口</x:v>
      </x:c>
      <x:c r="I248" s="9" t="str">
        <x:v>1. 执行角色为已登录普通用户；当前处于首页页面
2. 首次通知说明已打开</x:v>
      </x:c>
      <x:c r="J248" s="9" t="str">
        <x:v>1. 点击开启通知</x:v>
      </x:c>
      <x:c r="K248" s="9" t="str">
        <x:v>打开系统通知授权弹窗</x:v>
      </x:c>
      <x:c r="L248" s="10" t="str"/>
      <x:c r="M248" s="10" t="str">
        <x:v>未测</x:v>
      </x:c>
      <x:c r="N248" s="10" t="str"/>
      <x:c r="O248" s="9" t="str">
        <x:v>1. 来源（当前证据）：liveshow-proto/MainBasis/统一需求文档.md；位置：行536、行518
2. 规则：BR-18c49fda4e16eb85
3. 未动态验证</x:v>
      </x:c>
    </x:row>
    <x:row r="249" ht="85" customHeight="1">
      <x:c r="A249" s="10" t="n">
        <x:v>248</x:v>
      </x:c>
      <x:c r="B249" s="10" t="str">
        <x:v>USER-02-0030</x:v>
      </x:c>
      <x:c r="C249" s="10" t="str">
        <x:v>首页与福利</x:v>
      </x:c>
      <x:c r="D249" s="10" t="str">
        <x:v>首页（已登录普通用户视角）</x:v>
      </x:c>
      <x:c r="E249" s="10" t="str">
        <x:v>功能需求</x:v>
      </x:c>
      <x:c r="F249" s="10" t="str">
        <x:v>P2</x:v>
      </x:c>
      <x:c r="G249" s="9" t="str">
        <x:v>验证暂不开启后不重复询问</x:v>
      </x:c>
      <x:c r="H249" s="9" t="str">
        <x:v>通知说明重复展示限制</x:v>
      </x:c>
      <x:c r="I249" s="9" t="str">
        <x:v>1. 执行角色为已登录普通用户；当前处于首页页面
2. 此前已选择暂不开启；账号再次登录</x:v>
      </x:c>
      <x:c r="J249" s="9" t="str">
        <x:v>1. 查看首页</x:v>
      </x:c>
      <x:c r="K249" s="9" t="str">
        <x:v>不再显示首次通知说明</x:v>
      </x:c>
      <x:c r="L249" s="10" t="str"/>
      <x:c r="M249" s="10" t="str">
        <x:v>未测</x:v>
      </x:c>
      <x:c r="N249" s="10" t="str"/>
      <x:c r="O249" s="9" t="str">
        <x:v>1. 来源（当前证据）：liveshow-proto/MainBasis/统一需求文档.md；位置：行533、行518
2. 规则：BR-18fbeaa8196738d3
3. 未动态验证</x:v>
      </x:c>
    </x:row>
    <x:row r="250" ht="85" customHeight="1">
      <x:c r="A250" s="10" t="n">
        <x:v>249</x:v>
      </x:c>
      <x:c r="B250" s="10" t="str">
        <x:v>USER-02-0031</x:v>
      </x:c>
      <x:c r="C250" s="10" t="str">
        <x:v>首页与福利</x:v>
      </x:c>
      <x:c r="D250" s="10" t="str">
        <x:v>首页（已登录普通用户视角）</x:v>
      </x:c>
      <x:c r="E250" s="10" t="str">
        <x:v>功能需求</x:v>
      </x:c>
      <x:c r="F250" s="10" t="str">
        <x:v>P2</x:v>
      </x:c>
      <x:c r="G250" s="9" t="str">
        <x:v>验证开启后不重复询问</x:v>
      </x:c>
      <x:c r="H250" s="9" t="str">
        <x:v>通知说明重复展示限制</x:v>
      </x:c>
      <x:c r="I250" s="9" t="str">
        <x:v>1. 执行角色为已登录普通用户；当前处于首页页面
2. 此前已选择开启通知；账号再次登录</x:v>
      </x:c>
      <x:c r="J250" s="9" t="str">
        <x:v>1. 查看首页</x:v>
      </x:c>
      <x:c r="K250" s="9" t="str">
        <x:v>不再显示首次通知说明</x:v>
      </x:c>
      <x:c r="L250" s="10" t="str"/>
      <x:c r="M250" s="10" t="str">
        <x:v>未测</x:v>
      </x:c>
      <x:c r="N250" s="10" t="str"/>
      <x:c r="O250" s="9" t="str">
        <x:v>1. 来源（当前证据）：liveshow-proto/MainBasis/统一需求文档.md；位置：行1539、行518
2. 规则：BR-117998c23341c673
3. 未动态验证</x:v>
      </x:c>
    </x:row>
    <x:row r="251" ht="85" customHeight="1">
      <x:c r="A251" s="10" t="n">
        <x:v>250</x:v>
      </x:c>
      <x:c r="B251" s="10" t="str">
        <x:v>USER-02-0032</x:v>
      </x:c>
      <x:c r="C251" s="10" t="str">
        <x:v>首页与福利</x:v>
      </x:c>
      <x:c r="D251" s="10" t="str">
        <x:v>首页（游客视角）</x:v>
      </x:c>
      <x:c r="E251" s="10" t="str">
        <x:v>异常用例</x:v>
      </x:c>
      <x:c r="F251" s="10" t="str">
        <x:v>P1</x:v>
      </x:c>
      <x:c r="G251" s="9" t="str">
        <x:v>验证游客点击直播间</x:v>
      </x:c>
      <x:c r="H251" s="9" t="str">
        <x:v>访客进房登录引导</x:v>
      </x:c>
      <x:c r="I251" s="9" t="str">
        <x:v>1. 执行角色为游客；当前处于首页页面</x:v>
      </x:c>
      <x:c r="J251" s="9" t="str">
        <x:v>1. 点击直播间</x:v>
      </x:c>
      <x:c r="K251" s="9" t="str">
        <x:v>直接进入登录页，不执行原账号操作</x:v>
      </x:c>
      <x:c r="L251" s="10" t="str"/>
      <x:c r="M251" s="10" t="str">
        <x:v>未测</x:v>
      </x:c>
      <x:c r="N251" s="10" t="str"/>
      <x:c r="O251" s="9" t="str">
        <x:v>1. 来源（当前证据）：liveshow-proto/MainBasis/统一需求文档.md；位置：行527、行518
2. 规则：BR-a011316c855f181d
3. 未动态验证</x:v>
      </x:c>
    </x:row>
    <x:row r="252" ht="85" customHeight="1">
      <x:c r="A252" s="10" t="n">
        <x:v>251</x:v>
      </x:c>
      <x:c r="B252" s="10" t="str">
        <x:v>USER-02-0033</x:v>
      </x:c>
      <x:c r="C252" s="10" t="str">
        <x:v>首页与福利</x:v>
      </x:c>
      <x:c r="D252" s="10" t="str">
        <x:v>首页（游客视角）</x:v>
      </x:c>
      <x:c r="E252" s="10" t="str">
        <x:v>异常用例</x:v>
      </x:c>
      <x:c r="F252" s="10" t="str">
        <x:v>P1</x:v>
      </x:c>
      <x:c r="G252" s="9" t="str">
        <x:v>验证游客点击搜索</x:v>
      </x:c>
      <x:c r="H252" s="9" t="str">
        <x:v>访客搜索登录引导</x:v>
      </x:c>
      <x:c r="I252" s="9" t="str">
        <x:v>1. 执行角色为游客；当前处于首页页面</x:v>
      </x:c>
      <x:c r="J252" s="9" t="str">
        <x:v>1. 点击搜索</x:v>
      </x:c>
      <x:c r="K252" s="9" t="str">
        <x:v>直接进入登录页，不执行原账号操作</x:v>
      </x:c>
      <x:c r="L252" s="10" t="str"/>
      <x:c r="M252" s="10" t="str">
        <x:v>未测</x:v>
      </x:c>
      <x:c r="N252" s="10" t="str"/>
      <x:c r="O252" s="9" t="str">
        <x:v>1. 来源（当前证据）：liveshow-proto/MainBasis/统一需求文档.md；位置：行527、行518
2. 规则：BR-00a0442233f7d6ec
3. 未动态验证</x:v>
      </x:c>
    </x:row>
    <x:row r="253" ht="85" customHeight="1">
      <x:c r="A253" s="10" t="n">
        <x:v>252</x:v>
      </x:c>
      <x:c r="B253" s="10" t="str">
        <x:v>USER-02-0034</x:v>
      </x:c>
      <x:c r="C253" s="10" t="str">
        <x:v>首页与福利</x:v>
      </x:c>
      <x:c r="D253" s="10" t="str">
        <x:v>首页（游客视角）</x:v>
      </x:c>
      <x:c r="E253" s="10" t="str">
        <x:v>异常用例</x:v>
      </x:c>
      <x:c r="F253" s="10" t="str">
        <x:v>P1</x:v>
      </x:c>
      <x:c r="G253" s="9" t="str">
        <x:v>验证游客点击消息</x:v>
      </x:c>
      <x:c r="H253" s="9" t="str">
        <x:v>访客消息登录引导</x:v>
      </x:c>
      <x:c r="I253" s="9" t="str">
        <x:v>1. 执行角色为游客；当前处于首页页面</x:v>
      </x:c>
      <x:c r="J253" s="9" t="str">
        <x:v>1. 点击消息</x:v>
      </x:c>
      <x:c r="K253" s="9" t="str">
        <x:v>直接进入登录页，不执行原账号操作</x:v>
      </x:c>
      <x:c r="L253" s="10" t="str"/>
      <x:c r="M253" s="10" t="str">
        <x:v>未测</x:v>
      </x:c>
      <x:c r="N253" s="10" t="str"/>
      <x:c r="O253" s="9" t="str">
        <x:v>1. 来源（当前证据）：liveshow-proto/MainBasis/统一需求文档.md；位置：行527、行518
2. 规则：BR-95ebece8ac30c99f
3. 未动态验证</x:v>
      </x:c>
    </x:row>
    <x:row r="254" ht="85" customHeight="1">
      <x:c r="A254" s="10" t="n">
        <x:v>253</x:v>
      </x:c>
      <x:c r="B254" s="10" t="str">
        <x:v>USER-02-0035</x:v>
      </x:c>
      <x:c r="C254" s="10" t="str">
        <x:v>首页与福利</x:v>
      </x:c>
      <x:c r="D254" s="10" t="str">
        <x:v>首页（游客视角）</x:v>
      </x:c>
      <x:c r="E254" s="10" t="str">
        <x:v>异常用例</x:v>
      </x:c>
      <x:c r="F254" s="10" t="str">
        <x:v>P1</x:v>
      </x:c>
      <x:c r="G254" s="9" t="str">
        <x:v>验证游客点击我的</x:v>
      </x:c>
      <x:c r="H254" s="9" t="str">
        <x:v>访客个人中心登录引导</x:v>
      </x:c>
      <x:c r="I254" s="9" t="str">
        <x:v>1. 执行角色为游客；当前处于首页页面</x:v>
      </x:c>
      <x:c r="J254" s="9" t="str">
        <x:v>1. 点击我的</x:v>
      </x:c>
      <x:c r="K254" s="9" t="str">
        <x:v>直接进入登录页，不执行原账号操作</x:v>
      </x:c>
      <x:c r="L254" s="10" t="str"/>
      <x:c r="M254" s="10" t="str">
        <x:v>未测</x:v>
      </x:c>
      <x:c r="N254" s="10" t="str"/>
      <x:c r="O254" s="9" t="str">
        <x:v>1. 来源（当前证据）：liveshow-proto/MainBasis/统一需求文档.md；位置：行527、行518
2. 规则：BR-129323dc3f1217e8
3. 未动态验证</x:v>
      </x:c>
    </x:row>
    <x:row r="255" ht="85" customHeight="1">
      <x:c r="A255" s="10" t="n">
        <x:v>254</x:v>
      </x:c>
      <x:c r="B255" s="10" t="str">
        <x:v>USER-02-0036</x:v>
      </x:c>
      <x:c r="C255" s="10" t="str">
        <x:v>首页与福利</x:v>
      </x:c>
      <x:c r="D255" s="10" t="str">
        <x:v>首页（游客视角）</x:v>
      </x:c>
      <x:c r="E255" s="10" t="str">
        <x:v>功能需求</x:v>
      </x:c>
      <x:c r="F255" s="10" t="str">
        <x:v>P1</x:v>
      </x:c>
      <x:c r="G255" s="9" t="str">
        <x:v>验证游客浏览主播榜</x:v>
      </x:c>
      <x:c r="H255" s="9" t="str">
        <x:v>访客主播榜访问</x:v>
      </x:c>
      <x:c r="I255" s="9" t="str">
        <x:v>1. 执行角色为游客；当前处于首页页面</x:v>
      </x:c>
      <x:c r="J255" s="9" t="str">
        <x:v>1. 点击主播榜</x:v>
      </x:c>
      <x:c r="K255" s="9" t="str">
        <x:v>允许进入主播榜页面</x:v>
      </x:c>
      <x:c r="L255" s="10" t="str"/>
      <x:c r="M255" s="10" t="str">
        <x:v>未测</x:v>
      </x:c>
      <x:c r="N255" s="10" t="str"/>
      <x:c r="O255" s="9" t="str">
        <x:v>1. 来源（当前证据）：liveshow-proto/MainBasis/统一需求文档.md；位置：行526、行518
2. 规则：BR-68afd737edfebcae
3. 未动态验证</x:v>
      </x:c>
    </x:row>
    <x:row r="256" ht="85" customHeight="1">
      <x:c r="A256" s="10" t="n">
        <x:v>255</x:v>
      </x:c>
      <x:c r="B256" s="10" t="str">
        <x:v>USER-02-0037</x:v>
      </x:c>
      <x:c r="C256" s="10" t="str">
        <x:v>首页与福利</x:v>
      </x:c>
      <x:c r="D256" s="10" t="str">
        <x:v>首页（游客视角）</x:v>
      </x:c>
      <x:c r="E256" s="10" t="str">
        <x:v>功能需求</x:v>
      </x:c>
      <x:c r="F256" s="10" t="str">
        <x:v>P1</x:v>
      </x:c>
      <x:c r="G256" s="9" t="str">
        <x:v>验证游客浏览贡献榜</x:v>
      </x:c>
      <x:c r="H256" s="9" t="str">
        <x:v>访客贡献榜访问</x:v>
      </x:c>
      <x:c r="I256" s="9" t="str">
        <x:v>1. 执行角色为游客；当前处于首页页面</x:v>
      </x:c>
      <x:c r="J256" s="9" t="str">
        <x:v>1. 点击贡献榜</x:v>
      </x:c>
      <x:c r="K256" s="9" t="str">
        <x:v>允许进入贡献榜页面</x:v>
      </x:c>
      <x:c r="L256" s="10" t="str"/>
      <x:c r="M256" s="10" t="str">
        <x:v>未测</x:v>
      </x:c>
      <x:c r="N256" s="10" t="str"/>
      <x:c r="O256" s="9" t="str">
        <x:v>1. 来源（当前证据）：liveshow-proto/MainBasis/统一需求文档.md；位置：行526、行518
2. 规则：BR-c13de06d7083c4a0
3. 未动态验证</x:v>
      </x:c>
    </x:row>
    <x:row r="257" ht="85" customHeight="1">
      <x:c r="A257" s="10" t="n">
        <x:v>256</x:v>
      </x:c>
      <x:c r="B257" s="10" t="str">
        <x:v>USER-02-0038</x:v>
      </x:c>
      <x:c r="C257" s="10" t="str">
        <x:v>首页与福利</x:v>
      </x:c>
      <x:c r="D257" s="10" t="str">
        <x:v>首页（游客视角）</x:v>
      </x:c>
      <x:c r="E257" s="10" t="str">
        <x:v>功能需求</x:v>
      </x:c>
      <x:c r="F257" s="10" t="str">
        <x:v>P1</x:v>
      </x:c>
      <x:c r="G257" s="9" t="str">
        <x:v>验证游客浏览福利</x:v>
      </x:c>
      <x:c r="H257" s="9" t="str">
        <x:v>访客福利页访问</x:v>
      </x:c>
      <x:c r="I257" s="9" t="str">
        <x:v>1. 执行角色为游客；当前处于首页页面</x:v>
      </x:c>
      <x:c r="J257" s="9" t="str">
        <x:v>1. 点击福利</x:v>
      </x:c>
      <x:c r="K257" s="9" t="str">
        <x:v>允许进入福利页面</x:v>
      </x:c>
      <x:c r="L257" s="10" t="str"/>
      <x:c r="M257" s="10" t="str">
        <x:v>未测</x:v>
      </x:c>
      <x:c r="N257" s="10" t="str"/>
      <x:c r="O257" s="9" t="str">
        <x:v>1. 来源（当前证据）：liveshow-proto/MainBasis/统一需求文档.md；位置：行526、行518
2. 规则：BR-e007d19ae31d3149
3. 未动态验证</x:v>
      </x:c>
    </x:row>
    <x:row r="258" ht="85" customHeight="1">
      <x:c r="A258" s="10" t="n">
        <x:v>257</x:v>
      </x:c>
      <x:c r="B258" s="10" t="str">
        <x:v>USER-02-0039</x:v>
      </x:c>
      <x:c r="C258" s="10" t="str">
        <x:v>首页与福利</x:v>
      </x:c>
      <x:c r="D258" s="10" t="str">
        <x:v>首页（游客视角）</x:v>
      </x:c>
      <x:c r="E258" s="10" t="str">
        <x:v>功能需求</x:v>
      </x:c>
      <x:c r="F258" s="10" t="str">
        <x:v>P1</x:v>
      </x:c>
      <x:c r="G258" s="9" t="str">
        <x:v>验证游客浏览邀请好友</x:v>
      </x:c>
      <x:c r="H258" s="9" t="str">
        <x:v>访客邀请页访问</x:v>
      </x:c>
      <x:c r="I258" s="9" t="str">
        <x:v>1. 执行角色为游客；当前处于首页页面</x:v>
      </x:c>
      <x:c r="J258" s="9" t="str">
        <x:v>1. 点击邀请好友</x:v>
      </x:c>
      <x:c r="K258" s="9" t="str">
        <x:v>允许进入邀请好友页面</x:v>
      </x:c>
      <x:c r="L258" s="10" t="str"/>
      <x:c r="M258" s="10" t="str">
        <x:v>未测</x:v>
      </x:c>
      <x:c r="N258" s="10" t="str"/>
      <x:c r="O258" s="9" t="str">
        <x:v>1. 来源（当前证据）：liveshow-proto/MainBasis/统一需求文档.md；位置：行526、行518
2. 规则：BR-d00f2ec3caacc2e1
3. 未动态验证</x:v>
      </x:c>
    </x:row>
    <x:row r="259" ht="85" customHeight="1">
      <x:c r="A259" s="10" t="n">
        <x:v>258</x:v>
      </x:c>
      <x:c r="B259" s="10" t="str">
        <x:v>USER-02-0040</x:v>
      </x:c>
      <x:c r="C259" s="10" t="str">
        <x:v>首页与福利</x:v>
      </x:c>
      <x:c r="D259" s="10" t="str">
        <x:v>主播榜（已登录普通用户视角）</x:v>
      </x:c>
      <x:c r="E259" s="10" t="str">
        <x:v>功能需求</x:v>
      </x:c>
      <x:c r="F259" s="10" t="str">
        <x:v>P2</x:v>
      </x:c>
      <x:c r="G259" s="9" t="str">
        <x:v>验证收礼值降序</x:v>
      </x:c>
      <x:c r="H259" s="9" t="str">
        <x:v>排列次序</x:v>
      </x:c>
      <x:c r="I259" s="9" t="str">
        <x:v>1. 执行角色为已登录普通用户；当前处于主播榜页面
2. 测试榜单仅包含真实金币有效消费
3. A的收礼值为200，B为100</x:v>
      </x:c>
      <x:c r="J259" s="9" t="str">
        <x:v>1. 查看榜单排名</x:v>
      </x:c>
      <x:c r="K259" s="9" t="str">
        <x:v>A排在B之前</x:v>
      </x:c>
      <x:c r="L259" s="10" t="str"/>
      <x:c r="M259" s="10" t="str">
        <x:v>未测</x:v>
      </x:c>
      <x:c r="N259" s="10" t="str"/>
      <x:c r="O259" s="9" t="str">
        <x:v>1. 来源（当前证据）：liveshow-proto/MainBasis/统一需求文档.md；位置：行542、行539
2. 规则：BR-a4a9027448e55c22
3. 未动态验证</x:v>
      </x:c>
    </x:row>
    <x:row r="260" ht="100" customHeight="1">
      <x:c r="A260" s="10" t="n">
        <x:v>259</x:v>
      </x:c>
      <x:c r="B260" s="10" t="str">
        <x:v>USER-02-0041</x:v>
      </x:c>
      <x:c r="C260" s="10" t="str">
        <x:v>首页与福利</x:v>
      </x:c>
      <x:c r="D260" s="10" t="str">
        <x:v>主播榜（已登录普通用户视角）</x:v>
      </x:c>
      <x:c r="E260" s="10" t="str">
        <x:v>功能需求</x:v>
      </x:c>
      <x:c r="F260" s="10" t="str">
        <x:v>P2</x:v>
      </x:c>
      <x:c r="G260" s="9" t="str">
        <x:v>验证财富等级破同分</x:v>
      </x:c>
      <x:c r="H260" s="9" t="str">
        <x:v>排列次序</x:v>
      </x:c>
      <x:c r="I260" s="9" t="str">
        <x:v>1. 执行角色为已登录普通用户；当前处于主播榜页面
2. 测试榜单仅包含真实金币有效消费
3. A、B的收礼值相同且主播等级相同；A财富等级10、B为5</x:v>
      </x:c>
      <x:c r="J260" s="9" t="str">
        <x:v>1. 查看榜单排名</x:v>
      </x:c>
      <x:c r="K260" s="9" t="str">
        <x:v>A排在B之前</x:v>
      </x:c>
      <x:c r="L260" s="10" t="str"/>
      <x:c r="M260" s="10" t="str">
        <x:v>未测</x:v>
      </x:c>
      <x:c r="N260" s="10" t="str"/>
      <x:c r="O260" s="9" t="str">
        <x:v>1. 来源（当前证据）：liveshow-proto/MainBasis/统一需求文档.md；位置：行542、行539
2. 规则：BR-e9741179f00458f9
3. 未动态验证</x:v>
      </x:c>
    </x:row>
    <x:row r="261" ht="115" customHeight="1">
      <x:c r="A261" s="10" t="n">
        <x:v>260</x:v>
      </x:c>
      <x:c r="B261" s="10" t="str">
        <x:v>USER-02-0042</x:v>
      </x:c>
      <x:c r="C261" s="10" t="str">
        <x:v>首页与福利</x:v>
      </x:c>
      <x:c r="D261" s="10" t="str">
        <x:v>主播榜（已登录普通用户视角）</x:v>
      </x:c>
      <x:c r="E261" s="10" t="str">
        <x:v>功能需求</x:v>
      </x:c>
      <x:c r="F261" s="10" t="str">
        <x:v>P2</x:v>
      </x:c>
      <x:c r="G261" s="9" t="str">
        <x:v>验证数字ID破同分</x:v>
      </x:c>
      <x:c r="H261" s="9" t="str">
        <x:v>排列次序</x:v>
      </x:c>
      <x:c r="I261" s="9" t="str">
        <x:v>1. 执行角色为已登录普通用户；当前处于主播榜页面
2. 测试榜单仅包含真实金币有效消费
3. A、B的收礼值及参与排序的等级相同；A的ID数字部分为9，B为10</x:v>
      </x:c>
      <x:c r="J261" s="9" t="str">
        <x:v>1. 查看榜单排名</x:v>
      </x:c>
      <x:c r="K261" s="9" t="str">
        <x:v>A排在B之前且不设并列名次</x:v>
      </x:c>
      <x:c r="L261" s="10" t="str"/>
      <x:c r="M261" s="10" t="str">
        <x:v>未测</x:v>
      </x:c>
      <x:c r="N261" s="10" t="str"/>
      <x:c r="O261" s="9" t="str">
        <x:v>1. 来源（当前证据）：liveshow-proto/MainBasis/统一需求文档.md；位置：行542、行539
2. 规则：BR-0f9fe86f3467ebef
3. 未动态验证</x:v>
      </x:c>
    </x:row>
    <x:row r="262" ht="115" customHeight="1">
      <x:c r="A262" s="10" t="n">
        <x:v>261</x:v>
      </x:c>
      <x:c r="B262" s="10" t="str">
        <x:v>USER-02-0043</x:v>
      </x:c>
      <x:c r="C262" s="10" t="str">
        <x:v>首页与福利</x:v>
      </x:c>
      <x:c r="D262" s="10" t="str">
        <x:v>主播榜（已登录普通用户视角）</x:v>
      </x:c>
      <x:c r="E262" s="10" t="str">
        <x:v>逻辑校验</x:v>
      </x:c>
      <x:c r="F262" s="10" t="str">
        <x:v>P2</x:v>
      </x:c>
      <x:c r="G262" s="9" t="str">
        <x:v>验证第三十名同分截断：第三十名</x:v>
      </x:c>
      <x:c r="H262" s="9" t="str">
        <x:v>第三十名</x:v>
      </x:c>
      <x:c r="I262" s="9" t="str">
        <x:v>1. 执行角色为已登录普通用户；当前处于主播榜页面
2. 测试榜单仅包含真实金币有效消费
3. 有效数据有31人；第30和31候选收礼值相同；排序后的第30人为A、第31人为B</x:v>
      </x:c>
      <x:c r="J262" s="9" t="str">
        <x:v>1. 查看榜单末尾</x:v>
      </x:c>
      <x:c r="K262" s="9" t="str">
        <x:v>A为第30名</x:v>
      </x:c>
      <x:c r="L262" s="10" t="str"/>
      <x:c r="M262" s="10" t="str">
        <x:v>未测</x:v>
      </x:c>
      <x:c r="N262" s="10" t="str"/>
      <x:c r="O262" s="9" t="str">
        <x:v>1. 来源（当前证据）：liveshow-proto/MainBasis/统一需求文档.md；位置：行542、行543、行539
2. 规则：BR-6668e88040706e8d
3. 未动态验证</x:v>
      </x:c>
    </x:row>
    <x:row r="263" ht="115" customHeight="1">
      <x:c r="A263" s="10" t="n">
        <x:v>262</x:v>
      </x:c>
      <x:c r="B263" s="10" t="str">
        <x:v>USER-02-0044</x:v>
      </x:c>
      <x:c r="C263" s="10" t="str">
        <x:v>首页与福利</x:v>
      </x:c>
      <x:c r="D263" s="10" t="str">
        <x:v>主播榜（已登录普通用户视角）</x:v>
      </x:c>
      <x:c r="E263" s="10" t="str">
        <x:v>逻辑校验</x:v>
      </x:c>
      <x:c r="F263" s="10" t="str">
        <x:v>P2</x:v>
      </x:c>
      <x:c r="G263" s="9" t="str">
        <x:v>验证第三十名同分截断：第三十一名排除</x:v>
      </x:c>
      <x:c r="H263" s="9" t="str">
        <x:v>第三十一名排除</x:v>
      </x:c>
      <x:c r="I263" s="9" t="str">
        <x:v>1. 执行角色为已登录普通用户；当前处于主播榜页面
2. 测试榜单仅包含真实金币有效消费
3. 有效数据有31人；第30和31候选收礼值相同；排序后的第30人为A、第31人为B</x:v>
      </x:c>
      <x:c r="J263" s="9" t="str">
        <x:v>1. 查看榜单末尾</x:v>
      </x:c>
      <x:c r="K263" s="9" t="str">
        <x:v>榜单不展示B</x:v>
      </x:c>
      <x:c r="L263" s="10" t="str"/>
      <x:c r="M263" s="10" t="str">
        <x:v>未测</x:v>
      </x:c>
      <x:c r="N263" s="10" t="str"/>
      <x:c r="O263" s="9" t="str">
        <x:v>1. 来源（当前证据）：liveshow-proto/MainBasis/统一需求文档.md；位置：行542、行543、行539
2. 规则：BR-4a87c95187ebe3f7
3. 未动态验证</x:v>
      </x:c>
    </x:row>
    <x:row r="264" ht="100" customHeight="1">
      <x:c r="A264" s="10" t="n">
        <x:v>263</x:v>
      </x:c>
      <x:c r="B264" s="10" t="str">
        <x:v>USER-02-0045</x:v>
      </x:c>
      <x:c r="C264" s="10" t="str">
        <x:v>首页与福利</x:v>
      </x:c>
      <x:c r="D264" s="10" t="str">
        <x:v>主播榜（已登录普通用户视角）</x:v>
      </x:c>
      <x:c r="E264" s="10" t="str">
        <x:v>功能需求</x:v>
      </x:c>
      <x:c r="F264" s="10" t="str">
        <x:v>P2</x:v>
      </x:c>
      <x:c r="G264" s="9" t="str">
        <x:v>验证不足三十条展示</x:v>
      </x:c>
      <x:c r="H264" s="9" t="str">
        <x:v>榜单不足上限条数</x:v>
      </x:c>
      <x:c r="I264" s="9" t="str">
        <x:v>1. 执行角色为已登录普通用户；当前处于主播榜页面
2. 测试榜单仅包含真实金币有效消费
3. 所选周期只有3名有效上榜账号</x:v>
      </x:c>
      <x:c r="J264" s="9" t="str">
        <x:v>1. 查看榜单</x:v>
      </x:c>
      <x:c r="K264" s="9" t="str">
        <x:v>仅展示3名账号</x:v>
      </x:c>
      <x:c r="L264" s="10" t="str"/>
      <x:c r="M264" s="10" t="str">
        <x:v>未测</x:v>
      </x:c>
      <x:c r="N264" s="10" t="str"/>
      <x:c r="O264" s="9" t="str">
        <x:v>1. 来源（当前证据）：liveshow-proto/MainBasis/统一需求文档.md；位置：行543、行539
2. 规则：BR-dd3b761f55fabb12
3. 未动态验证</x:v>
      </x:c>
    </x:row>
    <x:row r="265" ht="115" customHeight="1">
      <x:c r="A265" s="10" t="n">
        <x:v>264</x:v>
      </x:c>
      <x:c r="B265" s="10" t="str">
        <x:v>USER-02-0046</x:v>
      </x:c>
      <x:c r="C265" s="10" t="str">
        <x:v>首页与福利</x:v>
      </x:c>
      <x:c r="D265" s="10" t="str">
        <x:v>主播榜（已登录普通用户视角）</x:v>
      </x:c>
      <x:c r="E265" s="10" t="str">
        <x:v>逻辑校验</x:v>
      </x:c>
      <x:c r="F265" s="10" t="str">
        <x:v>P1</x:v>
      </x:c>
      <x:c r="G265" s="9" t="str">
        <x:v>验证幸运礼物返奖不冲减榜单</x:v>
      </x:c>
      <x:c r="H265" s="9" t="str">
        <x:v>幸运礼物收礼统计</x:v>
      </x:c>
      <x:c r="I265" s="9" t="str">
        <x:v>1. 执行角色为已登录普通用户；当前处于主播榜页面
2. 测试榜单仅包含真实金币有效消费
3. 目标账号本周期只有一笔100金币幸运礼物，赠送者另获返奖</x:v>
      </x:c>
      <x:c r="J265" s="9" t="str">
        <x:v>1. 查看目标账号榜单数值</x:v>
      </x:c>
      <x:c r="K265" s="9" t="str">
        <x:v>收礼值为100</x:v>
      </x:c>
      <x:c r="L265" s="10" t="str"/>
      <x:c r="M265" s="10" t="str">
        <x:v>未测</x:v>
      </x:c>
      <x:c r="N265" s="10" t="str"/>
      <x:c r="O265" s="9" t="str">
        <x:v>1. 来源（当前证据）：liveshow-proto/MainBasis/统一需求文档.md；位置：行545、行539
2. 规则：BR-0ed172dbcf7262b0
3. 未动态验证</x:v>
      </x:c>
    </x:row>
    <x:row r="266" ht="100" customHeight="1">
      <x:c r="A266" s="10" t="n">
        <x:v>265</x:v>
      </x:c>
      <x:c r="B266" s="10" t="str">
        <x:v>USER-02-0047</x:v>
      </x:c>
      <x:c r="C266" s="10" t="str">
        <x:v>首页与福利</x:v>
      </x:c>
      <x:c r="D266" s="10" t="str">
        <x:v>主播榜（已登录普通用户视角）</x:v>
      </x:c>
      <x:c r="E266" s="10" t="str">
        <x:v>逻辑校验</x:v>
      </x:c>
      <x:c r="F266" s="10" t="str">
        <x:v>P1</x:v>
      </x:c>
      <x:c r="G266" s="9" t="str">
        <x:v>验证充值退款不冲减已送礼</x:v>
      </x:c>
      <x:c r="H266" s="9" t="str">
        <x:v>数据保持</x:v>
      </x:c>
      <x:c r="I266" s="9" t="str">
        <x:v>1. 执行角色为已登录普通用户；当前处于主播榜页面
2. 测试榜单仅包含真实金币有效消费
3. 账号本周期有已完成送礼；随后原充值已退款</x:v>
      </x:c>
      <x:c r="J266" s="9" t="str">
        <x:v>1. 刷新榜单</x:v>
      </x:c>
      <x:c r="K266" s="9" t="str">
        <x:v>已完成送礼的收礼值仍保留</x:v>
      </x:c>
      <x:c r="L266" s="10" t="str"/>
      <x:c r="M266" s="10" t="str">
        <x:v>未测</x:v>
      </x:c>
      <x:c r="N266" s="10" t="str"/>
      <x:c r="O266" s="9" t="str">
        <x:v>1. 来源（当前证据）：liveshow-proto/MainBasis/统一需求文档.md；位置：行548、行539
2. 规则：BR-afbc8a80080dbc9c
3. 未动态验证</x:v>
      </x:c>
    </x:row>
    <x:row r="267" ht="100" customHeight="1">
      <x:c r="A267" s="10" t="n">
        <x:v>266</x:v>
      </x:c>
      <x:c r="B267" s="10" t="str">
        <x:v>USER-02-0048</x:v>
      </x:c>
      <x:c r="C267" s="10" t="str">
        <x:v>首页与福利</x:v>
      </x:c>
      <x:c r="D267" s="10" t="str">
        <x:v>主播榜（已登录普通用户视角）</x:v>
      </x:c>
      <x:c r="E267" s="10" t="str">
        <x:v>逻辑校验</x:v>
      </x:c>
      <x:c r="F267" s="10" t="str">
        <x:v>P1</x:v>
      </x:c>
      <x:c r="G267" s="9" t="str">
        <x:v>验证消费冲正重新统计</x:v>
      </x:c>
      <x:c r="H267" s="9" t="str">
        <x:v>撤销消费收礼排除</x:v>
      </x:c>
      <x:c r="I267" s="9" t="str">
        <x:v>1. 执行角色为已登录普通用户；当前处于主播榜页面
2. 测试榜单仅包含真实金币有效消费
3. 目标账号原有100金币有效消费贡献；该消费已被有效冲正</x:v>
      </x:c>
      <x:c r="J267" s="9" t="str">
        <x:v>1. 刷新榜单</x:v>
      </x:c>
      <x:c r="K267" s="9" t="str">
        <x:v>目标账号不再计入该笔消费的收礼值</x:v>
      </x:c>
      <x:c r="L267" s="10" t="str"/>
      <x:c r="M267" s="10" t="str">
        <x:v>未测</x:v>
      </x:c>
      <x:c r="N267" s="10" t="str"/>
      <x:c r="O267" s="9" t="str">
        <x:v>1. 来源（当前证据）：liveshow-proto/MainBasis/统一需求文档.md；位置：行548、行539
2. 规则：BR-73f9547931cf48ea
3. 未动态验证</x:v>
      </x:c>
    </x:row>
    <x:row r="268" ht="85" customHeight="1">
      <x:c r="A268" s="10" t="n">
        <x:v>267</x:v>
      </x:c>
      <x:c r="B268" s="10" t="str">
        <x:v>USER-02-0049</x:v>
      </x:c>
      <x:c r="C268" s="10" t="str">
        <x:v>首页与福利</x:v>
      </x:c>
      <x:c r="D268" s="10" t="str">
        <x:v>主播榜（已登录普通用户视角）</x:v>
      </x:c>
      <x:c r="E268" s="10" t="str">
        <x:v>功能需求</x:v>
      </x:c>
      <x:c r="F268" s="10" t="str">
        <x:v>P2</x:v>
      </x:c>
      <x:c r="G268" s="9" t="str">
        <x:v>验证注销账号名称</x:v>
      </x:c>
      <x:c r="H268" s="9" t="str">
        <x:v>注销账号显示名称</x:v>
      </x:c>
      <x:c r="I268" s="9" t="str">
        <x:v>1. 执行角色为已登录普通用户；当前处于主播榜页面
2. 测试榜单仅包含真实金币有效消费
3. 目标上榜账号已最终注销</x:v>
      </x:c>
      <x:c r="J268" s="9" t="str">
        <x:v>1. 查看对应排名行</x:v>
      </x:c>
      <x:c r="K268" s="9" t="str">
        <x:v>名称显示“账号已注销”</x:v>
      </x:c>
      <x:c r="L268" s="10" t="str"/>
      <x:c r="M268" s="10" t="str">
        <x:v>未测</x:v>
      </x:c>
      <x:c r="N268" s="10" t="str"/>
      <x:c r="O268" s="9" t="str">
        <x:v>1. 来源（当前证据）：liveshow-proto/MainBasis/统一需求文档.md；位置：行548、行539
2. 规则：BR-25ea4206801f56e5
3. 未动态验证</x:v>
      </x:c>
    </x:row>
    <x:row r="269" ht="85" customHeight="1">
      <x:c r="A269" s="10" t="n">
        <x:v>268</x:v>
      </x:c>
      <x:c r="B269" s="10" t="str">
        <x:v>USER-02-0050</x:v>
      </x:c>
      <x:c r="C269" s="10" t="str">
        <x:v>首页与福利</x:v>
      </x:c>
      <x:c r="D269" s="10" t="str">
        <x:v>主播榜（已登录普通用户视角）</x:v>
      </x:c>
      <x:c r="E269" s="10" t="str">
        <x:v>功能需求</x:v>
      </x:c>
      <x:c r="F269" s="10" t="str">
        <x:v>P1</x:v>
      </x:c>
      <x:c r="G269" s="9" t="str">
        <x:v>验证注销账号主页禁止进入</x:v>
      </x:c>
      <x:c r="H269" s="9" t="str">
        <x:v>注销账号主页限制</x:v>
      </x:c>
      <x:c r="I269" s="9" t="str">
        <x:v>1. 执行角色为已登录普通用户；当前处于主播榜页面
2. 测试榜单仅包含真实金币有效消费
3. 目标上榜账号已最终注销</x:v>
      </x:c>
      <x:c r="J269" s="9" t="str">
        <x:v>1. 点击对应排名行</x:v>
      </x:c>
      <x:c r="K269" s="9" t="str">
        <x:v>不能进入该账号主页</x:v>
      </x:c>
      <x:c r="L269" s="10" t="str"/>
      <x:c r="M269" s="10" t="str">
        <x:v>未测</x:v>
      </x:c>
      <x:c r="N269" s="10" t="str"/>
      <x:c r="O269" s="9" t="str">
        <x:v>1. 来源（当前证据）：liveshow-proto/MainBasis/统一需求文档.md；位置：行548、行539
2. 规则：BR-4eeff73e17050950
3. 未动态验证</x:v>
      </x:c>
    </x:row>
    <x:row r="270" ht="100" customHeight="1">
      <x:c r="A270" s="10" t="n">
        <x:v>269</x:v>
      </x:c>
      <x:c r="B270" s="10" t="str">
        <x:v>USER-02-0051</x:v>
      </x:c>
      <x:c r="C270" s="10" t="str">
        <x:v>首页与福利</x:v>
      </x:c>
      <x:c r="D270" s="10" t="str">
        <x:v>主播榜（已登录普通用户视角）</x:v>
      </x:c>
      <x:c r="E270" s="10" t="str">
        <x:v>功能需求</x:v>
      </x:c>
      <x:c r="F270" s="10" t="str">
        <x:v>P2</x:v>
      </x:c>
      <x:c r="G270" s="9" t="str">
        <x:v>验证账号主页跳转</x:v>
      </x:c>
      <x:c r="H270" s="9" t="str">
        <x:v>主播榜主页去向</x:v>
      </x:c>
      <x:c r="I270" s="9" t="str">
        <x:v>1. 执行角色为已登录普通用户；当前处于主播榜页面
2. 测试榜单仅包含真实金币有效消费
3. 目标账号未注销且当前可访问</x:v>
      </x:c>
      <x:c r="J270" s="9" t="str">
        <x:v>1. 点击对应排名行</x:v>
      </x:c>
      <x:c r="K270" s="9" t="str">
        <x:v>进入该主播主页</x:v>
      </x:c>
      <x:c r="L270" s="10" t="str"/>
      <x:c r="M270" s="10" t="str">
        <x:v>未测</x:v>
      </x:c>
      <x:c r="N270" s="10" t="str"/>
      <x:c r="O270" s="9" t="str">
        <x:v>1. 来源（当前证据）：liveshow-proto/MainBasis/统一需求文档.md；位置：行551、行539
2. 规则：BR-3fddd8cf905c05f6
3. 未动态验证</x:v>
      </x:c>
    </x:row>
    <x:row r="271" ht="85" customHeight="1">
      <x:c r="A271" s="10" t="n">
        <x:v>270</x:v>
      </x:c>
      <x:c r="B271" s="10" t="str">
        <x:v>USER-02-0052</x:v>
      </x:c>
      <x:c r="C271" s="10" t="str">
        <x:v>首页与福利</x:v>
      </x:c>
      <x:c r="D271" s="10" t="str">
        <x:v>主播榜（已登录普通用户视角）</x:v>
      </x:c>
      <x:c r="E271" s="10" t="str">
        <x:v>功能需求</x:v>
      </x:c>
      <x:c r="F271" s="10" t="str">
        <x:v>P2</x:v>
      </x:c>
      <x:c r="G271" s="9" t="str">
        <x:v>验证切换当日</x:v>
      </x:c>
      <x:c r="H271" s="9" t="str">
        <x:v>当日榜单数据范围</x:v>
      </x:c>
      <x:c r="I271" s="9" t="str">
        <x:v>1. 执行角色为已登录普通用户；当前处于主播榜页面
2. 当日测试数据已有独立统计结果；测试环境业务时区已确认</x:v>
      </x:c>
      <x:c r="J271" s="9" t="str">
        <x:v>1. 选择当日</x:v>
      </x:c>
      <x:c r="K271" s="9" t="str">
        <x:v>前三名、列表和收礼值同步切换为当日统计数据</x:v>
      </x:c>
      <x:c r="L271" s="10" t="str"/>
      <x:c r="M271" s="10" t="str">
        <x:v>未测</x:v>
      </x:c>
      <x:c r="N271" s="10" t="str"/>
      <x:c r="O271" s="9" t="str">
        <x:v>1. 来源（当前证据）：liveshow-proto/MainBasis/统一需求文档.md；位置：行550、行541、行539
2. 规则：BR-428c8abd36bea7aa
3. 未动态验证</x:v>
      </x:c>
    </x:row>
    <x:row r="272" ht="85" customHeight="1">
      <x:c r="A272" s="10" t="n">
        <x:v>271</x:v>
      </x:c>
      <x:c r="B272" s="10" t="str">
        <x:v>USER-02-0053</x:v>
      </x:c>
      <x:c r="C272" s="10" t="str">
        <x:v>首页与福利</x:v>
      </x:c>
      <x:c r="D272" s="10" t="str">
        <x:v>主播榜（已登录普通用户视角）</x:v>
      </x:c>
      <x:c r="E272" s="10" t="str">
        <x:v>功能需求</x:v>
      </x:c>
      <x:c r="F272" s="10" t="str">
        <x:v>P2</x:v>
      </x:c>
      <x:c r="G272" s="9" t="str">
        <x:v>验证切换本周</x:v>
      </x:c>
      <x:c r="H272" s="9" t="str">
        <x:v>本周榜单数据范围</x:v>
      </x:c>
      <x:c r="I272" s="9" t="str">
        <x:v>1. 执行角色为已登录普通用户；当前处于主播榜页面
2. 本周测试数据已有独立统计结果；测试环境业务时区已确认</x:v>
      </x:c>
      <x:c r="J272" s="9" t="str">
        <x:v>1. 选择本周</x:v>
      </x:c>
      <x:c r="K272" s="9" t="str">
        <x:v>前三名、列表和收礼值同步切换为本周统计数据</x:v>
      </x:c>
      <x:c r="L272" s="10" t="str"/>
      <x:c r="M272" s="10" t="str">
        <x:v>未测</x:v>
      </x:c>
      <x:c r="N272" s="10" t="str"/>
      <x:c r="O272" s="9" t="str">
        <x:v>1. 来源（当前证据）：liveshow-proto/MainBasis/统一需求文档.md；位置：行550、行541、行539
2. 规则：BR-d189cfc464779afd
3. 未动态验证</x:v>
      </x:c>
    </x:row>
    <x:row r="273" ht="85" customHeight="1">
      <x:c r="A273" s="10" t="n">
        <x:v>272</x:v>
      </x:c>
      <x:c r="B273" s="10" t="str">
        <x:v>USER-02-0054</x:v>
      </x:c>
      <x:c r="C273" s="10" t="str">
        <x:v>首页与福利</x:v>
      </x:c>
      <x:c r="D273" s="10" t="str">
        <x:v>主播榜（已登录普通用户视角）</x:v>
      </x:c>
      <x:c r="E273" s="10" t="str">
        <x:v>功能需求</x:v>
      </x:c>
      <x:c r="F273" s="10" t="str">
        <x:v>P2</x:v>
      </x:c>
      <x:c r="G273" s="9" t="str">
        <x:v>验证切换本月</x:v>
      </x:c>
      <x:c r="H273" s="9" t="str">
        <x:v>本月榜单数据范围</x:v>
      </x:c>
      <x:c r="I273" s="9" t="str">
        <x:v>1. 执行角色为已登录普通用户；当前处于主播榜页面
2. 本月测试数据已有独立统计结果；测试环境业务时区已确认</x:v>
      </x:c>
      <x:c r="J273" s="9" t="str">
        <x:v>1. 选择本月</x:v>
      </x:c>
      <x:c r="K273" s="9" t="str">
        <x:v>前三名、列表和收礼值同步切换为本月统计数据</x:v>
      </x:c>
      <x:c r="L273" s="10" t="str"/>
      <x:c r="M273" s="10" t="str">
        <x:v>未测</x:v>
      </x:c>
      <x:c r="N273" s="10" t="str"/>
      <x:c r="O273" s="9" t="str">
        <x:v>1. 来源（当前证据）：liveshow-proto/MainBasis/统一需求文档.md；位置：行550、行541、行539
2. 规则：BR-675beec98176a75e
3. 未动态验证</x:v>
      </x:c>
    </x:row>
    <x:row r="274" ht="85" customHeight="1">
      <x:c r="A274" s="10" t="n">
        <x:v>273</x:v>
      </x:c>
      <x:c r="B274" s="10" t="str">
        <x:v>USER-02-0055</x:v>
      </x:c>
      <x:c r="C274" s="10" t="str">
        <x:v>首页与福利</x:v>
      </x:c>
      <x:c r="D274" s="10" t="str">
        <x:v>主播榜（游客视角）</x:v>
      </x:c>
      <x:c r="E274" s="10" t="str">
        <x:v>功能需求</x:v>
      </x:c>
      <x:c r="F274" s="10" t="str">
        <x:v>P1</x:v>
      </x:c>
      <x:c r="G274" s="9" t="str">
        <x:v>验证游客点击账号</x:v>
      </x:c>
      <x:c r="H274" s="9" t="str">
        <x:v>游客榜单登录引导</x:v>
      </x:c>
      <x:c r="I274" s="9" t="str">
        <x:v>1. 执行角色为游客；当前处于主播榜页面</x:v>
      </x:c>
      <x:c r="J274" s="9" t="str">
        <x:v>1. 点击一个未注销的上榜账号</x:v>
      </x:c>
      <x:c r="K274" s="9" t="str">
        <x:v>进入登录页</x:v>
      </x:c>
      <x:c r="L274" s="10" t="str"/>
      <x:c r="M274" s="10" t="str">
        <x:v>未测</x:v>
      </x:c>
      <x:c r="N274" s="10" t="str"/>
      <x:c r="O274" s="9" t="str">
        <x:v>1. 来源（当前证据）：liveshow-proto/MainBasis/统一需求文档.md；位置：行551、行539
2. 规则：BR-e54b76265e214310
3. 未动态验证</x:v>
      </x:c>
    </x:row>
    <x:row r="275" ht="85" customHeight="1">
      <x:c r="A275" s="10" t="n">
        <x:v>274</x:v>
      </x:c>
      <x:c r="B275" s="10" t="str">
        <x:v>USER-02-0056</x:v>
      </x:c>
      <x:c r="C275" s="10" t="str">
        <x:v>首页与福利</x:v>
      </x:c>
      <x:c r="D275" s="10" t="str">
        <x:v>贡献榜（已登录普通用户视角）</x:v>
      </x:c>
      <x:c r="E275" s="10" t="str">
        <x:v>功能需求</x:v>
      </x:c>
      <x:c r="F275" s="10" t="str">
        <x:v>P2</x:v>
      </x:c>
      <x:c r="G275" s="9" t="str">
        <x:v>验证贡献值降序</x:v>
      </x:c>
      <x:c r="H275" s="9" t="str">
        <x:v>排列次序</x:v>
      </x:c>
      <x:c r="I275" s="9" t="str">
        <x:v>1. 执行角色为已登录普通用户；当前处于贡献榜页面
2. 测试榜单仅包含真实金币有效消费
3. A的贡献值为200，B为100</x:v>
      </x:c>
      <x:c r="J275" s="9" t="str">
        <x:v>1. 查看榜单排名</x:v>
      </x:c>
      <x:c r="K275" s="9" t="str">
        <x:v>A排在B之前</x:v>
      </x:c>
      <x:c r="L275" s="10" t="str"/>
      <x:c r="M275" s="10" t="str">
        <x:v>未测</x:v>
      </x:c>
      <x:c r="N275" s="10" t="str"/>
      <x:c r="O275" s="9" t="str">
        <x:v>1. 来源（当前证据）：liveshow-proto/MainBasis/统一需求文档.md；位置：行557、行554
2. 规则：BR-7d7e915952c30f8e
3. 未动态验证</x:v>
      </x:c>
    </x:row>
    <x:row r="276" ht="100" customHeight="1">
      <x:c r="A276" s="10" t="n">
        <x:v>275</x:v>
      </x:c>
      <x:c r="B276" s="10" t="str">
        <x:v>USER-02-0057</x:v>
      </x:c>
      <x:c r="C276" s="10" t="str">
        <x:v>首页与福利</x:v>
      </x:c>
      <x:c r="D276" s="10" t="str">
        <x:v>贡献榜（已登录普通用户视角）</x:v>
      </x:c>
      <x:c r="E276" s="10" t="str">
        <x:v>功能需求</x:v>
      </x:c>
      <x:c r="F276" s="10" t="str">
        <x:v>P2</x:v>
      </x:c>
      <x:c r="G276" s="9" t="str">
        <x:v>验证财富等级破同分</x:v>
      </x:c>
      <x:c r="H276" s="9" t="str">
        <x:v>排列次序</x:v>
      </x:c>
      <x:c r="I276" s="9" t="str">
        <x:v>1. 执行角色为已登录普通用户；当前处于贡献榜页面
2. 测试榜单仅包含真实金币有效消费
3. A、B的贡献值相同且主播等级相同；A财富等级10、B为5</x:v>
      </x:c>
      <x:c r="J276" s="9" t="str">
        <x:v>1. 查看榜单排名</x:v>
      </x:c>
      <x:c r="K276" s="9" t="str">
        <x:v>A排在B之前</x:v>
      </x:c>
      <x:c r="L276" s="10" t="str"/>
      <x:c r="M276" s="10" t="str">
        <x:v>未测</x:v>
      </x:c>
      <x:c r="N276" s="10" t="str"/>
      <x:c r="O276" s="9" t="str">
        <x:v>1. 来源（当前证据）：liveshow-proto/MainBasis/统一需求文档.md；位置：行557、行554
2. 规则：BR-e29d85c78b9f8af8
3. 未动态验证</x:v>
      </x:c>
    </x:row>
    <x:row r="277" ht="115" customHeight="1">
      <x:c r="A277" s="10" t="n">
        <x:v>276</x:v>
      </x:c>
      <x:c r="B277" s="10" t="str">
        <x:v>USER-02-0058</x:v>
      </x:c>
      <x:c r="C277" s="10" t="str">
        <x:v>首页与福利</x:v>
      </x:c>
      <x:c r="D277" s="10" t="str">
        <x:v>贡献榜（已登录普通用户视角）</x:v>
      </x:c>
      <x:c r="E277" s="10" t="str">
        <x:v>功能需求</x:v>
      </x:c>
      <x:c r="F277" s="10" t="str">
        <x:v>P2</x:v>
      </x:c>
      <x:c r="G277" s="9" t="str">
        <x:v>验证数字ID破同分</x:v>
      </x:c>
      <x:c r="H277" s="9" t="str">
        <x:v>排列次序</x:v>
      </x:c>
      <x:c r="I277" s="9" t="str">
        <x:v>1. 执行角色为已登录普通用户；当前处于贡献榜页面
2. 测试榜单仅包含真实金币有效消费
3. A、B的贡献值及参与排序的等级相同；A的ID数字部分为9，B为10</x:v>
      </x:c>
      <x:c r="J277" s="9" t="str">
        <x:v>1. 查看榜单排名</x:v>
      </x:c>
      <x:c r="K277" s="9" t="str">
        <x:v>A排在B之前且不设并列名次</x:v>
      </x:c>
      <x:c r="L277" s="10" t="str"/>
      <x:c r="M277" s="10" t="str">
        <x:v>未测</x:v>
      </x:c>
      <x:c r="N277" s="10" t="str"/>
      <x:c r="O277" s="9" t="str">
        <x:v>1. 来源（当前证据）：liveshow-proto/MainBasis/统一需求文档.md；位置：行557、行554
2. 规则：BR-6d58d1631c34f0fb
3. 未动态验证</x:v>
      </x:c>
    </x:row>
    <x:row r="278" ht="115" customHeight="1">
      <x:c r="A278" s="10" t="n">
        <x:v>277</x:v>
      </x:c>
      <x:c r="B278" s="10" t="str">
        <x:v>USER-02-0059</x:v>
      </x:c>
      <x:c r="C278" s="10" t="str">
        <x:v>首页与福利</x:v>
      </x:c>
      <x:c r="D278" s="10" t="str">
        <x:v>贡献榜（已登录普通用户视角）</x:v>
      </x:c>
      <x:c r="E278" s="10" t="str">
        <x:v>逻辑校验</x:v>
      </x:c>
      <x:c r="F278" s="10" t="str">
        <x:v>P2</x:v>
      </x:c>
      <x:c r="G278" s="9" t="str">
        <x:v>验证第三十名同分截断：第三十名</x:v>
      </x:c>
      <x:c r="H278" s="9" t="str">
        <x:v>第三十名</x:v>
      </x:c>
      <x:c r="I278" s="9" t="str">
        <x:v>1. 执行角色为已登录普通用户；当前处于贡献榜页面
2. 测试榜单仅包含真实金币有效消费
3. 有效数据有31人；第30和31候选贡献值相同；排序后的第30人为A、第31人为B</x:v>
      </x:c>
      <x:c r="J278" s="9" t="str">
        <x:v>1. 查看榜单末尾</x:v>
      </x:c>
      <x:c r="K278" s="9" t="str">
        <x:v>A为第30名</x:v>
      </x:c>
      <x:c r="L278" s="10" t="str"/>
      <x:c r="M278" s="10" t="str">
        <x:v>未测</x:v>
      </x:c>
      <x:c r="N278" s="10" t="str"/>
      <x:c r="O278" s="9" t="str">
        <x:v>1. 来源（当前证据）：liveshow-proto/MainBasis/统一需求文档.md；位置：行557、行558、行554
2. 规则：BR-0ce213f7de31a516
3. 未动态验证</x:v>
      </x:c>
    </x:row>
    <x:row r="279" ht="115" customHeight="1">
      <x:c r="A279" s="10" t="n">
        <x:v>278</x:v>
      </x:c>
      <x:c r="B279" s="10" t="str">
        <x:v>USER-02-0060</x:v>
      </x:c>
      <x:c r="C279" s="10" t="str">
        <x:v>首页与福利</x:v>
      </x:c>
      <x:c r="D279" s="10" t="str">
        <x:v>贡献榜（已登录普通用户视角）</x:v>
      </x:c>
      <x:c r="E279" s="10" t="str">
        <x:v>逻辑校验</x:v>
      </x:c>
      <x:c r="F279" s="10" t="str">
        <x:v>P2</x:v>
      </x:c>
      <x:c r="G279" s="9" t="str">
        <x:v>验证第三十名同分截断：第三十一名排除</x:v>
      </x:c>
      <x:c r="H279" s="9" t="str">
        <x:v>第三十一名排除</x:v>
      </x:c>
      <x:c r="I279" s="9" t="str">
        <x:v>1. 执行角色为已登录普通用户；当前处于贡献榜页面
2. 测试榜单仅包含真实金币有效消费
3. 有效数据有31人；第30和31候选贡献值相同；排序后的第30人为A、第31人为B</x:v>
      </x:c>
      <x:c r="J279" s="9" t="str">
        <x:v>1. 查看榜单末尾</x:v>
      </x:c>
      <x:c r="K279" s="9" t="str">
        <x:v>榜单不展示B</x:v>
      </x:c>
      <x:c r="L279" s="10" t="str"/>
      <x:c r="M279" s="10" t="str">
        <x:v>未测</x:v>
      </x:c>
      <x:c r="N279" s="10" t="str"/>
      <x:c r="O279" s="9" t="str">
        <x:v>1. 来源（当前证据）：liveshow-proto/MainBasis/统一需求文档.md；位置：行557、行558、行554
2. 规则：BR-a2a3552e58565b95
3. 未动态验证</x:v>
      </x:c>
    </x:row>
    <x:row r="280" ht="100" customHeight="1">
      <x:c r="A280" s="10" t="n">
        <x:v>279</x:v>
      </x:c>
      <x:c r="B280" s="10" t="str">
        <x:v>USER-02-0061</x:v>
      </x:c>
      <x:c r="C280" s="10" t="str">
        <x:v>首页与福利</x:v>
      </x:c>
      <x:c r="D280" s="10" t="str">
        <x:v>贡献榜（已登录普通用户视角）</x:v>
      </x:c>
      <x:c r="E280" s="10" t="str">
        <x:v>功能需求</x:v>
      </x:c>
      <x:c r="F280" s="10" t="str">
        <x:v>P2</x:v>
      </x:c>
      <x:c r="G280" s="9" t="str">
        <x:v>验证不足三十条展示</x:v>
      </x:c>
      <x:c r="H280" s="9" t="str">
        <x:v>榜单不足上限条数</x:v>
      </x:c>
      <x:c r="I280" s="9" t="str">
        <x:v>1. 执行角色为已登录普通用户；当前处于贡献榜页面
2. 测试榜单仅包含真实金币有效消费
3. 所选周期只有3名有效上榜账号</x:v>
      </x:c>
      <x:c r="J280" s="9" t="str">
        <x:v>1. 查看榜单</x:v>
      </x:c>
      <x:c r="K280" s="9" t="str">
        <x:v>仅展示3名账号</x:v>
      </x:c>
      <x:c r="L280" s="10" t="str"/>
      <x:c r="M280" s="10" t="str">
        <x:v>未测</x:v>
      </x:c>
      <x:c r="N280" s="10" t="str"/>
      <x:c r="O280" s="9" t="str">
        <x:v>1. 来源（当前证据）：liveshow-proto/MainBasis/统一需求文档.md；位置：行558、行554
2. 规则：BR-cd94ed85058fd6ae
3. 未动态验证</x:v>
      </x:c>
    </x:row>
    <x:row r="281" ht="115" customHeight="1">
      <x:c r="A281" s="10" t="n">
        <x:v>280</x:v>
      </x:c>
      <x:c r="B281" s="10" t="str">
        <x:v>USER-02-0062</x:v>
      </x:c>
      <x:c r="C281" s="10" t="str">
        <x:v>首页与福利</x:v>
      </x:c>
      <x:c r="D281" s="10" t="str">
        <x:v>贡献榜（已登录普通用户视角）</x:v>
      </x:c>
      <x:c r="E281" s="10" t="str">
        <x:v>逻辑校验</x:v>
      </x:c>
      <x:c r="F281" s="10" t="str">
        <x:v>P1</x:v>
      </x:c>
      <x:c r="G281" s="9" t="str">
        <x:v>验证幸运礼物返奖不冲减榜单</x:v>
      </x:c>
      <x:c r="H281" s="9" t="str">
        <x:v>幸运礼物贡献统计</x:v>
      </x:c>
      <x:c r="I281" s="9" t="str">
        <x:v>1. 执行角色为已登录普通用户；当前处于贡献榜页面
2. 测试榜单仅包含真实金币有效消费
3. 目标账号本周期只有一笔100金币幸运礼物，赠送者另获返奖</x:v>
      </x:c>
      <x:c r="J281" s="9" t="str">
        <x:v>1. 查看目标账号榜单数值</x:v>
      </x:c>
      <x:c r="K281" s="9" t="str">
        <x:v>贡献值为100</x:v>
      </x:c>
      <x:c r="L281" s="10" t="str"/>
      <x:c r="M281" s="10" t="str">
        <x:v>未测</x:v>
      </x:c>
      <x:c r="N281" s="10" t="str"/>
      <x:c r="O281" s="9" t="str">
        <x:v>1. 来源（当前证据）：liveshow-proto/MainBasis/统一需求文档.md；位置：行561、行554
2. 规则：BR-4aca084b89d19752
3. 未动态验证</x:v>
      </x:c>
    </x:row>
    <x:row r="282" ht="100" customHeight="1">
      <x:c r="A282" s="10" t="n">
        <x:v>281</x:v>
      </x:c>
      <x:c r="B282" s="10" t="str">
        <x:v>USER-02-0063</x:v>
      </x:c>
      <x:c r="C282" s="10" t="str">
        <x:v>首页与福利</x:v>
      </x:c>
      <x:c r="D282" s="10" t="str">
        <x:v>贡献榜（已登录普通用户视角）</x:v>
      </x:c>
      <x:c r="E282" s="10" t="str">
        <x:v>逻辑校验</x:v>
      </x:c>
      <x:c r="F282" s="10" t="str">
        <x:v>P1</x:v>
      </x:c>
      <x:c r="G282" s="9" t="str">
        <x:v>验证充值退款不冲减已送礼</x:v>
      </x:c>
      <x:c r="H282" s="9" t="str">
        <x:v>数据保持</x:v>
      </x:c>
      <x:c r="I282" s="9" t="str">
        <x:v>1. 执行角色为已登录普通用户；当前处于贡献榜页面
2. 测试榜单仅包含真实金币有效消费
3. 账号本周期有已完成送礼；随后原充值已退款</x:v>
      </x:c>
      <x:c r="J282" s="9" t="str">
        <x:v>1. 刷新榜单</x:v>
      </x:c>
      <x:c r="K282" s="9" t="str">
        <x:v>已完成送礼的贡献值仍保留</x:v>
      </x:c>
      <x:c r="L282" s="10" t="str"/>
      <x:c r="M282" s="10" t="str">
        <x:v>未测</x:v>
      </x:c>
      <x:c r="N282" s="10" t="str"/>
      <x:c r="O282" s="9" t="str">
        <x:v>1. 来源（当前证据）：liveshow-proto/MainBasis/统一需求文档.md；位置：行564、行554
2. 规则：BR-9e20f05867cfbb54
3. 未动态验证</x:v>
      </x:c>
    </x:row>
    <x:row r="283" ht="100" customHeight="1">
      <x:c r="A283" s="10" t="n">
        <x:v>282</x:v>
      </x:c>
      <x:c r="B283" s="10" t="str">
        <x:v>USER-02-0064</x:v>
      </x:c>
      <x:c r="C283" s="10" t="str">
        <x:v>首页与福利</x:v>
      </x:c>
      <x:c r="D283" s="10" t="str">
        <x:v>贡献榜（已登录普通用户视角）</x:v>
      </x:c>
      <x:c r="E283" s="10" t="str">
        <x:v>逻辑校验</x:v>
      </x:c>
      <x:c r="F283" s="10" t="str">
        <x:v>P1</x:v>
      </x:c>
      <x:c r="G283" s="9" t="str">
        <x:v>验证消费冲正重新统计</x:v>
      </x:c>
      <x:c r="H283" s="9" t="str">
        <x:v>撤销消费贡献排除</x:v>
      </x:c>
      <x:c r="I283" s="9" t="str">
        <x:v>1. 执行角色为已登录普通用户；当前处于贡献榜页面
2. 测试榜单仅包含真实金币有效消费
3. 目标账号原有100金币有效消费贡献；该消费已被有效冲正</x:v>
      </x:c>
      <x:c r="J283" s="9" t="str">
        <x:v>1. 刷新榜单</x:v>
      </x:c>
      <x:c r="K283" s="9" t="str">
        <x:v>目标账号不再计入该笔消费的贡献值</x:v>
      </x:c>
      <x:c r="L283" s="10" t="str"/>
      <x:c r="M283" s="10" t="str">
        <x:v>未测</x:v>
      </x:c>
      <x:c r="N283" s="10" t="str"/>
      <x:c r="O283" s="9" t="str">
        <x:v>1. 来源（当前证据）：liveshow-proto/MainBasis/统一需求文档.md；位置：行564、行554
2. 规则：BR-95688e7241ff68eb
3. 未动态验证</x:v>
      </x:c>
    </x:row>
    <x:row r="284" ht="85" customHeight="1">
      <x:c r="A284" s="10" t="n">
        <x:v>283</x:v>
      </x:c>
      <x:c r="B284" s="10" t="str">
        <x:v>USER-02-0065</x:v>
      </x:c>
      <x:c r="C284" s="10" t="str">
        <x:v>首页与福利</x:v>
      </x:c>
      <x:c r="D284" s="10" t="str">
        <x:v>贡献榜（已登录普通用户视角）</x:v>
      </x:c>
      <x:c r="E284" s="10" t="str">
        <x:v>功能需求</x:v>
      </x:c>
      <x:c r="F284" s="10" t="str">
        <x:v>P2</x:v>
      </x:c>
      <x:c r="G284" s="9" t="str">
        <x:v>验证注销账号名称</x:v>
      </x:c>
      <x:c r="H284" s="9" t="str">
        <x:v>注销账号显示名称</x:v>
      </x:c>
      <x:c r="I284" s="9" t="str">
        <x:v>1. 执行角色为已登录普通用户；当前处于贡献榜页面
2. 测试榜单仅包含真实金币有效消费
3. 目标上榜账号已最终注销</x:v>
      </x:c>
      <x:c r="J284" s="9" t="str">
        <x:v>1. 查看对应排名行</x:v>
      </x:c>
      <x:c r="K284" s="9" t="str">
        <x:v>名称显示“账号已注销”</x:v>
      </x:c>
      <x:c r="L284" s="10" t="str"/>
      <x:c r="M284" s="10" t="str">
        <x:v>未测</x:v>
      </x:c>
      <x:c r="N284" s="10" t="str"/>
      <x:c r="O284" s="9" t="str">
        <x:v>1. 来源（当前证据）：liveshow-proto/MainBasis/统一需求文档.md；位置：行564、行554
2. 规则：BR-3c4c9ae3d19c28b8
3. 未动态验证</x:v>
      </x:c>
    </x:row>
    <x:row r="285" ht="85" customHeight="1">
      <x:c r="A285" s="10" t="n">
        <x:v>284</x:v>
      </x:c>
      <x:c r="B285" s="10" t="str">
        <x:v>USER-02-0066</x:v>
      </x:c>
      <x:c r="C285" s="10" t="str">
        <x:v>首页与福利</x:v>
      </x:c>
      <x:c r="D285" s="10" t="str">
        <x:v>贡献榜（已登录普通用户视角）</x:v>
      </x:c>
      <x:c r="E285" s="10" t="str">
        <x:v>功能需求</x:v>
      </x:c>
      <x:c r="F285" s="10" t="str">
        <x:v>P1</x:v>
      </x:c>
      <x:c r="G285" s="9" t="str">
        <x:v>验证注销账号主页禁止进入</x:v>
      </x:c>
      <x:c r="H285" s="9" t="str">
        <x:v>注销账号主页限制</x:v>
      </x:c>
      <x:c r="I285" s="9" t="str">
        <x:v>1. 执行角色为已登录普通用户；当前处于贡献榜页面
2. 测试榜单仅包含真实金币有效消费
3. 目标上榜账号已最终注销</x:v>
      </x:c>
      <x:c r="J285" s="9" t="str">
        <x:v>1. 点击对应排名行</x:v>
      </x:c>
      <x:c r="K285" s="9" t="str">
        <x:v>不能进入该账号主页</x:v>
      </x:c>
      <x:c r="L285" s="10" t="str"/>
      <x:c r="M285" s="10" t="str">
        <x:v>未测</x:v>
      </x:c>
      <x:c r="N285" s="10" t="str"/>
      <x:c r="O285" s="9" t="str">
        <x:v>1. 来源（当前证据）：liveshow-proto/MainBasis/统一需求文档.md；位置：行564、行554
2. 规则：BR-f3b88e490354435e
3. 未动态验证</x:v>
      </x:c>
    </x:row>
    <x:row r="286" ht="100" customHeight="1">
      <x:c r="A286" s="10" t="n">
        <x:v>285</x:v>
      </x:c>
      <x:c r="B286" s="10" t="str">
        <x:v>USER-02-0067</x:v>
      </x:c>
      <x:c r="C286" s="10" t="str">
        <x:v>首页与福利</x:v>
      </x:c>
      <x:c r="D286" s="10" t="str">
        <x:v>贡献榜（已登录普通用户视角）</x:v>
      </x:c>
      <x:c r="E286" s="10" t="str">
        <x:v>功能需求</x:v>
      </x:c>
      <x:c r="F286" s="10" t="str">
        <x:v>P2</x:v>
      </x:c>
      <x:c r="G286" s="9" t="str">
        <x:v>验证账号主页跳转</x:v>
      </x:c>
      <x:c r="H286" s="9" t="str">
        <x:v>贡献榜主页去向</x:v>
      </x:c>
      <x:c r="I286" s="9" t="str">
        <x:v>1. 执行角色为已登录普通用户；当前处于贡献榜页面
2. 测试榜单仅包含真实金币有效消费
3. 目标账号未注销且当前可访问</x:v>
      </x:c>
      <x:c r="J286" s="9" t="str">
        <x:v>1. 点击对应排名行</x:v>
      </x:c>
      <x:c r="K286" s="9" t="str">
        <x:v>进入该用户主页</x:v>
      </x:c>
      <x:c r="L286" s="10" t="str"/>
      <x:c r="M286" s="10" t="str">
        <x:v>未测</x:v>
      </x:c>
      <x:c r="N286" s="10" t="str"/>
      <x:c r="O286" s="9" t="str">
        <x:v>1. 来源（当前证据）：liveshow-proto/MainBasis/统一需求文档.md；位置：行567、行554
2. 规则：BR-c9f829c066713302
3. 未动态验证</x:v>
      </x:c>
    </x:row>
    <x:row r="287" ht="85" customHeight="1">
      <x:c r="A287" s="10" t="n">
        <x:v>286</x:v>
      </x:c>
      <x:c r="B287" s="10" t="str">
        <x:v>USER-02-0068</x:v>
      </x:c>
      <x:c r="C287" s="10" t="str">
        <x:v>首页与福利</x:v>
      </x:c>
      <x:c r="D287" s="10" t="str">
        <x:v>贡献榜（已登录普通用户视角）</x:v>
      </x:c>
      <x:c r="E287" s="10" t="str">
        <x:v>功能需求</x:v>
      </x:c>
      <x:c r="F287" s="10" t="str">
        <x:v>P2</x:v>
      </x:c>
      <x:c r="G287" s="9" t="str">
        <x:v>验证切换当日</x:v>
      </x:c>
      <x:c r="H287" s="9" t="str">
        <x:v>当日榜单数据范围</x:v>
      </x:c>
      <x:c r="I287" s="9" t="str">
        <x:v>1. 执行角色为已登录普通用户；当前处于贡献榜页面
2. 当日测试数据已有独立统计结果；测试环境业务时区已确认</x:v>
      </x:c>
      <x:c r="J287" s="9" t="str">
        <x:v>1. 选择当日</x:v>
      </x:c>
      <x:c r="K287" s="9" t="str">
        <x:v>前三名、列表和贡献值同步切换为当日统计数据</x:v>
      </x:c>
      <x:c r="L287" s="10" t="str"/>
      <x:c r="M287" s="10" t="str">
        <x:v>未测</x:v>
      </x:c>
      <x:c r="N287" s="10" t="str"/>
      <x:c r="O287" s="9" t="str">
        <x:v>1. 来源（当前证据）：liveshow-proto/MainBasis/统一需求文档.md；位置：行566、行556、行554
2. 规则：BR-7cabf1860cd03470
3. 未动态验证</x:v>
      </x:c>
    </x:row>
    <x:row r="288" ht="85" customHeight="1">
      <x:c r="A288" s="10" t="n">
        <x:v>287</x:v>
      </x:c>
      <x:c r="B288" s="10" t="str">
        <x:v>USER-02-0069</x:v>
      </x:c>
      <x:c r="C288" s="10" t="str">
        <x:v>首页与福利</x:v>
      </x:c>
      <x:c r="D288" s="10" t="str">
        <x:v>贡献榜（已登录普通用户视角）</x:v>
      </x:c>
      <x:c r="E288" s="10" t="str">
        <x:v>功能需求</x:v>
      </x:c>
      <x:c r="F288" s="10" t="str">
        <x:v>P2</x:v>
      </x:c>
      <x:c r="G288" s="9" t="str">
        <x:v>验证切换本周</x:v>
      </x:c>
      <x:c r="H288" s="9" t="str">
        <x:v>本周榜单数据范围</x:v>
      </x:c>
      <x:c r="I288" s="9" t="str">
        <x:v>1. 执行角色为已登录普通用户；当前处于贡献榜页面
2. 本周测试数据已有独立统计结果；测试环境业务时区已确认</x:v>
      </x:c>
      <x:c r="J288" s="9" t="str">
        <x:v>1. 选择本周</x:v>
      </x:c>
      <x:c r="K288" s="9" t="str">
        <x:v>前三名、列表和贡献值同步切换为本周统计数据</x:v>
      </x:c>
      <x:c r="L288" s="10" t="str"/>
      <x:c r="M288" s="10" t="str">
        <x:v>未测</x:v>
      </x:c>
      <x:c r="N288" s="10" t="str"/>
      <x:c r="O288" s="9" t="str">
        <x:v>1. 来源（当前证据）：liveshow-proto/MainBasis/统一需求文档.md；位置：行566、行556、行554
2. 规则：BR-66a267300c5e5142
3. 未动态验证</x:v>
      </x:c>
    </x:row>
    <x:row r="289" ht="85" customHeight="1">
      <x:c r="A289" s="10" t="n">
        <x:v>288</x:v>
      </x:c>
      <x:c r="B289" s="10" t="str">
        <x:v>USER-02-0070</x:v>
      </x:c>
      <x:c r="C289" s="10" t="str">
        <x:v>首页与福利</x:v>
      </x:c>
      <x:c r="D289" s="10" t="str">
        <x:v>贡献榜（已登录普通用户视角）</x:v>
      </x:c>
      <x:c r="E289" s="10" t="str">
        <x:v>功能需求</x:v>
      </x:c>
      <x:c r="F289" s="10" t="str">
        <x:v>P2</x:v>
      </x:c>
      <x:c r="G289" s="9" t="str">
        <x:v>验证切换本月</x:v>
      </x:c>
      <x:c r="H289" s="9" t="str">
        <x:v>本月榜单数据范围</x:v>
      </x:c>
      <x:c r="I289" s="9" t="str">
        <x:v>1. 执行角色为已登录普通用户；当前处于贡献榜页面
2. 本月测试数据已有独立统计结果；测试环境业务时区已确认</x:v>
      </x:c>
      <x:c r="J289" s="9" t="str">
        <x:v>1. 选择本月</x:v>
      </x:c>
      <x:c r="K289" s="9" t="str">
        <x:v>前三名、列表和贡献值同步切换为本月统计数据</x:v>
      </x:c>
      <x:c r="L289" s="10" t="str"/>
      <x:c r="M289" s="10" t="str">
        <x:v>未测</x:v>
      </x:c>
      <x:c r="N289" s="10" t="str"/>
      <x:c r="O289" s="9" t="str">
        <x:v>1. 来源（当前证据）：liveshow-proto/MainBasis/统一需求文档.md；位置：行566、行556、行554
2. 规则：BR-cbeb2ff14c2923d6
3. 未动态验证</x:v>
      </x:c>
    </x:row>
    <x:row r="290" ht="85" customHeight="1">
      <x:c r="A290" s="10" t="n">
        <x:v>289</x:v>
      </x:c>
      <x:c r="B290" s="10" t="str">
        <x:v>USER-02-0071</x:v>
      </x:c>
      <x:c r="C290" s="10" t="str">
        <x:v>首页与福利</x:v>
      </x:c>
      <x:c r="D290" s="10" t="str">
        <x:v>贡献榜（游客视角）</x:v>
      </x:c>
      <x:c r="E290" s="10" t="str">
        <x:v>功能需求</x:v>
      </x:c>
      <x:c r="F290" s="10" t="str">
        <x:v>P1</x:v>
      </x:c>
      <x:c r="G290" s="9" t="str">
        <x:v>验证游客点击账号</x:v>
      </x:c>
      <x:c r="H290" s="9" t="str">
        <x:v>游客榜单登录引导</x:v>
      </x:c>
      <x:c r="I290" s="9" t="str">
        <x:v>1. 执行角色为游客；当前处于贡献榜页面</x:v>
      </x:c>
      <x:c r="J290" s="9" t="str">
        <x:v>1. 点击一个未注销的上榜账号</x:v>
      </x:c>
      <x:c r="K290" s="9" t="str">
        <x:v>进入登录页</x:v>
      </x:c>
      <x:c r="L290" s="10" t="str"/>
      <x:c r="M290" s="10" t="str">
        <x:v>未测</x:v>
      </x:c>
      <x:c r="N290" s="10" t="str"/>
      <x:c r="O290" s="9" t="str">
        <x:v>1. 来源（当前证据）：liveshow-proto/MainBasis/统一需求文档.md；位置：行567、行554
2. 规则：BR-a8360e67a46ff3b4
3. 未动态验证</x:v>
      </x:c>
    </x:row>
    <x:row r="291" ht="85" customHeight="1">
      <x:c r="A291" s="10" t="n">
        <x:v>290</x:v>
      </x:c>
      <x:c r="B291" s="10" t="str">
        <x:v>USER-02-0072</x:v>
      </x:c>
      <x:c r="C291" s="10" t="str">
        <x:v>首页与福利</x:v>
      </x:c>
      <x:c r="D291" s="10" t="str">
        <x:v>主播榜（已登录普通用户视角）</x:v>
      </x:c>
      <x:c r="E291" s="10" t="str">
        <x:v>功能需求</x:v>
      </x:c>
      <x:c r="F291" s="10" t="str">
        <x:v>P2</x:v>
      </x:c>
      <x:c r="G291" s="9" t="str">
        <x:v>验证主播等级破同收礼值</x:v>
      </x:c>
      <x:c r="H291" s="9" t="str">
        <x:v>排列次序</x:v>
      </x:c>
      <x:c r="I291" s="9" t="str">
        <x:v>1. 执行角色为已登录普通用户；当前处于主播榜页面
2. A、B收礼值相同；A主播等级20、B主播等级10</x:v>
      </x:c>
      <x:c r="J291" s="9" t="str">
        <x:v>1. 查看排名</x:v>
      </x:c>
      <x:c r="K291" s="9" t="str">
        <x:v>A排在B之前</x:v>
      </x:c>
      <x:c r="L291" s="10" t="str"/>
      <x:c r="M291" s="10" t="str">
        <x:v>未测</x:v>
      </x:c>
      <x:c r="N291" s="10" t="str"/>
      <x:c r="O291" s="9" t="str">
        <x:v>1. 来源（当前证据）：liveshow-proto/MainBasis/统一需求文档.md；位置：行542、行539
2. 规则：BR-8441b5094a02744b
3. 未动态验证</x:v>
      </x:c>
    </x:row>
    <x:row r="292" ht="85" customHeight="1">
      <x:c r="A292" s="10" t="n">
        <x:v>291</x:v>
      </x:c>
      <x:c r="B292" s="10" t="str">
        <x:v>USER-02-0073</x:v>
      </x:c>
      <x:c r="C292" s="10" t="str">
        <x:v>首页与福利</x:v>
      </x:c>
      <x:c r="D292" s="10" t="str">
        <x:v>主播榜（已登录普通用户视角）</x:v>
      </x:c>
      <x:c r="E292" s="10" t="str">
        <x:v>功能需求</x:v>
      </x:c>
      <x:c r="F292" s="10" t="str">
        <x:v>P2</x:v>
      </x:c>
      <x:c r="G292" s="9" t="str">
        <x:v>验证缺失等级按零排序</x:v>
      </x:c>
      <x:c r="H292" s="9" t="str">
        <x:v>排列次序</x:v>
      </x:c>
      <x:c r="I292" s="9" t="str">
        <x:v>1. 执行角色为已登录普通用户；当前处于主播榜页面
2. A、B收礼值相同；A主播等级缺失、B主播等级为1</x:v>
      </x:c>
      <x:c r="J292" s="9" t="str">
        <x:v>1. 查看排名</x:v>
      </x:c>
      <x:c r="K292" s="9" t="str">
        <x:v>B排在A之前</x:v>
      </x:c>
      <x:c r="L292" s="10" t="str"/>
      <x:c r="M292" s="10" t="str">
        <x:v>未测</x:v>
      </x:c>
      <x:c r="N292" s="10" t="str"/>
      <x:c r="O292" s="9" t="str">
        <x:v>1. 来源（当前证据）：liveshow-proto/MainBasis/统一需求文档.md；位置：行546、行539
2. 规则：BR-d4ab5c34032f5418
3. 未动态验证</x:v>
      </x:c>
    </x:row>
    <x:row r="293" ht="85" customHeight="1">
      <x:c r="A293" s="10" t="n">
        <x:v>292</x:v>
      </x:c>
      <x:c r="B293" s="10" t="str">
        <x:v>USER-02-0074</x:v>
      </x:c>
      <x:c r="C293" s="10" t="str">
        <x:v>首页与福利</x:v>
      </x:c>
      <x:c r="D293" s="10" t="str">
        <x:v>主播榜（已登录普通用户视角）</x:v>
      </x:c>
      <x:c r="E293" s="10" t="str">
        <x:v>功能需求</x:v>
      </x:c>
      <x:c r="F293" s="10" t="str">
        <x:v>P2</x:v>
      </x:c>
      <x:c r="G293" s="9" t="str">
        <x:v>验证当前开播状态展示</x:v>
      </x:c>
      <x:c r="H293" s="9" t="str">
        <x:v>主播开播状态回显</x:v>
      </x:c>
      <x:c r="I293" s="9" t="str">
        <x:v>1. 执行角色为已登录普通用户；当前处于主播榜页面
2. 主播A在播、主播B未开播</x:v>
      </x:c>
      <x:c r="J293" s="9" t="str">
        <x:v>1. 查看两位主播榜单信息</x:v>
      </x:c>
      <x:c r="K293" s="9" t="str">
        <x:v>两位主播展示各自当前开播状态</x:v>
      </x:c>
      <x:c r="L293" s="10" t="str"/>
      <x:c r="M293" s="10" t="str">
        <x:v>未测</x:v>
      </x:c>
      <x:c r="N293" s="10" t="str"/>
      <x:c r="O293" s="9" t="str">
        <x:v>1. 来源（当前证据）：liveshow-proto/MainBasis/统一需求文档.md；位置：行544、行539
2. 规则：BR-23677a1b3c0dc7ef
3. 未动态验证</x:v>
      </x:c>
    </x:row>
    <x:row r="294" ht="85" customHeight="1">
      <x:c r="A294" s="10" t="n">
        <x:v>293</x:v>
      </x:c>
      <x:c r="B294" s="10" t="str">
        <x:v>USER-02-0075</x:v>
      </x:c>
      <x:c r="C294" s="10" t="str">
        <x:v>首页与福利</x:v>
      </x:c>
      <x:c r="D294" s="10" t="str">
        <x:v>搜索（已登录普通用户视角）</x:v>
      </x:c>
      <x:c r="E294" s="10" t="str">
        <x:v>功能需求</x:v>
      </x:c>
      <x:c r="F294" s="10" t="str">
        <x:v>P2</x:v>
      </x:c>
      <x:c r="G294" s="9" t="str">
        <x:v>验证搜索框自动聚焦</x:v>
      </x:c>
      <x:c r="H294" s="9" t="str">
        <x:v>搜索框初始焦点</x:v>
      </x:c>
      <x:c r="I294" s="9" t="str">
        <x:v>1. 执行角色为已登录普通用户；当前处于搜索页面</x:v>
      </x:c>
      <x:c r="J294" s="9" t="str">
        <x:v>1. 进入搜索页</x:v>
      </x:c>
      <x:c r="K294" s="9" t="str">
        <x:v>搜索框自动获得焦点</x:v>
      </x:c>
      <x:c r="L294" s="10" t="str"/>
      <x:c r="M294" s="10" t="str">
        <x:v>未测</x:v>
      </x:c>
      <x:c r="N294" s="10" t="str"/>
      <x:c r="O294" s="9" t="str">
        <x:v>1. 来源（当前证据）：liveshow-proto/MainBasis/统一需求文档.md；位置：行577、行570
2. 规则：BR-599523d56a2c7253
3. 未动态验证</x:v>
      </x:c>
    </x:row>
    <x:row r="295" ht="85" customHeight="1">
      <x:c r="A295" s="10" t="n">
        <x:v>294</x:v>
      </x:c>
      <x:c r="B295" s="10" t="str">
        <x:v>USER-02-0076</x:v>
      </x:c>
      <x:c r="C295" s="10" t="str">
        <x:v>首页与福利</x:v>
      </x:c>
      <x:c r="D295" s="10" t="str">
        <x:v>搜索（已登录普通用户视角）</x:v>
      </x:c>
      <x:c r="E295" s="10" t="str">
        <x:v>功能需求</x:v>
      </x:c>
      <x:c r="F295" s="10" t="str">
        <x:v>P2</x:v>
      </x:c>
      <x:c r="G295" s="9" t="str">
        <x:v>验证空搜索拦截：空词提示</x:v>
      </x:c>
      <x:c r="H295" s="9" t="str">
        <x:v>空词提示</x:v>
      </x:c>
      <x:c r="I295" s="9" t="str">
        <x:v>1. 执行角色为已登录普通用户；当前处于搜索页面</x:v>
      </x:c>
      <x:c r="J295" s="9" t="str">
        <x:v>1. 清空搜索词
2. 点击搜索</x:v>
      </x:c>
      <x:c r="K295" s="9" t="str">
        <x:v>提示输入搜索关键词</x:v>
      </x:c>
      <x:c r="L295" s="10" t="str"/>
      <x:c r="M295" s="10" t="str">
        <x:v>未测</x:v>
      </x:c>
      <x:c r="N295" s="10" t="str"/>
      <x:c r="O295" s="9" t="str">
        <x:v>1. 来源（当前证据）：liveshow-proto/MainBasis/统一需求文档.md；位置：行578、行570
2. 规则：BR-94eaf2235eea10ab
3. 未动态验证</x:v>
      </x:c>
    </x:row>
    <x:row r="296" ht="85" customHeight="1">
      <x:c r="A296" s="10" t="n">
        <x:v>295</x:v>
      </x:c>
      <x:c r="B296" s="10" t="str">
        <x:v>USER-02-0077</x:v>
      </x:c>
      <x:c r="C296" s="10" t="str">
        <x:v>首页与福利</x:v>
      </x:c>
      <x:c r="D296" s="10" t="str">
        <x:v>搜索（已登录普通用户视角）</x:v>
      </x:c>
      <x:c r="E296" s="10" t="str">
        <x:v>功能需求</x:v>
      </x:c>
      <x:c r="F296" s="10" t="str">
        <x:v>P2</x:v>
      </x:c>
      <x:c r="G296" s="9" t="str">
        <x:v>验证空搜索拦截：空词页面保持</x:v>
      </x:c>
      <x:c r="H296" s="9" t="str">
        <x:v>空词页面保持</x:v>
      </x:c>
      <x:c r="I296" s="9" t="str">
        <x:v>1. 执行角色为已登录普通用户；当前处于搜索页面</x:v>
      </x:c>
      <x:c r="J296" s="9" t="str">
        <x:v>1. 清空搜索词
2. 点击搜索</x:v>
      </x:c>
      <x:c r="K296" s="9" t="str">
        <x:v>不进入搜索结果页</x:v>
      </x:c>
      <x:c r="L296" s="10" t="str"/>
      <x:c r="M296" s="10" t="str">
        <x:v>未测</x:v>
      </x:c>
      <x:c r="N296" s="10" t="str"/>
      <x:c r="O296" s="9" t="str">
        <x:v>1. 来源（当前证据）：liveshow-proto/MainBasis/统一需求文档.md；位置：行578、行570
2. 规则：BR-f4971692754f3f4b
3. 未动态验证</x:v>
      </x:c>
    </x:row>
    <x:row r="297" ht="85" customHeight="1">
      <x:c r="A297" s="10" t="n">
        <x:v>296</x:v>
      </x:c>
      <x:c r="B297" s="10" t="str">
        <x:v>USER-02-0078</x:v>
      </x:c>
      <x:c r="C297" s="10" t="str">
        <x:v>首页与福利</x:v>
      </x:c>
      <x:c r="D297" s="10" t="str">
        <x:v>搜索（已登录普通用户视角）</x:v>
      </x:c>
      <x:c r="E297" s="10" t="str">
        <x:v>逻辑校验</x:v>
      </x:c>
      <x:c r="F297" s="10" t="str">
        <x:v>P2</x:v>
      </x:c>
      <x:c r="G297" s="9" t="str">
        <x:v>验证全空格搜索拦截</x:v>
      </x:c>
      <x:c r="H297" s="9" t="str">
        <x:v>空白搜索提交限制</x:v>
      </x:c>
      <x:c r="I297" s="9" t="str">
        <x:v>1. 执行角色为已登录普通用户；当前处于搜索页面</x:v>
      </x:c>
      <x:c r="J297" s="9" t="str">
        <x:v>1. 输入三个空格
2. 点击搜索</x:v>
      </x:c>
      <x:c r="K297" s="9" t="str">
        <x:v>不进入搜索结果页</x:v>
      </x:c>
      <x:c r="L297" s="10" t="str"/>
      <x:c r="M297" s="10" t="str">
        <x:v>未测</x:v>
      </x:c>
      <x:c r="N297" s="10" t="str"/>
      <x:c r="O297" s="9" t="str">
        <x:v>1. 来源（当前证据）：liveshow-proto/MainBasis/统一需求文档.md；位置：行572、行570
2. 规则：BR-fd2ac3709cc1a810
3. 未动态验证</x:v>
      </x:c>
    </x:row>
    <x:row r="298" ht="85" customHeight="1">
      <x:c r="A298" s="10" t="n">
        <x:v>297</x:v>
      </x:c>
      <x:c r="B298" s="10" t="str">
        <x:v>USER-02-0079</x:v>
      </x:c>
      <x:c r="C298" s="10" t="str">
        <x:v>首页与福利</x:v>
      </x:c>
      <x:c r="D298" s="10" t="str">
        <x:v>搜索（已登录普通用户视角）</x:v>
      </x:c>
      <x:c r="E298" s="10" t="str">
        <x:v>功能需求</x:v>
      </x:c>
      <x:c r="F298" s="10" t="str">
        <x:v>P2</x:v>
      </x:c>
      <x:c r="G298" s="9" t="str">
        <x:v>验证去除搜索词首尾空格</x:v>
      </x:c>
      <x:c r="H298" s="9" t="str">
        <x:v>搜索词空格归一化</x:v>
      </x:c>
      <x:c r="I298" s="9" t="str">
        <x:v>1. 执行角色为已登录普通用户；当前处于搜索页面</x:v>
      </x:c>
      <x:c r="J298" s="9" t="str">
        <x:v>1. 输入“  QA主播  ”
2. 点击搜索</x:v>
      </x:c>
      <x:c r="K298" s="9" t="str">
        <x:v>以“QA主播”作为搜索关键词</x:v>
      </x:c>
      <x:c r="L298" s="10" t="str"/>
      <x:c r="M298" s="10" t="str">
        <x:v>未测</x:v>
      </x:c>
      <x:c r="N298" s="10" t="str"/>
      <x:c r="O298" s="9" t="str">
        <x:v>1. 来源（当前证据）：liveshow-proto/MainBasis/统一需求文档.md；位置：行572、行570
2. 规则：BR-774b5e68f0872c77
3. 未动态验证</x:v>
      </x:c>
    </x:row>
    <x:row r="299" ht="85" customHeight="1">
      <x:c r="A299" s="10" t="n">
        <x:v>298</x:v>
      </x:c>
      <x:c r="B299" s="10" t="str">
        <x:v>USER-02-0080</x:v>
      </x:c>
      <x:c r="C299" s="10" t="str">
        <x:v>首页与福利</x:v>
      </x:c>
      <x:c r="D299" s="10" t="str">
        <x:v>搜索（已登录普通用户视角）</x:v>
      </x:c>
      <x:c r="E299" s="10" t="str">
        <x:v>功能需求</x:v>
      </x:c>
      <x:c r="F299" s="10" t="str">
        <x:v>P2</x:v>
      </x:c>
      <x:c r="G299" s="9" t="str">
        <x:v>验证同词历史移到首位</x:v>
      </x:c>
      <x:c r="H299" s="9" t="str">
        <x:v>排列次序</x:v>
      </x:c>
      <x:c r="I299" s="9" t="str">
        <x:v>1. 执行角色为已登录普通用户；当前处于搜索页面
2. 历史按新到旧为A、B、C</x:v>
      </x:c>
      <x:c r="J299" s="9" t="str">
        <x:v>1. 输入B
2. 点击搜索
3. 返回搜索页</x:v>
      </x:c>
      <x:c r="K299" s="9" t="str">
        <x:v>历史顺序为B、A、C且B不重复</x:v>
      </x:c>
      <x:c r="L299" s="10" t="str"/>
      <x:c r="M299" s="10" t="str">
        <x:v>未测</x:v>
      </x:c>
      <x:c r="N299" s="10" t="str"/>
      <x:c r="O299" s="9" t="str">
        <x:v>1. 来源（当前证据）：liveshow-proto/MainBasis/统一需求文档.md；位置：行575、行570
2. 规则：BR-2781701064fdb2a7
3. 未动态验证</x:v>
      </x:c>
    </x:row>
    <x:row r="300" ht="85" customHeight="1">
      <x:c r="A300" s="10" t="n">
        <x:v>299</x:v>
      </x:c>
      <x:c r="B300" s="10" t="str">
        <x:v>USER-02-0081</x:v>
      </x:c>
      <x:c r="C300" s="10" t="str">
        <x:v>首页与福利</x:v>
      </x:c>
      <x:c r="D300" s="10" t="str">
        <x:v>搜索（已登录普通用户视角）</x:v>
      </x:c>
      <x:c r="E300" s="10" t="str">
        <x:v>逻辑校验</x:v>
      </x:c>
      <x:c r="F300" s="10" t="str">
        <x:v>P2</x:v>
      </x:c>
      <x:c r="G300" s="9" t="str">
        <x:v>验证第十一条搜索淘汰最早：历史数量上限</x:v>
      </x:c>
      <x:c r="H300" s="9" t="str">
        <x:v>历史数量上限</x:v>
      </x:c>
      <x:c r="I300" s="9" t="str">
        <x:v>1. 执行角色为已登录普通用户；当前处于搜索页面
2. 当前已有10个不重复搜索词</x:v>
      </x:c>
      <x:c r="J300" s="9" t="str">
        <x:v>1. 输入新的第11个关键词
2. 点击搜索
3. 返回搜索页</x:v>
      </x:c>
      <x:c r="K300" s="9" t="str">
        <x:v>搜索历史条数为10</x:v>
      </x:c>
      <x:c r="L300" s="10" t="str"/>
      <x:c r="M300" s="10" t="str">
        <x:v>未测</x:v>
      </x:c>
      <x:c r="N300" s="10" t="str"/>
      <x:c r="O300" s="9" t="str">
        <x:v>1. 来源（当前证据）：liveshow-proto/MainBasis/统一需求文档.md；位置：行575、行570
2. 规则：BR-312ecdd10d53b070
3. 未动态验证</x:v>
      </x:c>
    </x:row>
    <x:row r="301" ht="85" customHeight="1">
      <x:c r="A301" s="10" t="n">
        <x:v>300</x:v>
      </x:c>
      <x:c r="B301" s="10" t="str">
        <x:v>USER-02-0082</x:v>
      </x:c>
      <x:c r="C301" s="10" t="str">
        <x:v>首页与福利</x:v>
      </x:c>
      <x:c r="D301" s="10" t="str">
        <x:v>搜索（已登录普通用户视角）</x:v>
      </x:c>
      <x:c r="E301" s="10" t="str">
        <x:v>逻辑校验</x:v>
      </x:c>
      <x:c r="F301" s="10" t="str">
        <x:v>P2</x:v>
      </x:c>
      <x:c r="G301" s="9" t="str">
        <x:v>验证第十一条搜索淘汰最早：最早记录淘汰</x:v>
      </x:c>
      <x:c r="H301" s="9" t="str">
        <x:v>最早记录淘汰</x:v>
      </x:c>
      <x:c r="I301" s="9" t="str">
        <x:v>1. 执行角色为已登录普通用户；当前处于搜索页面
2. 当前已有10个不重复搜索词</x:v>
      </x:c>
      <x:c r="J301" s="9" t="str">
        <x:v>1. 输入新的第11个关键词
2. 点击搜索
3. 返回搜索页</x:v>
      </x:c>
      <x:c r="K301" s="9" t="str">
        <x:v>最早的搜索词已移除</x:v>
      </x:c>
      <x:c r="L301" s="10" t="str"/>
      <x:c r="M301" s="10" t="str">
        <x:v>未测</x:v>
      </x:c>
      <x:c r="N301" s="10" t="str"/>
      <x:c r="O301" s="9" t="str">
        <x:v>1. 来源（当前证据）：liveshow-proto/MainBasis/统一需求文档.md；位置：行575、行570
2. 规则：BR-26f6490900d747c9
3. 未动态验证</x:v>
      </x:c>
    </x:row>
    <x:row r="302" ht="85" customHeight="1">
      <x:c r="A302" s="10" t="n">
        <x:v>301</x:v>
      </x:c>
      <x:c r="B302" s="10" t="str">
        <x:v>USER-02-0083</x:v>
      </x:c>
      <x:c r="C302" s="10" t="str">
        <x:v>首页与福利</x:v>
      </x:c>
      <x:c r="D302" s="10" t="str">
        <x:v>搜索（已登录普通用户视角）</x:v>
      </x:c>
      <x:c r="E302" s="10" t="str">
        <x:v>功能需求</x:v>
      </x:c>
      <x:c r="F302" s="10" t="str">
        <x:v>P2</x:v>
      </x:c>
      <x:c r="G302" s="9" t="str">
        <x:v>验证历史词再次搜索</x:v>
      </x:c>
      <x:c r="H302" s="9" t="str">
        <x:v>历史搜索词跳转</x:v>
      </x:c>
      <x:c r="I302" s="9" t="str">
        <x:v>1. 执行角色为已登录普通用户；当前处于搜索页面
2. 历史中存在QA主播</x:v>
      </x:c>
      <x:c r="J302" s="9" t="str">
        <x:v>1. 点击历史词QA主播</x:v>
      </x:c>
      <x:c r="K302" s="9" t="str">
        <x:v>进入QA主播的搜索结果页</x:v>
      </x:c>
      <x:c r="L302" s="10" t="str"/>
      <x:c r="M302" s="10" t="str">
        <x:v>未测</x:v>
      </x:c>
      <x:c r="N302" s="10" t="str"/>
      <x:c r="O302" s="9" t="str">
        <x:v>1. 来源（当前证据）：liveshow-proto/MainBasis/统一需求文档.md；位置：行579、行570
2. 规则：BR-b7826a65f9835d48
3. 未动态验证</x:v>
      </x:c>
    </x:row>
    <x:row r="303" ht="85" customHeight="1">
      <x:c r="A303" s="10" t="n">
        <x:v>302</x:v>
      </x:c>
      <x:c r="B303" s="10" t="str">
        <x:v>USER-02-0084</x:v>
      </x:c>
      <x:c r="C303" s="10" t="str">
        <x:v>首页与福利</x:v>
      </x:c>
      <x:c r="D303" s="10" t="str">
        <x:v>搜索（已登录普通用户视角）</x:v>
      </x:c>
      <x:c r="E303" s="10" t="str">
        <x:v>功能需求</x:v>
      </x:c>
      <x:c r="F303" s="10" t="str">
        <x:v>P2</x:v>
      </x:c>
      <x:c r="G303" s="9" t="str">
        <x:v>验证删除单条历史</x:v>
      </x:c>
      <x:c r="H303" s="9" t="str">
        <x:v>数据保持</x:v>
      </x:c>
      <x:c r="I303" s="9" t="str">
        <x:v>1. 执行角色为已登录普通用户；当前处于搜索页面
2. 历史有A、B、C</x:v>
      </x:c>
      <x:c r="J303" s="9" t="str">
        <x:v>1. 点击B右侧删除</x:v>
      </x:c>
      <x:c r="K303" s="9" t="str">
        <x:v>历史只移除B，A和C保留</x:v>
      </x:c>
      <x:c r="L303" s="10" t="str"/>
      <x:c r="M303" s="10" t="str">
        <x:v>未测</x:v>
      </x:c>
      <x:c r="N303" s="10" t="str"/>
      <x:c r="O303" s="9" t="str">
        <x:v>1. 来源（当前证据）：liveshow-proto/MainBasis/统一需求文档.md；位置：行580、行570
2. 规则：BR-9e7dca25f8e957e4
3. 未动态验证</x:v>
      </x:c>
    </x:row>
    <x:row r="304" ht="85" customHeight="1">
      <x:c r="A304" s="10" t="n">
        <x:v>303</x:v>
      </x:c>
      <x:c r="B304" s="10" t="str">
        <x:v>USER-02-0085</x:v>
      </x:c>
      <x:c r="C304" s="10" t="str">
        <x:v>首页与福利</x:v>
      </x:c>
      <x:c r="D304" s="10" t="str">
        <x:v>搜索（已登录普通用户视角）</x:v>
      </x:c>
      <x:c r="E304" s="10" t="str">
        <x:v>功能需求</x:v>
      </x:c>
      <x:c r="F304" s="10" t="str">
        <x:v>P2</x:v>
      </x:c>
      <x:c r="G304" s="9" t="str">
        <x:v>验证清空全部历史</x:v>
      </x:c>
      <x:c r="H304" s="9" t="str">
        <x:v>搜索历史清空反馈</x:v>
      </x:c>
      <x:c r="I304" s="9" t="str">
        <x:v>1. 执行角色为已登录普通用户；当前处于搜索页面
2. 当前已有搜索历史</x:v>
      </x:c>
      <x:c r="J304" s="9" t="str">
        <x:v>1. 点击清空全部</x:v>
      </x:c>
      <x:c r="K304" s="9" t="str">
        <x:v>搜索历史为空并显示空状态</x:v>
      </x:c>
      <x:c r="L304" s="10" t="str"/>
      <x:c r="M304" s="10" t="str">
        <x:v>未测</x:v>
      </x:c>
      <x:c r="N304" s="10" t="str"/>
      <x:c r="O304" s="9" t="str">
        <x:v>1. 来源（当前证据）：liveshow-proto/MainBasis/统一需求文档.md；位置：行580、行570
2. 规则：BR-05dbb0e3562fc49e
3. 未动态验证</x:v>
      </x:c>
    </x:row>
    <x:row r="305" ht="85" customHeight="1">
      <x:c r="A305" s="10" t="n">
        <x:v>304</x:v>
      </x:c>
      <x:c r="B305" s="10" t="str">
        <x:v>USER-02-0086</x:v>
      </x:c>
      <x:c r="C305" s="10" t="str">
        <x:v>首页与福利</x:v>
      </x:c>
      <x:c r="D305" s="10" t="str">
        <x:v>搜索（已登录普通用户视角）</x:v>
      </x:c>
      <x:c r="E305" s="10" t="str">
        <x:v>功能需求</x:v>
      </x:c>
      <x:c r="F305" s="10" t="str">
        <x:v>P2</x:v>
      </x:c>
      <x:c r="G305" s="9" t="str">
        <x:v>验证不展示热门搜索</x:v>
      </x:c>
      <x:c r="H305" s="9" t="str">
        <x:v>热门搜索可见性</x:v>
      </x:c>
      <x:c r="I305" s="9" t="str">
        <x:v>1. 执行角色为已登录普通用户；当前处于搜索页面</x:v>
      </x:c>
      <x:c r="J305" s="9" t="str">
        <x:v>1. 查看搜索页内容</x:v>
      </x:c>
      <x:c r="K305" s="9" t="str">
        <x:v>不展示热门搜索词</x:v>
      </x:c>
      <x:c r="L305" s="10" t="str"/>
      <x:c r="M305" s="10" t="str">
        <x:v>未测</x:v>
      </x:c>
      <x:c r="N305" s="10" t="str"/>
      <x:c r="O305" s="9" t="str">
        <x:v>1. 来源（当前证据）：liveshow-proto/MainBasis/统一需求文档.md；位置：行573、行570
2. 规则：BR-db4a96798fc27a8b
3. 未动态验证</x:v>
      </x:c>
    </x:row>
    <x:row r="306" ht="85" customHeight="1">
      <x:c r="A306" s="10" t="n">
        <x:v>305</x:v>
      </x:c>
      <x:c r="B306" s="10" t="str">
        <x:v>USER-02-0087</x:v>
      </x:c>
      <x:c r="C306" s="10" t="str">
        <x:v>首页与福利</x:v>
      </x:c>
      <x:c r="D306" s="10" t="str">
        <x:v>搜索（已登录普通用户视角）</x:v>
      </x:c>
      <x:c r="E306" s="10" t="str">
        <x:v>功能需求</x:v>
      </x:c>
      <x:c r="F306" s="10" t="str">
        <x:v>P2</x:v>
      </x:c>
      <x:c r="G306" s="9" t="str">
        <x:v>验证搜索记录不跨设备同步</x:v>
      </x:c>
      <x:c r="H306" s="9" t="str">
        <x:v>搜索历史设备隔离</x:v>
      </x:c>
      <x:c r="I306" s="9" t="str">
        <x:v>1. 执行角色为已登录普通用户；当前处于搜索页面
2. 本账号在设备A搜索过QA新词；设备B此前没有该历史；当前使用设备B</x:v>
      </x:c>
      <x:c r="J306" s="9" t="str">
        <x:v>1. 查看设备B搜索历史</x:v>
      </x:c>
      <x:c r="K306" s="9" t="str">
        <x:v>历史中未因设备A搜索新增QA新词</x:v>
      </x:c>
      <x:c r="L306" s="10" t="str"/>
      <x:c r="M306" s="10" t="str">
        <x:v>未测</x:v>
      </x:c>
      <x:c r="N306" s="10" t="str"/>
      <x:c r="O306" s="9" t="str">
        <x:v>1. 来源（当前证据）：liveshow-proto/MainBasis/统一需求文档.md；位置：行574、行570
2. 规则：BR-bc57b944d1875494
3. 未动态验证</x:v>
      </x:c>
    </x:row>
    <x:row r="307" ht="85" customHeight="1">
      <x:c r="A307" s="10" t="n">
        <x:v>306</x:v>
      </x:c>
      <x:c r="B307" s="10" t="str">
        <x:v>USER-02-0088</x:v>
      </x:c>
      <x:c r="C307" s="10" t="str">
        <x:v>首页与福利</x:v>
      </x:c>
      <x:c r="D307" s="10" t="str">
        <x:v>搜索（已登录普通用户视角）</x:v>
      </x:c>
      <x:c r="E307" s="10" t="str">
        <x:v>功能需求</x:v>
      </x:c>
      <x:c r="F307" s="10" t="str">
        <x:v>P2</x:v>
      </x:c>
      <x:c r="G307" s="9" t="str">
        <x:v>验证按房间号搜索</x:v>
      </x:c>
      <x:c r="H307" s="9" t="str">
        <x:v>房间号查询对象</x:v>
      </x:c>
      <x:c r="I307" s="9" t="str">
        <x:v>1. 执行角色为已登录普通用户；当前处于搜索页面
2. 已准备当前可搜索账号的房间号</x:v>
      </x:c>
      <x:c r="J307" s="9" t="str">
        <x:v>1. 输入该账号房间号
2. 点击搜索</x:v>
      </x:c>
      <x:c r="K307" s="9" t="str">
        <x:v>进入对应账号的搜索结果页</x:v>
      </x:c>
      <x:c r="L307" s="10" t="str"/>
      <x:c r="M307" s="10" t="str">
        <x:v>未测</x:v>
      </x:c>
      <x:c r="N307" s="10" t="str"/>
      <x:c r="O307" s="9" t="str">
        <x:v>1. 来源（当前证据）：liveshow-proto/MainBasis/统一需求文档.md；位置：行572、行579、行570
2. 规则：BR-64fc36d03169f4e0
3. 未动态验证</x:v>
      </x:c>
    </x:row>
    <x:row r="308" ht="85" customHeight="1">
      <x:c r="A308" s="10" t="n">
        <x:v>307</x:v>
      </x:c>
      <x:c r="B308" s="10" t="str">
        <x:v>USER-02-0089</x:v>
      </x:c>
      <x:c r="C308" s="10" t="str">
        <x:v>首页与福利</x:v>
      </x:c>
      <x:c r="D308" s="10" t="str">
        <x:v>搜索（已登录普通用户视角）</x:v>
      </x:c>
      <x:c r="E308" s="10" t="str">
        <x:v>功能需求</x:v>
      </x:c>
      <x:c r="F308" s="10" t="str">
        <x:v>P2</x:v>
      </x:c>
      <x:c r="G308" s="9" t="str">
        <x:v>验证按用户ID搜索</x:v>
      </x:c>
      <x:c r="H308" s="9" t="str">
        <x:v>用户ID查询对象</x:v>
      </x:c>
      <x:c r="I308" s="9" t="str">
        <x:v>1. 执行角色为已登录普通用户；当前处于搜索页面
2. 已准备当前可搜索账号的用户ID</x:v>
      </x:c>
      <x:c r="J308" s="9" t="str">
        <x:v>1. 输入该账号用户ID
2. 点击搜索</x:v>
      </x:c>
      <x:c r="K308" s="9" t="str">
        <x:v>进入对应账号的搜索结果页</x:v>
      </x:c>
      <x:c r="L308" s="10" t="str"/>
      <x:c r="M308" s="10" t="str">
        <x:v>未测</x:v>
      </x:c>
      <x:c r="N308" s="10" t="str"/>
      <x:c r="O308" s="9" t="str">
        <x:v>1. 来源（当前证据）：liveshow-proto/MainBasis/统一需求文档.md；位置：行572、行579、行570
2. 规则：BR-6fe4d922e69529ff
3. 未动态验证</x:v>
      </x:c>
    </x:row>
    <x:row r="309" ht="85" customHeight="1">
      <x:c r="A309" s="10" t="n">
        <x:v>308</x:v>
      </x:c>
      <x:c r="B309" s="10" t="str">
        <x:v>USER-02-0090</x:v>
      </x:c>
      <x:c r="C309" s="10" t="str">
        <x:v>首页与福利</x:v>
      </x:c>
      <x:c r="D309" s="10" t="str">
        <x:v>搜索（已登录普通用户视角）</x:v>
      </x:c>
      <x:c r="E309" s="10" t="str">
        <x:v>功能需求</x:v>
      </x:c>
      <x:c r="F309" s="10" t="str">
        <x:v>P2</x:v>
      </x:c>
      <x:c r="G309" s="9" t="str">
        <x:v>验证按用户昵称搜索</x:v>
      </x:c>
      <x:c r="H309" s="9" t="str">
        <x:v>昵称查询对象</x:v>
      </x:c>
      <x:c r="I309" s="9" t="str">
        <x:v>1. 执行角色为已登录普通用户；当前处于搜索页面
2. 已准备当前可搜索账号的用户昵称</x:v>
      </x:c>
      <x:c r="J309" s="9" t="str">
        <x:v>1. 输入该账号用户昵称
2. 点击搜索</x:v>
      </x:c>
      <x:c r="K309" s="9" t="str">
        <x:v>进入对应账号的搜索结果页</x:v>
      </x:c>
      <x:c r="L309" s="10" t="str"/>
      <x:c r="M309" s="10" t="str">
        <x:v>未测</x:v>
      </x:c>
      <x:c r="N309" s="10" t="str"/>
      <x:c r="O309" s="9" t="str">
        <x:v>1. 来源（当前证据）：liveshow-proto/MainBasis/统一需求文档.md；位置：行572、行579、行570
2. 规则：BR-eeb74a6b8c62e078
3. 未动态验证</x:v>
      </x:c>
    </x:row>
    <x:row r="310" ht="85" customHeight="1">
      <x:c r="A310" s="10" t="n">
        <x:v>309</x:v>
      </x:c>
      <x:c r="B310" s="10" t="str">
        <x:v>USER-02-0091</x:v>
      </x:c>
      <x:c r="C310" s="10" t="str">
        <x:v>首页与福利</x:v>
      </x:c>
      <x:c r="D310" s="10" t="str">
        <x:v>搜索结果（已登录普通用户视角）</x:v>
      </x:c>
      <x:c r="E310" s="10" t="str">
        <x:v>功能需求</x:v>
      </x:c>
      <x:c r="F310" s="10" t="str">
        <x:v>P2</x:v>
      </x:c>
      <x:c r="G310" s="9" t="str">
        <x:v>验证搜索词回填</x:v>
      </x:c>
      <x:c r="H310" s="9" t="str">
        <x:v>搜索关键词回填</x:v>
      </x:c>
      <x:c r="I310" s="9" t="str">
        <x:v>1. 执行角色为已登录普通用户；当前处于搜索结果页面
2. 来源搜索词为QA主播</x:v>
      </x:c>
      <x:c r="J310" s="9" t="str">
        <x:v>1. 查看搜索输入框</x:v>
      </x:c>
      <x:c r="K310" s="9" t="str">
        <x:v>回填QA主播</x:v>
      </x:c>
      <x:c r="L310" s="10" t="str"/>
      <x:c r="M310" s="10" t="str">
        <x:v>未测</x:v>
      </x:c>
      <x:c r="N310" s="10" t="str"/>
      <x:c r="O310" s="9" t="str">
        <x:v>1. 来源（当前证据）：liveshow-proto/MainBasis/统一需求文档.md；位置：行585、行583
2. 规则：BR-d8b3bf31863788d8
3. 未动态验证</x:v>
      </x:c>
    </x:row>
    <x:row r="311" ht="85" customHeight="1">
      <x:c r="A311" s="10" t="n">
        <x:v>310</x:v>
      </x:c>
      <x:c r="B311" s="10" t="str">
        <x:v>USER-02-0092</x:v>
      </x:c>
      <x:c r="C311" s="10" t="str">
        <x:v>首页与福利</x:v>
      </x:c>
      <x:c r="D311" s="10" t="str">
        <x:v>搜索结果（已登录普通用户视角）</x:v>
      </x:c>
      <x:c r="E311" s="10" t="str">
        <x:v>功能需求</x:v>
      </x:c>
      <x:c r="F311" s="10" t="str">
        <x:v>P2</x:v>
      </x:c>
      <x:c r="G311" s="9" t="str">
        <x:v>验证账号结果去重</x:v>
      </x:c>
      <x:c r="H311" s="9" t="str">
        <x:v>搜索账号唯一性</x:v>
      </x:c>
      <x:c r="I311" s="9" t="str">
        <x:v>1. 执行角色为已登录普通用户；当前处于搜索结果页面
2. 同一账号同时匹配昵称及ID条件</x:v>
      </x:c>
      <x:c r="J311" s="9" t="str">
        <x:v>1. 查看搜索结果</x:v>
      </x:c>
      <x:c r="K311" s="9" t="str">
        <x:v>该账号只有一条结果</x:v>
      </x:c>
      <x:c r="L311" s="10" t="str"/>
      <x:c r="M311" s="10" t="str">
        <x:v>未测</x:v>
      </x:c>
      <x:c r="N311" s="10" t="str"/>
      <x:c r="O311" s="9" t="str">
        <x:v>1. 来源（当前证据）：liveshow-proto/MainBasis/统一需求文档.md；位置：行589、行583
2. 规则：BR-ffe777605d430db5
3. 未动态验证</x:v>
      </x:c>
    </x:row>
    <x:row r="312" ht="85" customHeight="1">
      <x:c r="A312" s="10" t="n">
        <x:v>311</x:v>
      </x:c>
      <x:c r="B312" s="10" t="str">
        <x:v>USER-02-0093</x:v>
      </x:c>
      <x:c r="C312" s="10" t="str">
        <x:v>首页与福利</x:v>
      </x:c>
      <x:c r="D312" s="10" t="str">
        <x:v>搜索结果（已登录普通用户视角）</x:v>
      </x:c>
      <x:c r="E312" s="10" t="str">
        <x:v>功能需求</x:v>
      </x:c>
      <x:c r="F312" s="10" t="str">
        <x:v>P2</x:v>
      </x:c>
      <x:c r="G312" s="9" t="str">
        <x:v>验证无结果空态：搜索框保留</x:v>
      </x:c>
      <x:c r="H312" s="9" t="str">
        <x:v>搜索框保留</x:v>
      </x:c>
      <x:c r="I312" s="9" t="str">
        <x:v>1. 执行角色为已登录普通用户；当前处于搜索结果页面
2. 关键词没有匹配账号</x:v>
      </x:c>
      <x:c r="J312" s="9" t="str">
        <x:v>1. 查看搜索结果</x:v>
      </x:c>
      <x:c r="K312" s="9" t="str">
        <x:v>仍提供关键词搜索框</x:v>
      </x:c>
      <x:c r="L312" s="10" t="str"/>
      <x:c r="M312" s="10" t="str">
        <x:v>未测</x:v>
      </x:c>
      <x:c r="N312" s="10" t="str"/>
      <x:c r="O312" s="9" t="str">
        <x:v>1. 来源（当前证据）：liveshow-proto/MainBasis/统一需求文档.md；位置：行588、行583
2. 规则：BR-78ff6db868c36f18
3. 未动态验证</x:v>
      </x:c>
    </x:row>
    <x:row r="313" ht="85" customHeight="1">
      <x:c r="A313" s="10" t="n">
        <x:v>312</x:v>
      </x:c>
      <x:c r="B313" s="10" t="str">
        <x:v>USER-02-0094</x:v>
      </x:c>
      <x:c r="C313" s="10" t="str">
        <x:v>首页与福利</x:v>
      </x:c>
      <x:c r="D313" s="10" t="str">
        <x:v>搜索结果（已登录普通用户视角）</x:v>
      </x:c>
      <x:c r="E313" s="10" t="str">
        <x:v>功能需求</x:v>
      </x:c>
      <x:c r="F313" s="10" t="str">
        <x:v>P2</x:v>
      </x:c>
      <x:c r="G313" s="9" t="str">
        <x:v>验证无结果空态：结果空态</x:v>
      </x:c>
      <x:c r="H313" s="9" t="str">
        <x:v>结果空态</x:v>
      </x:c>
      <x:c r="I313" s="9" t="str">
        <x:v>1. 执行角色为已登录普通用户；当前处于搜索结果页面
2. 关键词没有匹配账号</x:v>
      </x:c>
      <x:c r="J313" s="9" t="str">
        <x:v>1. 查看搜索结果</x:v>
      </x:c>
      <x:c r="K313" s="9" t="str">
        <x:v>展示无匹配结果空态</x:v>
      </x:c>
      <x:c r="L313" s="10" t="str"/>
      <x:c r="M313" s="10" t="str">
        <x:v>未测</x:v>
      </x:c>
      <x:c r="N313" s="10" t="str"/>
      <x:c r="O313" s="9" t="str">
        <x:v>1. 来源（当前证据）：liveshow-proto/MainBasis/统一需求文档.md；位置：行588、行583
2. 规则：BR-d70f19185b751338
3. 未动态验证</x:v>
      </x:c>
    </x:row>
    <x:row r="314" ht="85" customHeight="1">
      <x:c r="A314" s="10" t="n">
        <x:v>313</x:v>
      </x:c>
      <x:c r="B314" s="10" t="str">
        <x:v>USER-02-0095</x:v>
      </x:c>
      <x:c r="C314" s="10" t="str">
        <x:v>首页与福利</x:v>
      </x:c>
      <x:c r="D314" s="10" t="str">
        <x:v>搜索结果（已登录普通用户视角）</x:v>
      </x:c>
      <x:c r="E314" s="10" t="str">
        <x:v>功能需求</x:v>
      </x:c>
      <x:c r="F314" s="10" t="str">
        <x:v>P2</x:v>
      </x:c>
      <x:c r="G314" s="9" t="str">
        <x:v>验证非主播不显示房间号</x:v>
      </x:c>
      <x:c r="H314" s="9" t="str">
        <x:v>普通账号房间号隐藏</x:v>
      </x:c>
      <x:c r="I314" s="9" t="str">
        <x:v>1. 执行角色为已登录普通用户；当前处于搜索结果页面
2. 结果包含非主播账号</x:v>
      </x:c>
      <x:c r="J314" s="9" t="str">
        <x:v>1. 查看该账号结果</x:v>
      </x:c>
      <x:c r="K314" s="9" t="str">
        <x:v>不显示房间号</x:v>
      </x:c>
      <x:c r="L314" s="10" t="str"/>
      <x:c r="M314" s="10" t="str">
        <x:v>未测</x:v>
      </x:c>
      <x:c r="N314" s="10" t="str"/>
      <x:c r="O314" s="9" t="str">
        <x:v>1. 来源（当前证据）：liveshow-proto/MainBasis/统一需求文档.md；位置：行587、行583
2. 规则：BR-c2981f017360d7e5
3. 未动态验证</x:v>
      </x:c>
    </x:row>
    <x:row r="315" ht="85" customHeight="1">
      <x:c r="A315" s="10" t="n">
        <x:v>314</x:v>
      </x:c>
      <x:c r="B315" s="10" t="str">
        <x:v>USER-02-0096</x:v>
      </x:c>
      <x:c r="C315" s="10" t="str">
        <x:v>首页与福利</x:v>
      </x:c>
      <x:c r="D315" s="10" t="str">
        <x:v>搜索结果（已登录普通用户视角）</x:v>
      </x:c>
      <x:c r="E315" s="10" t="str">
        <x:v>功能需求</x:v>
      </x:c>
      <x:c r="F315" s="10" t="str">
        <x:v>P2</x:v>
      </x:c>
      <x:c r="G315" s="9" t="str">
        <x:v>验证主播显示房间号</x:v>
      </x:c>
      <x:c r="H315" s="9" t="str">
        <x:v>主播房间号回显</x:v>
      </x:c>
      <x:c r="I315" s="9" t="str">
        <x:v>1. 执行角色为已登录普通用户；当前处于搜索结果页面
2. 结果包含主播账号</x:v>
      </x:c>
      <x:c r="J315" s="9" t="str">
        <x:v>1. 查看该账号结果</x:v>
      </x:c>
      <x:c r="K315" s="9" t="str">
        <x:v>显示该主播的房间号</x:v>
      </x:c>
      <x:c r="L315" s="10" t="str"/>
      <x:c r="M315" s="10" t="str">
        <x:v>未测</x:v>
      </x:c>
      <x:c r="N315" s="10" t="str"/>
      <x:c r="O315" s="9" t="str">
        <x:v>1. 来源（当前证据）：liveshow-proto/MainBasis/统一需求文档.md；位置：行587、行583
2. 规则：BR-f4fe87b6a4fb9d42
3. 未动态验证</x:v>
      </x:c>
    </x:row>
    <x:row r="316" ht="85" customHeight="1">
      <x:c r="A316" s="10" t="n">
        <x:v>315</x:v>
      </x:c>
      <x:c r="B316" s="10" t="str">
        <x:v>USER-02-0097</x:v>
      </x:c>
      <x:c r="C316" s="10" t="str">
        <x:v>首页与福利</x:v>
      </x:c>
      <x:c r="D316" s="10" t="str">
        <x:v>搜索结果（已登录普通用户视角）</x:v>
      </x:c>
      <x:c r="E316" s="10" t="str">
        <x:v>功能需求</x:v>
      </x:c>
      <x:c r="F316" s="10" t="str">
        <x:v>P2</x:v>
      </x:c>
      <x:c r="G316" s="9" t="str">
        <x:v>验证在播主播标记</x:v>
      </x:c>
      <x:c r="H316" s="9" t="str">
        <x:v>在播账号状态标记</x:v>
      </x:c>
      <x:c r="I316" s="9" t="str">
        <x:v>1. 执行角色为已登录普通用户；当前处于搜索结果页面
2. 结果账号有主播身份且正在直播</x:v>
      </x:c>
      <x:c r="J316" s="9" t="str">
        <x:v>1. 查看该账号结果</x:v>
      </x:c>
      <x:c r="K316" s="9" t="str">
        <x:v>显示直播中标记</x:v>
      </x:c>
      <x:c r="L316" s="10" t="str"/>
      <x:c r="M316" s="10" t="str">
        <x:v>未测</x:v>
      </x:c>
      <x:c r="N316" s="10" t="str"/>
      <x:c r="O316" s="9" t="str">
        <x:v>1. 来源（当前证据）：liveshow-proto/MainBasis/统一需求文档.md；位置：行589、行583
2. 规则：BR-a58ff45c7f84cd34
3. 未动态验证</x:v>
      </x:c>
    </x:row>
    <x:row r="317" ht="85" customHeight="1">
      <x:c r="A317" s="10" t="n">
        <x:v>316</x:v>
      </x:c>
      <x:c r="B317" s="10" t="str">
        <x:v>USER-02-0098</x:v>
      </x:c>
      <x:c r="C317" s="10" t="str">
        <x:v>首页与福利</x:v>
      </x:c>
      <x:c r="D317" s="10" t="str">
        <x:v>搜索结果（已登录普通用户视角）</x:v>
      </x:c>
      <x:c r="E317" s="10" t="str">
        <x:v>功能需求</x:v>
      </x:c>
      <x:c r="F317" s="10" t="str">
        <x:v>P2</x:v>
      </x:c>
      <x:c r="G317" s="9" t="str">
        <x:v>验证未开播不显示在播标记</x:v>
      </x:c>
      <x:c r="H317" s="9" t="str">
        <x:v>未开播状态标记隐藏</x:v>
      </x:c>
      <x:c r="I317" s="9" t="str">
        <x:v>1. 执行角色为已登录普通用户；当前处于搜索结果页面
2. 结果主播当前未开播</x:v>
      </x:c>
      <x:c r="J317" s="9" t="str">
        <x:v>1. 查看该账号结果</x:v>
      </x:c>
      <x:c r="K317" s="9" t="str">
        <x:v>不显示直播中标记</x:v>
      </x:c>
      <x:c r="L317" s="10" t="str"/>
      <x:c r="M317" s="10" t="str">
        <x:v>未测</x:v>
      </x:c>
      <x:c r="N317" s="10" t="str"/>
      <x:c r="O317" s="9" t="str">
        <x:v>1. 来源（当前证据）：liveshow-proto/MainBasis/统一需求文档.md；位置：行589、行583
2. 规则：BR-11a8b89c6b9ae5ae
3. 未动态验证</x:v>
      </x:c>
    </x:row>
    <x:row r="318" ht="85" customHeight="1">
      <x:c r="A318" s="10" t="n">
        <x:v>317</x:v>
      </x:c>
      <x:c r="B318" s="10" t="str">
        <x:v>USER-02-0099</x:v>
      </x:c>
      <x:c r="C318" s="10" t="str">
        <x:v>首页与福利</x:v>
      </x:c>
      <x:c r="D318" s="10" t="str">
        <x:v>搜索结果（已登录普通用户视角）</x:v>
      </x:c>
      <x:c r="E318" s="10" t="str">
        <x:v>功能需求</x:v>
      </x:c>
      <x:c r="F318" s="10" t="str">
        <x:v>P2</x:v>
      </x:c>
      <x:c r="G318" s="9" t="str">
        <x:v>验证进入在播账号</x:v>
      </x:c>
      <x:c r="H318" s="9" t="str">
        <x:v>在播账号进房去向</x:v>
      </x:c>
      <x:c r="I318" s="9" t="str">
        <x:v>1. 执行角色为已登录普通用户；当前处于搜索结果页面
2. 结果主播正在普通房直播且本账号有访问资格</x:v>
      </x:c>
      <x:c r="J318" s="9" t="str">
        <x:v>1. 点击该结果</x:v>
      </x:c>
      <x:c r="K318" s="9" t="str">
        <x:v>进入该直播间</x:v>
      </x:c>
      <x:c r="L318" s="10" t="str"/>
      <x:c r="M318" s="10" t="str">
        <x:v>未测</x:v>
      </x:c>
      <x:c r="N318" s="10" t="str"/>
      <x:c r="O318" s="9" t="str">
        <x:v>1. 来源（当前证据）：liveshow-proto/MainBasis/统一需求文档.md；位置：行590、行583
2. 规则：BR-ae11346c1e63da57
3. 未动态验证</x:v>
      </x:c>
    </x:row>
    <x:row r="319" ht="85" customHeight="1">
      <x:c r="A319" s="10" t="n">
        <x:v>318</x:v>
      </x:c>
      <x:c r="B319" s="10" t="str">
        <x:v>USER-02-0100</x:v>
      </x:c>
      <x:c r="C319" s="10" t="str">
        <x:v>首页与福利</x:v>
      </x:c>
      <x:c r="D319" s="10" t="str">
        <x:v>搜索结果（已登录普通用户视角）</x:v>
      </x:c>
      <x:c r="E319" s="10" t="str">
        <x:v>功能需求</x:v>
      </x:c>
      <x:c r="F319" s="10" t="str">
        <x:v>P2</x:v>
      </x:c>
      <x:c r="G319" s="9" t="str">
        <x:v>验证进入未开播主播主页</x:v>
      </x:c>
      <x:c r="H319" s="9" t="str">
        <x:v>停播主播主页去向</x:v>
      </x:c>
      <x:c r="I319" s="9" t="str">
        <x:v>1. 执行角色为已登录普通用户；当前处于搜索结果页面
2. 结果主播未开播</x:v>
      </x:c>
      <x:c r="J319" s="9" t="str">
        <x:v>1. 点击该结果</x:v>
      </x:c>
      <x:c r="K319" s="9" t="str">
        <x:v>进入该主播主页</x:v>
      </x:c>
      <x:c r="L319" s="10" t="str"/>
      <x:c r="M319" s="10" t="str">
        <x:v>未测</x:v>
      </x:c>
      <x:c r="N319" s="10" t="str"/>
      <x:c r="O319" s="9" t="str">
        <x:v>1. 来源（当前证据）：liveshow-proto/MainBasis/统一需求文档.md；位置：行591、行583
2. 规则：BR-fc9e98854b47385a
3. 未动态验证</x:v>
      </x:c>
    </x:row>
    <x:row r="320" ht="85" customHeight="1">
      <x:c r="A320" s="10" t="n">
        <x:v>319</x:v>
      </x:c>
      <x:c r="B320" s="10" t="str">
        <x:v>USER-02-0101</x:v>
      </x:c>
      <x:c r="C320" s="10" t="str">
        <x:v>首页与福利</x:v>
      </x:c>
      <x:c r="D320" s="10" t="str">
        <x:v>搜索结果（已登录普通用户视角）</x:v>
      </x:c>
      <x:c r="E320" s="10" t="str">
        <x:v>功能需求</x:v>
      </x:c>
      <x:c r="F320" s="10" t="str">
        <x:v>P2</x:v>
      </x:c>
      <x:c r="G320" s="9" t="str">
        <x:v>验证进入非主播用户主页</x:v>
      </x:c>
      <x:c r="H320" s="9" t="str">
        <x:v>普通账号主页去向</x:v>
      </x:c>
      <x:c r="I320" s="9" t="str">
        <x:v>1. 执行角色为已登录普通用户；当前处于搜索结果页面
2. 结果账号没有主播身份</x:v>
      </x:c>
      <x:c r="J320" s="9" t="str">
        <x:v>1. 点击该结果</x:v>
      </x:c>
      <x:c r="K320" s="9" t="str">
        <x:v>进入该用户主页</x:v>
      </x:c>
      <x:c r="L320" s="10" t="str"/>
      <x:c r="M320" s="10" t="str">
        <x:v>未测</x:v>
      </x:c>
      <x:c r="N320" s="10" t="str"/>
      <x:c r="O320" s="9" t="str">
        <x:v>1. 来源（当前证据）：liveshow-proto/MainBasis/统一需求文档.md；位置：行591、行583
2. 规则：BR-67bd063b4f9e3d25
3. 未动态验证</x:v>
      </x:c>
    </x:row>
    <x:row r="321" ht="85" customHeight="1">
      <x:c r="A321" s="10" t="n">
        <x:v>320</x:v>
      </x:c>
      <x:c r="B321" s="10" t="str">
        <x:v>USER-02-0102</x:v>
      </x:c>
      <x:c r="C321" s="10" t="str">
        <x:v>首页与福利</x:v>
      </x:c>
      <x:c r="D321" s="10" t="str">
        <x:v>搜索结果（已登录普通用户视角）</x:v>
      </x:c>
      <x:c r="E321" s="10" t="str">
        <x:v>功能需求</x:v>
      </x:c>
      <x:c r="F321" s="10" t="str">
        <x:v>P2</x:v>
      </x:c>
      <x:c r="G321" s="9" t="str">
        <x:v>验证修改关键词刷新</x:v>
      </x:c>
      <x:c r="H321" s="9" t="str">
        <x:v>新关键词匹配结果</x:v>
      </x:c>
      <x:c r="I321" s="9" t="str">
        <x:v>1. 执行角色为已登录普通用户；当前处于搜索结果页面
2. 当前结果关键词A；关键词B匹配不同账号</x:v>
      </x:c>
      <x:c r="J321" s="9" t="str">
        <x:v>1. 修改搜索词为B
2. 点击搜索</x:v>
      </x:c>
      <x:c r="K321" s="9" t="str">
        <x:v>结果刷新为B匹配的账号</x:v>
      </x:c>
      <x:c r="L321" s="10" t="str"/>
      <x:c r="M321" s="10" t="str">
        <x:v>未测</x:v>
      </x:c>
      <x:c r="N321" s="10" t="str"/>
      <x:c r="O321" s="9" t="str">
        <x:v>1. 来源（当前证据）：liveshow-proto/MainBasis/统一需求文档.md；位置：行592、行583
2. 规则：BR-a7fdda5354b4f7ab
3. 未动态验证</x:v>
      </x:c>
    </x:row>
    <x:row r="322" ht="85" customHeight="1">
      <x:c r="A322" s="10" t="n">
        <x:v>321</x:v>
      </x:c>
      <x:c r="B322" s="10" t="str">
        <x:v>USER-02-0103</x:v>
      </x:c>
      <x:c r="C322" s="10" t="str">
        <x:v>首页与福利</x:v>
      </x:c>
      <x:c r="D322" s="10" t="str">
        <x:v>充值福利（已登录普通用户视角）</x:v>
      </x:c>
      <x:c r="E322" s="10" t="str">
        <x:v>功能需求</x:v>
      </x:c>
      <x:c r="F322" s="10" t="str">
        <x:v>P1</x:v>
      </x:c>
      <x:c r="G322" s="9" t="str">
        <x:v>验证登录不等于签到</x:v>
      </x:c>
      <x:c r="H322" s="9" t="str">
        <x:v>签到进度触发条件</x:v>
      </x:c>
      <x:c r="I322" s="9" t="str">
        <x:v>1. 执行角色为已登录普通用户；当前处于充值福利页面
2. 今日已登录但未手动签到</x:v>
      </x:c>
      <x:c r="J322" s="9" t="str">
        <x:v>1. 查看连续签到天数</x:v>
      </x:c>
      <x:c r="K322" s="9" t="str">
        <x:v>连续签到天数不会因今日登录增加</x:v>
      </x:c>
      <x:c r="L322" s="10" t="str"/>
      <x:c r="M322" s="10" t="str">
        <x:v>未测</x:v>
      </x:c>
      <x:c r="N322" s="10" t="str"/>
      <x:c r="O322" s="9" t="str">
        <x:v>1. 来源（当前证据）：liveshow-proto/MainBasis/统一需求文档.md；位置：行599、行611、行595
2. 规则：BR-9d04701765464e90
3. 未动态验证</x:v>
      </x:c>
    </x:row>
    <x:row r="323" ht="85" customHeight="1">
      <x:c r="A323" s="10" t="n">
        <x:v>322</x:v>
      </x:c>
      <x:c r="B323" s="10" t="str">
        <x:v>USER-02-0104</x:v>
      </x:c>
      <x:c r="C323" s="10" t="str">
        <x:v>首页与福利</x:v>
      </x:c>
      <x:c r="D323" s="10" t="str">
        <x:v>充值福利（已登录普通用户视角）</x:v>
      </x:c>
      <x:c r="E323" s="10" t="str">
        <x:v>功能需求</x:v>
      </x:c>
      <x:c r="F323" s="10" t="str">
        <x:v>P1</x:v>
      </x:c>
      <x:c r="G323" s="9" t="str">
        <x:v>验证今日未签到按钮</x:v>
      </x:c>
      <x:c r="H323" s="9" t="str">
        <x:v>今日签到按钮状态</x:v>
      </x:c>
      <x:c r="I323" s="9" t="str">
        <x:v>1. 执行角色为已登录普通用户；当前处于充值福利页面
2. 今日未签到</x:v>
      </x:c>
      <x:c r="J323" s="9" t="str">
        <x:v>1. 查看签到按钮</x:v>
      </x:c>
      <x:c r="K323" s="9" t="str">
        <x:v>显示签到且可操作</x:v>
      </x:c>
      <x:c r="L323" s="10" t="str"/>
      <x:c r="M323" s="10" t="str">
        <x:v>未测</x:v>
      </x:c>
      <x:c r="N323" s="10" t="str"/>
      <x:c r="O323" s="9" t="str">
        <x:v>1. 来源（当前证据）：liveshow-proto/MainBasis/统一需求文档.md；位置：行601、行595
2. 规则：BR-36792c966001f56c
3. 未动态验证</x:v>
      </x:c>
    </x:row>
    <x:row r="324" ht="130" customHeight="1">
      <x:c r="A324" s="10" t="n">
        <x:v>323</x:v>
      </x:c>
      <x:c r="B324" s="10" t="str">
        <x:v>USER-02-0105</x:v>
      </x:c>
      <x:c r="C324" s="10" t="str">
        <x:v>首页与福利</x:v>
      </x:c>
      <x:c r="D324" s="10" t="str">
        <x:v>充值福利（已登录普通用户视角）</x:v>
      </x:c>
      <x:c r="E324" s="10" t="str">
        <x:v>业务流程</x:v>
      </x:c>
      <x:c r="F324" s="10" t="str">
        <x:v>P1</x:v>
      </x:c>
      <x:c r="G324" s="9" t="str">
        <x:v>验证手动签到成功</x:v>
      </x:c>
      <x:c r="H324" s="9" t="str">
        <x:v>入口可用性</x:v>
      </x:c>
      <x:c r="I324" s="9" t="str">
        <x:v>1. 执行角色为已登录普通用户；当前处于充值福利页面
2. 今日未签到；当前第1天奖励配置为20金币</x:v>
      </x:c>
      <x:c r="J324" s="9" t="str">
        <x:v>1. 点击签到</x:v>
      </x:c>
      <x:c r="K324" s="9" t="str">
        <x:v>当日签到变为已签到且按钮禁用</x:v>
      </x:c>
      <x:c r="L324" s="10" t="str">
        <x:v>FLOW-578ABB9C</x:v>
      </x:c>
      <x:c r="M324" s="10" t="str">
        <x:v>未测</x:v>
      </x:c>
      <x:c r="N324" s="10" t="str"/>
      <x:c r="O324" s="9" t="str">
        <x:v>1. 来源（当前证据）：liveshow-proto/MainBasis/统一需求文档.md；位置：行613、行595
2. 规则：BR-fe5d39b512008201
3. 未动态验证
4. 状态转换：ST-USER-033；共同业务对象：手动签到；当前阶段：点击签到成功后的用户App观察</x:v>
      </x:c>
    </x:row>
    <x:row r="325" ht="130" customHeight="1">
      <x:c r="A325" s="10" t="n">
        <x:v>324</x:v>
      </x:c>
      <x:c r="B325" s="10" t="str">
        <x:v>USER-02-0106</x:v>
      </x:c>
      <x:c r="C325" s="10" t="str">
        <x:v>首页与福利</x:v>
      </x:c>
      <x:c r="D325" s="10" t="str">
        <x:v>充值福利（已登录普通用户视角）</x:v>
      </x:c>
      <x:c r="E325" s="10" t="str">
        <x:v>逻辑校验</x:v>
      </x:c>
      <x:c r="F325" s="10" t="str">
        <x:v>P0</x:v>
      </x:c>
      <x:c r="G325" s="9" t="str">
        <x:v>验证签到金币到账</x:v>
      </x:c>
      <x:c r="H325" s="9" t="str">
        <x:v>资产数值</x:v>
      </x:c>
      <x:c r="I325" s="9" t="str">
        <x:v>1. 执行角色为已登录普通用户；当前处于充值福利页面
2. 今日未签到；当前第1天奖励20金币；余额100金币</x:v>
      </x:c>
      <x:c r="J325" s="9" t="str">
        <x:v>1. 点击签到
2. 进入我的页面查看余额</x:v>
      </x:c>
      <x:c r="K325" s="9" t="str">
        <x:v>金币余额为120（计算结果 = 120 金币）</x:v>
      </x:c>
      <x:c r="L325" s="10" t="str">
        <x:v>FLOW-578ABB9C</x:v>
      </x:c>
      <x:c r="M325" s="10" t="str">
        <x:v>未测</x:v>
      </x:c>
      <x:c r="N325" s="10" t="str"/>
      <x:c r="O325" s="9" t="str">
        <x:v>1. 来源（当前证据）：liveshow-proto/MainBasis/统一需求文档.md；位置：行613、行1908、行595
2. 规则：BR-fef6db6d6050c626
3. 未动态验证
4. 状态转换：ST-USER-033；共同业务对象：手动签到；当前阶段：点击签到成功后的用户App观察</x:v>
      </x:c>
    </x:row>
    <x:row r="326" ht="85" customHeight="1">
      <x:c r="A326" s="10" t="n">
        <x:v>325</x:v>
      </x:c>
      <x:c r="B326" s="10" t="str">
        <x:v>USER-02-0107</x:v>
      </x:c>
      <x:c r="C326" s="10" t="str">
        <x:v>首页与福利</x:v>
      </x:c>
      <x:c r="D326" s="10" t="str">
        <x:v>充值福利（已登录普通用户视角）</x:v>
      </x:c>
      <x:c r="E326" s="10" t="str">
        <x:v>功能需求</x:v>
      </x:c>
      <x:c r="F326" s="10" t="str">
        <x:v>P1</x:v>
      </x:c>
      <x:c r="G326" s="9" t="str">
        <x:v>验证同日签到不可重复</x:v>
      </x:c>
      <x:c r="H326" s="9" t="str">
        <x:v>资产数值</x:v>
      </x:c>
      <x:c r="I326" s="9" t="str">
        <x:v>1. 执行角色为已登录普通用户；当前处于充值福利页面
2. 今日已领取签到奖励</x:v>
      </x:c>
      <x:c r="J326" s="9" t="str">
        <x:v>1. 再次点击签到奖励</x:v>
      </x:c>
      <x:c r="K326" s="9" t="str">
        <x:v>不重复发放当日金币</x:v>
      </x:c>
      <x:c r="L326" s="10" t="str"/>
      <x:c r="M326" s="10" t="str">
        <x:v>未测</x:v>
      </x:c>
      <x:c r="N326" s="10" t="str"/>
      <x:c r="O326" s="9" t="str">
        <x:v>1. 来源（当前证据）：liveshow-proto/MainBasis/统一需求文档.md；位置：行613、行595
2. 规则：BR-e86f93f5fbea1f47
3. 未动态验证</x:v>
      </x:c>
    </x:row>
    <x:row r="327" ht="130" customHeight="1">
      <x:c r="A327" s="10" t="n">
        <x:v>326</x:v>
      </x:c>
      <x:c r="B327" s="10" t="str">
        <x:v>USER-02-0108</x:v>
      </x:c>
      <x:c r="C327" s="10" t="str">
        <x:v>首页与福利</x:v>
      </x:c>
      <x:c r="D327" s="10" t="str">
        <x:v>充值福利（已登录普通用户视角）</x:v>
      </x:c>
      <x:c r="E327" s="10" t="str">
        <x:v>逻辑校验</x:v>
      </x:c>
      <x:c r="F327" s="10" t="str">
        <x:v>P1</x:v>
      </x:c>
      <x:c r="G327" s="9" t="str">
        <x:v>验证断签后从第一天开始</x:v>
      </x:c>
      <x:c r="H327" s="9" t="str">
        <x:v>断签后奖励档位</x:v>
      </x:c>
      <x:c r="I327" s="9" t="str">
        <x:v>1. 执行角色为已登录普通用户；当前处于充值福利页面
2. 仅配置第1天20金币、第2天30金币；昨日未手动签到</x:v>
      </x:c>
      <x:c r="J327" s="9" t="str">
        <x:v>1. 点击今日签到</x:v>
      </x:c>
      <x:c r="K327" s="9" t="str">
        <x:v>本次领取第1天20金币奖励</x:v>
      </x:c>
      <x:c r="L327" s="10" t="str">
        <x:v>FLOW-578ABB9C</x:v>
      </x:c>
      <x:c r="M327" s="10" t="str">
        <x:v>未测</x:v>
      </x:c>
      <x:c r="N327" s="10" t="str"/>
      <x:c r="O327" s="9" t="str">
        <x:v>1. 来源（当前证据）：liveshow-proto/MainBasis/统一需求文档.md；位置：行614、行616、行595
2. 规则：BR-683d1385a675e29b
3. 未动态验证
4. 状态转换：ST-USER-034；共同业务对象：手动签到；当前阶段：今日签到成功后的用户App观察</x:v>
      </x:c>
    </x:row>
    <x:row r="328" ht="85" customHeight="1">
      <x:c r="A328" s="10" t="n">
        <x:v>327</x:v>
      </x:c>
      <x:c r="B328" s="10" t="str">
        <x:v>USER-02-0109</x:v>
      </x:c>
      <x:c r="C328" s="10" t="str">
        <x:v>首页与福利</x:v>
      </x:c>
      <x:c r="D328" s="10" t="str">
        <x:v>充值福利（已登录普通用户视角）</x:v>
      </x:c>
      <x:c r="E328" s="10" t="str">
        <x:v>逻辑校验</x:v>
      </x:c>
      <x:c r="F328" s="10" t="str">
        <x:v>P1</x:v>
      </x:c>
      <x:c r="G328" s="9" t="str">
        <x:v>验证最高连续天数之后不循环</x:v>
      </x:c>
      <x:c r="H328" s="9" t="str">
        <x:v>资产数值</x:v>
      </x:c>
      <x:c r="I328" s="9" t="str">
        <x:v>1. 执行角色为已登录普通用户；当前处于充值福利页面
2. 仅配置第1天20金币、第2天30金币；此前已连续签到2天</x:v>
      </x:c>
      <x:c r="J328" s="9" t="str">
        <x:v>1. 点击第3天签到</x:v>
      </x:c>
      <x:c r="K328" s="9" t="str">
        <x:v>本次领取30金币</x:v>
      </x:c>
      <x:c r="L328" s="10" t="str"/>
      <x:c r="M328" s="10" t="str">
        <x:v>未测</x:v>
      </x:c>
      <x:c r="N328" s="10" t="str"/>
      <x:c r="O328" s="9" t="str">
        <x:v>1. 来源（当前证据）：liveshow-proto/MainBasis/统一需求文档.md；位置：行615、行616、行595
2. 规则：BR-9d7259f21e587889
3. 未动态验证</x:v>
      </x:c>
    </x:row>
    <x:row r="329" ht="85" customHeight="1">
      <x:c r="A329" s="10" t="n">
        <x:v>328</x:v>
      </x:c>
      <x:c r="B329" s="10" t="str">
        <x:v>USER-02-0110</x:v>
      </x:c>
      <x:c r="C329" s="10" t="str">
        <x:v>首页与福利</x:v>
      </x:c>
      <x:c r="D329" s="10" t="str">
        <x:v>充值福利（已登录普通用户视角）</x:v>
      </x:c>
      <x:c r="E329" s="10" t="str">
        <x:v>功能需求</x:v>
      </x:c>
      <x:c r="F329" s="10" t="str">
        <x:v>P1</x:v>
      </x:c>
      <x:c r="G329" s="9" t="str">
        <x:v>验证仅登录仍会断签</x:v>
      </x:c>
      <x:c r="H329" s="9" t="str">
        <x:v>断签后连续天数</x:v>
      </x:c>
      <x:c r="I329" s="9" t="str">
        <x:v>1. 执行角色为已登录普通用户；当前处于充值福利页面
2. 昨日登录但没有签到；此前连续签到2天</x:v>
      </x:c>
      <x:c r="J329" s="9" t="str">
        <x:v>1. 点击今日签到</x:v>
      </x:c>
      <x:c r="K329" s="9" t="str">
        <x:v>今日按连续第1天计算</x:v>
      </x:c>
      <x:c r="L329" s="10" t="str"/>
      <x:c r="M329" s="10" t="str">
        <x:v>未测</x:v>
      </x:c>
      <x:c r="N329" s="10" t="str"/>
      <x:c r="O329" s="9" t="str">
        <x:v>1. 来源（当前证据）：liveshow-proto/MainBasis/统一需求文档.md；位置：行614、行595
2. 规则：BR-b28f6a5068a34f20
3. 未动态验证</x:v>
      </x:c>
    </x:row>
    <x:row r="330" ht="85" customHeight="1">
      <x:c r="A330" s="10" t="n">
        <x:v>329</x:v>
      </x:c>
      <x:c r="B330" s="10" t="str">
        <x:v>USER-02-0111</x:v>
      </x:c>
      <x:c r="C330" s="10" t="str">
        <x:v>首页与福利</x:v>
      </x:c>
      <x:c r="D330" s="10" t="str">
        <x:v>充值福利（已登录普通用户视角）</x:v>
      </x:c>
      <x:c r="E330" s="10" t="str">
        <x:v>功能需求</x:v>
      </x:c>
      <x:c r="F330" s="10" t="str">
        <x:v>P1</x:v>
      </x:c>
      <x:c r="G330" s="9" t="str">
        <x:v>验证签到奖励取实时配置</x:v>
      </x:c>
      <x:c r="H330" s="9" t="str">
        <x:v>资产数值</x:v>
      </x:c>
      <x:c r="I330" s="9" t="str">
        <x:v>1. 执行角色为已登录普通用户；当前处于充值福利页面
2. 已生效签到配置第1天25金币</x:v>
      </x:c>
      <x:c r="J330" s="9" t="str">
        <x:v>1. 查看第1天签到奖励</x:v>
      </x:c>
      <x:c r="K330" s="9" t="str">
        <x:v>展示25金币而非固定演示金额</x:v>
      </x:c>
      <x:c r="L330" s="10" t="str"/>
      <x:c r="M330" s="10" t="str">
        <x:v>未测</x:v>
      </x:c>
      <x:c r="N330" s="10" t="str"/>
      <x:c r="O330" s="9" t="str">
        <x:v>1. 来源（当前证据）：liveshow-proto/MainBasis/统一需求文档.md；位置：行612、行595
2. 规则：BR-d5be5bd6d1e9cb1c
3. 未动态验证</x:v>
      </x:c>
    </x:row>
    <x:row r="331" ht="85" customHeight="1">
      <x:c r="A331" s="10" t="n">
        <x:v>330</x:v>
      </x:c>
      <x:c r="B331" s="10" t="str">
        <x:v>USER-02-0112</x:v>
      </x:c>
      <x:c r="C331" s="10" t="str">
        <x:v>首页与福利</x:v>
      </x:c>
      <x:c r="D331" s="10" t="str">
        <x:v>充值福利（已登录普通用户视角）</x:v>
      </x:c>
      <x:c r="E331" s="10" t="str">
        <x:v>功能需求</x:v>
      </x:c>
      <x:c r="F331" s="10" t="str">
        <x:v>P1</x:v>
      </x:c>
      <x:c r="G331" s="9" t="str">
        <x:v>验证任务未完成不可领取</x:v>
      </x:c>
      <x:c r="H331" s="9" t="str">
        <x:v>任务未达标提示</x:v>
      </x:c>
      <x:c r="I331" s="9" t="str">
        <x:v>1. 执行角色为已登录普通用户；当前处于充值福利页面
2. 观看任务未达到目标</x:v>
      </x:c>
      <x:c r="J331" s="9" t="str">
        <x:v>1. 点击观看任务奖励</x:v>
      </x:c>
      <x:c r="K331" s="9" t="str">
        <x:v>提示“任务尚未完成”</x:v>
      </x:c>
      <x:c r="L331" s="10" t="str"/>
      <x:c r="M331" s="10" t="str">
        <x:v>未测</x:v>
      </x:c>
      <x:c r="N331" s="10" t="str"/>
      <x:c r="O331" s="9" t="str">
        <x:v>1. 来源（当前证据）：liveshow-proto/MainBasis/统一需求文档.md；位置：行622、行595
2. 规则：BR-64e996138cd878f4
3. 未动态验证</x:v>
      </x:c>
    </x:row>
    <x:row r="332" ht="130" customHeight="1">
      <x:c r="A332" s="10" t="n">
        <x:v>331</x:v>
      </x:c>
      <x:c r="B332" s="10" t="str">
        <x:v>USER-02-0113</x:v>
      </x:c>
      <x:c r="C332" s="10" t="str">
        <x:v>首页与福利</x:v>
      </x:c>
      <x:c r="D332" s="10" t="str">
        <x:v>充值福利（已登录普通用户视角）</x:v>
      </x:c>
      <x:c r="E332" s="10" t="str">
        <x:v>功能需求</x:v>
      </x:c>
      <x:c r="F332" s="10" t="str">
        <x:v>P1</x:v>
      </x:c>
      <x:c r="G332" s="9" t="str">
        <x:v>验证任务达标手动领取</x:v>
      </x:c>
      <x:c r="H332" s="9" t="str">
        <x:v>任务奖励领取状态</x:v>
      </x:c>
      <x:c r="I332" s="9" t="str">
        <x:v>1. 执行角色为已登录普通用户；当前处于充值福利页面
2. 任务条件已达成且奖励未过期</x:v>
      </x:c>
      <x:c r="J332" s="9" t="str">
        <x:v>1. 点击领取</x:v>
      </x:c>
      <x:c r="K332" s="9" t="str">
        <x:v>该档奖励状态变为已领取</x:v>
      </x:c>
      <x:c r="L332" s="10" t="str">
        <x:v>FLOW-D14CBCCB</x:v>
      </x:c>
      <x:c r="M332" s="10" t="str">
        <x:v>未测</x:v>
      </x:c>
      <x:c r="N332" s="10" t="str"/>
      <x:c r="O332" s="9" t="str">
        <x:v>1. 来源（当前证据）：liveshow-proto/MainBasis/统一需求文档.md；位置：行619、行595
2. 规则：BR-386aa7b14ee3ff95
3. 未动态验证
4. 状态转换：ST-USER-035；共同业务对象：任务奖励；当前阶段：手动领取成功后的用户App观察</x:v>
      </x:c>
    </x:row>
    <x:row r="333" ht="85" customHeight="1">
      <x:c r="A333" s="10" t="n">
        <x:v>332</x:v>
      </x:c>
      <x:c r="B333" s="10" t="str">
        <x:v>USER-02-0114</x:v>
      </x:c>
      <x:c r="C333" s="10" t="str">
        <x:v>首页与福利</x:v>
      </x:c>
      <x:c r="D333" s="10" t="str">
        <x:v>充值福利（已登录普通用户视角）</x:v>
      </x:c>
      <x:c r="E333" s="10" t="str">
        <x:v>功能需求</x:v>
      </x:c>
      <x:c r="F333" s="10" t="str">
        <x:v>P1</x:v>
      </x:c>
      <x:c r="G333" s="9" t="str">
        <x:v>验证奖励不自动发放</x:v>
      </x:c>
      <x:c r="H333" s="9" t="str">
        <x:v>资产数值</x:v>
      </x:c>
      <x:c r="I333" s="9" t="str">
        <x:v>1. 执行角色为已登录普通用户；当前处于充值福利页面
2. 任务已达到条件但尚未领取；余额100</x:v>
      </x:c>
      <x:c r="J333" s="9" t="str">
        <x:v>1. 查看任务状态和当前余额</x:v>
      </x:c>
      <x:c r="K333" s="9" t="str">
        <x:v>任务可领取但余额仍为100</x:v>
      </x:c>
      <x:c r="L333" s="10" t="str"/>
      <x:c r="M333" s="10" t="str">
        <x:v>未测</x:v>
      </x:c>
      <x:c r="N333" s="10" t="str"/>
      <x:c r="O333" s="9" t="str">
        <x:v>1. 来源（当前证据）：liveshow-proto/MainBasis/统一需求文档.md；位置：行609、行619、行595
2. 规则：BR-7cdc84f87c2b38cd
3. 未动态验证</x:v>
      </x:c>
    </x:row>
    <x:row r="334" ht="85" customHeight="1">
      <x:c r="A334" s="10" t="n">
        <x:v>333</x:v>
      </x:c>
      <x:c r="B334" s="10" t="str">
        <x:v>USER-02-0115</x:v>
      </x:c>
      <x:c r="C334" s="10" t="str">
        <x:v>首页与福利</x:v>
      </x:c>
      <x:c r="D334" s="10" t="str">
        <x:v>充值福利（已登录普通用户视角）</x:v>
      </x:c>
      <x:c r="E334" s="10" t="str">
        <x:v>功能需求</x:v>
      </x:c>
      <x:c r="F334" s="10" t="str">
        <x:v>P1</x:v>
      </x:c>
      <x:c r="G334" s="9" t="str">
        <x:v>验证每档条件独立领取</x:v>
      </x:c>
      <x:c r="H334" s="9" t="str">
        <x:v>任务档位领取独立性</x:v>
      </x:c>
      <x:c r="I334" s="9" t="str">
        <x:v>1. 执行角色为已登录普通用户；当前处于充值福利页面
2. 同一任务两档均达标且未过期；第一档已领取</x:v>
      </x:c>
      <x:c r="J334" s="9" t="str">
        <x:v>1. 点击第二档领取</x:v>
      </x:c>
      <x:c r="K334" s="9" t="str">
        <x:v>第二档仍可独立领取一次</x:v>
      </x:c>
      <x:c r="L334" s="10" t="str"/>
      <x:c r="M334" s="10" t="str">
        <x:v>未测</x:v>
      </x:c>
      <x:c r="N334" s="10" t="str"/>
      <x:c r="O334" s="9" t="str">
        <x:v>1. 来源（当前证据）：liveshow-proto/MainBasis/统一需求文档.md；位置：行619、行595
2. 规则：BR-6db4db6a6f51d865
3. 未动态验证</x:v>
      </x:c>
    </x:row>
    <x:row r="335" ht="85" customHeight="1">
      <x:c r="A335" s="10" t="n">
        <x:v>334</x:v>
      </x:c>
      <x:c r="B335" s="10" t="str">
        <x:v>USER-02-0116</x:v>
      </x:c>
      <x:c r="C335" s="10" t="str">
        <x:v>首页与福利</x:v>
      </x:c>
      <x:c r="D335" s="10" t="str">
        <x:v>充值福利（已登录普通用户视角）</x:v>
      </x:c>
      <x:c r="E335" s="10" t="str">
        <x:v>逻辑校验</x:v>
      </x:c>
      <x:c r="F335" s="10" t="str">
        <x:v>P1</x:v>
      </x:c>
      <x:c r="G335" s="9" t="str">
        <x:v>验证重复领奖不重复入账</x:v>
      </x:c>
      <x:c r="H335" s="9" t="str">
        <x:v>资产数值</x:v>
      </x:c>
      <x:c r="I335" s="9" t="str">
        <x:v>1. 执行角色为已登录普通用户；当前处于充值福利页面
2. 奖励已成功领取；本次为相同奖励实例的重复请求</x:v>
      </x:c>
      <x:c r="J335" s="9" t="str">
        <x:v>1. 再次点击该奖励</x:v>
      </x:c>
      <x:c r="K335" s="9" t="str">
        <x:v>该实例金币不再入账</x:v>
      </x:c>
      <x:c r="L335" s="10" t="str"/>
      <x:c r="M335" s="10" t="str">
        <x:v>未测</x:v>
      </x:c>
      <x:c r="N335" s="10" t="str"/>
      <x:c r="O335" s="9" t="str">
        <x:v>1. 来源（当前证据）：liveshow-proto/MainBasis/统一需求文档.md；位置：行621、行1907、行595
2. 规则：BR-759bfbd2d8fd4a5e
3. 未动态验证</x:v>
      </x:c>
    </x:row>
    <x:row r="336" ht="205" customHeight="1">
      <x:c r="A336" s="10" t="n">
        <x:v>335</x:v>
      </x:c>
      <x:c r="B336" s="10" t="str">
        <x:v>USER-02-0117</x:v>
      </x:c>
      <x:c r="C336" s="10" t="str">
        <x:v>首页与福利</x:v>
      </x:c>
      <x:c r="D336" s="10" t="str">
        <x:v>充值福利（已登录普通用户视角）</x:v>
      </x:c>
      <x:c r="E336" s="10" t="str">
        <x:v>异常用例</x:v>
      </x:c>
      <x:c r="F336" s="10" t="str">
        <x:v>P1</x:v>
      </x:c>
      <x:c r="G336" s="9" t="str">
        <x:v>验证领取失败保留待领取</x:v>
      </x:c>
      <x:c r="H336" s="9" t="str">
        <x:v>领取失败状态保留</x:v>
      </x:c>
      <x:c r="I336" s="9" t="str">
        <x:v>1. 执行角色为已登录普通用户；当前处于充值福利页面
2. 条件达标且未过期；领奖请求返回失败
3. 环境准备要求（尚未具备）：需测试服务将指定账号、指定奖励实例的首次领取处理返回失败且不入账；重试场景在第一次失败后撤销故障，再点击原实例领取</x:v>
      </x:c>
      <x:c r="J336" s="9" t="str">
        <x:v>1. 点击领取</x:v>
      </x:c>
      <x:c r="K336" s="9" t="str">
        <x:v>不改为已领取并允许重试</x:v>
      </x:c>
      <x:c r="L336" s="10" t="str">
        <x:v>FLOW-D14CBCCB</x:v>
      </x:c>
      <x:c r="M336" s="10" t="str">
        <x:v>未测</x:v>
      </x:c>
      <x:c r="N336" s="10" t="str"/>
      <x:c r="O336" s="9" t="str">
        <x:v>1. 来源（当前证据）：liveshow-proto/MainBasis/统一需求文档.md；位置：行621、行595
2. 规则：BR-f84df39a57281dc9
3. 未动态验证
4. 环境待准备：任务奖励领取；时点：符合领取条件的本次领取请求处理时；恢复：本条结束后撤销故障设置，恢复真实请求处理；使用新测试对象复跑正常路径，避免污染后续用例
5. 状态转换：ST-USER-037；共同业务对象：任务奖励；当前阶段：领取请求失败后的用户App观察</x:v>
      </x:c>
    </x:row>
    <x:row r="337" ht="160" customHeight="1">
      <x:c r="A337" s="10" t="n">
        <x:v>336</x:v>
      </x:c>
      <x:c r="B337" s="10" t="str">
        <x:v>USER-02-0118</x:v>
      </x:c>
      <x:c r="C337" s="10" t="str">
        <x:v>首页与福利</x:v>
      </x:c>
      <x:c r="D337" s="10" t="str">
        <x:v>充值福利（已登录普通用户视角）</x:v>
      </x:c>
      <x:c r="E337" s="10" t="str">
        <x:v>异常用例</x:v>
      </x:c>
      <x:c r="F337" s="10" t="str">
        <x:v>P1</x:v>
      </x:c>
      <x:c r="G337" s="9" t="str">
        <x:v>验证领取失败后重试</x:v>
      </x:c>
      <x:c r="H337" s="9" t="str">
        <x:v>失败奖励重试领取</x:v>
      </x:c>
      <x:c r="I337" s="9" t="str">
        <x:v>1. 执行角色为已登录普通用户；当前处于充值福利页面
2. 首次领取失败且未入账；奖励仍有效；服务已恢复
3. 环境准备要求（尚未具备）：需测试服务将指定账号、指定奖励实例的首次领取处理返回失败且不入账；重试场景在第一次失败后撤销故障，再点击原实例领取</x:v>
      </x:c>
      <x:c r="J337" s="9" t="str">
        <x:v>1. 点击领取</x:v>
      </x:c>
      <x:c r="K337" s="9" t="str">
        <x:v>该奖励领取成功一次</x:v>
      </x:c>
      <x:c r="L337" s="10" t="str"/>
      <x:c r="M337" s="10" t="str">
        <x:v>未测</x:v>
      </x:c>
      <x:c r="N337" s="10" t="str"/>
      <x:c r="O337" s="9" t="str">
        <x:v>1. 来源（当前证据）：liveshow-proto/MainBasis/统一需求文档.md；位置：行621、行595
2. 规则：BR-4643463b409870d4
3. 未动态验证
4. 环境待准备：任务奖励领取；时点：符合领取条件的本次领取请求处理时；恢复：本条结束后撤销故障设置，恢复真实请求处理；使用新测试对象复跑正常路径，避免污染后续用例</x:v>
      </x:c>
    </x:row>
    <x:row r="338" ht="130" customHeight="1">
      <x:c r="A338" s="10" t="n">
        <x:v>337</x:v>
      </x:c>
      <x:c r="B338" s="10" t="str">
        <x:v>USER-02-0119</x:v>
      </x:c>
      <x:c r="C338" s="10" t="str">
        <x:v>首页与福利</x:v>
      </x:c>
      <x:c r="D338" s="10" t="str">
        <x:v>充值福利（已登录普通用户视角）</x:v>
      </x:c>
      <x:c r="E338" s="10" t="str">
        <x:v>异常用例</x:v>
      </x:c>
      <x:c r="F338" s="10" t="str">
        <x:v>P1</x:v>
      </x:c>
      <x:c r="G338" s="9" t="str">
        <x:v>验证逾期任务奖励失效</x:v>
      </x:c>
      <x:c r="H338" s="9" t="str">
        <x:v>任务奖励过期反馈</x:v>
      </x:c>
      <x:c r="I338" s="9" t="str">
        <x:v>1. 执行角色为已登录普通用户；当前处于充值福利页面
2. 奖励已达标但超过获得奖励当天23:59；业务时区已确认</x:v>
      </x:c>
      <x:c r="J338" s="9" t="str">
        <x:v>1. 点击领取</x:v>
      </x:c>
      <x:c r="K338" s="9" t="str">
        <x:v>提示“奖励已失效”且不发奖</x:v>
      </x:c>
      <x:c r="L338" s="10" t="str">
        <x:v>FLOW-D14CBCCB</x:v>
      </x:c>
      <x:c r="M338" s="10" t="str">
        <x:v>未测</x:v>
      </x:c>
      <x:c r="N338" s="10" t="str"/>
      <x:c r="O338" s="9" t="str">
        <x:v>1. 来源（当前证据）：liveshow-proto/MainBasis/统一需求文档.md；位置：行620、行595
2. 规则：BR-8e07f0115e1c0d1b
3. 未动态验证
4. 状态转换：ST-USER-036；共同业务对象：任务奖励；当前阶段：领取有效期结束后的用户App观察</x:v>
      </x:c>
    </x:row>
    <x:row r="339" ht="85" customHeight="1">
      <x:c r="A339" s="10" t="n">
        <x:v>338</x:v>
      </x:c>
      <x:c r="B339" s="10" t="str">
        <x:v>USER-02-0120</x:v>
      </x:c>
      <x:c r="C339" s="10" t="str">
        <x:v>首页与福利</x:v>
      </x:c>
      <x:c r="D339" s="10" t="str">
        <x:v>充值福利（已登录普通用户视角）</x:v>
      </x:c>
      <x:c r="E339" s="10" t="str">
        <x:v>异常用例</x:v>
      </x:c>
      <x:c r="F339" s="10" t="str">
        <x:v>P1</x:v>
      </x:c>
      <x:c r="G339" s="9" t="str">
        <x:v>验证无周期奖励也逾期</x:v>
      </x:c>
      <x:c r="H339" s="9" t="str">
        <x:v>入口可用性</x:v>
      </x:c>
      <x:c r="I339" s="9" t="str">
        <x:v>1. 执行角色为已登录普通用户；当前处于充值福利页面
2. 无周期任务奖励已超过获得奖励当天23:59</x:v>
      </x:c>
      <x:c r="J339" s="9" t="str">
        <x:v>1. 点击领取</x:v>
      </x:c>
      <x:c r="K339" s="9" t="str">
        <x:v>奖励失效不能补领</x:v>
      </x:c>
      <x:c r="L339" s="10" t="str"/>
      <x:c r="M339" s="10" t="str">
        <x:v>未测</x:v>
      </x:c>
      <x:c r="N339" s="10" t="str"/>
      <x:c r="O339" s="9" t="str">
        <x:v>1. 来源（当前证据）：liveshow-proto/MainBasis/统一需求文档.md；位置：行620、行595
2. 规则：BR-0cb8afde1c8113d3
3. 未动态验证</x:v>
      </x:c>
    </x:row>
    <x:row r="340" ht="85" customHeight="1">
      <x:c r="A340" s="10" t="n">
        <x:v>339</x:v>
      </x:c>
      <x:c r="B340" s="10" t="str">
        <x:v>USER-02-0121</x:v>
      </x:c>
      <x:c r="C340" s="10" t="str">
        <x:v>首页与福利</x:v>
      </x:c>
      <x:c r="D340" s="10" t="str">
        <x:v>充值福利（已登录普通用户视角）</x:v>
      </x:c>
      <x:c r="E340" s="10" t="str">
        <x:v>功能需求</x:v>
      </x:c>
      <x:c r="F340" s="10" t="str">
        <x:v>P1</x:v>
      </x:c>
      <x:c r="G340" s="9" t="str">
        <x:v>验证停用任务不新增进度</x:v>
      </x:c>
      <x:c r="H340" s="9" t="str">
        <x:v>停用任务进度限制</x:v>
      </x:c>
      <x:c r="I340" s="9" t="str">
        <x:v>1. 执行角色为已登录普通用户；当前处于充值福利页面
2. 任务已停用；停用前进度为1；之后发生一次对应动作</x:v>
      </x:c>
      <x:c r="J340" s="9" t="str">
        <x:v>1. 查看该任务进度</x:v>
      </x:c>
      <x:c r="K340" s="9" t="str">
        <x:v>停用后的动作不增加任务进度</x:v>
      </x:c>
      <x:c r="L340" s="10" t="str"/>
      <x:c r="M340" s="10" t="str">
        <x:v>未测</x:v>
      </x:c>
      <x:c r="N340" s="10" t="str"/>
      <x:c r="O340" s="9" t="str">
        <x:v>1. 来源（当前证据）：liveshow-proto/MainBasis/统一需求文档.md；位置：行609、行595
2. 规则：BR-a6a0d4f9045dbcd7
3. 未动态验证</x:v>
      </x:c>
    </x:row>
    <x:row r="341" ht="85" customHeight="1">
      <x:c r="A341" s="10" t="n">
        <x:v>340</x:v>
      </x:c>
      <x:c r="B341" s="10" t="str">
        <x:v>USER-02-0122</x:v>
      </x:c>
      <x:c r="C341" s="10" t="str">
        <x:v>首页与福利</x:v>
      </x:c>
      <x:c r="D341" s="10" t="str">
        <x:v>充值福利（已登录普通用户视角）</x:v>
      </x:c>
      <x:c r="E341" s="10" t="str">
        <x:v>功能需求</x:v>
      </x:c>
      <x:c r="F341" s="10" t="str">
        <x:v>P1</x:v>
      </x:c>
      <x:c r="G341" s="9" t="str">
        <x:v>验证停用任务不收回已领金币</x:v>
      </x:c>
      <x:c r="H341" s="9" t="str">
        <x:v>已领任务金币保留</x:v>
      </x:c>
      <x:c r="I341" s="9" t="str">
        <x:v>1. 执行角色为已登录普通用户；当前处于充值福利页面
2. 金币奖励已到账；该任务随后被停用</x:v>
      </x:c>
      <x:c r="J341" s="9" t="str">
        <x:v>1. 查看金币余额</x:v>
      </x:c>
      <x:c r="K341" s="9" t="str">
        <x:v>停用任务不扣回已领取奖励</x:v>
      </x:c>
      <x:c r="L341" s="10" t="str"/>
      <x:c r="M341" s="10" t="str">
        <x:v>未测</x:v>
      </x:c>
      <x:c r="N341" s="10" t="str"/>
      <x:c r="O341" s="9" t="str">
        <x:v>1. 来源（当前证据）：liveshow-proto/MainBasis/统一需求文档.md；位置：行609、行595
2. 规则：BR-82afc92eca7a2764
3. 未动态验证</x:v>
      </x:c>
    </x:row>
    <x:row r="342" ht="85" customHeight="1">
      <x:c r="A342" s="10" t="n">
        <x:v>341</x:v>
      </x:c>
      <x:c r="B342" s="10" t="str">
        <x:v>USER-02-0123</x:v>
      </x:c>
      <x:c r="C342" s="10" t="str">
        <x:v>首页与福利</x:v>
      </x:c>
      <x:c r="D342" s="10" t="str">
        <x:v>充值福利（已登录普通用户视角）</x:v>
      </x:c>
      <x:c r="E342" s="10" t="str">
        <x:v>功能需求</x:v>
      </x:c>
      <x:c r="F342" s="10" t="str">
        <x:v>P1</x:v>
      </x:c>
      <x:c r="G342" s="9" t="str">
        <x:v>验证改配置不补发已领实例</x:v>
      </x:c>
      <x:c r="H342" s="9" t="str">
        <x:v>已领档位差额处理</x:v>
      </x:c>
      <x:c r="I342" s="9" t="str">
        <x:v>1. 执行角色为已登录普通用户；当前处于充值福利页面
2. 同一任务实例已领奖；后台随后调高奖励</x:v>
      </x:c>
      <x:c r="J342" s="9" t="str">
        <x:v>1. 重新进入福利页查看该奖励</x:v>
      </x:c>
      <x:c r="K342" s="9" t="str">
        <x:v>已领取状态保持且不补发差额</x:v>
      </x:c>
      <x:c r="L342" s="10" t="str"/>
      <x:c r="M342" s="10" t="str">
        <x:v>未测</x:v>
      </x:c>
      <x:c r="N342" s="10" t="str"/>
      <x:c r="O342" s="9" t="str">
        <x:v>1. 来源（当前证据）：liveshow-proto/MainBasis/统一需求文档.md；位置：行1909、行595
2. 规则：BR-218c3b51fbd01871
3. 未动态验证</x:v>
      </x:c>
    </x:row>
    <x:row r="343" ht="85" customHeight="1">
      <x:c r="A343" s="10" t="n">
        <x:v>342</x:v>
      </x:c>
      <x:c r="B343" s="10" t="str">
        <x:v>USER-02-0124</x:v>
      </x:c>
      <x:c r="C343" s="10" t="str">
        <x:v>首页与福利</x:v>
      </x:c>
      <x:c r="D343" s="10" t="str">
        <x:v>充值福利（已登录普通用户视角）</x:v>
      </x:c>
      <x:c r="E343" s="10" t="str">
        <x:v>功能需求</x:v>
      </x:c>
      <x:c r="F343" s="10" t="str">
        <x:v>P2</x:v>
      </x:c>
      <x:c r="G343" s="9" t="str">
        <x:v>验证福利邀请入口</x:v>
      </x:c>
      <x:c r="H343" s="9" t="str">
        <x:v>福利邀请跳转</x:v>
      </x:c>
      <x:c r="I343" s="9" t="str">
        <x:v>1. 执行角色为已登录普通用户；当前处于充值福利页面</x:v>
      </x:c>
      <x:c r="J343" s="9" t="str">
        <x:v>1. 点击邀请好友</x:v>
      </x:c>
      <x:c r="K343" s="9" t="str">
        <x:v>进入邀请好友页面</x:v>
      </x:c>
      <x:c r="L343" s="10" t="str"/>
      <x:c r="M343" s="10" t="str">
        <x:v>未测</x:v>
      </x:c>
      <x:c r="N343" s="10" t="str"/>
      <x:c r="O343" s="9" t="str">
        <x:v>1. 来源（当前证据）：liveshow-proto/MainBasis/统一需求文档.md；位置：行597、行604、行595
2. 规则：BR-e51358b6642203c9
3. 未动态验证</x:v>
      </x:c>
    </x:row>
    <x:row r="344" ht="85" customHeight="1">
      <x:c r="A344" s="10" t="n">
        <x:v>343</x:v>
      </x:c>
      <x:c r="B344" s="10" t="str">
        <x:v>USER-02-0125</x:v>
      </x:c>
      <x:c r="C344" s="10" t="str">
        <x:v>首页与福利</x:v>
      </x:c>
      <x:c r="D344" s="10" t="str">
        <x:v>充值福利（已登录普通用户视角）</x:v>
      </x:c>
      <x:c r="E344" s="10" t="str">
        <x:v>功能需求</x:v>
      </x:c>
      <x:c r="F344" s="10" t="str">
        <x:v>P2</x:v>
      </x:c>
      <x:c r="G344" s="9" t="str">
        <x:v>验证福利充值入口</x:v>
      </x:c>
      <x:c r="H344" s="9" t="str">
        <x:v>福利充值跳转</x:v>
      </x:c>
      <x:c r="I344" s="9" t="str">
        <x:v>1. 执行角色为已登录普通用户；当前处于充值福利页面</x:v>
      </x:c>
      <x:c r="J344" s="9" t="str">
        <x:v>1. 点击充值福利</x:v>
      </x:c>
      <x:c r="K344" s="9" t="str">
        <x:v>进入充值页面</x:v>
      </x:c>
      <x:c r="L344" s="10" t="str"/>
      <x:c r="M344" s="10" t="str">
        <x:v>未测</x:v>
      </x:c>
      <x:c r="N344" s="10" t="str"/>
      <x:c r="O344" s="9" t="str">
        <x:v>1. 来源（当前证据）：liveshow-proto/MainBasis/统一需求文档.md；位置：行598、行606、行595
2. 规则：BR-e88e777b4fcb5122
3. 未动态验证</x:v>
      </x:c>
    </x:row>
    <x:row r="345" ht="85" customHeight="1">
      <x:c r="A345" s="10" t="n">
        <x:v>344</x:v>
      </x:c>
      <x:c r="B345" s="10" t="str">
        <x:v>USER-02-0126</x:v>
      </x:c>
      <x:c r="C345" s="10" t="str">
        <x:v>首页与福利</x:v>
      </x:c>
      <x:c r="D345" s="10" t="str">
        <x:v>充值福利（已登录普通用户视角）</x:v>
      </x:c>
      <x:c r="E345" s="10" t="str">
        <x:v>功能需求</x:v>
      </x:c>
      <x:c r="F345" s="10" t="str">
        <x:v>P1</x:v>
      </x:c>
      <x:c r="G345" s="9" t="str">
        <x:v>验证充值赠送提示取最大套餐</x:v>
      </x:c>
      <x:c r="H345" s="9" t="str">
        <x:v>最大套餐赠币提示</x:v>
      </x:c>
      <x:c r="I345" s="9" t="str">
        <x:v>1. 执行角色为已登录普通用户；当前处于充值福利页面
2. 当前启用套餐分别赠送10、30、20金币</x:v>
      </x:c>
      <x:c r="J345" s="9" t="str">
        <x:v>1. 查看充值福利卡片</x:v>
      </x:c>
      <x:c r="K345" s="9" t="str">
        <x:v>卡片提示赠送30金币</x:v>
      </x:c>
      <x:c r="L345" s="10" t="str"/>
      <x:c r="M345" s="10" t="str">
        <x:v>未测</x:v>
      </x:c>
      <x:c r="N345" s="10" t="str"/>
      <x:c r="O345" s="9" t="str">
        <x:v>1. 来源（当前证据）：liveshow-proto/MainBasis/统一需求文档.md；位置：行607、行595
2. 规则：BR-2c91c98982b5cd5a
3. 未动态验证</x:v>
      </x:c>
    </x:row>
    <x:row r="346" ht="85" customHeight="1">
      <x:c r="A346" s="10" t="n">
        <x:v>345</x:v>
      </x:c>
      <x:c r="B346" s="10" t="str">
        <x:v>USER-02-0127</x:v>
      </x:c>
      <x:c r="C346" s="10" t="str">
        <x:v>首页与福利</x:v>
      </x:c>
      <x:c r="D346" s="10" t="str">
        <x:v>充值福利（已登录普通用户视角）</x:v>
      </x:c>
      <x:c r="E346" s="10" t="str">
        <x:v>逻辑校验</x:v>
      </x:c>
      <x:c r="F346" s="10" t="str">
        <x:v>P1</x:v>
      </x:c>
      <x:c r="G346" s="9" t="str">
        <x:v>验证每日任务进度重置</x:v>
      </x:c>
      <x:c r="H346" s="9" t="str">
        <x:v>周期任务进度</x:v>
      </x:c>
      <x:c r="I346" s="9" t="str">
        <x:v>1. 执行角色为已登录普通用户；当前处于充值福利页面
2. 每日任务上一周期进度非零；当前已进入新周期且未发生新动作</x:v>
      </x:c>
      <x:c r="J346" s="9" t="str">
        <x:v>1. 查看该任务进度</x:v>
      </x:c>
      <x:c r="K346" s="9" t="str">
        <x:v>进度归零</x:v>
      </x:c>
      <x:c r="L346" s="10" t="str"/>
      <x:c r="M346" s="10" t="str">
        <x:v>未测</x:v>
      </x:c>
      <x:c r="N346" s="10" t="str"/>
      <x:c r="O346" s="9" t="str">
        <x:v>1. 来源（当前证据）：liveshow-proto/MainBasis/统一需求文档.md；位置：行618、行595
2. 规则：BR-cb6647da6aade00f
3. 未动态验证</x:v>
      </x:c>
    </x:row>
    <x:row r="347" ht="85" customHeight="1">
      <x:c r="A347" s="10" t="n">
        <x:v>346</x:v>
      </x:c>
      <x:c r="B347" s="10" t="str">
        <x:v>USER-02-0128</x:v>
      </x:c>
      <x:c r="C347" s="10" t="str">
        <x:v>首页与福利</x:v>
      </x:c>
      <x:c r="D347" s="10" t="str">
        <x:v>充值福利（已登录普通用户视角）</x:v>
      </x:c>
      <x:c r="E347" s="10" t="str">
        <x:v>逻辑校验</x:v>
      </x:c>
      <x:c r="F347" s="10" t="str">
        <x:v>P1</x:v>
      </x:c>
      <x:c r="G347" s="9" t="str">
        <x:v>验证每周任务进度重置</x:v>
      </x:c>
      <x:c r="H347" s="9" t="str">
        <x:v>周期任务进度</x:v>
      </x:c>
      <x:c r="I347" s="9" t="str">
        <x:v>1. 执行角色为已登录普通用户；当前处于充值福利页面
2. 每周任务上一周期进度非零；当前已进入新周期且未发生新动作</x:v>
      </x:c>
      <x:c r="J347" s="9" t="str">
        <x:v>1. 查看该任务进度</x:v>
      </x:c>
      <x:c r="K347" s="9" t="str">
        <x:v>进度归零</x:v>
      </x:c>
      <x:c r="L347" s="10" t="str"/>
      <x:c r="M347" s="10" t="str">
        <x:v>未测</x:v>
      </x:c>
      <x:c r="N347" s="10" t="str"/>
      <x:c r="O347" s="9" t="str">
        <x:v>1. 来源（当前证据）：liveshow-proto/MainBasis/统一需求文档.md；位置：行618、行595
2. 规则：BR-b8fde031189f9ec9
3. 未动态验证</x:v>
      </x:c>
    </x:row>
    <x:row r="348" ht="85" customHeight="1">
      <x:c r="A348" s="10" t="n">
        <x:v>347</x:v>
      </x:c>
      <x:c r="B348" s="10" t="str">
        <x:v>USER-02-0129</x:v>
      </x:c>
      <x:c r="C348" s="10" t="str">
        <x:v>首页与福利</x:v>
      </x:c>
      <x:c r="D348" s="10" t="str">
        <x:v>充值福利（已登录普通用户视角）</x:v>
      </x:c>
      <x:c r="E348" s="10" t="str">
        <x:v>逻辑校验</x:v>
      </x:c>
      <x:c r="F348" s="10" t="str">
        <x:v>P1</x:v>
      </x:c>
      <x:c r="G348" s="9" t="str">
        <x:v>验证每月任务进度重置</x:v>
      </x:c>
      <x:c r="H348" s="9" t="str">
        <x:v>周期任务进度</x:v>
      </x:c>
      <x:c r="I348" s="9" t="str">
        <x:v>1. 执行角色为已登录普通用户；当前处于充值福利页面
2. 每月任务上一周期进度非零；当前已进入新周期且未发生新动作</x:v>
      </x:c>
      <x:c r="J348" s="9" t="str">
        <x:v>1. 查看该任务进度</x:v>
      </x:c>
      <x:c r="K348" s="9" t="str">
        <x:v>进度归零</x:v>
      </x:c>
      <x:c r="L348" s="10" t="str"/>
      <x:c r="M348" s="10" t="str">
        <x:v>未测</x:v>
      </x:c>
      <x:c r="N348" s="10" t="str"/>
      <x:c r="O348" s="9" t="str">
        <x:v>1. 来源（当前证据）：liveshow-proto/MainBasis/统一需求文档.md；位置：行618、行595
2. 规则：BR-1159bb3c8da256c9
3. 未动态验证</x:v>
      </x:c>
    </x:row>
    <x:row r="349" ht="85" customHeight="1">
      <x:c r="A349" s="10" t="n">
        <x:v>348</x:v>
      </x:c>
      <x:c r="B349" s="10" t="str">
        <x:v>USER-02-0130</x:v>
      </x:c>
      <x:c r="C349" s="10" t="str">
        <x:v>首页与福利</x:v>
      </x:c>
      <x:c r="D349" s="10" t="str">
        <x:v>充值福利（已登录普通用户视角）</x:v>
      </x:c>
      <x:c r="E349" s="10" t="str">
        <x:v>功能需求</x:v>
      </x:c>
      <x:c r="F349" s="10" t="str">
        <x:v>P1</x:v>
      </x:c>
      <x:c r="G349" s="9" t="str">
        <x:v>验证无周期任务持续累计</x:v>
      </x:c>
      <x:c r="H349" s="9" t="str">
        <x:v>数据保持</x:v>
      </x:c>
      <x:c r="I349" s="9" t="str">
        <x:v>1. 执行角色为已登录普通用户；当前处于充值福利页面
2. 无周期任务仍在有效期内；当前跨过自然日</x:v>
      </x:c>
      <x:c r="J349" s="9" t="str">
        <x:v>1. 查看该任务进度</x:v>
      </x:c>
      <x:c r="K349" s="9" t="str">
        <x:v>保留有效期内已有累计进度</x:v>
      </x:c>
      <x:c r="L349" s="10" t="str"/>
      <x:c r="M349" s="10" t="str">
        <x:v>未测</x:v>
      </x:c>
      <x:c r="N349" s="10" t="str"/>
      <x:c r="O349" s="9" t="str">
        <x:v>1. 来源（当前证据）：liveshow-proto/MainBasis/统一需求文档.md；位置：行618、行595
2. 规则：BR-43e868c9d136d540
3. 未动态验证</x:v>
      </x:c>
    </x:row>
    <x:row r="350" ht="85" customHeight="1">
      <x:c r="A350" s="10" t="n">
        <x:v>349</x:v>
      </x:c>
      <x:c r="B350" s="10" t="str">
        <x:v>USER-02-0131</x:v>
      </x:c>
      <x:c r="C350" s="10" t="str">
        <x:v>首页与福利</x:v>
      </x:c>
      <x:c r="D350" s="10" t="str">
        <x:v>充值福利（游客视角）</x:v>
      </x:c>
      <x:c r="E350" s="10" t="str">
        <x:v>功能需求</x:v>
      </x:c>
      <x:c r="F350" s="10" t="str">
        <x:v>P1</x:v>
      </x:c>
      <x:c r="G350" s="9" t="str">
        <x:v>验证游客签到限制</x:v>
      </x:c>
      <x:c r="H350" s="9" t="str">
        <x:v>访客签到登录引导</x:v>
      </x:c>
      <x:c r="I350" s="9" t="str">
        <x:v>1. 执行角色为游客；当前处于充值福利页面</x:v>
      </x:c>
      <x:c r="J350" s="9" t="str">
        <x:v>1. 点击签到</x:v>
      </x:c>
      <x:c r="K350" s="9" t="str">
        <x:v>跳转登录页</x:v>
      </x:c>
      <x:c r="L350" s="10" t="str"/>
      <x:c r="M350" s="10" t="str">
        <x:v>未测</x:v>
      </x:c>
      <x:c r="N350" s="10" t="str"/>
      <x:c r="O350" s="9" t="str">
        <x:v>1. 来源（当前证据）：liveshow-proto/MainBasis/统一需求文档.md；位置：行623、行595
2. 规则：BR-4f9c30a9da2830e7
3. 未动态验证</x:v>
      </x:c>
    </x:row>
    <x:row r="351" ht="85" customHeight="1">
      <x:c r="A351" s="10" t="n">
        <x:v>350</x:v>
      </x:c>
      <x:c r="B351" s="10" t="str">
        <x:v>USER-02-0132</x:v>
      </x:c>
      <x:c r="C351" s="10" t="str">
        <x:v>首页与福利</x:v>
      </x:c>
      <x:c r="D351" s="10" t="str">
        <x:v>充值福利（游客视角）</x:v>
      </x:c>
      <x:c r="E351" s="10" t="str">
        <x:v>功能需求</x:v>
      </x:c>
      <x:c r="F351" s="10" t="str">
        <x:v>P1</x:v>
      </x:c>
      <x:c r="G351" s="9" t="str">
        <x:v>验证游客领奖限制</x:v>
      </x:c>
      <x:c r="H351" s="9" t="str">
        <x:v>访客领奖登录引导</x:v>
      </x:c>
      <x:c r="I351" s="9" t="str">
        <x:v>1. 执行角色为游客；当前处于充值福利页面</x:v>
      </x:c>
      <x:c r="J351" s="9" t="str">
        <x:v>1. 点击领奖</x:v>
      </x:c>
      <x:c r="K351" s="9" t="str">
        <x:v>跳转登录页</x:v>
      </x:c>
      <x:c r="L351" s="10" t="str"/>
      <x:c r="M351" s="10" t="str">
        <x:v>未测</x:v>
      </x:c>
      <x:c r="N351" s="10" t="str"/>
      <x:c r="O351" s="9" t="str">
        <x:v>1. 来源（当前证据）：liveshow-proto/MainBasis/统一需求文档.md；位置：行623、行595
2. 规则：BR-680e058a4cd0ad64
3. 未动态验证</x:v>
      </x:c>
    </x:row>
    <x:row r="352" ht="85" customHeight="1">
      <x:c r="A352" s="10" t="n">
        <x:v>351</x:v>
      </x:c>
      <x:c r="B352" s="10" t="str">
        <x:v>USER-02-0133</x:v>
      </x:c>
      <x:c r="C352" s="10" t="str">
        <x:v>首页与福利</x:v>
      </x:c>
      <x:c r="D352" s="10" t="str">
        <x:v>充值福利（游客视角）</x:v>
      </x:c>
      <x:c r="E352" s="10" t="str">
        <x:v>功能需求</x:v>
      </x:c>
      <x:c r="F352" s="10" t="str">
        <x:v>P1</x:v>
      </x:c>
      <x:c r="G352" s="9" t="str">
        <x:v>验证游客充值限制</x:v>
      </x:c>
      <x:c r="H352" s="9" t="str">
        <x:v>访客充值登录引导</x:v>
      </x:c>
      <x:c r="I352" s="9" t="str">
        <x:v>1. 执行角色为游客；当前处于充值福利页面</x:v>
      </x:c>
      <x:c r="J352" s="9" t="str">
        <x:v>1. 点击充值</x:v>
      </x:c>
      <x:c r="K352" s="9" t="str">
        <x:v>跳转登录页</x:v>
      </x:c>
      <x:c r="L352" s="10" t="str"/>
      <x:c r="M352" s="10" t="str">
        <x:v>未测</x:v>
      </x:c>
      <x:c r="N352" s="10" t="str"/>
      <x:c r="O352" s="9" t="str">
        <x:v>1. 来源（当前证据）：liveshow-proto/MainBasis/统一需求文档.md；位置：行623、行595
2. 规则：BR-b5daeaa7765105de
3. 未动态验证</x:v>
      </x:c>
    </x:row>
    <x:row r="353" ht="85" customHeight="1">
      <x:c r="A353" s="10" t="n">
        <x:v>352</x:v>
      </x:c>
      <x:c r="B353" s="10" t="str">
        <x:v>USER-02-0134</x:v>
      </x:c>
      <x:c r="C353" s="10" t="str">
        <x:v>首页与福利</x:v>
      </x:c>
      <x:c r="D353" s="10" t="str">
        <x:v>充值福利（运营账号视角）</x:v>
      </x:c>
      <x:c r="E353" s="10" t="str">
        <x:v>功能需求</x:v>
      </x:c>
      <x:c r="F353" s="10" t="str">
        <x:v>P1</x:v>
      </x:c>
      <x:c r="G353" s="9" t="str">
        <x:v>验证运营账号邀请好友限制</x:v>
      </x:c>
      <x:c r="H353" s="9" t="str">
        <x:v>运营账号邀请限制提示</x:v>
      </x:c>
      <x:c r="I353" s="9" t="str">
        <x:v>1. 执行角色为运营账号；当前处于充值福利页面</x:v>
      </x:c>
      <x:c r="J353" s="9" t="str">
        <x:v>1. 点击邀请好友</x:v>
      </x:c>
      <x:c r="K353" s="9" t="str">
        <x:v>提示“运营账号无法操作”</x:v>
      </x:c>
      <x:c r="L353" s="10" t="str"/>
      <x:c r="M353" s="10" t="str">
        <x:v>未测</x:v>
      </x:c>
      <x:c r="N353" s="10" t="str"/>
      <x:c r="O353" s="9" t="str">
        <x:v>1. 来源（当前证据）：liveshow-proto/MainBasis/统一需求文档.md；位置：行623、行511、行595
2. 规则：BR-cd3bb231e7e52bbb
3. 未动态验证</x:v>
      </x:c>
    </x:row>
    <x:row r="354" ht="85" customHeight="1">
      <x:c r="A354" s="10" t="n">
        <x:v>353</x:v>
      </x:c>
      <x:c r="B354" s="10" t="str">
        <x:v>USER-02-0135</x:v>
      </x:c>
      <x:c r="C354" s="10" t="str">
        <x:v>首页与福利</x:v>
      </x:c>
      <x:c r="D354" s="10" t="str">
        <x:v>充值福利（运营账号视角）</x:v>
      </x:c>
      <x:c r="E354" s="10" t="str">
        <x:v>功能需求</x:v>
      </x:c>
      <x:c r="F354" s="10" t="str">
        <x:v>P1</x:v>
      </x:c>
      <x:c r="G354" s="9" t="str">
        <x:v>验证运营账号充值福利限制</x:v>
      </x:c>
      <x:c r="H354" s="9" t="str">
        <x:v>运营账号充值限制提示</x:v>
      </x:c>
      <x:c r="I354" s="9" t="str">
        <x:v>1. 执行角色为运营账号；当前处于充值福利页面</x:v>
      </x:c>
      <x:c r="J354" s="9" t="str">
        <x:v>1. 点击充值福利</x:v>
      </x:c>
      <x:c r="K354" s="9" t="str">
        <x:v>提示“运营账号无法操作”</x:v>
      </x:c>
      <x:c r="L354" s="10" t="str"/>
      <x:c r="M354" s="10" t="str">
        <x:v>未测</x:v>
      </x:c>
      <x:c r="N354" s="10" t="str"/>
      <x:c r="O354" s="9" t="str">
        <x:v>1. 来源（当前证据）：liveshow-proto/MainBasis/统一需求文档.md；位置：行623、行511、行595
2. 规则：BR-f9657b99ef99aa60
3. 未动态验证</x:v>
      </x:c>
    </x:row>
    <x:row r="355" ht="85" customHeight="1">
      <x:c r="A355" s="10" t="n">
        <x:v>354</x:v>
      </x:c>
      <x:c r="B355" s="10" t="str">
        <x:v>USER-02-0136</x:v>
      </x:c>
      <x:c r="C355" s="10" t="str">
        <x:v>首页与福利</x:v>
      </x:c>
      <x:c r="D355" s="10" t="str">
        <x:v>充值福利（运营账号视角）</x:v>
      </x:c>
      <x:c r="E355" s="10" t="str">
        <x:v>功能需求</x:v>
      </x:c>
      <x:c r="F355" s="10" t="str">
        <x:v>P1</x:v>
      </x:c>
      <x:c r="G355" s="9" t="str">
        <x:v>验证运营账号签到限制</x:v>
      </x:c>
      <x:c r="H355" s="9" t="str">
        <x:v>运营账号签到限制提示</x:v>
      </x:c>
      <x:c r="I355" s="9" t="str">
        <x:v>1. 执行角色为运营账号；当前处于充值福利页面</x:v>
      </x:c>
      <x:c r="J355" s="9" t="str">
        <x:v>1. 点击签到</x:v>
      </x:c>
      <x:c r="K355" s="9" t="str">
        <x:v>提示“运营账号无法操作”</x:v>
      </x:c>
      <x:c r="L355" s="10" t="str"/>
      <x:c r="M355" s="10" t="str">
        <x:v>未测</x:v>
      </x:c>
      <x:c r="N355" s="10" t="str"/>
      <x:c r="O355" s="9" t="str">
        <x:v>1. 来源（当前证据）：liveshow-proto/MainBasis/统一需求文档.md；位置：行623、行511、行595
2. 规则：BR-059f11bbeaa043a2
3. 未动态验证</x:v>
      </x:c>
    </x:row>
    <x:row r="356" ht="85" customHeight="1">
      <x:c r="A356" s="10" t="n">
        <x:v>355</x:v>
      </x:c>
      <x:c r="B356" s="10" t="str">
        <x:v>USER-02-0137</x:v>
      </x:c>
      <x:c r="C356" s="10" t="str">
        <x:v>首页与福利</x:v>
      </x:c>
      <x:c r="D356" s="10" t="str">
        <x:v>充值福利（运营账号视角）</x:v>
      </x:c>
      <x:c r="E356" s="10" t="str">
        <x:v>功能需求</x:v>
      </x:c>
      <x:c r="F356" s="10" t="str">
        <x:v>P1</x:v>
      </x:c>
      <x:c r="G356" s="9" t="str">
        <x:v>验证运营账号任务奖励限制</x:v>
      </x:c>
      <x:c r="H356" s="9" t="str">
        <x:v>运营账号领奖限制提示</x:v>
      </x:c>
      <x:c r="I356" s="9" t="str">
        <x:v>1. 执行角色为运营账号；当前处于充值福利页面</x:v>
      </x:c>
      <x:c r="J356" s="9" t="str">
        <x:v>1. 点击任务奖励</x:v>
      </x:c>
      <x:c r="K356" s="9" t="str">
        <x:v>提示“运营账号无法操作”</x:v>
      </x:c>
      <x:c r="L356" s="10" t="str"/>
      <x:c r="M356" s="10" t="str">
        <x:v>未测</x:v>
      </x:c>
      <x:c r="N356" s="10" t="str"/>
      <x:c r="O356" s="9" t="str">
        <x:v>1. 来源（当前证据）：liveshow-proto/MainBasis/统一需求文档.md；位置：行623、行511、行595
2. 规则：BR-ce2e3c3219f46d29
3. 未动态验证</x:v>
      </x:c>
    </x:row>
    <x:row r="357" ht="85" customHeight="1">
      <x:c r="A357" s="10" t="n">
        <x:v>356</x:v>
      </x:c>
      <x:c r="B357" s="10" t="str">
        <x:v>USER-02-0138</x:v>
      </x:c>
      <x:c r="C357" s="10" t="str">
        <x:v>首页与福利</x:v>
      </x:c>
      <x:c r="D357" s="10" t="str">
        <x:v>充值福利（运营账号视角）</x:v>
      </x:c>
      <x:c r="E357" s="10" t="str">
        <x:v>功能需求</x:v>
      </x:c>
      <x:c r="F357" s="10" t="str">
        <x:v>P1</x:v>
      </x:c>
      <x:c r="G357" s="9" t="str">
        <x:v>验证运营账号全部任务限制</x:v>
      </x:c>
      <x:c r="H357" s="9" t="str">
        <x:v>运营账号任务访问提示</x:v>
      </x:c>
      <x:c r="I357" s="9" t="str">
        <x:v>1. 执行角色为运营账号；当前处于充值福利页面</x:v>
      </x:c>
      <x:c r="J357" s="9" t="str">
        <x:v>1. 点击全部任务</x:v>
      </x:c>
      <x:c r="K357" s="9" t="str">
        <x:v>提示“运营账号无法操作”</x:v>
      </x:c>
      <x:c r="L357" s="10" t="str"/>
      <x:c r="M357" s="10" t="str">
        <x:v>未测</x:v>
      </x:c>
      <x:c r="N357" s="10" t="str"/>
      <x:c r="O357" s="9" t="str">
        <x:v>1. 来源（当前证据）：liveshow-proto/MainBasis/统一需求文档.md；位置：行623、行511、行595
2. 规则：BR-f353d25b24f215e4
3. 未动态验证</x:v>
      </x:c>
    </x:row>
    <x:row r="358" ht="85" customHeight="1">
      <x:c r="A358" s="10" t="n">
        <x:v>357</x:v>
      </x:c>
      <x:c r="B358" s="10" t="str">
        <x:v>USER-02-0139</x:v>
      </x:c>
      <x:c r="C358" s="10" t="str">
        <x:v>首页与福利</x:v>
      </x:c>
      <x:c r="D358" s="10" t="str">
        <x:v>全部任务（已登录普通用户视角）</x:v>
      </x:c>
      <x:c r="E358" s="10" t="str">
        <x:v>功能需求</x:v>
      </x:c>
      <x:c r="F358" s="10" t="str">
        <x:v>P1</x:v>
      </x:c>
      <x:c r="G358" s="9" t="str">
        <x:v>验证任务展示范围：任务种类</x:v>
      </x:c>
      <x:c r="H358" s="9" t="str">
        <x:v>任务种类</x:v>
      </x:c>
      <x:c r="I358" s="9" t="str">
        <x:v>1. 执行角色为已登录普通用户；当前处于全部任务页面</x:v>
      </x:c>
      <x:c r="J358" s="9" t="str">
        <x:v>1. 查看全部任务列表</x:v>
      </x:c>
      <x:c r="K358" s="9" t="str">
        <x:v>列表任务种类集合为观看直播、送礼、分享</x:v>
      </x:c>
      <x:c r="L358" s="10" t="str"/>
      <x:c r="M358" s="10" t="str">
        <x:v>未测</x:v>
      </x:c>
      <x:c r="N358" s="10" t="str"/>
      <x:c r="O358" s="9" t="str">
        <x:v>1. 来源（当前证据）：liveshow-proto/MainBasis/统一需求文档.md；位置：行628、行635、行626
2. 规则：BR-64ebb18e6bfe2aba
3. 未动态验证</x:v>
      </x:c>
    </x:row>
    <x:row r="359" ht="85" customHeight="1">
      <x:c r="A359" s="10" t="n">
        <x:v>358</x:v>
      </x:c>
      <x:c r="B359" s="10" t="str">
        <x:v>USER-02-0140</x:v>
      </x:c>
      <x:c r="C359" s="10" t="str">
        <x:v>首页与福利</x:v>
      </x:c>
      <x:c r="D359" s="10" t="str">
        <x:v>全部任务（已登录普通用户视角）</x:v>
      </x:c>
      <x:c r="E359" s="10" t="str">
        <x:v>功能需求</x:v>
      </x:c>
      <x:c r="F359" s="10" t="str">
        <x:v>P1</x:v>
      </x:c>
      <x:c r="G359" s="9" t="str">
        <x:v>验证任务信息：目标值</x:v>
      </x:c>
      <x:c r="H359" s="9" t="str">
        <x:v>目标值</x:v>
      </x:c>
      <x:c r="I359" s="9" t="str">
        <x:v>1. 执行角色为已登录普通用户；当前处于全部任务页面
2. 三项任务已配置目标值、奖励及当前进度</x:v>
      </x:c>
      <x:c r="J359" s="9" t="str">
        <x:v>1. 查看任务项</x:v>
      </x:c>
      <x:c r="K359" s="9" t="str">
        <x:v>各任务目标值来自当前配置</x:v>
      </x:c>
      <x:c r="L359" s="10" t="str"/>
      <x:c r="M359" s="10" t="str">
        <x:v>未测</x:v>
      </x:c>
      <x:c r="N359" s="10" t="str"/>
      <x:c r="O359" s="9" t="str">
        <x:v>1. 来源（当前证据）：liveshow-proto/MainBasis/统一需求文档.md；位置：行629、行630、行631、行626
2. 规则：BR-6731f61e24b57873
3. 未动态验证</x:v>
      </x:c>
    </x:row>
    <x:row r="360" ht="85" customHeight="1">
      <x:c r="A360" s="10" t="n">
        <x:v>359</x:v>
      </x:c>
      <x:c r="B360" s="10" t="str">
        <x:v>USER-02-0141</x:v>
      </x:c>
      <x:c r="C360" s="10" t="str">
        <x:v>首页与福利</x:v>
      </x:c>
      <x:c r="D360" s="10" t="str">
        <x:v>全部任务（已登录普通用户视角）</x:v>
      </x:c>
      <x:c r="E360" s="10" t="str">
        <x:v>功能需求</x:v>
      </x:c>
      <x:c r="F360" s="10" t="str">
        <x:v>P1</x:v>
      </x:c>
      <x:c r="G360" s="9" t="str">
        <x:v>验证任务信息：当前进度</x:v>
      </x:c>
      <x:c r="H360" s="9" t="str">
        <x:v>当前进度</x:v>
      </x:c>
      <x:c r="I360" s="9" t="str">
        <x:v>1. 执行角色为已登录普通用户；当前处于全部任务页面
2. 三项任务已配置目标值、奖励及当前进度</x:v>
      </x:c>
      <x:c r="J360" s="9" t="str">
        <x:v>1. 查看任务项</x:v>
      </x:c>
      <x:c r="K360" s="9" t="str">
        <x:v>各任务显示当前账号已取得进度</x:v>
      </x:c>
      <x:c r="L360" s="10" t="str"/>
      <x:c r="M360" s="10" t="str">
        <x:v>未测</x:v>
      </x:c>
      <x:c r="N360" s="10" t="str"/>
      <x:c r="O360" s="9" t="str">
        <x:v>1. 来源（当前证据）：liveshow-proto/MainBasis/统一需求文档.md；位置：行629、行630、行631、行626
2. 规则：BR-502d64ab9f2af2a8
3. 未动态验证</x:v>
      </x:c>
    </x:row>
    <x:row r="361" ht="85" customHeight="1">
      <x:c r="A361" s="10" t="n">
        <x:v>360</x:v>
      </x:c>
      <x:c r="B361" s="10" t="str">
        <x:v>USER-02-0142</x:v>
      </x:c>
      <x:c r="C361" s="10" t="str">
        <x:v>首页与福利</x:v>
      </x:c>
      <x:c r="D361" s="10" t="str">
        <x:v>全部任务（已登录普通用户视角）</x:v>
      </x:c>
      <x:c r="E361" s="10" t="str">
        <x:v>功能需求</x:v>
      </x:c>
      <x:c r="F361" s="10" t="str">
        <x:v>P1</x:v>
      </x:c>
      <x:c r="G361" s="9" t="str">
        <x:v>验证任务信息：奖励金额</x:v>
      </x:c>
      <x:c r="H361" s="9" t="str">
        <x:v>奖励金额</x:v>
      </x:c>
      <x:c r="I361" s="9" t="str">
        <x:v>1. 执行角色为已登录普通用户；当前处于全部任务页面
2. 三项任务已配置目标值、奖励及当前进度</x:v>
      </x:c>
      <x:c r="J361" s="9" t="str">
        <x:v>1. 查看任务项</x:v>
      </x:c>
      <x:c r="K361" s="9" t="str">
        <x:v>各任务金币奖励来自当前配置</x:v>
      </x:c>
      <x:c r="L361" s="10" t="str"/>
      <x:c r="M361" s="10" t="str">
        <x:v>未测</x:v>
      </x:c>
      <x:c r="N361" s="10" t="str"/>
      <x:c r="O361" s="9" t="str">
        <x:v>1. 来源（当前证据）：liveshow-proto/MainBasis/统一需求文档.md；位置：行629、行630、行631、行626
2. 规则：BR-7eb4baab3c86ffa5
3. 未动态验证</x:v>
      </x:c>
    </x:row>
    <x:row r="362" ht="85" customHeight="1">
      <x:c r="A362" s="10" t="n">
        <x:v>361</x:v>
      </x:c>
      <x:c r="B362" s="10" t="str">
        <x:v>USER-02-0143</x:v>
      </x:c>
      <x:c r="C362" s="10" t="str">
        <x:v>首页与福利</x:v>
      </x:c>
      <x:c r="D362" s="10" t="str">
        <x:v>全部任务（已登录普通用户视角）</x:v>
      </x:c>
      <x:c r="E362" s="10" t="str">
        <x:v>功能需求</x:v>
      </x:c>
      <x:c r="F362" s="10" t="str">
        <x:v>P1</x:v>
      </x:c>
      <x:c r="G362" s="9" t="str">
        <x:v>验证任务信息：领取状态</x:v>
      </x:c>
      <x:c r="H362" s="9" t="str">
        <x:v>领取状态</x:v>
      </x:c>
      <x:c r="I362" s="9" t="str">
        <x:v>1. 执行角色为已登录普通用户；当前处于全部任务页面
2. 三项任务已配置目标值、奖励及当前进度</x:v>
      </x:c>
      <x:c r="J362" s="9" t="str">
        <x:v>1. 查看任务项</x:v>
      </x:c>
      <x:c r="K362" s="9" t="str">
        <x:v>各任务显示当前实例领取状态</x:v>
      </x:c>
      <x:c r="L362" s="10" t="str"/>
      <x:c r="M362" s="10" t="str">
        <x:v>未测</x:v>
      </x:c>
      <x:c r="N362" s="10" t="str"/>
      <x:c r="O362" s="9" t="str">
        <x:v>1. 来源（当前证据）：liveshow-proto/MainBasis/统一需求文档.md；位置：行629、行630、行631、行626
2. 规则：BR-9c547eb513778c48
3. 未动态验证</x:v>
      </x:c>
    </x:row>
    <x:row r="363" ht="85" customHeight="1">
      <x:c r="A363" s="10" t="n">
        <x:v>362</x:v>
      </x:c>
      <x:c r="B363" s="10" t="str">
        <x:v>USER-02-0144</x:v>
      </x:c>
      <x:c r="C363" s="10" t="str">
        <x:v>首页与福利</x:v>
      </x:c>
      <x:c r="D363" s="10" t="str">
        <x:v>全部任务（已登录普通用户视角）</x:v>
      </x:c>
      <x:c r="E363" s="10" t="str">
        <x:v>功能需求</x:v>
      </x:c>
      <x:c r="F363" s="10" t="str">
        <x:v>P1</x:v>
      </x:c>
      <x:c r="G363" s="9" t="str">
        <x:v>验证任务奖励领取：奖励入账</x:v>
      </x:c>
      <x:c r="H363" s="9" t="str">
        <x:v>奖励入账</x:v>
      </x:c>
      <x:c r="I363" s="9" t="str">
        <x:v>1. 执行角色为已登录普通用户；当前处于全部任务页面
2. 任务已达标且未过期未领奖</x:v>
      </x:c>
      <x:c r="J363" s="9" t="str">
        <x:v>1. 点击领取</x:v>
      </x:c>
      <x:c r="K363" s="9" t="str">
        <x:v>该任务奖励发放一次</x:v>
      </x:c>
      <x:c r="L363" s="10" t="str"/>
      <x:c r="M363" s="10" t="str">
        <x:v>未测</x:v>
      </x:c>
      <x:c r="N363" s="10" t="str"/>
      <x:c r="O363" s="9" t="str">
        <x:v>1. 来源（当前证据）：liveshow-proto/MainBasis/统一需求文档.md；位置：行637、行626
2. 规则：BR-07b4e98c2e12d36e
3. 未动态验证</x:v>
      </x:c>
    </x:row>
    <x:row r="364" ht="85" customHeight="1">
      <x:c r="A364" s="10" t="n">
        <x:v>363</x:v>
      </x:c>
      <x:c r="B364" s="10" t="str">
        <x:v>USER-02-0145</x:v>
      </x:c>
      <x:c r="C364" s="10" t="str">
        <x:v>首页与福利</x:v>
      </x:c>
      <x:c r="D364" s="10" t="str">
        <x:v>全部任务（已登录普通用户视角）</x:v>
      </x:c>
      <x:c r="E364" s="10" t="str">
        <x:v>功能需求</x:v>
      </x:c>
      <x:c r="F364" s="10" t="str">
        <x:v>P1</x:v>
      </x:c>
      <x:c r="G364" s="9" t="str">
        <x:v>验证任务奖励领取：领取状态</x:v>
      </x:c>
      <x:c r="H364" s="9" t="str">
        <x:v>领取状态</x:v>
      </x:c>
      <x:c r="I364" s="9" t="str">
        <x:v>1. 执行角色为已登录普通用户；当前处于全部任务页面
2. 任务已达标且未过期未领奖</x:v>
      </x:c>
      <x:c r="J364" s="9" t="str">
        <x:v>1. 点击领取</x:v>
      </x:c>
      <x:c r="K364" s="9" t="str">
        <x:v>该任务状态变为已领取</x:v>
      </x:c>
      <x:c r="L364" s="10" t="str"/>
      <x:c r="M364" s="10" t="str">
        <x:v>未测</x:v>
      </x:c>
      <x:c r="N364" s="10" t="str"/>
      <x:c r="O364" s="9" t="str">
        <x:v>1. 来源（当前证据）：liveshow-proto/MainBasis/统一需求文档.md；位置：行637、行626
2. 规则：BR-b4fc851b4575b5c6
3. 未动态验证</x:v>
      </x:c>
    </x:row>
    <x:row r="365" ht="85" customHeight="1">
      <x:c r="A365" s="10" t="n">
        <x:v>364</x:v>
      </x:c>
      <x:c r="B365" s="10" t="str">
        <x:v>USER-02-0146</x:v>
      </x:c>
      <x:c r="C365" s="10" t="str">
        <x:v>首页与福利</x:v>
      </x:c>
      <x:c r="D365" s="10" t="str">
        <x:v>全部任务（已登录普通用户视角）</x:v>
      </x:c>
      <x:c r="E365" s="10" t="str">
        <x:v>功能需求</x:v>
      </x:c>
      <x:c r="F365" s="10" t="str">
        <x:v>P1</x:v>
      </x:c>
      <x:c r="G365" s="9" t="str">
        <x:v>验证已领取禁重复</x:v>
      </x:c>
      <x:c r="H365" s="9" t="str">
        <x:v>任务奖励重复领取限制</x:v>
      </x:c>
      <x:c r="I365" s="9" t="str">
        <x:v>1. 执行角色为已登录普通用户；当前处于全部任务页面
2. 任务实例已领取</x:v>
      </x:c>
      <x:c r="J365" s="9" t="str">
        <x:v>1. 点击已领取</x:v>
      </x:c>
      <x:c r="K365" s="9" t="str">
        <x:v>不重复发放奖励</x:v>
      </x:c>
      <x:c r="L365" s="10" t="str"/>
      <x:c r="M365" s="10" t="str">
        <x:v>未测</x:v>
      </x:c>
      <x:c r="N365" s="10" t="str"/>
      <x:c r="O365" s="9" t="str">
        <x:v>1. 来源（当前证据）：liveshow-proto/MainBasis/统一需求文档.md；位置：行633、行637、行626
2. 规则：BR-9af7c4f4dd2588b8
3. 未动态验证</x:v>
      </x:c>
    </x:row>
    <x:row r="366" ht="85" customHeight="1">
      <x:c r="A366" s="10" t="n">
        <x:v>365</x:v>
      </x:c>
      <x:c r="B366" s="10" t="str">
        <x:v>USER-02-0147</x:v>
      </x:c>
      <x:c r="C366" s="10" t="str">
        <x:v>首页与福利</x:v>
      </x:c>
      <x:c r="D366" s="10" t="str">
        <x:v>全部任务（已登录普通用户视角）</x:v>
      </x:c>
      <x:c r="E366" s="10" t="str">
        <x:v>功能需求</x:v>
      </x:c>
      <x:c r="F366" s="10" t="str">
        <x:v>P2</x:v>
      </x:c>
      <x:c r="G366" s="9" t="str">
        <x:v>验证返回福利页</x:v>
      </x:c>
      <x:c r="H366" s="9" t="str">
        <x:v>福利页面去向</x:v>
      </x:c>
      <x:c r="I366" s="9" t="str">
        <x:v>1. 执行角色为已登录普通用户；当前处于全部任务页面</x:v>
      </x:c>
      <x:c r="J366" s="9" t="str">
        <x:v>1. 点击返回</x:v>
      </x:c>
      <x:c r="K366" s="9" t="str">
        <x:v>回到充值福利页</x:v>
      </x:c>
      <x:c r="L366" s="10" t="str"/>
      <x:c r="M366" s="10" t="str">
        <x:v>未测</x:v>
      </x:c>
      <x:c r="N366" s="10" t="str"/>
      <x:c r="O366" s="9" t="str">
        <x:v>1. 来源（当前证据）：liveshow-proto/MainBasis/统一需求文档.md；位置：行638、行626
2. 规则：BR-9a5355b21d15b2de
3. 未动态验证</x:v>
      </x:c>
    </x:row>
    <x:row r="367" ht="85" customHeight="1">
      <x:c r="A367" s="10" t="n">
        <x:v>366</x:v>
      </x:c>
      <x:c r="B367" s="10" t="str">
        <x:v>USER-02-0148</x:v>
      </x:c>
      <x:c r="C367" s="10" t="str">
        <x:v>首页与福利</x:v>
      </x:c>
      <x:c r="D367" s="10" t="str">
        <x:v>邀请好友（已登录普通用户视角）</x:v>
      </x:c>
      <x:c r="E367" s="10" t="str">
        <x:v>功能需求</x:v>
      </x:c>
      <x:c r="F367" s="10" t="str">
        <x:v>P1</x:v>
      </x:c>
      <x:c r="G367" s="9" t="str">
        <x:v>验证成功邀请人数</x:v>
      </x:c>
      <x:c r="H367" s="9" t="str">
        <x:v>成功邀请人数统计</x:v>
      </x:c>
      <x:c r="I367" s="9" t="str">
        <x:v>1. 执行角色为已登录普通用户；当前处于邀请好友页面
2. 当前账号有3名成功邀请好友</x:v>
      </x:c>
      <x:c r="J367" s="9" t="str">
        <x:v>1. 查看已邀请好友</x:v>
      </x:c>
      <x:c r="K367" s="9" t="str">
        <x:v>人数为3</x:v>
      </x:c>
      <x:c r="L367" s="10" t="str"/>
      <x:c r="M367" s="10" t="str">
        <x:v>未测</x:v>
      </x:c>
      <x:c r="N367" s="10" t="str"/>
      <x:c r="O367" s="9" t="str">
        <x:v>1. 来源（当前证据）：liveshow-proto/MainBasis/统一需求文档.md；位置：行643、行641
2. 规则：BR-d1591592a2db397e
3. 未动态验证</x:v>
      </x:c>
    </x:row>
    <x:row r="368" ht="85" customHeight="1">
      <x:c r="A368" s="10" t="n">
        <x:v>367</x:v>
      </x:c>
      <x:c r="B368" s="10" t="str">
        <x:v>USER-02-0149</x:v>
      </x:c>
      <x:c r="C368" s="10" t="str">
        <x:v>首页与福利</x:v>
      </x:c>
      <x:c r="D368" s="10" t="str">
        <x:v>邀请好友（已登录普通用户视角）</x:v>
      </x:c>
      <x:c r="E368" s="10" t="str">
        <x:v>功能需求</x:v>
      </x:c>
      <x:c r="F368" s="10" t="str">
        <x:v>P1</x:v>
      </x:c>
      <x:c r="G368" s="9" t="str">
        <x:v>验证邀请记录范围</x:v>
      </x:c>
      <x:c r="H368" s="9" t="str">
        <x:v>邀请记录账号范围</x:v>
      </x:c>
      <x:c r="I368" s="9" t="str">
        <x:v>1. 执行角色为已登录普通用户；当前处于邀请好友页面
2. 当前账号及另一账号均有成功邀请记录</x:v>
      </x:c>
      <x:c r="J368" s="9" t="str">
        <x:v>1. 切换邀请记录</x:v>
      </x:c>
      <x:c r="K368" s="9" t="str">
        <x:v>仅展示当前账号成功邀请的好友</x:v>
      </x:c>
      <x:c r="L368" s="10" t="str"/>
      <x:c r="M368" s="10" t="str">
        <x:v>未测</x:v>
      </x:c>
      <x:c r="N368" s="10" t="str"/>
      <x:c r="O368" s="9" t="str">
        <x:v>1. 来源（当前证据）：liveshow-proto/MainBasis/统一需求文档.md；位置：行648、行641
2. 规则：BR-a3b8461d9ecb07bf
3. 未动态验证</x:v>
      </x:c>
    </x:row>
    <x:row r="369" ht="85" customHeight="1">
      <x:c r="A369" s="10" t="n">
        <x:v>368</x:v>
      </x:c>
      <x:c r="B369" s="10" t="str">
        <x:v>USER-02-0150</x:v>
      </x:c>
      <x:c r="C369" s="10" t="str">
        <x:v>首页与福利</x:v>
      </x:c>
      <x:c r="D369" s="10" t="str">
        <x:v>邀请好友（已登录普通用户视角）</x:v>
      </x:c>
      <x:c r="E369" s="10" t="str">
        <x:v>功能需求</x:v>
      </x:c>
      <x:c r="F369" s="10" t="str">
        <x:v>P2</x:v>
      </x:c>
      <x:c r="G369" s="9" t="str">
        <x:v>验证邀请记录倒序</x:v>
      </x:c>
      <x:c r="H369" s="9" t="str">
        <x:v>排列次序</x:v>
      </x:c>
      <x:c r="I369" s="9" t="str">
        <x:v>1. 执行角色为已登录普通用户；当前处于邀请好友页面
2. 有9月14日和9月15日两条邀请记录</x:v>
      </x:c>
      <x:c r="J369" s="9" t="str">
        <x:v>1. 查看邀请记录</x:v>
      </x:c>
      <x:c r="K369" s="9" t="str">
        <x:v>9月15日记录排在9月14日前</x:v>
      </x:c>
      <x:c r="L369" s="10" t="str"/>
      <x:c r="M369" s="10" t="str">
        <x:v>未测</x:v>
      </x:c>
      <x:c r="N369" s="10" t="str"/>
      <x:c r="O369" s="9" t="str">
        <x:v>1. 来源（当前证据）：liveshow-proto/MainBasis/统一需求文档.md；位置：行648、行641
2. 规则：BR-08ba8e417e4fc565
3. 未动态验证</x:v>
      </x:c>
    </x:row>
    <x:row r="370" ht="85" customHeight="1">
      <x:c r="A370" s="10" t="n">
        <x:v>369</x:v>
      </x:c>
      <x:c r="B370" s="10" t="str">
        <x:v>USER-02-0151</x:v>
      </x:c>
      <x:c r="C370" s="10" t="str">
        <x:v>首页与福利</x:v>
      </x:c>
      <x:c r="D370" s="10" t="str">
        <x:v>邀请好友（已登录普通用户视角）</x:v>
      </x:c>
      <x:c r="E370" s="10" t="str">
        <x:v>功能需求</x:v>
      </x:c>
      <x:c r="F370" s="10" t="str">
        <x:v>P2</x:v>
      </x:c>
      <x:c r="G370" s="9" t="str">
        <x:v>验证邀请记录字段</x:v>
      </x:c>
      <x:c r="H370" s="9" t="str">
        <x:v>邀请记录字段展示</x:v>
      </x:c>
      <x:c r="I370" s="9" t="str">
        <x:v>1. 执行角色为已登录普通用户；当前处于邀请好友页面
2. 当前有成功邀请记录</x:v>
      </x:c>
      <x:c r="J370" s="9" t="str">
        <x:v>1. 查看邀请记录</x:v>
      </x:c>
      <x:c r="K370" s="9" t="str">
        <x:v>展示好友昵称及邀请日期</x:v>
      </x:c>
      <x:c r="L370" s="10" t="str"/>
      <x:c r="M370" s="10" t="str">
        <x:v>未测</x:v>
      </x:c>
      <x:c r="N370" s="10" t="str"/>
      <x:c r="O370" s="9" t="str">
        <x:v>1. 来源（当前证据）：liveshow-proto/MainBasis/统一需求文档.md；位置：行645、行641
2. 规则：BR-88bee9b738deb731
3. 未动态验证</x:v>
      </x:c>
    </x:row>
    <x:row r="371" ht="85" customHeight="1">
      <x:c r="A371" s="10" t="n">
        <x:v>370</x:v>
      </x:c>
      <x:c r="B371" s="10" t="str">
        <x:v>USER-02-0152</x:v>
      </x:c>
      <x:c r="C371" s="10" t="str">
        <x:v>首页与福利</x:v>
      </x:c>
      <x:c r="D371" s="10" t="str">
        <x:v>邀请好友（已登录普通用户视角）</x:v>
      </x:c>
      <x:c r="E371" s="10" t="str">
        <x:v>功能需求</x:v>
      </x:c>
      <x:c r="F371" s="10" t="str">
        <x:v>P2</x:v>
      </x:c>
      <x:c r="G371" s="9" t="str">
        <x:v>验证邀请记录翻页</x:v>
      </x:c>
      <x:c r="H371" s="9" t="str">
        <x:v>邀请记录分页</x:v>
      </x:c>
      <x:c r="I371" s="9" t="str">
        <x:v>1. 执行角色为已登录普通用户；当前处于邀请好友页面
2. 邀请记录超过一页</x:v>
      </x:c>
      <x:c r="J371" s="9" t="str">
        <x:v>1. 点击下一页</x:v>
      </x:c>
      <x:c r="K371" s="9" t="str">
        <x:v>显示下一页邀请记录</x:v>
      </x:c>
      <x:c r="L371" s="10" t="str"/>
      <x:c r="M371" s="10" t="str">
        <x:v>未测</x:v>
      </x:c>
      <x:c r="N371" s="10" t="str"/>
      <x:c r="O371" s="9" t="str">
        <x:v>1. 来源（当前证据）：liveshow-proto/MainBasis/统一需求文档.md；位置：行650、行641
2. 规则：BR-71247e313b43397d
3. 未动态验证</x:v>
      </x:c>
    </x:row>
    <x:row r="372" ht="85" customHeight="1">
      <x:c r="A372" s="10" t="n">
        <x:v>371</x:v>
      </x:c>
      <x:c r="B372" s="10" t="str">
        <x:v>USER-02-0153</x:v>
      </x:c>
      <x:c r="C372" s="10" t="str">
        <x:v>首页与福利</x:v>
      </x:c>
      <x:c r="D372" s="10" t="str">
        <x:v>邀请好友（已登录普通用户视角）</x:v>
      </x:c>
      <x:c r="E372" s="10" t="str">
        <x:v>功能需求</x:v>
      </x:c>
      <x:c r="F372" s="10" t="str">
        <x:v>P2</x:v>
      </x:c>
      <x:c r="G372" s="9" t="str">
        <x:v>验证邀请选项：分享选项集合</x:v>
      </x:c>
      <x:c r="H372" s="9" t="str">
        <x:v>分享选项集合</x:v>
      </x:c>
      <x:c r="I372" s="9" t="str">
        <x:v>1. 执行角色为已登录普通用户；当前处于邀请好友页面</x:v>
      </x:c>
      <x:c r="J372" s="9" t="str">
        <x:v>1. 点击邀请好友</x:v>
      </x:c>
      <x:c r="K372" s="9" t="str">
        <x:v>分享方式集合为复制链接、发送给好友、保存图片</x:v>
      </x:c>
      <x:c r="L372" s="10" t="str"/>
      <x:c r="M372" s="10" t="str">
        <x:v>未测</x:v>
      </x:c>
      <x:c r="N372" s="10" t="str"/>
      <x:c r="O372" s="9" t="str">
        <x:v>1. 来源（当前证据）：liveshow-proto/MainBasis/统一需求文档.md；位置：行651、行1915、行641
2. 规则：BR-9be937f74c5076b0
3. 未动态验证</x:v>
      </x:c>
    </x:row>
    <x:row r="373" ht="85" customHeight="1">
      <x:c r="A373" s="10" t="n">
        <x:v>372</x:v>
      </x:c>
      <x:c r="B373" s="10" t="str">
        <x:v>USER-02-0154</x:v>
      </x:c>
      <x:c r="C373" s="10" t="str">
        <x:v>首页与福利</x:v>
      </x:c>
      <x:c r="D373" s="10" t="str">
        <x:v>邀请好友（已登录普通用户视角）</x:v>
      </x:c>
      <x:c r="E373" s="10" t="str">
        <x:v>功能需求</x:v>
      </x:c>
      <x:c r="F373" s="10" t="str">
        <x:v>P2</x:v>
      </x:c>
      <x:c r="G373" s="9" t="str">
        <x:v>验证复制邀请链接</x:v>
      </x:c>
      <x:c r="H373" s="9" t="str">
        <x:v>邀请链接复制反馈</x:v>
      </x:c>
      <x:c r="I373" s="9" t="str">
        <x:v>1. 执行角色为已登录普通用户；当前处于邀请好友页面
2. 分享选项已打开</x:v>
      </x:c>
      <x:c r="J373" s="9" t="str">
        <x:v>1. 点击复制链接</x:v>
      </x:c>
      <x:c r="K373" s="9" t="str">
        <x:v>复制当前账号邀请链接并提示“复制成功”</x:v>
      </x:c>
      <x:c r="L373" s="10" t="str"/>
      <x:c r="M373" s="10" t="str">
        <x:v>未测</x:v>
      </x:c>
      <x:c r="N373" s="10" t="str"/>
      <x:c r="O373" s="9" t="str">
        <x:v>1. 来源（当前证据）：liveshow-proto/MainBasis/统一需求文档.md；位置：行1917、行1916、行641
2. 规则：BR-aa077efbe7b8b7e0
3. 未动态验证</x:v>
      </x:c>
    </x:row>
    <x:row r="374" ht="85" customHeight="1">
      <x:c r="A374" s="10" t="n">
        <x:v>373</x:v>
      </x:c>
      <x:c r="B374" s="10" t="str">
        <x:v>USER-02-0155</x:v>
      </x:c>
      <x:c r="C374" s="10" t="str">
        <x:v>首页与福利</x:v>
      </x:c>
      <x:c r="D374" s="10" t="str">
        <x:v>邀请好友（已登录普通用户视角）</x:v>
      </x:c>
      <x:c r="E374" s="10" t="str">
        <x:v>功能需求</x:v>
      </x:c>
      <x:c r="F374" s="10" t="str">
        <x:v>P2</x:v>
      </x:c>
      <x:c r="G374" s="9" t="str">
        <x:v>验证系统分享邀请</x:v>
      </x:c>
      <x:c r="H374" s="9" t="str">
        <x:v>系统分享唤起</x:v>
      </x:c>
      <x:c r="I374" s="9" t="str">
        <x:v>1. 执行角色为已登录普通用户；当前处于邀请好友页面
2. 分享选项已打开</x:v>
      </x:c>
      <x:c r="J374" s="9" t="str">
        <x:v>1. 点击发送给好友</x:v>
      </x:c>
      <x:c r="K374" s="9" t="str">
        <x:v>唤起系统分享能力</x:v>
      </x:c>
      <x:c r="L374" s="10" t="str"/>
      <x:c r="M374" s="10" t="str">
        <x:v>未测</x:v>
      </x:c>
      <x:c r="N374" s="10" t="str"/>
      <x:c r="O374" s="9" t="str">
        <x:v>1. 来源（当前证据）：liveshow-proto/MainBasis/统一需求文档.md；位置：行1918、行641
2. 规则：BR-6e5b03ccd15f03cb
3. 未动态验证</x:v>
      </x:c>
    </x:row>
    <x:row r="375" ht="85" customHeight="1">
      <x:c r="A375" s="10" t="n">
        <x:v>374</x:v>
      </x:c>
      <x:c r="B375" s="10" t="str">
        <x:v>USER-02-0156</x:v>
      </x:c>
      <x:c r="C375" s="10" t="str">
        <x:v>首页与福利</x:v>
      </x:c>
      <x:c r="D375" s="10" t="str">
        <x:v>邀请好友（已登录普通用户视角）</x:v>
      </x:c>
      <x:c r="E375" s="10" t="str">
        <x:v>功能需求</x:v>
      </x:c>
      <x:c r="F375" s="10" t="str">
        <x:v>P2</x:v>
      </x:c>
      <x:c r="G375" s="9" t="str">
        <x:v>验证保存邀请图片</x:v>
      </x:c>
      <x:c r="H375" s="9" t="str">
        <x:v>邀请图片保存反馈</x:v>
      </x:c>
      <x:c r="I375" s="9" t="str">
        <x:v>1. 执行角色为已登录普通用户；当前处于邀请好友页面
2. 分享选项已打开</x:v>
      </x:c>
      <x:c r="J375" s="9" t="str">
        <x:v>1. 点击保存图片</x:v>
      </x:c>
      <x:c r="K375" s="9" t="str">
        <x:v>给出图片保存结果反馈</x:v>
      </x:c>
      <x:c r="L375" s="10" t="str"/>
      <x:c r="M375" s="10" t="str">
        <x:v>未测</x:v>
      </x:c>
      <x:c r="N375" s="10" t="str"/>
      <x:c r="O375" s="9" t="str">
        <x:v>1. 来源（当前证据）：liveshow-proto/MainBasis/统一需求文档.md；位置：行1919、行641
2. 规则：BR-5667b5c2fb93df4d
3. 未动态验证</x:v>
      </x:c>
    </x:row>
    <x:row r="376" ht="85" customHeight="1">
      <x:c r="A376" s="10" t="n">
        <x:v>375</x:v>
      </x:c>
      <x:c r="B376" s="10" t="str">
        <x:v>USER-02-0157</x:v>
      </x:c>
      <x:c r="C376" s="10" t="str">
        <x:v>首页与福利</x:v>
      </x:c>
      <x:c r="D376" s="10" t="str">
        <x:v>邀请好友（已登录普通用户视角）</x:v>
      </x:c>
      <x:c r="E376" s="10" t="str">
        <x:v>功能需求</x:v>
      </x:c>
      <x:c r="F376" s="10" t="str">
        <x:v>P1</x:v>
      </x:c>
      <x:c r="G376" s="9" t="str">
        <x:v>验证分享不计成功邀请</x:v>
      </x:c>
      <x:c r="H376" s="9" t="str">
        <x:v>成功邀请计数条件</x:v>
      </x:c>
      <x:c r="I376" s="9" t="str">
        <x:v>1. 执行角色为已登录普通用户；当前处于邀请好友页面
2. 成功邀请人数为3</x:v>
      </x:c>
      <x:c r="J376" s="9" t="str">
        <x:v>1. 点击邀请好友
2. 点击复制链接
3. 查看邀请人数</x:v>
      </x:c>
      <x:c r="K376" s="9" t="str">
        <x:v>成功邀请人数仍为3</x:v>
      </x:c>
      <x:c r="L376" s="10" t="str"/>
      <x:c r="M376" s="10" t="str">
        <x:v>未测</x:v>
      </x:c>
      <x:c r="N376" s="10" t="str"/>
      <x:c r="O376" s="9" t="str">
        <x:v>1. 来源（当前证据）：liveshow-proto/MainBasis/统一需求文档.md；位置：行1916、行641
2. 规则：BR-a4c8ed13e443450f
3. 未动态验证</x:v>
      </x:c>
    </x:row>
    <x:row r="377" ht="85" customHeight="1">
      <x:c r="A377" s="10" t="n">
        <x:v>376</x:v>
      </x:c>
      <x:c r="B377" s="10" t="str">
        <x:v>USER-02-0158</x:v>
      </x:c>
      <x:c r="C377" s="10" t="str">
        <x:v>首页与福利</x:v>
      </x:c>
      <x:c r="D377" s="10" t="str">
        <x:v>邀请好友（已登录普通用户视角）</x:v>
      </x:c>
      <x:c r="E377" s="10" t="str">
        <x:v>功能需求</x:v>
      </x:c>
      <x:c r="F377" s="10" t="str">
        <x:v>P2</x:v>
      </x:c>
      <x:c r="G377" s="9" t="str">
        <x:v>验证取消邀请分享</x:v>
      </x:c>
      <x:c r="H377" s="9" t="str">
        <x:v>邀请分享面板关闭</x:v>
      </x:c>
      <x:c r="I377" s="9" t="str">
        <x:v>1. 执行角色为已登录普通用户；当前处于邀请好友页面
2. 分享选项已打开</x:v>
      </x:c>
      <x:c r="J377" s="9" t="str">
        <x:v>1. 点击取消</x:v>
      </x:c>
      <x:c r="K377" s="9" t="str">
        <x:v>分享选项关闭</x:v>
      </x:c>
      <x:c r="L377" s="10" t="str"/>
      <x:c r="M377" s="10" t="str">
        <x:v>未测</x:v>
      </x:c>
      <x:c r="N377" s="10" t="str"/>
      <x:c r="O377" s="9" t="str">
        <x:v>1. 来源（当前证据）：liveshow-proto/MainBasis/统一需求文档.md；位置：行1920、行641
2. 规则：BR-c9664e5a206852ee
3. 未动态验证</x:v>
      </x:c>
    </x:row>
    <x:row r="378" ht="85" customHeight="1">
      <x:c r="A378" s="10" t="n">
        <x:v>377</x:v>
      </x:c>
      <x:c r="B378" s="10" t="str">
        <x:v>USER-02-0159</x:v>
      </x:c>
      <x:c r="C378" s="10" t="str">
        <x:v>首页与福利</x:v>
      </x:c>
      <x:c r="D378" s="10" t="str">
        <x:v>邀请好友（已登录普通用户视角）</x:v>
      </x:c>
      <x:c r="E378" s="10" t="str">
        <x:v>功能需求</x:v>
      </x:c>
      <x:c r="F378" s="10" t="str">
        <x:v>P2</x:v>
      </x:c>
      <x:c r="G378" s="9" t="str">
        <x:v>验证遮罩关闭邀请分享</x:v>
      </x:c>
      <x:c r="H378" s="9" t="str">
        <x:v>邀请分享面板关闭</x:v>
      </x:c>
      <x:c r="I378" s="9" t="str">
        <x:v>1. 执行角色为已登录普通用户；当前处于邀请好友页面
2. 分享选项已打开</x:v>
      </x:c>
      <x:c r="J378" s="9" t="str">
        <x:v>1. 点击遮罩</x:v>
      </x:c>
      <x:c r="K378" s="9" t="str">
        <x:v>分享选项关闭</x:v>
      </x:c>
      <x:c r="L378" s="10" t="str"/>
      <x:c r="M378" s="10" t="str">
        <x:v>未测</x:v>
      </x:c>
      <x:c r="N378" s="10" t="str"/>
      <x:c r="O378" s="9" t="str">
        <x:v>1. 来源（当前证据）：liveshow-proto/MainBasis/统一需求文档.md；位置：行1920、行641
2. 规则：BR-283b5ee75f65e80d
3. 未动态验证</x:v>
      </x:c>
    </x:row>
    <x:row r="379" ht="85" customHeight="1">
      <x:c r="A379" s="10" t="n">
        <x:v>378</x:v>
      </x:c>
      <x:c r="B379" s="10" t="str">
        <x:v>USER-06-0001</x:v>
      </x:c>
      <x:c r="C379" s="10" t="str">
        <x:v>公会关系</x:v>
      </x:c>
      <x:c r="D379" s="10" t="str">
        <x:v>公会中心（已登录普通用户视角）</x:v>
      </x:c>
      <x:c r="E379" s="10" t="str">
        <x:v>功能需求</x:v>
      </x:c>
      <x:c r="F379" s="10" t="str">
        <x:v>P1</x:v>
      </x:c>
      <x:c r="G379" s="9" t="str">
        <x:v>验证公会展示范围：配置展示范围</x:v>
      </x:c>
      <x:c r="H379" s="9" t="str">
        <x:v>配置展示范围</x:v>
      </x:c>
      <x:c r="I379" s="9" t="str">
        <x:v>1. 执行角色为已登录普通用户；当前处于公会中心页面
2. 平台仅配置公会A和B在本页展示，另有未配置公会C</x:v>
      </x:c>
      <x:c r="J379" s="9" t="str">
        <x:v>1. 查看公会列表</x:v>
      </x:c>
      <x:c r="K379" s="9" t="str">
        <x:v>列表公会集合为A、B，C不在列表中</x:v>
      </x:c>
      <x:c r="L379" s="10" t="str"/>
      <x:c r="M379" s="10" t="str">
        <x:v>未测</x:v>
      </x:c>
      <x:c r="N379" s="10" t="str"/>
      <x:c r="O379" s="9" t="str">
        <x:v>1. 来源（当前证据）：liveshow-proto/MainBasis/统一需求文档.md；位置：行967、行959
2. 规则：BR-7edf9a4597bdc124
3. 未动态验证</x:v>
      </x:c>
    </x:row>
    <x:row r="380" ht="85" customHeight="1">
      <x:c r="A380" s="10" t="n">
        <x:v>379</x:v>
      </x:c>
      <x:c r="B380" s="10" t="str">
        <x:v>USER-06-0002</x:v>
      </x:c>
      <x:c r="C380" s="10" t="str">
        <x:v>公会关系</x:v>
      </x:c>
      <x:c r="D380" s="10" t="str">
        <x:v>公会中心（已登录普通用户视角）</x:v>
      </x:c>
      <x:c r="E380" s="10" t="str">
        <x:v>功能需求</x:v>
      </x:c>
      <x:c r="F380" s="10" t="str">
        <x:v>P1</x:v>
      </x:c>
      <x:c r="G380" s="9" t="str">
        <x:v>验证停用公会不可检索</x:v>
      </x:c>
      <x:c r="H380" s="9" t="str">
        <x:v>停用公会搜索过滤</x:v>
      </x:c>
      <x:c r="I380" s="9" t="str">
        <x:v>1. 执行角色为已登录普通用户；当前处于公会中心页面
2. 公会A已被平台停用</x:v>
      </x:c>
      <x:c r="J380" s="9" t="str">
        <x:v>1. 输入公会A的名称搜索</x:v>
      </x:c>
      <x:c r="K380" s="9" t="str">
        <x:v>不展示公会A</x:v>
      </x:c>
      <x:c r="L380" s="10" t="str"/>
      <x:c r="M380" s="10" t="str">
        <x:v>未测</x:v>
      </x:c>
      <x:c r="N380" s="10" t="str"/>
      <x:c r="O380" s="9" t="str">
        <x:v>1. 来源（当前证据）：liveshow-proto/MainBasis/统一需求文档.md；位置：行967、行501、行959
2. 规则：BR-b5df8712ce2464f1
3. 未动态验证</x:v>
      </x:c>
    </x:row>
    <x:row r="381" ht="85" customHeight="1">
      <x:c r="A381" s="10" t="n">
        <x:v>380</x:v>
      </x:c>
      <x:c r="B381" s="10" t="str">
        <x:v>USER-06-0003</x:v>
      </x:c>
      <x:c r="C381" s="10" t="str">
        <x:v>公会关系</x:v>
      </x:c>
      <x:c r="D381" s="10" t="str">
        <x:v>公会中心（已登录普通用户视角）</x:v>
      </x:c>
      <x:c r="E381" s="10" t="str">
        <x:v>功能需求</x:v>
      </x:c>
      <x:c r="F381" s="10" t="str">
        <x:v>P2</x:v>
      </x:c>
      <x:c r="G381" s="9" t="str">
        <x:v>验证公会列表不固定五条</x:v>
      </x:c>
      <x:c r="H381" s="9" t="str">
        <x:v>有效公会展示数量</x:v>
      </x:c>
      <x:c r="I381" s="9" t="str">
        <x:v>1. 执行角色为已登录普通用户；当前处于公会中心页面
2. 平台配置6家有效公会展示</x:v>
      </x:c>
      <x:c r="J381" s="9" t="str">
        <x:v>1. 查看完整公会列表</x:v>
      </x:c>
      <x:c r="K381" s="9" t="str">
        <x:v>展示6家有效公会</x:v>
      </x:c>
      <x:c r="L381" s="10" t="str"/>
      <x:c r="M381" s="10" t="str">
        <x:v>未测</x:v>
      </x:c>
      <x:c r="N381" s="10" t="str"/>
      <x:c r="O381" s="9" t="str">
        <x:v>1. 来源（当前证据）：liveshow-proto/MainBasis/统一需求文档.md；位置：行967、行959
2. 规则：BR-fe16b1d85c730a6b
3. 未动态验证</x:v>
      </x:c>
    </x:row>
    <x:row r="382" ht="85" customHeight="1">
      <x:c r="A382" s="10" t="n">
        <x:v>381</x:v>
      </x:c>
      <x:c r="B382" s="10" t="str">
        <x:v>USER-06-0004</x:v>
      </x:c>
      <x:c r="C382" s="10" t="str">
        <x:v>公会关系</x:v>
      </x:c>
      <x:c r="D382" s="10" t="str">
        <x:v>公会中心（已登录普通用户视角）</x:v>
      </x:c>
      <x:c r="E382" s="10" t="str">
        <x:v>功能需求</x:v>
      </x:c>
      <x:c r="F382" s="10" t="str">
        <x:v>P2</x:v>
      </x:c>
      <x:c r="G382" s="9" t="str">
        <x:v>验证搜索保持配置排序</x:v>
      </x:c>
      <x:c r="H382" s="9" t="str">
        <x:v>排列次序</x:v>
      </x:c>
      <x:c r="I382" s="9" t="str">
        <x:v>1. 执行角色为已登录普通用户；当前处于公会中心页面
2. 配置顺序B、A；二者名称均包含QA</x:v>
      </x:c>
      <x:c r="J382" s="9" t="str">
        <x:v>1. 输入QA</x:v>
      </x:c>
      <x:c r="K382" s="9" t="str">
        <x:v>结果顺序仍为B、A</x:v>
      </x:c>
      <x:c r="L382" s="10" t="str"/>
      <x:c r="M382" s="10" t="str">
        <x:v>未测</x:v>
      </x:c>
      <x:c r="N382" s="10" t="str"/>
      <x:c r="O382" s="9" t="str">
        <x:v>1. 来源（当前证据）：liveshow-proto/MainBasis/统一需求文档.md；位置：行968、行959
2. 规则：BR-2d64cda783c97535
3. 未动态验证</x:v>
      </x:c>
    </x:row>
    <x:row r="383" ht="85" customHeight="1">
      <x:c r="A383" s="10" t="n">
        <x:v>382</x:v>
      </x:c>
      <x:c r="B383" s="10" t="str">
        <x:v>USER-06-0005</x:v>
      </x:c>
      <x:c r="C383" s="10" t="str">
        <x:v>公会关系</x:v>
      </x:c>
      <x:c r="D383" s="10" t="str">
        <x:v>公会中心（已登录普通用户视角）</x:v>
      </x:c>
      <x:c r="E383" s="10" t="str">
        <x:v>功能需求</x:v>
      </x:c>
      <x:c r="F383" s="10" t="str">
        <x:v>P2</x:v>
      </x:c>
      <x:c r="G383" s="9" t="str">
        <x:v>验证空关键词恢复列表</x:v>
      </x:c>
      <x:c r="H383" s="9" t="str">
        <x:v>数据保持</x:v>
      </x:c>
      <x:c r="I383" s="9" t="str">
        <x:v>1. 执行角色为已登录普通用户；当前处于公会中心页面
2. 当前关键词已筛选公会</x:v>
      </x:c>
      <x:c r="J383" s="9" t="str">
        <x:v>1. 清空关键词</x:v>
      </x:c>
      <x:c r="K383" s="9" t="str">
        <x:v>恢复本页配置范围内全部有效公会</x:v>
      </x:c>
      <x:c r="L383" s="10" t="str"/>
      <x:c r="M383" s="10" t="str">
        <x:v>未测</x:v>
      </x:c>
      <x:c r="N383" s="10" t="str"/>
      <x:c r="O383" s="9" t="str">
        <x:v>1. 来源（当前证据）：liveshow-proto/MainBasis/统一需求文档.md；位置：行962、行969、行959
2. 规则：BR-ac429929d3385ef7
3. 未动态验证</x:v>
      </x:c>
    </x:row>
    <x:row r="384" ht="85" customHeight="1">
      <x:c r="A384" s="10" t="n">
        <x:v>383</x:v>
      </x:c>
      <x:c r="B384" s="10" t="str">
        <x:v>USER-06-0006</x:v>
      </x:c>
      <x:c r="C384" s="10" t="str">
        <x:v>公会关系</x:v>
      </x:c>
      <x:c r="D384" s="10" t="str">
        <x:v>公会中心（已登录普通用户视角）</x:v>
      </x:c>
      <x:c r="E384" s="10" t="str">
        <x:v>功能需求</x:v>
      </x:c>
      <x:c r="F384" s="10" t="str">
        <x:v>P2</x:v>
      </x:c>
      <x:c r="G384" s="9" t="str">
        <x:v>验证实时模糊搜索</x:v>
      </x:c>
      <x:c r="H384" s="9" t="str">
        <x:v>公会名称匹配结果</x:v>
      </x:c>
      <x:c r="I384" s="9" t="str">
        <x:v>1. 执行角色为已登录普通用户；当前处于公会中心页面
2. 有效公会名称为QA印尼公会</x:v>
      </x:c>
      <x:c r="J384" s="9" t="str">
        <x:v>1. 输入名称片段QA</x:v>
      </x:c>
      <x:c r="K384" s="9" t="str">
        <x:v>列表包含QA印尼公会</x:v>
      </x:c>
      <x:c r="L384" s="10" t="str"/>
      <x:c r="M384" s="10" t="str">
        <x:v>未测</x:v>
      </x:c>
      <x:c r="N384" s="10" t="str"/>
      <x:c r="O384" s="9" t="str">
        <x:v>1. 来源（当前证据）：liveshow-proto/MainBasis/统一需求文档.md；位置：行971、行959
2. 规则：BR-17c45e16224f2ec4
3. 未动态验证</x:v>
      </x:c>
    </x:row>
    <x:row r="385" ht="85" customHeight="1">
      <x:c r="A385" s="10" t="n">
        <x:v>384</x:v>
      </x:c>
      <x:c r="B385" s="10" t="str">
        <x:v>USER-06-0007</x:v>
      </x:c>
      <x:c r="C385" s="10" t="str">
        <x:v>公会关系</x:v>
      </x:c>
      <x:c r="D385" s="10" t="str">
        <x:v>公会中心（已登录普通用户视角）</x:v>
      </x:c>
      <x:c r="E385" s="10" t="str">
        <x:v>功能需求</x:v>
      </x:c>
      <x:c r="F385" s="10" t="str">
        <x:v>P2</x:v>
      </x:c>
      <x:c r="G385" s="9" t="str">
        <x:v>验证公会ID模糊搜索</x:v>
      </x:c>
      <x:c r="H385" s="9" t="str">
        <x:v>公会ID匹配结果</x:v>
      </x:c>
      <x:c r="I385" s="9" t="str">
        <x:v>1. 执行角色为已登录普通用户；当前处于公会中心页面
2. 有效公会ID包含123</x:v>
      </x:c>
      <x:c r="J385" s="9" t="str">
        <x:v>1. 输入ID片段123</x:v>
      </x:c>
      <x:c r="K385" s="9" t="str">
        <x:v>结果包含该公会</x:v>
      </x:c>
      <x:c r="L385" s="10" t="str"/>
      <x:c r="M385" s="10" t="str">
        <x:v>未测</x:v>
      </x:c>
      <x:c r="N385" s="10" t="str"/>
      <x:c r="O385" s="9" t="str">
        <x:v>1. 来源（当前证据）：liveshow-proto/MainBasis/统一需求文档.md；位置：行962、行959
2. 规则：BR-93ba2047d8d8f49d
3. 未动态验证</x:v>
      </x:c>
    </x:row>
    <x:row r="386" ht="85" customHeight="1">
      <x:c r="A386" s="10" t="n">
        <x:v>385</x:v>
      </x:c>
      <x:c r="B386" s="10" t="str">
        <x:v>USER-06-0008</x:v>
      </x:c>
      <x:c r="C386" s="10" t="str">
        <x:v>公会关系</x:v>
      </x:c>
      <x:c r="D386" s="10" t="str">
        <x:v>公会中心（已登录普通用户视角）</x:v>
      </x:c>
      <x:c r="E386" s="10" t="str">
        <x:v>功能需求</x:v>
      </x:c>
      <x:c r="F386" s="10" t="str">
        <x:v>P2</x:v>
      </x:c>
      <x:c r="G386" s="9" t="str">
        <x:v>验证搜索按钮与回车一致</x:v>
      </x:c>
      <x:c r="H386" s="9" t="str">
        <x:v>搜索触发方式一致性</x:v>
      </x:c>
      <x:c r="I386" s="9" t="str">
        <x:v>1. 执行角色为已登录普通用户；当前处于公会中心页面
2. 已输入关键词QA</x:v>
      </x:c>
      <x:c r="J386" s="9" t="str">
        <x:v>1. 点击搜索
2. 查看并记录显示的公会
3. 点击键盘Enter键</x:v>
      </x:c>
      <x:c r="K386" s="9" t="str">
        <x:v>两次搜索结果一致</x:v>
      </x:c>
      <x:c r="L386" s="10" t="str"/>
      <x:c r="M386" s="10" t="str">
        <x:v>未测</x:v>
      </x:c>
      <x:c r="N386" s="10" t="str"/>
      <x:c r="O386" s="9" t="str">
        <x:v>1. 来源（当前证据）：liveshow-proto/MainBasis/统一需求文档.md；位置：行971、行959
2. 规则：BR-980356e1049097d3
3. 未动态验证</x:v>
      </x:c>
    </x:row>
    <x:row r="387" ht="85" customHeight="1">
      <x:c r="A387" s="10" t="n">
        <x:v>386</x:v>
      </x:c>
      <x:c r="B387" s="10" t="str">
        <x:v>USER-06-0009</x:v>
      </x:c>
      <x:c r="C387" s="10" t="str">
        <x:v>公会关系</x:v>
      </x:c>
      <x:c r="D387" s="10" t="str">
        <x:v>公会中心（已登录普通用户视角）</x:v>
      </x:c>
      <x:c r="E387" s="10" t="str">
        <x:v>功能需求</x:v>
      </x:c>
      <x:c r="F387" s="10" t="str">
        <x:v>P2</x:v>
      </x:c>
      <x:c r="G387" s="9" t="str">
        <x:v>验证公会无匹配空态</x:v>
      </x:c>
      <x:c r="H387" s="9" t="str">
        <x:v>公会搜索空态</x:v>
      </x:c>
      <x:c r="I387" s="9" t="str">
        <x:v>1. 执行角色为已登录普通用户；当前处于公会中心页面</x:v>
      </x:c>
      <x:c r="J387" s="9" t="str">
        <x:v>1. 输入不匹配任何公会的QA-NONE</x:v>
      </x:c>
      <x:c r="K387" s="9" t="str">
        <x:v>展示空状态</x:v>
      </x:c>
      <x:c r="L387" s="10" t="str"/>
      <x:c r="M387" s="10" t="str">
        <x:v>未测</x:v>
      </x:c>
      <x:c r="N387" s="10" t="str"/>
      <x:c r="O387" s="9" t="str">
        <x:v>1. 来源（当前证据）：liveshow-proto/MainBasis/统一需求文档.md；位置：行971、行959
2. 规则：BR-44c21fa5ac123aee
3. 未动态验证</x:v>
      </x:c>
    </x:row>
    <x:row r="388" ht="85" customHeight="1">
      <x:c r="A388" s="10" t="n">
        <x:v>387</x:v>
      </x:c>
      <x:c r="B388" s="10" t="str">
        <x:v>USER-06-0010</x:v>
      </x:c>
      <x:c r="C388" s="10" t="str">
        <x:v>公会关系</x:v>
      </x:c>
      <x:c r="D388" s="10" t="str">
        <x:v>公会中心（已登录普通用户视角）</x:v>
      </x:c>
      <x:c r="E388" s="10" t="str">
        <x:v>功能需求</x:v>
      </x:c>
      <x:c r="F388" s="10" t="str">
        <x:v>P1</x:v>
      </x:c>
      <x:c r="G388" s="9" t="str">
        <x:v>验证携带公会申请：申请页面去向</x:v>
      </x:c>
      <x:c r="H388" s="9" t="str">
        <x:v>申请页面去向</x:v>
      </x:c>
      <x:c r="I388" s="9" t="str">
        <x:v>1. 执行角色为已登录普通用户；当前处于公会中心页面
2. 当前未入会且没有在途申请</x:v>
      </x:c>
      <x:c r="J388" s="9" t="str">
        <x:v>1. 点击公会A的申请</x:v>
      </x:c>
      <x:c r="K388" s="9" t="str">
        <x:v>进入公会申请表</x:v>
      </x:c>
      <x:c r="L388" s="10" t="str"/>
      <x:c r="M388" s="10" t="str">
        <x:v>未测</x:v>
      </x:c>
      <x:c r="N388" s="10" t="str"/>
      <x:c r="O388" s="9" t="str">
        <x:v>1. 来源（当前证据）：liveshow-proto/MainBasis/统一需求文档.md；位置：行972、行978、行959
2. 规则：BR-3e900dc3c5ab5757
3. 未动态验证</x:v>
      </x:c>
    </x:row>
    <x:row r="389" ht="85" customHeight="1">
      <x:c r="A389" s="10" t="n">
        <x:v>388</x:v>
      </x:c>
      <x:c r="B389" s="10" t="str">
        <x:v>USER-06-0011</x:v>
      </x:c>
      <x:c r="C389" s="10" t="str">
        <x:v>公会关系</x:v>
      </x:c>
      <x:c r="D389" s="10" t="str">
        <x:v>公会中心（已登录普通用户视角）</x:v>
      </x:c>
      <x:c r="E389" s="10" t="str">
        <x:v>功能需求</x:v>
      </x:c>
      <x:c r="F389" s="10" t="str">
        <x:v>P1</x:v>
      </x:c>
      <x:c r="G389" s="9" t="str">
        <x:v>验证携带公会申请：所选公会回填</x:v>
      </x:c>
      <x:c r="H389" s="9" t="str">
        <x:v>所选公会回填</x:v>
      </x:c>
      <x:c r="I389" s="9" t="str">
        <x:v>1. 执行角色为已登录普通用户；当前处于公会中心页面
2. 当前未入会且没有在途申请</x:v>
      </x:c>
      <x:c r="J389" s="9" t="str">
        <x:v>1. 点击公会A的申请</x:v>
      </x:c>
      <x:c r="K389" s="9" t="str">
        <x:v>申请公会为A</x:v>
      </x:c>
      <x:c r="L389" s="10" t="str"/>
      <x:c r="M389" s="10" t="str">
        <x:v>未测</x:v>
      </x:c>
      <x:c r="N389" s="10" t="str"/>
      <x:c r="O389" s="9" t="str">
        <x:v>1. 来源（当前证据）：liveshow-proto/MainBasis/统一需求文档.md；位置：行972、行978、行959
2. 规则：BR-0c153e0376978c5a
3. 未动态验证</x:v>
      </x:c>
    </x:row>
    <x:row r="390" ht="85" customHeight="1">
      <x:c r="A390" s="10" t="n">
        <x:v>389</x:v>
      </x:c>
      <x:c r="B390" s="10" t="str">
        <x:v>USER-06-0012</x:v>
      </x:c>
      <x:c r="C390" s="10" t="str">
        <x:v>公会关系</x:v>
      </x:c>
      <x:c r="D390" s="10" t="str">
        <x:v>公会中心（已登录普通用户视角）</x:v>
      </x:c>
      <x:c r="E390" s="10" t="str">
        <x:v>功能需求</x:v>
      </x:c>
      <x:c r="F390" s="10" t="str">
        <x:v>P1</x:v>
      </x:c>
      <x:c r="G390" s="9" t="str">
        <x:v>验证已入会禁止其他申请</x:v>
      </x:c>
      <x:c r="H390" s="9" t="str">
        <x:v>入会申请按钮状态</x:v>
      </x:c>
      <x:c r="I390" s="9" t="str">
        <x:v>1. 执行角色为已登录普通用户；当前处于公会中心页面
2. 当前已加入公会A</x:v>
      </x:c>
      <x:c r="J390" s="9" t="str">
        <x:v>1. 查看公会B申请按钮</x:v>
      </x:c>
      <x:c r="K390" s="9" t="str">
        <x:v>申请按钮置灰不可点击</x:v>
      </x:c>
      <x:c r="L390" s="10" t="str"/>
      <x:c r="M390" s="10" t="str">
        <x:v>未测</x:v>
      </x:c>
      <x:c r="N390" s="10" t="str"/>
      <x:c r="O390" s="9" t="str">
        <x:v>1. 来源（当前证据）：liveshow-proto/MainBasis/统一需求文档.md；位置：行970、行973、行959
2. 规则：BR-ba21ff152aa59ebc
3. 未动态验证</x:v>
      </x:c>
    </x:row>
    <x:row r="391" ht="85" customHeight="1">
      <x:c r="A391" s="10" t="n">
        <x:v>390</x:v>
      </x:c>
      <x:c r="B391" s="10" t="str">
        <x:v>USER-06-0013</x:v>
      </x:c>
      <x:c r="C391" s="10" t="str">
        <x:v>公会关系</x:v>
      </x:c>
      <x:c r="D391" s="10" t="str">
        <x:v>公会中心（已登录普通用户视角）</x:v>
      </x:c>
      <x:c r="E391" s="10" t="str">
        <x:v>功能需求</x:v>
      </x:c>
      <x:c r="F391" s="10" t="str">
        <x:v>P1</x:v>
      </x:c>
      <x:c r="G391" s="9" t="str">
        <x:v>验证审核中禁止其他申请</x:v>
      </x:c>
      <x:c r="H391" s="9" t="str">
        <x:v>入会申请按钮状态</x:v>
      </x:c>
      <x:c r="I391" s="9" t="str">
        <x:v>1. 执行角色为已登录普通用户；当前处于公会中心页面
2. 当前有一笔处理中申请</x:v>
      </x:c>
      <x:c r="J391" s="9" t="str">
        <x:v>1. 查看其他公会申请按钮</x:v>
      </x:c>
      <x:c r="K391" s="9" t="str">
        <x:v>申请按钮置灰不可点击</x:v>
      </x:c>
      <x:c r="L391" s="10" t="str"/>
      <x:c r="M391" s="10" t="str">
        <x:v>未测</x:v>
      </x:c>
      <x:c r="N391" s="10" t="str"/>
      <x:c r="O391" s="9" t="str">
        <x:v>1. 来源（当前证据）：liveshow-proto/MainBasis/统一需求文档.md；位置：行973、行500、行959
2. 规则：BR-f5b674514b08ba7c
3. 未动态验证</x:v>
      </x:c>
    </x:row>
    <x:row r="392" ht="85" customHeight="1">
      <x:c r="A392" s="10" t="n">
        <x:v>391</x:v>
      </x:c>
      <x:c r="B392" s="10" t="str">
        <x:v>USER-06-0014</x:v>
      </x:c>
      <x:c r="C392" s="10" t="str">
        <x:v>公会关系</x:v>
      </x:c>
      <x:c r="D392" s="10" t="str">
        <x:v>公会中心（已登录普通用户视角）</x:v>
      </x:c>
      <x:c r="E392" s="10" t="str">
        <x:v>功能需求</x:v>
      </x:c>
      <x:c r="F392" s="10" t="str">
        <x:v>P2</x:v>
      </x:c>
      <x:c r="G392" s="9" t="str">
        <x:v>验证我的公会入口</x:v>
      </x:c>
      <x:c r="H392" s="9" t="str">
        <x:v>已申请公会页面去向</x:v>
      </x:c>
      <x:c r="I392" s="9" t="str">
        <x:v>1. 执行角色为已登录普通用户；当前处于公会中心页面</x:v>
      </x:c>
      <x:c r="J392" s="9" t="str">
        <x:v>1. 点击我的</x:v>
      </x:c>
      <x:c r="K392" s="9" t="str">
        <x:v>进入我的公会页面</x:v>
      </x:c>
      <x:c r="L392" s="10" t="str"/>
      <x:c r="M392" s="10" t="str">
        <x:v>未测</x:v>
      </x:c>
      <x:c r="N392" s="10" t="str"/>
      <x:c r="O392" s="9" t="str">
        <x:v>1. 来源（当前证据）：liveshow-proto/MainBasis/统一需求文档.md；位置：行972、行959
2. 规则：BR-6ef085d6fb38acd1
3. 未动态验证</x:v>
      </x:c>
    </x:row>
    <x:row r="393" ht="85" customHeight="1">
      <x:c r="A393" s="10" t="n">
        <x:v>392</x:v>
      </x:c>
      <x:c r="B393" s="10" t="str">
        <x:v>USER-06-0015</x:v>
      </x:c>
      <x:c r="C393" s="10" t="str">
        <x:v>公会关系</x:v>
      </x:c>
      <x:c r="D393" s="10" t="str">
        <x:v>申请加入公会（未入会普通用户视角）</x:v>
      </x:c>
      <x:c r="E393" s="10" t="str">
        <x:v>功能需求</x:v>
      </x:c>
      <x:c r="F393" s="10" t="str">
        <x:v>P2</x:v>
      </x:c>
      <x:c r="G393" s="9" t="str">
        <x:v>验证证件类型默认值</x:v>
      </x:c>
      <x:c r="H393" s="9" t="str">
        <x:v>初始证件类型</x:v>
      </x:c>
      <x:c r="I393" s="9" t="str">
        <x:v>1. 执行角色为未入会普通用户；当前处于申请加入公会页面
2. 已选公会A且没有处理中入会申请</x:v>
      </x:c>
      <x:c r="J393" s="9" t="str">
        <x:v>1. 查看证件类型</x:v>
      </x:c>
      <x:c r="K393" s="9" t="str">
        <x:v>默认选择KTP</x:v>
      </x:c>
      <x:c r="L393" s="10" t="str"/>
      <x:c r="M393" s="10" t="str">
        <x:v>未测</x:v>
      </x:c>
      <x:c r="N393" s="10" t="str"/>
      <x:c r="O393" s="9" t="str">
        <x:v>1. 来源（当前证据）：liveshow-proto/MainBasis/统一需求文档.md；位置：行982、行976
2. 规则：BR-98273d6c22e4dd41
3. 未动态验证</x:v>
      </x:c>
    </x:row>
    <x:row r="394" ht="85" customHeight="1">
      <x:c r="A394" s="10" t="n">
        <x:v>393</x:v>
      </x:c>
      <x:c r="B394" s="10" t="str">
        <x:v>USER-06-0016</x:v>
      </x:c>
      <x:c r="C394" s="10" t="str">
        <x:v>公会关系</x:v>
      </x:c>
      <x:c r="D394" s="10" t="str">
        <x:v>申请加入公会（未入会普通用户视角）</x:v>
      </x:c>
      <x:c r="E394" s="10" t="str">
        <x:v>功能需求</x:v>
      </x:c>
      <x:c r="F394" s="10" t="str">
        <x:v>P2</x:v>
      </x:c>
      <x:c r="G394" s="9" t="str">
        <x:v>验证证件类型单选</x:v>
      </x:c>
      <x:c r="H394" s="9" t="str">
        <x:v>证件类型选中状态</x:v>
      </x:c>
      <x:c r="I394" s="9" t="str">
        <x:v>1. 执行角色为未入会普通用户；当前处于申请加入公会页面
2. 已选公会A且没有处理中入会申请</x:v>
      </x:c>
      <x:c r="J394" s="9" t="str">
        <x:v>1. 选择SIM</x:v>
      </x:c>
      <x:c r="K394" s="9" t="str">
        <x:v>仅SIM处于选中状态</x:v>
      </x:c>
      <x:c r="L394" s="10" t="str"/>
      <x:c r="M394" s="10" t="str">
        <x:v>未测</x:v>
      </x:c>
      <x:c r="N394" s="10" t="str"/>
      <x:c r="O394" s="9" t="str">
        <x:v>1. 来源（当前证据）：liveshow-proto/MainBasis/统一需求文档.md；位置：行982、行976
2. 规则：BR-a4d5d4abfc90aa08
3. 未动态验证</x:v>
      </x:c>
    </x:row>
    <x:row r="395" ht="100" customHeight="1">
      <x:c r="A395" s="10" t="n">
        <x:v>394</x:v>
      </x:c>
      <x:c r="B395" s="10" t="str">
        <x:v>USER-06-0017</x:v>
      </x:c>
      <x:c r="C395" s="10" t="str">
        <x:v>公会关系</x:v>
      </x:c>
      <x:c r="D395" s="10" t="str">
        <x:v>申请加入公会（未入会普通用户视角）</x:v>
      </x:c>
      <x:c r="E395" s="10" t="str">
        <x:v>功能需求</x:v>
      </x:c>
      <x:c r="F395" s="10" t="str">
        <x:v>P1</x:v>
      </x:c>
      <x:c r="G395" s="9" t="str">
        <x:v>验证切换证件清空正反面</x:v>
      </x:c>
      <x:c r="H395" s="9" t="str">
        <x:v>数据保持</x:v>
      </x:c>
      <x:c r="I395" s="9" t="str">
        <x:v>1. 执行角色为未入会普通用户；当前处于申请加入公会页面
2. 已选公会A且没有处理中入会申请
3. 当前KTP正面反面照片均已上传</x:v>
      </x:c>
      <x:c r="J395" s="9" t="str">
        <x:v>1. 选择SIM</x:v>
      </x:c>
      <x:c r="K395" s="9" t="str">
        <x:v>正面和反面证件照片均清空</x:v>
      </x:c>
      <x:c r="L395" s="10" t="str"/>
      <x:c r="M395" s="10" t="str">
        <x:v>未测</x:v>
      </x:c>
      <x:c r="N395" s="10" t="str"/>
      <x:c r="O395" s="9" t="str">
        <x:v>1. 来源（当前证据）：liveshow-proto/MainBasis/统一需求文档.md；位置：行988、行976
2. 规则：BR-0d8a59400cc00371
3. 未动态验证</x:v>
      </x:c>
    </x:row>
    <x:row r="396" ht="85" customHeight="1">
      <x:c r="A396" s="10" t="n">
        <x:v>395</x:v>
      </x:c>
      <x:c r="B396" s="10" t="str">
        <x:v>USER-06-0018</x:v>
      </x:c>
      <x:c r="C396" s="10" t="str">
        <x:v>公会关系</x:v>
      </x:c>
      <x:c r="D396" s="10" t="str">
        <x:v>申请加入公会（未入会普通用户视角）</x:v>
      </x:c>
      <x:c r="E396" s="10" t="str">
        <x:v>逻辑校验</x:v>
      </x:c>
      <x:c r="F396" s="10" t="str">
        <x:v>P1</x:v>
      </x:c>
      <x:c r="G396" s="9" t="str">
        <x:v>验证姓名全空格</x:v>
      </x:c>
      <x:c r="H396" s="9" t="str">
        <x:v>入口可用性</x:v>
      </x:c>
      <x:c r="I396" s="9" t="str">
        <x:v>1. 执行角色为未入会普通用户；当前处于申请加入公会页面
2. 已选公会A且没有处理中入会申请
3. 其他必填材料均完整</x:v>
      </x:c>
      <x:c r="J396" s="9" t="str">
        <x:v>1. 输入三个空格作为姓名
2. 查看提交按钮</x:v>
      </x:c>
      <x:c r="K396" s="9" t="str">
        <x:v>提交按钮不可用</x:v>
      </x:c>
      <x:c r="L396" s="10" t="str"/>
      <x:c r="M396" s="10" t="str">
        <x:v>未测</x:v>
      </x:c>
      <x:c r="N396" s="10" t="str"/>
      <x:c r="O396" s="9" t="str">
        <x:v>1. 来源（当前证据）：liveshow-proto/MainBasis/统一需求文档.md；位置：行979、行988、行976
2. 规则：BR-e1d5c28a0ae1b6b6
3. 未动态验证</x:v>
      </x:c>
    </x:row>
    <x:row r="397" ht="85" customHeight="1">
      <x:c r="A397" s="10" t="n">
        <x:v>396</x:v>
      </x:c>
      <x:c r="B397" s="10" t="str">
        <x:v>USER-06-0019</x:v>
      </x:c>
      <x:c r="C397" s="10" t="str">
        <x:v>公会关系</x:v>
      </x:c>
      <x:c r="D397" s="10" t="str">
        <x:v>申请加入公会（未入会普通用户视角）</x:v>
      </x:c>
      <x:c r="E397" s="10" t="str">
        <x:v>功能需求</x:v>
      </x:c>
      <x:c r="F397" s="10" t="str">
        <x:v>P1</x:v>
      </x:c>
      <x:c r="G397" s="9" t="str">
        <x:v>验证电话号码印尼区号</x:v>
      </x:c>
      <x:c r="H397" s="9" t="str">
        <x:v>入会联系电话区号</x:v>
      </x:c>
      <x:c r="I397" s="9" t="str">
        <x:v>1. 执行角色为未入会普通用户；当前处于申请加入公会页面
2. 已选公会A且没有处理中入会申请</x:v>
      </x:c>
      <x:c r="J397" s="9" t="str">
        <x:v>1. 查看电话输入区域</x:v>
      </x:c>
      <x:c r="K397" s="9" t="str">
        <x:v>使用+62印尼手机号</x:v>
      </x:c>
      <x:c r="L397" s="10" t="str"/>
      <x:c r="M397" s="10" t="str">
        <x:v>未测</x:v>
      </x:c>
      <x:c r="N397" s="10" t="str"/>
      <x:c r="O397" s="9" t="str">
        <x:v>1. 来源（当前证据）：liveshow-proto/MainBasis/统一需求文档.md；位置：行980、行976
2. 规则：BR-431a6e93f39dfeef
3. 未动态验证</x:v>
      </x:c>
    </x:row>
    <x:row r="398" ht="130" customHeight="1">
      <x:c r="A398" s="10" t="n">
        <x:v>397</x:v>
      </x:c>
      <x:c r="B398" s="10" t="str">
        <x:v>USER-06-0020</x:v>
      </x:c>
      <x:c r="C398" s="10" t="str">
        <x:v>公会关系</x:v>
      </x:c>
      <x:c r="D398" s="10" t="str">
        <x:v>申请加入公会（未入会普通用户视角）</x:v>
      </x:c>
      <x:c r="E398" s="10" t="str">
        <x:v>业务流程</x:v>
      </x:c>
      <x:c r="F398" s="10" t="str">
        <x:v>P0</x:v>
      </x:c>
      <x:c r="G398" s="9" t="str">
        <x:v>验证KTP入会申请提交：申请初始状态</x:v>
      </x:c>
      <x:c r="H398" s="9" t="str">
        <x:v>申请初始状态</x:v>
      </x:c>
      <x:c r="I398" s="9" t="str">
        <x:v>1. 执行角色为未入会普通用户；当前处于申请加入公会页面
2. 已选公会A且没有处理中入会申请
3. 姓名QA申请人、+62有效电话、本人照片和KTP正反面完整</x:v>
      </x:c>
      <x:c r="J398" s="9" t="str">
        <x:v>1. 点击提交</x:v>
      </x:c>
      <x:c r="K398" s="9" t="str">
        <x:v>新申请处于公会审核中</x:v>
      </x:c>
      <x:c r="L398" s="10" t="str">
        <x:v>FLOW-B8276CAE</x:v>
      </x:c>
      <x:c r="M398" s="10" t="str">
        <x:v>未测</x:v>
      </x:c>
      <x:c r="N398" s="10" t="str"/>
      <x:c r="O398" s="9" t="str">
        <x:v>1. 来源（当前证据）：liveshow-proto/MainBasis/统一需求文档.md；位置：行986、行989、行976
2. 规则：BR-2d0d3614388faf97
3. 未动态验证
4. 状态转换：ST-USER-007；共同业务对象：入会申请；当前阶段：提交入会申请后的用户App观察</x:v>
      </x:c>
    </x:row>
    <x:row r="399" ht="130" customHeight="1">
      <x:c r="A399" s="10" t="n">
        <x:v>398</x:v>
      </x:c>
      <x:c r="B399" s="10" t="str">
        <x:v>USER-06-0021</x:v>
      </x:c>
      <x:c r="C399" s="10" t="str">
        <x:v>公会关系</x:v>
      </x:c>
      <x:c r="D399" s="10" t="str">
        <x:v>申请加入公会（未入会普通用户视角）</x:v>
      </x:c>
      <x:c r="E399" s="10" t="str">
        <x:v>业务流程</x:v>
      </x:c>
      <x:c r="F399" s="10" t="str">
        <x:v>P1</x:v>
      </x:c>
      <x:c r="G399" s="9" t="str">
        <x:v>验证KTP入会申请提交：提交后去向</x:v>
      </x:c>
      <x:c r="H399" s="9" t="str">
        <x:v>提交后去向</x:v>
      </x:c>
      <x:c r="I399" s="9" t="str">
        <x:v>1. 执行角色为未入会普通用户；当前处于申请加入公会页面
2. 已选公会A且没有处理中入会申请
3. 姓名QA申请人、+62有效电话、本人照片和KTP正反面完整</x:v>
      </x:c>
      <x:c r="J399" s="9" t="str">
        <x:v>1. 点击提交</x:v>
      </x:c>
      <x:c r="K399" s="9" t="str">
        <x:v>进入公会详情</x:v>
      </x:c>
      <x:c r="L399" s="10" t="str">
        <x:v>FLOW-B8276CAE</x:v>
      </x:c>
      <x:c r="M399" s="10" t="str">
        <x:v>未测</x:v>
      </x:c>
      <x:c r="N399" s="10" t="str"/>
      <x:c r="O399" s="9" t="str">
        <x:v>1. 来源（当前证据）：liveshow-proto/MainBasis/统一需求文档.md；位置：行986、行989、行976
2. 规则：BR-7487ad30f23ea8c3
3. 未动态验证
4. 状态转换：ST-USER-007；共同业务对象：入会申请；当前阶段：提交入会申请后的用户App观察</x:v>
      </x:c>
    </x:row>
    <x:row r="400" ht="130" customHeight="1">
      <x:c r="A400" s="10" t="n">
        <x:v>399</x:v>
      </x:c>
      <x:c r="B400" s="10" t="str">
        <x:v>USER-06-0022</x:v>
      </x:c>
      <x:c r="C400" s="10" t="str">
        <x:v>公会关系</x:v>
      </x:c>
      <x:c r="D400" s="10" t="str">
        <x:v>申请加入公会（未入会普通用户视角）</x:v>
      </x:c>
      <x:c r="E400" s="10" t="str">
        <x:v>业务流程</x:v>
      </x:c>
      <x:c r="F400" s="10" t="str">
        <x:v>P1</x:v>
      </x:c>
      <x:c r="G400" s="9" t="str">
        <x:v>验证SIM入会申请提交</x:v>
      </x:c>
      <x:c r="H400" s="9" t="str">
        <x:v>申请处理</x:v>
      </x:c>
      <x:c r="I400" s="9" t="str">
        <x:v>1. 执行角色为未入会普通用户；当前处于申请加入公会页面
2. 已选公会A且没有处理中入会申请
3. 姓名、+62有效电话、本人照片和SIM正反面完整</x:v>
      </x:c>
      <x:c r="J400" s="9" t="str">
        <x:v>1. 点击提交</x:v>
      </x:c>
      <x:c r="K400" s="9" t="str">
        <x:v>生成公会审核中的申请</x:v>
      </x:c>
      <x:c r="L400" s="10" t="str">
        <x:v>FLOW-B8276CAE</x:v>
      </x:c>
      <x:c r="M400" s="10" t="str">
        <x:v>未测</x:v>
      </x:c>
      <x:c r="N400" s="10" t="str"/>
      <x:c r="O400" s="9" t="str">
        <x:v>1. 来源（当前证据）：liveshow-proto/MainBasis/统一需求文档.md；位置：行982、行989、行976
2. 规则：BR-d49f6f5fd4c603e1
3. 未动态验证
4. 状态转换：ST-USER-007；共同业务对象：入会申请；当前阶段：提交入会申请后的用户App观察</x:v>
      </x:c>
    </x:row>
    <x:row r="401" ht="115" customHeight="1">
      <x:c r="A401" s="10" t="n">
        <x:v>400</x:v>
      </x:c>
      <x:c r="B401" s="10" t="str">
        <x:v>USER-06-0023</x:v>
      </x:c>
      <x:c r="C401" s="10" t="str">
        <x:v>公会关系</x:v>
      </x:c>
      <x:c r="D401" s="10" t="str">
        <x:v>申请加入公会（未入会普通用户视角）</x:v>
      </x:c>
      <x:c r="E401" s="10" t="str">
        <x:v>异常用例</x:v>
      </x:c>
      <x:c r="F401" s="10" t="str">
        <x:v>P1</x:v>
      </x:c>
      <x:c r="G401" s="9" t="str">
        <x:v>验证再次提交不生成第二笔</x:v>
      </x:c>
      <x:c r="H401" s="9" t="str">
        <x:v>入口可用性</x:v>
      </x:c>
      <x:c r="I401" s="9" t="str">
        <x:v>1. 执行角色为未入会普通用户；当前处于申请加入公会页面
2. 已选公会A且没有处理中入会申请
3. 同一用户的第一笔入会申请已成功提交；当前表单为提交前缓存</x:v>
      </x:c>
      <x:c r="J401" s="9" t="str">
        <x:v>1. 再次点击提交</x:v>
      </x:c>
      <x:c r="K401" s="9" t="str">
        <x:v>不能生成第二笔处理中入会申请</x:v>
      </x:c>
      <x:c r="L401" s="10" t="str"/>
      <x:c r="M401" s="10" t="str">
        <x:v>未测</x:v>
      </x:c>
      <x:c r="N401" s="10" t="str"/>
      <x:c r="O401" s="9" t="str">
        <x:v>1. 来源（当前证据）：liveshow-proto/MainBasis/统一需求文档.md；位置：行985、行500、行976
2. 规则：BR-de450ee95d3314a5
3. 未动态验证</x:v>
      </x:c>
    </x:row>
    <x:row r="402" ht="85" customHeight="1">
      <x:c r="A402" s="10" t="n">
        <x:v>401</x:v>
      </x:c>
      <x:c r="B402" s="10" t="str">
        <x:v>USER-06-0024</x:v>
      </x:c>
      <x:c r="C402" s="10" t="str">
        <x:v>公会关系</x:v>
      </x:c>
      <x:c r="D402" s="10" t="str">
        <x:v>申请加入公会（未入会普通用户视角）</x:v>
      </x:c>
      <x:c r="E402" s="10" t="str">
        <x:v>功能需求</x:v>
      </x:c>
      <x:c r="F402" s="10" t="str">
        <x:v>P2</x:v>
      </x:c>
      <x:c r="G402" s="9" t="str">
        <x:v>验证更换公会</x:v>
      </x:c>
      <x:c r="H402" s="9" t="str">
        <x:v>更换公会页面去向</x:v>
      </x:c>
      <x:c r="I402" s="9" t="str">
        <x:v>1. 执行角色为未入会普通用户；当前处于申请加入公会页面
2. 已选公会A且没有处理中入会申请</x:v>
      </x:c>
      <x:c r="J402" s="9" t="str">
        <x:v>1. 点击更换公会</x:v>
      </x:c>
      <x:c r="K402" s="9" t="str">
        <x:v>返回公会选择页</x:v>
      </x:c>
      <x:c r="L402" s="10" t="str"/>
      <x:c r="M402" s="10" t="str">
        <x:v>未测</x:v>
      </x:c>
      <x:c r="N402" s="10" t="str"/>
      <x:c r="O402" s="9" t="str">
        <x:v>1. 来源（当前证据）：liveshow-proto/MainBasis/统一需求文档.md；位置：行990、行976
2. 规则：BR-a92b5dec191b18bb
3. 未动态验证</x:v>
      </x:c>
    </x:row>
    <x:row r="403" ht="85" customHeight="1">
      <x:c r="A403" s="10" t="n">
        <x:v>402</x:v>
      </x:c>
      <x:c r="B403" s="10" t="str">
        <x:v>USER-06-0025</x:v>
      </x:c>
      <x:c r="C403" s="10" t="str">
        <x:v>公会关系</x:v>
      </x:c>
      <x:c r="D403" s="10" t="str">
        <x:v>申请加入公会（未入会普通用户视角）</x:v>
      </x:c>
      <x:c r="E403" s="10" t="str">
        <x:v>异常用例</x:v>
      </x:c>
      <x:c r="F403" s="10" t="str">
        <x:v>P1</x:v>
      </x:c>
      <x:c r="G403" s="9" t="str">
        <x:v>验证入会缺少姓名</x:v>
      </x:c>
      <x:c r="H403" s="9" t="str">
        <x:v>入会资料必填校验</x:v>
      </x:c>
      <x:c r="I403" s="9" t="str">
        <x:v>1. 执行角色为未入会普通用户；当前处于申请加入公会页面
2. 除姓名外其他必填项均完整；没有在途申请</x:v>
      </x:c>
      <x:c r="J403" s="9" t="str">
        <x:v>1. 清空姓名
2. 查看提交按钮</x:v>
      </x:c>
      <x:c r="K403" s="9" t="str">
        <x:v>提交按钮不可用</x:v>
      </x:c>
      <x:c r="L403" s="10" t="str"/>
      <x:c r="M403" s="10" t="str">
        <x:v>未测</x:v>
      </x:c>
      <x:c r="N403" s="10" t="str"/>
      <x:c r="O403" s="9" t="str">
        <x:v>1. 来源（当前证据）：liveshow-proto/MainBasis/统一需求文档.md；位置：行979、行988、行976
2. 规则：BR-e6d0a2a2f7bb34ca
3. 未动态验证</x:v>
      </x:c>
    </x:row>
    <x:row r="404" ht="85" customHeight="1">
      <x:c r="A404" s="10" t="n">
        <x:v>403</x:v>
      </x:c>
      <x:c r="B404" s="10" t="str">
        <x:v>USER-06-0026</x:v>
      </x:c>
      <x:c r="C404" s="10" t="str">
        <x:v>公会关系</x:v>
      </x:c>
      <x:c r="D404" s="10" t="str">
        <x:v>申请加入公会（未入会普通用户视角）</x:v>
      </x:c>
      <x:c r="E404" s="10" t="str">
        <x:v>异常用例</x:v>
      </x:c>
      <x:c r="F404" s="10" t="str">
        <x:v>P1</x:v>
      </x:c>
      <x:c r="G404" s="9" t="str">
        <x:v>验证入会缺少电话</x:v>
      </x:c>
      <x:c r="H404" s="9" t="str">
        <x:v>入会资料必填校验</x:v>
      </x:c>
      <x:c r="I404" s="9" t="str">
        <x:v>1. 执行角色为未入会普通用户；当前处于申请加入公会页面
2. 除电话外其他必填项均完整；没有在途申请</x:v>
      </x:c>
      <x:c r="J404" s="9" t="str">
        <x:v>1. 清空电话
2. 查看提交按钮</x:v>
      </x:c>
      <x:c r="K404" s="9" t="str">
        <x:v>提交按钮不可用</x:v>
      </x:c>
      <x:c r="L404" s="10" t="str"/>
      <x:c r="M404" s="10" t="str">
        <x:v>未测</x:v>
      </x:c>
      <x:c r="N404" s="10" t="str"/>
      <x:c r="O404" s="9" t="str">
        <x:v>1. 来源（当前证据）：liveshow-proto/MainBasis/统一需求文档.md；位置：行980、行988、行976
2. 规则：BR-e520906b8691998e
3. 未动态验证</x:v>
      </x:c>
    </x:row>
    <x:row r="405" ht="85" customHeight="1">
      <x:c r="A405" s="10" t="n">
        <x:v>404</x:v>
      </x:c>
      <x:c r="B405" s="10" t="str">
        <x:v>USER-06-0027</x:v>
      </x:c>
      <x:c r="C405" s="10" t="str">
        <x:v>公会关系</x:v>
      </x:c>
      <x:c r="D405" s="10" t="str">
        <x:v>申请加入公会（未入会普通用户视角）</x:v>
      </x:c>
      <x:c r="E405" s="10" t="str">
        <x:v>异常用例</x:v>
      </x:c>
      <x:c r="F405" s="10" t="str">
        <x:v>P1</x:v>
      </x:c>
      <x:c r="G405" s="9" t="str">
        <x:v>验证入会缺少本人照片</x:v>
      </x:c>
      <x:c r="H405" s="9" t="str">
        <x:v>入会资料必填校验</x:v>
      </x:c>
      <x:c r="I405" s="9" t="str">
        <x:v>1. 执行角色为未入会普通用户；当前处于申请加入公会页面
2. 除本人照片外其他必填项均完整；没有在途申请</x:v>
      </x:c>
      <x:c r="J405" s="9" t="str">
        <x:v>1. 清空本人照片
2. 查看提交按钮</x:v>
      </x:c>
      <x:c r="K405" s="9" t="str">
        <x:v>提交按钮不可用</x:v>
      </x:c>
      <x:c r="L405" s="10" t="str"/>
      <x:c r="M405" s="10" t="str">
        <x:v>未测</x:v>
      </x:c>
      <x:c r="N405" s="10" t="str"/>
      <x:c r="O405" s="9" t="str">
        <x:v>1. 来源（当前证据）：liveshow-proto/MainBasis/统一需求文档.md；位置：行981、行988、行976
2. 规则：BR-d8a5feb4ca0a7d7c
3. 未动态验证</x:v>
      </x:c>
    </x:row>
    <x:row r="406" ht="85" customHeight="1">
      <x:c r="A406" s="10" t="n">
        <x:v>405</x:v>
      </x:c>
      <x:c r="B406" s="10" t="str">
        <x:v>USER-06-0028</x:v>
      </x:c>
      <x:c r="C406" s="10" t="str">
        <x:v>公会关系</x:v>
      </x:c>
      <x:c r="D406" s="10" t="str">
        <x:v>申请加入公会（未入会普通用户视角）</x:v>
      </x:c>
      <x:c r="E406" s="10" t="str">
        <x:v>异常用例</x:v>
      </x:c>
      <x:c r="F406" s="10" t="str">
        <x:v>P1</x:v>
      </x:c>
      <x:c r="G406" s="9" t="str">
        <x:v>验证入会缺少证件正面</x:v>
      </x:c>
      <x:c r="H406" s="9" t="str">
        <x:v>入会资料必填校验</x:v>
      </x:c>
      <x:c r="I406" s="9" t="str">
        <x:v>1. 执行角色为未入会普通用户；当前处于申请加入公会页面
2. 除证件正面外其他必填项均完整；没有在途申请</x:v>
      </x:c>
      <x:c r="J406" s="9" t="str">
        <x:v>1. 清空证件正面
2. 查看提交按钮</x:v>
      </x:c>
      <x:c r="K406" s="9" t="str">
        <x:v>提交按钮不可用</x:v>
      </x:c>
      <x:c r="L406" s="10" t="str"/>
      <x:c r="M406" s="10" t="str">
        <x:v>未测</x:v>
      </x:c>
      <x:c r="N406" s="10" t="str"/>
      <x:c r="O406" s="9" t="str">
        <x:v>1. 来源（当前证据）：liveshow-proto/MainBasis/统一需求文档.md；位置：行983、行988、行976
2. 规则：BR-63b3aa30ea4acf76
3. 未动态验证</x:v>
      </x:c>
    </x:row>
    <x:row r="407" ht="85" customHeight="1">
      <x:c r="A407" s="10" t="n">
        <x:v>406</x:v>
      </x:c>
      <x:c r="B407" s="10" t="str">
        <x:v>USER-06-0029</x:v>
      </x:c>
      <x:c r="C407" s="10" t="str">
        <x:v>公会关系</x:v>
      </x:c>
      <x:c r="D407" s="10" t="str">
        <x:v>申请加入公会（未入会普通用户视角）</x:v>
      </x:c>
      <x:c r="E407" s="10" t="str">
        <x:v>异常用例</x:v>
      </x:c>
      <x:c r="F407" s="10" t="str">
        <x:v>P1</x:v>
      </x:c>
      <x:c r="G407" s="9" t="str">
        <x:v>验证入会缺少证件反面</x:v>
      </x:c>
      <x:c r="H407" s="9" t="str">
        <x:v>入会资料必填校验</x:v>
      </x:c>
      <x:c r="I407" s="9" t="str">
        <x:v>1. 执行角色为未入会普通用户；当前处于申请加入公会页面
2. 除证件反面外其他必填项均完整；没有在途申请</x:v>
      </x:c>
      <x:c r="J407" s="9" t="str">
        <x:v>1. 清空证件反面
2. 查看提交按钮</x:v>
      </x:c>
      <x:c r="K407" s="9" t="str">
        <x:v>提交按钮不可用</x:v>
      </x:c>
      <x:c r="L407" s="10" t="str"/>
      <x:c r="M407" s="10" t="str">
        <x:v>未测</x:v>
      </x:c>
      <x:c r="N407" s="10" t="str"/>
      <x:c r="O407" s="9" t="str">
        <x:v>1. 来源（当前证据）：liveshow-proto/MainBasis/统一需求文档.md；位置：行983、行988、行976
2. 规则：BR-edc0e34c9bdcb3b6
3. 未动态验证</x:v>
      </x:c>
    </x:row>
    <x:row r="408" ht="85" customHeight="1">
      <x:c r="A408" s="10" t="n">
        <x:v>407</x:v>
      </x:c>
      <x:c r="B408" s="10" t="str">
        <x:v>USER-06-0030</x:v>
      </x:c>
      <x:c r="C408" s="10" t="str">
        <x:v>公会关系</x:v>
      </x:c>
      <x:c r="D408" s="10" t="str">
        <x:v>申请加入公会（未入会普通用户视角）</x:v>
      </x:c>
      <x:c r="E408" s="10" t="str">
        <x:v>异常用例</x:v>
      </x:c>
      <x:c r="F408" s="10" t="str">
        <x:v>P1</x:v>
      </x:c>
      <x:c r="G408" s="9" t="str">
        <x:v>验证本人照片文件类型限制</x:v>
      </x:c>
      <x:c r="H408" s="9" t="str">
        <x:v>上传照片文件类型</x:v>
      </x:c>
      <x:c r="I408" s="9" t="str">
        <x:v>1. 执行角色为未入会普通用户；当前处于申请加入公会页面
2. 已准备非图片的PDF测试文件</x:v>
      </x:c>
      <x:c r="J408" s="9" t="str">
        <x:v>1. 尝试选择PDF文件作为本人照片</x:v>
      </x:c>
      <x:c r="K408" s="9" t="str">
        <x:v>不接受非图片文件</x:v>
      </x:c>
      <x:c r="L408" s="10" t="str"/>
      <x:c r="M408" s="10" t="str">
        <x:v>未测</x:v>
      </x:c>
      <x:c r="N408" s="10" t="str"/>
      <x:c r="O408" s="9" t="str">
        <x:v>1. 来源（当前证据）：liveshow-proto/MainBasis/统一需求文档.md；位置：行981、行976
2. 规则：BR-68808493459c1b19
3. 未动态验证</x:v>
      </x:c>
    </x:row>
    <x:row r="409" ht="85" customHeight="1">
      <x:c r="A409" s="10" t="n">
        <x:v>408</x:v>
      </x:c>
      <x:c r="B409" s="10" t="str">
        <x:v>USER-06-0031</x:v>
      </x:c>
      <x:c r="C409" s="10" t="str">
        <x:v>公会关系</x:v>
      </x:c>
      <x:c r="D409" s="10" t="str">
        <x:v>申请加入公会（未入会普通用户视角）</x:v>
      </x:c>
      <x:c r="E409" s="10" t="str">
        <x:v>异常用例</x:v>
      </x:c>
      <x:c r="F409" s="10" t="str">
        <x:v>P1</x:v>
      </x:c>
      <x:c r="G409" s="9" t="str">
        <x:v>验证证件正面文件类型限制</x:v>
      </x:c>
      <x:c r="H409" s="9" t="str">
        <x:v>上传照片文件类型</x:v>
      </x:c>
      <x:c r="I409" s="9" t="str">
        <x:v>1. 执行角色为未入会普通用户；当前处于申请加入公会页面
2. 已准备非图片的PDF测试文件</x:v>
      </x:c>
      <x:c r="J409" s="9" t="str">
        <x:v>1. 尝试选择PDF文件作为证件正面</x:v>
      </x:c>
      <x:c r="K409" s="9" t="str">
        <x:v>不接受非图片文件</x:v>
      </x:c>
      <x:c r="L409" s="10" t="str"/>
      <x:c r="M409" s="10" t="str">
        <x:v>未测</x:v>
      </x:c>
      <x:c r="N409" s="10" t="str"/>
      <x:c r="O409" s="9" t="str">
        <x:v>1. 来源（当前证据）：liveshow-proto/MainBasis/统一需求文档.md；位置：行983、行976
2. 规则：BR-ff91a1e108888a1d
3. 未动态验证</x:v>
      </x:c>
    </x:row>
    <x:row r="410" ht="85" customHeight="1">
      <x:c r="A410" s="10" t="n">
        <x:v>409</x:v>
      </x:c>
      <x:c r="B410" s="10" t="str">
        <x:v>USER-06-0032</x:v>
      </x:c>
      <x:c r="C410" s="10" t="str">
        <x:v>公会关系</x:v>
      </x:c>
      <x:c r="D410" s="10" t="str">
        <x:v>申请加入公会（未入会普通用户视角）</x:v>
      </x:c>
      <x:c r="E410" s="10" t="str">
        <x:v>异常用例</x:v>
      </x:c>
      <x:c r="F410" s="10" t="str">
        <x:v>P1</x:v>
      </x:c>
      <x:c r="G410" s="9" t="str">
        <x:v>验证证件反面文件类型限制</x:v>
      </x:c>
      <x:c r="H410" s="9" t="str">
        <x:v>上传照片文件类型</x:v>
      </x:c>
      <x:c r="I410" s="9" t="str">
        <x:v>1. 执行角色为未入会普通用户；当前处于申请加入公会页面
2. 已准备非图片的PDF测试文件</x:v>
      </x:c>
      <x:c r="J410" s="9" t="str">
        <x:v>1. 尝试选择PDF文件作为证件反面</x:v>
      </x:c>
      <x:c r="K410" s="9" t="str">
        <x:v>不接受非图片文件</x:v>
      </x:c>
      <x:c r="L410" s="10" t="str"/>
      <x:c r="M410" s="10" t="str">
        <x:v>未测</x:v>
      </x:c>
      <x:c r="N410" s="10" t="str"/>
      <x:c r="O410" s="9" t="str">
        <x:v>1. 来源（当前证据）：liveshow-proto/MainBasis/统一需求文档.md；位置：行983、行976
2. 规则：BR-cc11a11d86ca58fd
3. 未动态验证</x:v>
      </x:c>
    </x:row>
    <x:row r="411" ht="85" customHeight="1">
      <x:c r="A411" s="10" t="n">
        <x:v>410</x:v>
      </x:c>
      <x:c r="B411" s="10" t="str">
        <x:v>USER-06-0033</x:v>
      </x:c>
      <x:c r="C411" s="10" t="str">
        <x:v>公会关系</x:v>
      </x:c>
      <x:c r="D411" s="10" t="str">
        <x:v>我的公会（已登录普通用户视角）</x:v>
      </x:c>
      <x:c r="E411" s="10" t="str">
        <x:v>功能需求</x:v>
      </x:c>
      <x:c r="F411" s="10" t="str">
        <x:v>P1</x:v>
      </x:c>
      <x:c r="G411" s="9" t="str">
        <x:v>验证我的公会仅本人申请</x:v>
      </x:c>
      <x:c r="H411" s="9" t="str">
        <x:v>申请记录账号范围</x:v>
      </x:c>
      <x:c r="I411" s="9" t="str">
        <x:v>1. 执行角色为已登录普通用户；当前处于我的公会页面
2. 本账号申请过A；其他账号申请过B</x:v>
      </x:c>
      <x:c r="J411" s="9" t="str">
        <x:v>1. 查看我的公会</x:v>
      </x:c>
      <x:c r="K411" s="9" t="str">
        <x:v>仅展示本账号申请过的A</x:v>
      </x:c>
      <x:c r="L411" s="10" t="str"/>
      <x:c r="M411" s="10" t="str">
        <x:v>未测</x:v>
      </x:c>
      <x:c r="N411" s="10" t="str"/>
      <x:c r="O411" s="9" t="str">
        <x:v>1. 来源（当前证据）：liveshow-proto/MainBasis/统一需求文档.md；位置：行999、行993
2. 规则：BR-8c32b1c19147302b
3. 未动态验证</x:v>
      </x:c>
    </x:row>
    <x:row r="412" ht="85" customHeight="1">
      <x:c r="A412" s="10" t="n">
        <x:v>411</x:v>
      </x:c>
      <x:c r="B412" s="10" t="str">
        <x:v>USER-06-0034</x:v>
      </x:c>
      <x:c r="C412" s="10" t="str">
        <x:v>公会关系</x:v>
      </x:c>
      <x:c r="D412" s="10" t="str">
        <x:v>我的公会（已登录普通用户视角）</x:v>
      </x:c>
      <x:c r="E412" s="10" t="str">
        <x:v>功能需求</x:v>
      </x:c>
      <x:c r="F412" s="10" t="str">
        <x:v>P2</x:v>
      </x:c>
      <x:c r="G412" s="9" t="str">
        <x:v>验证历史驳回与退出保留</x:v>
      </x:c>
      <x:c r="H412" s="9" t="str">
        <x:v>数据保持</x:v>
      </x:c>
      <x:c r="I412" s="9" t="str">
        <x:v>1. 执行角色为已登录普通用户；当前处于我的公会页面
2. A已驳回本账号入会申请；本账号已退出B</x:v>
      </x:c>
      <x:c r="J412" s="9" t="str">
        <x:v>1. 查看我的公会</x:v>
      </x:c>
      <x:c r="K412" s="9" t="str">
        <x:v>A和B卡片仍保留</x:v>
      </x:c>
      <x:c r="L412" s="10" t="str"/>
      <x:c r="M412" s="10" t="str">
        <x:v>未测</x:v>
      </x:c>
      <x:c r="N412" s="10" t="str"/>
      <x:c r="O412" s="9" t="str">
        <x:v>1. 来源（当前证据）：liveshow-proto/MainBasis/统一需求文档.md；位置：行999、行993
2. 规则：BR-9e80d54d73807af4
3. 未动态验证</x:v>
      </x:c>
    </x:row>
    <x:row r="413" ht="85" customHeight="1">
      <x:c r="A413" s="10" t="n">
        <x:v>412</x:v>
      </x:c>
      <x:c r="B413" s="10" t="str">
        <x:v>USER-06-0035</x:v>
      </x:c>
      <x:c r="C413" s="10" t="str">
        <x:v>公会关系</x:v>
      </x:c>
      <x:c r="D413" s="10" t="str">
        <x:v>我的公会（已登录普通用户视角）</x:v>
      </x:c>
      <x:c r="E413" s="10" t="str">
        <x:v>功能需求</x:v>
      </x:c>
      <x:c r="F413" s="10" t="str">
        <x:v>P1</x:v>
      </x:c>
      <x:c r="G413" s="9" t="str">
        <x:v>验证同公会多次申请合并</x:v>
      </x:c>
      <x:c r="H413" s="9" t="str">
        <x:v>同公会申请卡片合并</x:v>
      </x:c>
      <x:c r="I413" s="9" t="str">
        <x:v>1. 执行角色为已登录普通用户；当前处于我的公会页面
2. 本账号对A先入会后退出再申请</x:v>
      </x:c>
      <x:c r="J413" s="9" t="str">
        <x:v>1. 查看我的公会</x:v>
      </x:c>
      <x:c r="K413" s="9" t="str">
        <x:v>公会A只有一张卡片</x:v>
      </x:c>
      <x:c r="L413" s="10" t="str"/>
      <x:c r="M413" s="10" t="str">
        <x:v>未测</x:v>
      </x:c>
      <x:c r="N413" s="10" t="str"/>
      <x:c r="O413" s="9" t="str">
        <x:v>1. 来源（当前证据）：liveshow-proto/MainBasis/统一需求文档.md；位置：行1000、行993
2. 规则：BR-c043f26cafe54b7a
3. 未动态验证</x:v>
      </x:c>
    </x:row>
    <x:row r="414" ht="85" customHeight="1">
      <x:c r="A414" s="10" t="n">
        <x:v>413</x:v>
      </x:c>
      <x:c r="B414" s="10" t="str">
        <x:v>USER-06-0036</x:v>
      </x:c>
      <x:c r="C414" s="10" t="str">
        <x:v>公会关系</x:v>
      </x:c>
      <x:c r="D414" s="10" t="str">
        <x:v>我的公会（已登录普通用户视角）</x:v>
      </x:c>
      <x:c r="E414" s="10" t="str">
        <x:v>功能需求</x:v>
      </x:c>
      <x:c r="F414" s="10" t="str">
        <x:v>P2</x:v>
      </x:c>
      <x:c r="G414" s="9" t="str">
        <x:v>验证最近申请倒序</x:v>
      </x:c>
      <x:c r="H414" s="9" t="str">
        <x:v>公会申请时间排序</x:v>
      </x:c>
      <x:c r="I414" s="9" t="str">
        <x:v>1. 执行角色为已登录普通用户；当前处于我的公会页面
2. A最新申请为9月14日，B为9月15日</x:v>
      </x:c>
      <x:c r="J414" s="9" t="str">
        <x:v>1. 查看公会卡片顺序</x:v>
      </x:c>
      <x:c r="K414" s="9" t="str">
        <x:v>B在A之前</x:v>
      </x:c>
      <x:c r="L414" s="10" t="str"/>
      <x:c r="M414" s="10" t="str">
        <x:v>未测</x:v>
      </x:c>
      <x:c r="N414" s="10" t="str"/>
      <x:c r="O414" s="9" t="str">
        <x:v>1. 来源（当前证据）：liveshow-proto/MainBasis/统一需求文档.md；位置：行1001、行993
2. 规则：BR-2ca9ae01cd7d7133
3. 未动态验证</x:v>
      </x:c>
    </x:row>
    <x:row r="415" ht="85" customHeight="1">
      <x:c r="A415" s="10" t="n">
        <x:v>414</x:v>
      </x:c>
      <x:c r="B415" s="10" t="str">
        <x:v>USER-06-0037</x:v>
      </x:c>
      <x:c r="C415" s="10" t="str">
        <x:v>公会关系</x:v>
      </x:c>
      <x:c r="D415" s="10" t="str">
        <x:v>我的公会（已登录普通用户视角）</x:v>
      </x:c>
      <x:c r="E415" s="10" t="str">
        <x:v>功能需求</x:v>
      </x:c>
      <x:c r="F415" s="10" t="str">
        <x:v>P1</x:v>
      </x:c>
      <x:c r="G415" s="9" t="str">
        <x:v>验证退出被驳回仍已加入</x:v>
      </x:c>
      <x:c r="H415" s="9" t="str">
        <x:v>退会驳回关系保持</x:v>
      </x:c>
      <x:c r="I415" s="9" t="str">
        <x:v>1. 执行角色为已登录普通用户；当前处于我的公会页面
2. 本账号退出A申请已被驳回</x:v>
      </x:c>
      <x:c r="J415" s="9" t="str">
        <x:v>1. 查看A关系状态</x:v>
      </x:c>
      <x:c r="K415" s="9" t="str">
        <x:v>显示已加入</x:v>
      </x:c>
      <x:c r="L415" s="10" t="str"/>
      <x:c r="M415" s="10" t="str">
        <x:v>未测</x:v>
      </x:c>
      <x:c r="N415" s="10" t="str"/>
      <x:c r="O415" s="9" t="str">
        <x:v>1. 来源（当前证据）：liveshow-proto/MainBasis/统一需求文档.md；位置：行1002、行993
2. 规则：BR-ad8cb5aeb20ec307
3. 未动态验证</x:v>
      </x:c>
    </x:row>
    <x:row r="416" ht="85" customHeight="1">
      <x:c r="A416" s="10" t="n">
        <x:v>415</x:v>
      </x:c>
      <x:c r="B416" s="10" t="str">
        <x:v>USER-06-0038</x:v>
      </x:c>
      <x:c r="C416" s="10" t="str">
        <x:v>公会关系</x:v>
      </x:c>
      <x:c r="D416" s="10" t="str">
        <x:v>我的公会（已登录普通用户视角）</x:v>
      </x:c>
      <x:c r="E416" s="10" t="str">
        <x:v>功能需求</x:v>
      </x:c>
      <x:c r="F416" s="10" t="str">
        <x:v>P2</x:v>
      </x:c>
      <x:c r="G416" s="9" t="str">
        <x:v>验证公会详情入口</x:v>
      </x:c>
      <x:c r="H416" s="9" t="str">
        <x:v>公会详情跳转对象</x:v>
      </x:c>
      <x:c r="I416" s="9" t="str">
        <x:v>1. 执行角色为已登录普通用户；当前处于我的公会页面
2. 本账号有公会A卡片</x:v>
      </x:c>
      <x:c r="J416" s="9" t="str">
        <x:v>1. 点击公会A卡片</x:v>
      </x:c>
      <x:c r="K416" s="9" t="str">
        <x:v>进入A的公会详情</x:v>
      </x:c>
      <x:c r="L416" s="10" t="str"/>
      <x:c r="M416" s="10" t="str">
        <x:v>未测</x:v>
      </x:c>
      <x:c r="N416" s="10" t="str"/>
      <x:c r="O416" s="9" t="str">
        <x:v>1. 来源（当前证据）：liveshow-proto/MainBasis/统一需求文档.md；位置：行1003、行993
2. 规则：BR-516a3e5a58737e16
3. 未动态验证</x:v>
      </x:c>
    </x:row>
    <x:row r="417" ht="130" customHeight="1">
      <x:c r="A417" s="10" t="n">
        <x:v>416</x:v>
      </x:c>
      <x:c r="B417" s="10" t="str">
        <x:v>USER-06-0039</x:v>
      </x:c>
      <x:c r="C417" s="10" t="str">
        <x:v>公会关系</x:v>
      </x:c>
      <x:c r="D417" s="10" t="str">
        <x:v>公会详情（申请中普通用户视角）</x:v>
      </x:c>
      <x:c r="E417" s="10" t="str">
        <x:v>业务流程</x:v>
      </x:c>
      <x:c r="F417" s="10" t="str">
        <x:v>P1</x:v>
      </x:c>
      <x:c r="G417" s="9" t="str">
        <x:v>验证公会通过自动到平台</x:v>
      </x:c>
      <x:c r="H417" s="9" t="str">
        <x:v>审核节点自动流转</x:v>
      </x:c>
      <x:c r="I417" s="9" t="str">
        <x:v>1. 执行角色为申请中普通用户；当前处于公会详情页面
2. 公会已通过本账号申请，平台尚未处理</x:v>
      </x:c>
      <x:c r="J417" s="9" t="str">
        <x:v>1. 重新进入公会详情</x:v>
      </x:c>
      <x:c r="K417" s="9" t="str">
        <x:v>显示平台审核中，无需再次提交</x:v>
      </x:c>
      <x:c r="L417" s="10" t="str">
        <x:v>FLOW-B8276CAE</x:v>
      </x:c>
      <x:c r="M417" s="10" t="str">
        <x:v>未测</x:v>
      </x:c>
      <x:c r="N417" s="10" t="str"/>
      <x:c r="O417" s="9" t="str">
        <x:v>1. 来源（当前证据）：liveshow-proto/MainBasis/统一需求文档.md；位置：行1020、行500、行1006
2. 规则：BR-644be9ee4c89fa97
3. 未动态验证
4. 状态转换：ST-USER-008；共同业务对象：入会申请；当前阶段：公会同意申请后的用户App观察</x:v>
      </x:c>
    </x:row>
    <x:row r="418" ht="130" customHeight="1">
      <x:c r="A418" s="10" t="n">
        <x:v>417</x:v>
      </x:c>
      <x:c r="B418" s="10" t="str">
        <x:v>USER-06-0040</x:v>
      </x:c>
      <x:c r="C418" s="10" t="str">
        <x:v>公会关系</x:v>
      </x:c>
      <x:c r="D418" s="10" t="str">
        <x:v>公会详情（申请中普通用户视角）</x:v>
      </x:c>
      <x:c r="E418" s="10" t="str">
        <x:v>业务流程</x:v>
      </x:c>
      <x:c r="F418" s="10" t="str">
        <x:v>P0</x:v>
      </x:c>
      <x:c r="G418" s="9" t="str">
        <x:v>验证平台通过建立身份</x:v>
      </x:c>
      <x:c r="H418" s="9" t="str">
        <x:v>入会关系状态</x:v>
      </x:c>
      <x:c r="I418" s="9" t="str">
        <x:v>1. 执行角色为申请中普通用户；当前处于公会详情页面
2. 平台已通过入会申请</x:v>
      </x:c>
      <x:c r="J418" s="9" t="str">
        <x:v>1. 重新进入公会详情</x:v>
      </x:c>
      <x:c r="K418" s="9" t="str">
        <x:v>本账号与公会关系变为已加入</x:v>
      </x:c>
      <x:c r="L418" s="10" t="str">
        <x:v>FLOW-B8276CAE</x:v>
      </x:c>
      <x:c r="M418" s="10" t="str">
        <x:v>未测</x:v>
      </x:c>
      <x:c r="N418" s="10" t="str"/>
      <x:c r="O418" s="9" t="str">
        <x:v>1. 来源（当前证据）：liveshow-proto/MainBasis/统一需求文档.md；位置：行500、行1009、行1006
2. 规则：BR-0b5175af91a790ba
3. 未动态验证
4. 状态转换：ST-USER-009；共同业务对象：入会申请；当前阶段：平台通过申请后的用户App观察</x:v>
      </x:c>
    </x:row>
    <x:row r="419" ht="130" customHeight="1">
      <x:c r="A419" s="10" t="n">
        <x:v>418</x:v>
      </x:c>
      <x:c r="B419" s="10" t="str">
        <x:v>USER-06-0041</x:v>
      </x:c>
      <x:c r="C419" s="10" t="str">
        <x:v>公会关系</x:v>
      </x:c>
      <x:c r="D419" s="10" t="str">
        <x:v>公会详情（申请中普通用户视角）</x:v>
      </x:c>
      <x:c r="E419" s="10" t="str">
        <x:v>功能需求</x:v>
      </x:c>
      <x:c r="F419" s="10" t="str">
        <x:v>P1</x:v>
      </x:c>
      <x:c r="G419" s="9" t="str">
        <x:v>验证公会驳回申请作废</x:v>
      </x:c>
      <x:c r="H419" s="9" t="str">
        <x:v>申请处理</x:v>
      </x:c>
      <x:c r="I419" s="9" t="str">
        <x:v>1. 执行角色为申请中普通用户；当前处于公会详情页面
2. 公会已驳回当前申请</x:v>
      </x:c>
      <x:c r="J419" s="9" t="str">
        <x:v>1. 重新进入公会详情</x:v>
      </x:c>
      <x:c r="K419" s="9" t="str">
        <x:v>当前入会申请显示已驳回</x:v>
      </x:c>
      <x:c r="L419" s="10" t="str">
        <x:v>FLOW-B8276CAE</x:v>
      </x:c>
      <x:c r="M419" s="10" t="str">
        <x:v>未测</x:v>
      </x:c>
      <x:c r="N419" s="10" t="str"/>
      <x:c r="O419" s="9" t="str">
        <x:v>1. 来源（当前证据）：liveshow-proto/MainBasis/统一需求文档.md；位置：行987、行1022、行1006
2. 规则：BR-9a29e43377c03646
3. 未动态验证
4. 状态转换：ST-USER-010；共同业务对象：入会申请；当前阶段：公会驳回申请后的用户App观察</x:v>
      </x:c>
    </x:row>
    <x:row r="420" ht="130" customHeight="1">
      <x:c r="A420" s="10" t="n">
        <x:v>419</x:v>
      </x:c>
      <x:c r="B420" s="10" t="str">
        <x:v>USER-06-0042</x:v>
      </x:c>
      <x:c r="C420" s="10" t="str">
        <x:v>公会关系</x:v>
      </x:c>
      <x:c r="D420" s="10" t="str">
        <x:v>公会详情（申请中普通用户视角）</x:v>
      </x:c>
      <x:c r="E420" s="10" t="str">
        <x:v>功能需求</x:v>
      </x:c>
      <x:c r="F420" s="10" t="str">
        <x:v>P1</x:v>
      </x:c>
      <x:c r="G420" s="9" t="str">
        <x:v>验证平台驳回申请作废</x:v>
      </x:c>
      <x:c r="H420" s="9" t="str">
        <x:v>申请处理</x:v>
      </x:c>
      <x:c r="I420" s="9" t="str">
        <x:v>1. 执行角色为申请中普通用户；当前处于公会详情页面
2. 平台已驳回当前申请</x:v>
      </x:c>
      <x:c r="J420" s="9" t="str">
        <x:v>1. 重新进入公会详情</x:v>
      </x:c>
      <x:c r="K420" s="9" t="str">
        <x:v>当前入会申请显示已驳回</x:v>
      </x:c>
      <x:c r="L420" s="10" t="str">
        <x:v>FLOW-B8276CAE</x:v>
      </x:c>
      <x:c r="M420" s="10" t="str">
        <x:v>未测</x:v>
      </x:c>
      <x:c r="N420" s="10" t="str"/>
      <x:c r="O420" s="9" t="str">
        <x:v>1. 来源（当前证据）：liveshow-proto/MainBasis/统一需求文档.md；位置：行987、行1022、行1006
2. 规则：BR-6958c99548fe6912
3. 未动态验证
4. 状态转换：ST-USER-011；共同业务对象：入会申请；当前阶段：平台驳回申请后的用户App观察</x:v>
      </x:c>
    </x:row>
    <x:row r="421" ht="85" customHeight="1">
      <x:c r="A421" s="10" t="n">
        <x:v>420</x:v>
      </x:c>
      <x:c r="B421" s="10" t="str">
        <x:v>USER-06-0043</x:v>
      </x:c>
      <x:c r="C421" s="10" t="str">
        <x:v>公会关系</x:v>
      </x:c>
      <x:c r="D421" s="10" t="str">
        <x:v>公会详情（已登录普通用户视角）</x:v>
      </x:c>
      <x:c r="E421" s="10" t="str">
        <x:v>功能需求</x:v>
      </x:c>
      <x:c r="F421" s="10" t="str">
        <x:v>P2</x:v>
      </x:c>
      <x:c r="G421" s="9" t="str">
        <x:v>验证申请时间轴倒序</x:v>
      </x:c>
      <x:c r="H421" s="9" t="str">
        <x:v>排列次序</x:v>
      </x:c>
      <x:c r="I421" s="9" t="str">
        <x:v>1. 执行角色为已登录普通用户；当前处于公会详情页面
2. 同一公会有9月14日与9月15日两次申请</x:v>
      </x:c>
      <x:c r="J421" s="9" t="str">
        <x:v>1. 查看申请时间轴</x:v>
      </x:c>
      <x:c r="K421" s="9" t="str">
        <x:v>9月15日申请在前</x:v>
      </x:c>
      <x:c r="L421" s="10" t="str"/>
      <x:c r="M421" s="10" t="str">
        <x:v>未测</x:v>
      </x:c>
      <x:c r="N421" s="10" t="str"/>
      <x:c r="O421" s="9" t="str">
        <x:v>1. 来源（当前证据）：liveshow-proto/MainBasis/统一需求文档.md；位置：行1019、行1006
2. 规则：BR-d9cea9008f5547fa
3. 未动态验证</x:v>
      </x:c>
    </x:row>
    <x:row r="422" ht="85" customHeight="1">
      <x:c r="A422" s="10" t="n">
        <x:v>421</x:v>
      </x:c>
      <x:c r="B422" s="10" t="str">
        <x:v>USER-06-0044</x:v>
      </x:c>
      <x:c r="C422" s="10" t="str">
        <x:v>公会关系</x:v>
      </x:c>
      <x:c r="D422" s="10" t="str">
        <x:v>公会详情（已登录普通用户视角）</x:v>
      </x:c>
      <x:c r="E422" s="10" t="str">
        <x:v>功能需求</x:v>
      </x:c>
      <x:c r="F422" s="10" t="str">
        <x:v>P2</x:v>
      </x:c>
      <x:c r="G422" s="9" t="str">
        <x:v>验证资料默认收起</x:v>
      </x:c>
      <x:c r="H422" s="9" t="str">
        <x:v>申请材料折叠状态</x:v>
      </x:c>
      <x:c r="I422" s="9" t="str">
        <x:v>1. 执行角色为已登录普通用户；当前处于公会详情页面
2. 当前有入会申请记录</x:v>
      </x:c>
      <x:c r="J422" s="9" t="str">
        <x:v>1. 查看申请资料区</x:v>
      </x:c>
      <x:c r="K422" s="9" t="str">
        <x:v>申请资料默认收起</x:v>
      </x:c>
      <x:c r="L422" s="10" t="str"/>
      <x:c r="M422" s="10" t="str">
        <x:v>未测</x:v>
      </x:c>
      <x:c r="N422" s="10" t="str"/>
      <x:c r="O422" s="9" t="str">
        <x:v>1. 来源（当前证据）：liveshow-proto/MainBasis/统一需求文档.md；位置：行1026、行1006
2. 规则：BR-2010877d655e8892
3. 未动态验证</x:v>
      </x:c>
    </x:row>
    <x:row r="423" ht="85" customHeight="1">
      <x:c r="A423" s="10" t="n">
        <x:v>422</x:v>
      </x:c>
      <x:c r="B423" s="10" t="str">
        <x:v>USER-06-0045</x:v>
      </x:c>
      <x:c r="C423" s="10" t="str">
        <x:v>公会关系</x:v>
      </x:c>
      <x:c r="D423" s="10" t="str">
        <x:v>公会详情（已登录普通用户视角）</x:v>
      </x:c>
      <x:c r="E423" s="10" t="str">
        <x:v>功能需求</x:v>
      </x:c>
      <x:c r="F423" s="10" t="str">
        <x:v>P1</x:v>
      </x:c>
      <x:c r="G423" s="9" t="str">
        <x:v>验证展开本人申请资料：申请姓名</x:v>
      </x:c>
      <x:c r="H423" s="9" t="str">
        <x:v>申请姓名</x:v>
      </x:c>
      <x:c r="I423" s="9" t="str">
        <x:v>1. 执行角色为已登录普通用户；当前处于公会详情页面
2. 当前申请资料收起</x:v>
      </x:c>
      <x:c r="J423" s="9" t="str">
        <x:v>1. 点击申请资料</x:v>
      </x:c>
      <x:c r="K423" s="9" t="str">
        <x:v>姓名为本笔申请提交值</x:v>
      </x:c>
      <x:c r="L423" s="10" t="str"/>
      <x:c r="M423" s="10" t="str">
        <x:v>未测</x:v>
      </x:c>
      <x:c r="N423" s="10" t="str"/>
      <x:c r="O423" s="9" t="str">
        <x:v>1. 来源（当前证据）：liveshow-proto/MainBasis/统一需求文档.md；位置：行1015、行1016、行1017、行1026、行1006
2. 规则：BR-578d60631bb209d7
3. 未动态验证</x:v>
      </x:c>
    </x:row>
    <x:row r="424" ht="85" customHeight="1">
      <x:c r="A424" s="10" t="n">
        <x:v>423</x:v>
      </x:c>
      <x:c r="B424" s="10" t="str">
        <x:v>USER-06-0046</x:v>
      </x:c>
      <x:c r="C424" s="10" t="str">
        <x:v>公会关系</x:v>
      </x:c>
      <x:c r="D424" s="10" t="str">
        <x:v>公会详情（已登录普通用户视角）</x:v>
      </x:c>
      <x:c r="E424" s="10" t="str">
        <x:v>功能需求</x:v>
      </x:c>
      <x:c r="F424" s="10" t="str">
        <x:v>P1</x:v>
      </x:c>
      <x:c r="G424" s="9" t="str">
        <x:v>验证展开本人申请资料：申请电话</x:v>
      </x:c>
      <x:c r="H424" s="9" t="str">
        <x:v>申请电话</x:v>
      </x:c>
      <x:c r="I424" s="9" t="str">
        <x:v>1. 执行角色为已登录普通用户；当前处于公会详情页面
2. 当前申请资料收起</x:v>
      </x:c>
      <x:c r="J424" s="9" t="str">
        <x:v>1. 点击申请资料</x:v>
      </x:c>
      <x:c r="K424" s="9" t="str">
        <x:v>电话为本笔申请提交值</x:v>
      </x:c>
      <x:c r="L424" s="10" t="str"/>
      <x:c r="M424" s="10" t="str">
        <x:v>未测</x:v>
      </x:c>
      <x:c r="N424" s="10" t="str"/>
      <x:c r="O424" s="9" t="str">
        <x:v>1. 来源（当前证据）：liveshow-proto/MainBasis/统一需求文档.md；位置：行1015、行1016、行1017、行1026、行1006
2. 规则：BR-3f9c8af32135daa5
3. 未动态验证</x:v>
      </x:c>
    </x:row>
    <x:row r="425" ht="85" customHeight="1">
      <x:c r="A425" s="10" t="n">
        <x:v>424</x:v>
      </x:c>
      <x:c r="B425" s="10" t="str">
        <x:v>USER-06-0047</x:v>
      </x:c>
      <x:c r="C425" s="10" t="str">
        <x:v>公会关系</x:v>
      </x:c>
      <x:c r="D425" s="10" t="str">
        <x:v>公会详情（已登录普通用户视角）</x:v>
      </x:c>
      <x:c r="E425" s="10" t="str">
        <x:v>功能需求</x:v>
      </x:c>
      <x:c r="F425" s="10" t="str">
        <x:v>P1</x:v>
      </x:c>
      <x:c r="G425" s="9" t="str">
        <x:v>验证展开本人申请资料：本人材料</x:v>
      </x:c>
      <x:c r="H425" s="9" t="str">
        <x:v>本人材料</x:v>
      </x:c>
      <x:c r="I425" s="9" t="str">
        <x:v>1. 执行角色为已登录普通用户；当前处于公会详情页面
2. 当前申请资料收起</x:v>
      </x:c>
      <x:c r="J425" s="9" t="str">
        <x:v>1. 点击申请资料</x:v>
      </x:c>
      <x:c r="K425" s="9" t="str">
        <x:v>本人照片为本笔申请提交材料</x:v>
      </x:c>
      <x:c r="L425" s="10" t="str"/>
      <x:c r="M425" s="10" t="str">
        <x:v>未测</x:v>
      </x:c>
      <x:c r="N425" s="10" t="str"/>
      <x:c r="O425" s="9" t="str">
        <x:v>1. 来源（当前证据）：liveshow-proto/MainBasis/统一需求文档.md；位置：行1015、行1016、行1017、行1026、行1006
2. 规则：BR-4e3b7bb8c2074f1f
3. 未动态验证</x:v>
      </x:c>
    </x:row>
    <x:row r="426" ht="85" customHeight="1">
      <x:c r="A426" s="10" t="n">
        <x:v>425</x:v>
      </x:c>
      <x:c r="B426" s="10" t="str">
        <x:v>USER-06-0048</x:v>
      </x:c>
      <x:c r="C426" s="10" t="str">
        <x:v>公会关系</x:v>
      </x:c>
      <x:c r="D426" s="10" t="str">
        <x:v>公会详情（已登录普通用户视角）</x:v>
      </x:c>
      <x:c r="E426" s="10" t="str">
        <x:v>功能需求</x:v>
      </x:c>
      <x:c r="F426" s="10" t="str">
        <x:v>P1</x:v>
      </x:c>
      <x:c r="G426" s="9" t="str">
        <x:v>验证展开本人申请资料：证件材料</x:v>
      </x:c>
      <x:c r="H426" s="9" t="str">
        <x:v>证件材料</x:v>
      </x:c>
      <x:c r="I426" s="9" t="str">
        <x:v>1. 执行角色为已登录普通用户；当前处于公会详情页面
2. 当前申请资料收起</x:v>
      </x:c>
      <x:c r="J426" s="9" t="str">
        <x:v>1. 点击申请资料</x:v>
      </x:c>
      <x:c r="K426" s="9" t="str">
        <x:v>证件正反面为本笔申请提交材料</x:v>
      </x:c>
      <x:c r="L426" s="10" t="str"/>
      <x:c r="M426" s="10" t="str">
        <x:v>未测</x:v>
      </x:c>
      <x:c r="N426" s="10" t="str"/>
      <x:c r="O426" s="9" t="str">
        <x:v>1. 来源（当前证据）：liveshow-proto/MainBasis/统一需求文档.md；位置：行1015、行1016、行1017、行1026、行1006
2. 规则：BR-e226f8520f180dc6
3. 未动态验证</x:v>
      </x:c>
    </x:row>
    <x:row r="427" ht="85" customHeight="1">
      <x:c r="A427" s="10" t="n">
        <x:v>426</x:v>
      </x:c>
      <x:c r="B427" s="10" t="str">
        <x:v>USER-06-0049</x:v>
      </x:c>
      <x:c r="C427" s="10" t="str">
        <x:v>公会关系</x:v>
      </x:c>
      <x:c r="D427" s="10" t="str">
        <x:v>公会详情（已登录普通用户视角）</x:v>
      </x:c>
      <x:c r="E427" s="10" t="str">
        <x:v>功能需求</x:v>
      </x:c>
      <x:c r="F427" s="10" t="str">
        <x:v>P2</x:v>
      </x:c>
      <x:c r="G427" s="9" t="str">
        <x:v>验证再次收起申请资料</x:v>
      </x:c>
      <x:c r="H427" s="9" t="str">
        <x:v>申请资料收起状态</x:v>
      </x:c>
      <x:c r="I427" s="9" t="str">
        <x:v>1. 执行角色为已登录普通用户；当前处于公会详情页面
2. 当前申请资料已展开</x:v>
      </x:c>
      <x:c r="J427" s="9" t="str">
        <x:v>1. 点击申请资料</x:v>
      </x:c>
      <x:c r="K427" s="9" t="str">
        <x:v>该申请资料收起</x:v>
      </x:c>
      <x:c r="L427" s="10" t="str"/>
      <x:c r="M427" s="10" t="str">
        <x:v>未测</x:v>
      </x:c>
      <x:c r="N427" s="10" t="str"/>
      <x:c r="O427" s="9" t="str">
        <x:v>1. 来源（当前证据）：liveshow-proto/MainBasis/统一需求文档.md；位置：行1026、行1006
2. 规则：BR-d1f53818e4ae9343
3. 未动态验证</x:v>
      </x:c>
    </x:row>
    <x:row r="428" ht="85" customHeight="1">
      <x:c r="A428" s="10" t="n">
        <x:v>427</x:v>
      </x:c>
      <x:c r="B428" s="10" t="str">
        <x:v>USER-06-0050</x:v>
      </x:c>
      <x:c r="C428" s="10" t="str">
        <x:v>公会关系</x:v>
      </x:c>
      <x:c r="D428" s="10" t="str">
        <x:v>公会详情（已登录普通用户视角）</x:v>
      </x:c>
      <x:c r="E428" s="10" t="str">
        <x:v>功能需求</x:v>
      </x:c>
      <x:c r="F428" s="10" t="str">
        <x:v>P2</x:v>
      </x:c>
      <x:c r="G428" s="9" t="str">
        <x:v>验证多个申请展开独立</x:v>
      </x:c>
      <x:c r="H428" s="9" t="str">
        <x:v>申请资料展开独立性</x:v>
      </x:c>
      <x:c r="I428" s="9" t="str">
        <x:v>1. 执行角色为已登录普通用户；当前处于公会详情页面
2. 同公会两张申请均收起</x:v>
      </x:c>
      <x:c r="J428" s="9" t="str">
        <x:v>1. 展开第一张申请资料
2. 查看第二张申请</x:v>
      </x:c>
      <x:c r="K428" s="9" t="str">
        <x:v>第二张资料仍收起</x:v>
      </x:c>
      <x:c r="L428" s="10" t="str"/>
      <x:c r="M428" s="10" t="str">
        <x:v>未测</x:v>
      </x:c>
      <x:c r="N428" s="10" t="str"/>
      <x:c r="O428" s="9" t="str">
        <x:v>1. 来源（当前证据）：liveshow-proto/MainBasis/统一需求文档.md；位置：行1026、行1006
2. 规则：BR-3b84a1650b1a6361
3. 未动态验证</x:v>
      </x:c>
    </x:row>
    <x:row r="429" ht="85" customHeight="1">
      <x:c r="A429" s="10" t="n">
        <x:v>428</x:v>
      </x:c>
      <x:c r="B429" s="10" t="str">
        <x:v>USER-06-0051</x:v>
      </x:c>
      <x:c r="C429" s="10" t="str">
        <x:v>公会关系</x:v>
      </x:c>
      <x:c r="D429" s="10" t="str">
        <x:v>公会详情（已登录普通用户视角）</x:v>
      </x:c>
      <x:c r="E429" s="10" t="str">
        <x:v>功能需求</x:v>
      </x:c>
      <x:c r="F429" s="10" t="str">
        <x:v>P1</x:v>
      </x:c>
      <x:c r="G429" s="9" t="str">
        <x:v>验证申请材料保持历史快照</x:v>
      </x:c>
      <x:c r="H429" s="9" t="str">
        <x:v>申请材料历史快照</x:v>
      </x:c>
      <x:c r="I429" s="9" t="str">
        <x:v>1. 执行角色为已登录普通用户；当前处于公会详情页面
2. 申请时姓名为QA旧名，之后个人资料已改为QA新名</x:v>
      </x:c>
      <x:c r="J429" s="9" t="str">
        <x:v>1. 展开原申请资料</x:v>
      </x:c>
      <x:c r="K429" s="9" t="str">
        <x:v>原申请姓名仍为QA旧名且只读</x:v>
      </x:c>
      <x:c r="L429" s="10" t="str"/>
      <x:c r="M429" s="10" t="str">
        <x:v>未测</x:v>
      </x:c>
      <x:c r="N429" s="10" t="str"/>
      <x:c r="O429" s="9" t="str">
        <x:v>1. 来源（当前证据）：liveshow-proto/MainBasis/统一需求文档.md；位置：行1023、行1006
2. 规则：BR-31c2e391aa86fc56
3. 未动态验证</x:v>
      </x:c>
    </x:row>
    <x:row r="430" ht="85" customHeight="1">
      <x:c r="A430" s="10" t="n">
        <x:v>429</x:v>
      </x:c>
      <x:c r="B430" s="10" t="str">
        <x:v>USER-06-0052</x:v>
      </x:c>
      <x:c r="C430" s="10" t="str">
        <x:v>公会关系</x:v>
      </x:c>
      <x:c r="D430" s="10" t="str">
        <x:v>公会详情（已登录普通用户视角）</x:v>
      </x:c>
      <x:c r="E430" s="10" t="str">
        <x:v>功能需求</x:v>
      </x:c>
      <x:c r="F430" s="10" t="str">
        <x:v>P2</x:v>
      </x:c>
      <x:c r="G430" s="9" t="str">
        <x:v>验证空申请原因隐藏</x:v>
      </x:c>
      <x:c r="H430" s="9" t="str">
        <x:v>空申请原因可见性</x:v>
      </x:c>
      <x:c r="I430" s="9" t="str">
        <x:v>1. 执行角色为已登录普通用户；当前处于公会详情页面
2. 该笔申请无原因内容</x:v>
      </x:c>
      <x:c r="J430" s="9" t="str">
        <x:v>1. 查看该申请卡片</x:v>
      </x:c>
      <x:c r="K430" s="9" t="str">
        <x:v>不展示空原因项</x:v>
      </x:c>
      <x:c r="L430" s="10" t="str"/>
      <x:c r="M430" s="10" t="str">
        <x:v>未测</x:v>
      </x:c>
      <x:c r="N430" s="10" t="str"/>
      <x:c r="O430" s="9" t="str">
        <x:v>1. 来源（当前证据）：liveshow-proto/MainBasis/统一需求文档.md；位置：行1013、行1006
2. 规则：BR-50fc3ad5ee6a610b
3. 未动态验证</x:v>
      </x:c>
    </x:row>
    <x:row r="431" ht="85" customHeight="1">
      <x:c r="A431" s="10" t="n">
        <x:v>430</x:v>
      </x:c>
      <x:c r="B431" s="10" t="str">
        <x:v>USER-06-0053</x:v>
      </x:c>
      <x:c r="C431" s="10" t="str">
        <x:v>公会关系</x:v>
      </x:c>
      <x:c r="D431" s="10" t="str">
        <x:v>公会详情（已登录普通用户视角）</x:v>
      </x:c>
      <x:c r="E431" s="10" t="str">
        <x:v>功能需求</x:v>
      </x:c>
      <x:c r="F431" s="10" t="str">
        <x:v>P2</x:v>
      </x:c>
      <x:c r="G431" s="9" t="str">
        <x:v>验证驳回原因展示</x:v>
      </x:c>
      <x:c r="H431" s="9" t="str">
        <x:v>入会驳回说明</x:v>
      </x:c>
      <x:c r="I431" s="9" t="str">
        <x:v>1. 执行角色为已登录普通用户；当前处于公会详情页面
2. 申请已驳回且原因是资料不清晰</x:v>
      </x:c>
      <x:c r="J431" s="9" t="str">
        <x:v>1. 查看该申请卡片</x:v>
      </x:c>
      <x:c r="K431" s="9" t="str">
        <x:v>显示驳回原因资料不清晰</x:v>
      </x:c>
      <x:c r="L431" s="10" t="str"/>
      <x:c r="M431" s="10" t="str">
        <x:v>未测</x:v>
      </x:c>
      <x:c r="N431" s="10" t="str"/>
      <x:c r="O431" s="9" t="str">
        <x:v>1. 来源（当前证据）：liveshow-proto/MainBasis/统一需求文档.md；位置：行1014、行1006
2. 规则：BR-a0e8abc57f517aea
3. 未动态验证</x:v>
      </x:c>
    </x:row>
    <x:row r="432" ht="85" customHeight="1">
      <x:c r="A432" s="10" t="n">
        <x:v>431</x:v>
      </x:c>
      <x:c r="B432" s="10" t="str">
        <x:v>USER-06-0054</x:v>
      </x:c>
      <x:c r="C432" s="10" t="str">
        <x:v>公会关系</x:v>
      </x:c>
      <x:c r="D432" s="10" t="str">
        <x:v>公会详情（已登录普通用户视角）</x:v>
      </x:c>
      <x:c r="E432" s="10" t="str">
        <x:v>功能需求</x:v>
      </x:c>
      <x:c r="F432" s="10" t="str">
        <x:v>P2</x:v>
      </x:c>
      <x:c r="G432" s="9" t="str">
        <x:v>验证申请退出入口</x:v>
      </x:c>
      <x:c r="H432" s="9" t="str">
        <x:v>退会申请页面去向</x:v>
      </x:c>
      <x:c r="I432" s="9" t="str">
        <x:v>1. 执行角色为已登录普通用户；当前处于公会详情页面
2. 已加入该公会且无处理中退出申请</x:v>
      </x:c>
      <x:c r="J432" s="9" t="str">
        <x:v>1. 点击申请退出</x:v>
      </x:c>
      <x:c r="K432" s="9" t="str">
        <x:v>进入退出申请页</x:v>
      </x:c>
      <x:c r="L432" s="10" t="str"/>
      <x:c r="M432" s="10" t="str">
        <x:v>未测</x:v>
      </x:c>
      <x:c r="N432" s="10" t="str"/>
      <x:c r="O432" s="9" t="str">
        <x:v>1. 来源（当前证据）：liveshow-proto/MainBasis/统一需求文档.md；位置：行1024、行1006
2. 规则：BR-2c0f682772ad9f6f
3. 未动态验证</x:v>
      </x:c>
    </x:row>
    <x:row r="433" ht="85" customHeight="1">
      <x:c r="A433" s="10" t="n">
        <x:v>432</x:v>
      </x:c>
      <x:c r="B433" s="10" t="str">
        <x:v>USER-06-0055</x:v>
      </x:c>
      <x:c r="C433" s="10" t="str">
        <x:v>公会关系</x:v>
      </x:c>
      <x:c r="D433" s="10" t="str">
        <x:v>公会详情（已登录普通用户视角）</x:v>
      </x:c>
      <x:c r="E433" s="10" t="str">
        <x:v>功能需求</x:v>
      </x:c>
      <x:c r="F433" s="10" t="str">
        <x:v>P1</x:v>
      </x:c>
      <x:c r="G433" s="9" t="str">
        <x:v>验证退出申请处理中隐藏重复入口</x:v>
      </x:c>
      <x:c r="H433" s="9" t="str">
        <x:v>重复退会入口可见性</x:v>
      </x:c>
      <x:c r="I433" s="9" t="str">
        <x:v>1. 执行角色为已登录普通用户；当前处于公会详情页面
2. 当前已有处理中退出申请</x:v>
      </x:c>
      <x:c r="J433" s="9" t="str">
        <x:v>1. 查看公会详情</x:v>
      </x:c>
      <x:c r="K433" s="9" t="str">
        <x:v>不展示申请退出入口</x:v>
      </x:c>
      <x:c r="L433" s="10" t="str"/>
      <x:c r="M433" s="10" t="str">
        <x:v>未测</x:v>
      </x:c>
      <x:c r="N433" s="10" t="str"/>
      <x:c r="O433" s="9" t="str">
        <x:v>1. 来源（当前证据）：liveshow-proto/MainBasis/统一需求文档.md；位置：行1024、行1006
2. 规则：BR-18b9b0ca7842f4af
3. 未动态验证</x:v>
      </x:c>
    </x:row>
    <x:row r="434" ht="85" customHeight="1">
      <x:c r="A434" s="10" t="n">
        <x:v>433</x:v>
      </x:c>
      <x:c r="B434" s="10" t="str">
        <x:v>USER-06-0056</x:v>
      </x:c>
      <x:c r="C434" s="10" t="str">
        <x:v>公会关系</x:v>
      </x:c>
      <x:c r="D434" s="10" t="str">
        <x:v>公会详情（已登录普通用户视角）</x:v>
      </x:c>
      <x:c r="E434" s="10" t="str">
        <x:v>功能需求</x:v>
      </x:c>
      <x:c r="F434" s="10" t="str">
        <x:v>P1</x:v>
      </x:c>
      <x:c r="G434" s="9" t="str">
        <x:v>验证退会处理中关系保留</x:v>
      </x:c>
      <x:c r="H434" s="9" t="str">
        <x:v>退会中公会关系保留</x:v>
      </x:c>
      <x:c r="I434" s="9" t="str">
        <x:v>1. 执行角色为已登录普通用户；当前处于公会详情页面
2. 当前已有处理中退出申请</x:v>
      </x:c>
      <x:c r="J434" s="9" t="str">
        <x:v>1. 查看关系状态</x:v>
      </x:c>
      <x:c r="K434" s="9" t="str">
        <x:v>仍为已加入</x:v>
      </x:c>
      <x:c r="L434" s="10" t="str"/>
      <x:c r="M434" s="10" t="str">
        <x:v>未测</x:v>
      </x:c>
      <x:c r="N434" s="10" t="str"/>
      <x:c r="O434" s="9" t="str">
        <x:v>1. 来源（当前证据）：liveshow-proto/MainBasis/统一需求文档.md；位置：行1022、行1006
2. 规则：BR-d4e72172ce65e26e
3. 未动态验证</x:v>
      </x:c>
    </x:row>
    <x:row r="435" ht="85" customHeight="1">
      <x:c r="A435" s="10" t="n">
        <x:v>434</x:v>
      </x:c>
      <x:c r="B435" s="10" t="str">
        <x:v>USER-06-0057</x:v>
      </x:c>
      <x:c r="C435" s="10" t="str">
        <x:v>公会关系</x:v>
      </x:c>
      <x:c r="D435" s="10" t="str">
        <x:v>公会详情（已登录普通用户视角）</x:v>
      </x:c>
      <x:c r="E435" s="10" t="str">
        <x:v>业务流程</x:v>
      </x:c>
      <x:c r="F435" s="10" t="str">
        <x:v>P0</x:v>
      </x:c>
      <x:c r="G435" s="9" t="str">
        <x:v>验证退会通过关系解除</x:v>
      </x:c>
      <x:c r="H435" s="9" t="str">
        <x:v>退会后公会关系解除</x:v>
      </x:c>
      <x:c r="I435" s="9" t="str">
        <x:v>1. 执行角色为已登录普通用户；当前处于公会详情页面
2. 公会已通过退会申请</x:v>
      </x:c>
      <x:c r="J435" s="9" t="str">
        <x:v>1. 重新进入公会详情</x:v>
      </x:c>
      <x:c r="K435" s="9" t="str">
        <x:v>关系变为已退出</x:v>
      </x:c>
      <x:c r="L435" s="10" t="str"/>
      <x:c r="M435" s="10" t="str">
        <x:v>未测</x:v>
      </x:c>
      <x:c r="N435" s="10" t="str"/>
      <x:c r="O435" s="9" t="str">
        <x:v>1. 来源（当前证据）：liveshow-proto/MainBasis/统一需求文档.md；位置：行1021、行1022、行1006
2. 规则：BR-6176fd11529ad7dd
3. 未动态验证</x:v>
      </x:c>
    </x:row>
    <x:row r="436" ht="85" customHeight="1">
      <x:c r="A436" s="10" t="n">
        <x:v>435</x:v>
      </x:c>
      <x:c r="B436" s="10" t="str">
        <x:v>USER-06-0058</x:v>
      </x:c>
      <x:c r="C436" s="10" t="str">
        <x:v>公会关系</x:v>
      </x:c>
      <x:c r="D436" s="10" t="str">
        <x:v>公会详情（已登录普通用户视角）</x:v>
      </x:c>
      <x:c r="E436" s="10" t="str">
        <x:v>功能需求</x:v>
      </x:c>
      <x:c r="F436" s="10" t="str">
        <x:v>P2</x:v>
      </x:c>
      <x:c r="G436" s="9" t="str">
        <x:v>验证返回我的公会</x:v>
      </x:c>
      <x:c r="H436" s="9" t="str">
        <x:v>公会列表返回去向</x:v>
      </x:c>
      <x:c r="I436" s="9" t="str">
        <x:v>1. 执行角色为已登录普通用户；当前处于公会详情页面</x:v>
      </x:c>
      <x:c r="J436" s="9" t="str">
        <x:v>1. 点击返回</x:v>
      </x:c>
      <x:c r="K436" s="9" t="str">
        <x:v>进入我的公会页</x:v>
      </x:c>
      <x:c r="L436" s="10" t="str"/>
      <x:c r="M436" s="10" t="str">
        <x:v>未测</x:v>
      </x:c>
      <x:c r="N436" s="10" t="str"/>
      <x:c r="O436" s="9" t="str">
        <x:v>1. 来源（当前证据）：liveshow-proto/MainBasis/统一需求文档.md；位置：行1025、行1006
2. 规则：BR-4215b4d9c3154f68
3. 未动态验证</x:v>
      </x:c>
    </x:row>
    <x:row r="437" ht="85" customHeight="1">
      <x:c r="A437" s="10" t="n">
        <x:v>436</x:v>
      </x:c>
      <x:c r="B437" s="10" t="str">
        <x:v>USER-06-0059</x:v>
      </x:c>
      <x:c r="C437" s="10" t="str">
        <x:v>公会关系</x:v>
      </x:c>
      <x:c r="D437" s="10" t="str">
        <x:v>申请退出公会（已加入公会的主播视角）</x:v>
      </x:c>
      <x:c r="E437" s="10" t="str">
        <x:v>功能需求</x:v>
      </x:c>
      <x:c r="F437" s="10" t="str">
        <x:v>P1</x:v>
      </x:c>
      <x:c r="G437" s="9" t="str">
        <x:v>验证退会对象只读：当前公会值</x:v>
      </x:c>
      <x:c r="H437" s="9" t="str">
        <x:v>当前公会值</x:v>
      </x:c>
      <x:c r="I437" s="9" t="str">
        <x:v>1. 执行角色为已加入公会的主播；当前处于申请退出公会页面
2. 当前有效公会关系为A</x:v>
      </x:c>
      <x:c r="J437" s="9" t="str">
        <x:v>1. 查看当前公会</x:v>
      </x:c>
      <x:c r="K437" s="9" t="str">
        <x:v>显示公会A</x:v>
      </x:c>
      <x:c r="L437" s="10" t="str"/>
      <x:c r="M437" s="10" t="str">
        <x:v>未测</x:v>
      </x:c>
      <x:c r="N437" s="10" t="str"/>
      <x:c r="O437" s="9" t="str">
        <x:v>1. 来源（当前证据）：liveshow-proto/MainBasis/统一需求文档.md；位置：行1031、行1029
2. 规则：BR-357f3d7096e5f534
3. 未动态验证</x:v>
      </x:c>
    </x:row>
    <x:row r="438" ht="85" customHeight="1">
      <x:c r="A438" s="10" t="n">
        <x:v>437</x:v>
      </x:c>
      <x:c r="B438" s="10" t="str">
        <x:v>USER-06-0060</x:v>
      </x:c>
      <x:c r="C438" s="10" t="str">
        <x:v>公会关系</x:v>
      </x:c>
      <x:c r="D438" s="10" t="str">
        <x:v>申请退出公会（已加入公会的主播视角）</x:v>
      </x:c>
      <x:c r="E438" s="10" t="str">
        <x:v>功能需求</x:v>
      </x:c>
      <x:c r="F438" s="10" t="str">
        <x:v>P1</x:v>
      </x:c>
      <x:c r="G438" s="9" t="str">
        <x:v>验证退会对象只读：退会公会只读</x:v>
      </x:c>
      <x:c r="H438" s="9" t="str">
        <x:v>退会公会只读</x:v>
      </x:c>
      <x:c r="I438" s="9" t="str">
        <x:v>1. 执行角色为已加入公会的主播；当前处于申请退出公会页面
2. 当前有效公会关系为A</x:v>
      </x:c>
      <x:c r="J438" s="9" t="str">
        <x:v>1. 查看当前公会</x:v>
      </x:c>
      <x:c r="K438" s="9" t="str">
        <x:v>公会字段不可修改</x:v>
      </x:c>
      <x:c r="L438" s="10" t="str"/>
      <x:c r="M438" s="10" t="str">
        <x:v>未测</x:v>
      </x:c>
      <x:c r="N438" s="10" t="str"/>
      <x:c r="O438" s="9" t="str">
        <x:v>1. 来源（当前证据）：liveshow-proto/MainBasis/统一需求文档.md；位置：行1031、行1029
2. 规则：BR-4f827f87492a79fa
3. 未动态验证</x:v>
      </x:c>
    </x:row>
    <x:row r="439" ht="85" customHeight="1">
      <x:c r="A439" s="10" t="n">
        <x:v>438</x:v>
      </x:c>
      <x:c r="B439" s="10" t="str">
        <x:v>USER-06-0061</x:v>
      </x:c>
      <x:c r="C439" s="10" t="str">
        <x:v>公会关系</x:v>
      </x:c>
      <x:c r="D439" s="10" t="str">
        <x:v>申请退出公会（已加入公会的主播视角）</x:v>
      </x:c>
      <x:c r="E439" s="10" t="str">
        <x:v>功能需求</x:v>
      </x:c>
      <x:c r="F439" s="10" t="str">
        <x:v>P1</x:v>
      </x:c>
      <x:c r="G439" s="9" t="str">
        <x:v>验证空退会原因</x:v>
      </x:c>
      <x:c r="H439" s="9" t="str">
        <x:v>退会原因必填校验</x:v>
      </x:c>
      <x:c r="I439" s="9" t="str">
        <x:v>1. 执行角色为已加入公会的主播；当前处于申请退出公会页面</x:v>
      </x:c>
      <x:c r="J439" s="9" t="str">
        <x:v>1. 清空退会原因
2. 查看提交按钮</x:v>
      </x:c>
      <x:c r="K439" s="9" t="str">
        <x:v>提交按钮不可用</x:v>
      </x:c>
      <x:c r="L439" s="10" t="str"/>
      <x:c r="M439" s="10" t="str">
        <x:v>未测</x:v>
      </x:c>
      <x:c r="N439" s="10" t="str"/>
      <x:c r="O439" s="9" t="str">
        <x:v>1. 来源（当前证据）：liveshow-proto/MainBasis/统一需求文档.md；位置：行1037、行1029
2. 规则：BR-469b73c20db4c054
3. 未动态验证</x:v>
      </x:c>
    </x:row>
    <x:row r="440" ht="85" customHeight="1">
      <x:c r="A440" s="10" t="n">
        <x:v>439</x:v>
      </x:c>
      <x:c r="B440" s="10" t="str">
        <x:v>USER-06-0062</x:v>
      </x:c>
      <x:c r="C440" s="10" t="str">
        <x:v>公会关系</x:v>
      </x:c>
      <x:c r="D440" s="10" t="str">
        <x:v>申请退出公会（已加入公会的主播视角）</x:v>
      </x:c>
      <x:c r="E440" s="10" t="str">
        <x:v>功能需求</x:v>
      </x:c>
      <x:c r="F440" s="10" t="str">
        <x:v>P1</x:v>
      </x:c>
      <x:c r="G440" s="9" t="str">
        <x:v>验证空格退会原因</x:v>
      </x:c>
      <x:c r="H440" s="9" t="str">
        <x:v>退会原因必填校验</x:v>
      </x:c>
      <x:c r="I440" s="9" t="str">
        <x:v>1. 执行角色为已加入公会的主播；当前处于申请退出公会页面</x:v>
      </x:c>
      <x:c r="J440" s="9" t="str">
        <x:v>1. 输入三个空格
2. 查看提交按钮</x:v>
      </x:c>
      <x:c r="K440" s="9" t="str">
        <x:v>提交按钮不可用</x:v>
      </x:c>
      <x:c r="L440" s="10" t="str"/>
      <x:c r="M440" s="10" t="str">
        <x:v>未测</x:v>
      </x:c>
      <x:c r="N440" s="10" t="str"/>
      <x:c r="O440" s="9" t="str">
        <x:v>1. 来源（当前证据）：liveshow-proto/MainBasis/统一需求文档.md；位置：行1032、行1029
2. 规则：BR-1f9fe0611bce280e
3. 未动态验证</x:v>
      </x:c>
    </x:row>
    <x:row r="441" ht="85" customHeight="1">
      <x:c r="A441" s="10" t="n">
        <x:v>440</x:v>
      </x:c>
      <x:c r="B441" s="10" t="str">
        <x:v>USER-06-0063</x:v>
      </x:c>
      <x:c r="C441" s="10" t="str">
        <x:v>公会关系</x:v>
      </x:c>
      <x:c r="D441" s="10" t="str">
        <x:v>申请退出公会（已加入公会的主播视角）</x:v>
      </x:c>
      <x:c r="E441" s="10" t="str">
        <x:v>业务流程</x:v>
      </x:c>
      <x:c r="F441" s="10" t="str">
        <x:v>P1</x:v>
      </x:c>
      <x:c r="G441" s="9" t="str">
        <x:v>验证有效原因退会提交</x:v>
      </x:c>
      <x:c r="H441" s="9" t="str">
        <x:v>申请处理</x:v>
      </x:c>
      <x:c r="I441" s="9" t="str">
        <x:v>1. 执行角色为已加入公会的主播；当前处于申请退出公会页面
2. 不存在处理中退出申请</x:v>
      </x:c>
      <x:c r="J441" s="9" t="str">
        <x:v>1. 输入退会原因“个人发展调整”
2. 点击提交</x:v>
      </x:c>
      <x:c r="K441" s="9" t="str">
        <x:v>生成处理中退出申请</x:v>
      </x:c>
      <x:c r="L441" s="10" t="str"/>
      <x:c r="M441" s="10" t="str">
        <x:v>未测</x:v>
      </x:c>
      <x:c r="N441" s="10" t="str"/>
      <x:c r="O441" s="9" t="str">
        <x:v>1. 来源（当前证据）：liveshow-proto/MainBasis/统一需求文档.md；位置：行1037、行1029
2. 规则：BR-257f29992f5bb5ed
3. 未动态验证</x:v>
      </x:c>
    </x:row>
    <x:row r="442" ht="85" customHeight="1">
      <x:c r="A442" s="10" t="n">
        <x:v>441</x:v>
      </x:c>
      <x:c r="B442" s="10" t="str">
        <x:v>USER-06-0064</x:v>
      </x:c>
      <x:c r="C442" s="10" t="str">
        <x:v>公会关系</x:v>
      </x:c>
      <x:c r="D442" s="10" t="str">
        <x:v>申请退出公会（已加入公会的主播视角）</x:v>
      </x:c>
      <x:c r="E442" s="10" t="str">
        <x:v>异常用例</x:v>
      </x:c>
      <x:c r="F442" s="10" t="str">
        <x:v>P1</x:v>
      </x:c>
      <x:c r="G442" s="9" t="str">
        <x:v>验证重复退出申请限制</x:v>
      </x:c>
      <x:c r="H442" s="9" t="str">
        <x:v>申请处理</x:v>
      </x:c>
      <x:c r="I442" s="9" t="str">
        <x:v>1. 执行角色为已加入公会的主播；当前处于申请退出公会页面
2. 已有处理中退出申请；当前为旧表单</x:v>
      </x:c>
      <x:c r="J442" s="9" t="str">
        <x:v>1. 输入有效原因
2. 点击提交</x:v>
      </x:c>
      <x:c r="K442" s="9" t="str">
        <x:v>不生成第二笔处理中退出申请</x:v>
      </x:c>
      <x:c r="L442" s="10" t="str"/>
      <x:c r="M442" s="10" t="str">
        <x:v>未测</x:v>
      </x:c>
      <x:c r="N442" s="10" t="str"/>
      <x:c r="O442" s="9" t="str">
        <x:v>1. 来源（当前证据）：liveshow-proto/MainBasis/统一需求文档.md；位置：行1033、行1029
2. 规则：BR-3958e5e7ae64551b
3. 未动态验证</x:v>
      </x:c>
    </x:row>
    <x:row r="443" ht="85" customHeight="1">
      <x:c r="A443" s="10" t="n">
        <x:v>442</x:v>
      </x:c>
      <x:c r="B443" s="10" t="str">
        <x:v>USER-06-0065</x:v>
      </x:c>
      <x:c r="C443" s="10" t="str">
        <x:v>公会关系</x:v>
      </x:c>
      <x:c r="D443" s="10" t="str">
        <x:v>申请退出公会（已加入公会的主播视角）</x:v>
      </x:c>
      <x:c r="E443" s="10" t="str">
        <x:v>功能需求</x:v>
      </x:c>
      <x:c r="F443" s="10" t="str">
        <x:v>P1</x:v>
      </x:c>
      <x:c r="G443" s="9" t="str">
        <x:v>验证退会驳回可以重提</x:v>
      </x:c>
      <x:c r="H443" s="9" t="str">
        <x:v>申请处理</x:v>
      </x:c>
      <x:c r="I443" s="9" t="str">
        <x:v>1. 执行角色为已加入公会的主播；当前处于申请退出公会页面
2. 上次退会申请已被公会驳回</x:v>
      </x:c>
      <x:c r="J443" s="9" t="str">
        <x:v>1. 输入新的有效原因
2. 点击提交</x:v>
      </x:c>
      <x:c r="K443" s="9" t="str">
        <x:v>可以生成新的退会申请</x:v>
      </x:c>
      <x:c r="L443" s="10" t="str"/>
      <x:c r="M443" s="10" t="str">
        <x:v>未测</x:v>
      </x:c>
      <x:c r="N443" s="10" t="str"/>
      <x:c r="O443" s="9" t="str">
        <x:v>1. 来源（当前证据）：liveshow-proto/MainBasis/统一需求文档.md；位置：行1034、行1029
2. 规则：BR-3f314ffe31ae894e
3. 未动态验证</x:v>
      </x:c>
    </x:row>
    <x:row r="444" ht="85" customHeight="1">
      <x:c r="A444" s="10" t="n">
        <x:v>443</x:v>
      </x:c>
      <x:c r="B444" s="10" t="str">
        <x:v>USER-08-0001</x:v>
      </x:c>
      <x:c r="C444" s="10" t="str">
        <x:v>钱包与账单</x:v>
      </x:c>
      <x:c r="D444" s="10" t="str">
        <x:v>余额充值（真实金币用户视角）</x:v>
      </x:c>
      <x:c r="E444" s="10" t="str">
        <x:v>功能需求</x:v>
      </x:c>
      <x:c r="F444" s="10" t="str">
        <x:v>P1</x:v>
      </x:c>
      <x:c r="G444" s="9" t="str">
        <x:v>验证金币余额非现金</x:v>
      </x:c>
      <x:c r="H444" s="9" t="str">
        <x:v>资产数值</x:v>
      </x:c>
      <x:c r="I444" s="9" t="str">
        <x:v>1. 执行角色为真实金币用户；当前处于余额充值页面
2. 当前真实金币余额100</x:v>
      </x:c>
      <x:c r="J444" s="9" t="str">
        <x:v>1. 查看余额</x:v>
      </x:c>
      <x:c r="K444" s="9" t="str">
        <x:v>显示100金币</x:v>
      </x:c>
      <x:c r="L444" s="10" t="str"/>
      <x:c r="M444" s="10" t="str">
        <x:v>未测</x:v>
      </x:c>
      <x:c r="N444" s="10" t="str"/>
      <x:c r="O444" s="9" t="str">
        <x:v>1. 来源（当前证据）：liveshow-proto/MainBasis/统一需求文档.md；位置：行1292、行1290
2. 规则：BR-0e27baff5407a445
3. 未动态验证</x:v>
      </x:c>
    </x:row>
    <x:row r="445" ht="85" customHeight="1">
      <x:c r="A445" s="10" t="n">
        <x:v>444</x:v>
      </x:c>
      <x:c r="B445" s="10" t="str">
        <x:v>USER-08-0002</x:v>
      </x:c>
      <x:c r="C445" s="10" t="str">
        <x:v>钱包与账单</x:v>
      </x:c>
      <x:c r="D445" s="10" t="str">
        <x:v>余额充值（真实金币用户视角）</x:v>
      </x:c>
      <x:c r="E445" s="10" t="str">
        <x:v>功能需求</x:v>
      </x:c>
      <x:c r="F445" s="10" t="str">
        <x:v>P1</x:v>
      </x:c>
      <x:c r="G445" s="9" t="str">
        <x:v>验证套餐基础与赠送分开：基础金币</x:v>
      </x:c>
      <x:c r="H445" s="9" t="str">
        <x:v>基础金币</x:v>
      </x:c>
      <x:c r="I445" s="9" t="str">
        <x:v>1. 执行角色为真实金币用户；当前处于余额充值页面
2. 当前可购套餐基础1000、赠送100金币</x:v>
      </x:c>
      <x:c r="J445" s="9" t="str">
        <x:v>1. 查看套餐</x:v>
      </x:c>
      <x:c r="K445" s="9" t="str">
        <x:v>基础金币为1000</x:v>
      </x:c>
      <x:c r="L445" s="10" t="str"/>
      <x:c r="M445" s="10" t="str">
        <x:v>未测</x:v>
      </x:c>
      <x:c r="N445" s="10" t="str"/>
      <x:c r="O445" s="9" t="str">
        <x:v>1. 来源（当前证据）：liveshow-proto/MainBasis/统一需求文档.md；位置：行1295、行1296、行1290
2. 规则：BR-8537b3285c56707e
3. 未动态验证</x:v>
      </x:c>
    </x:row>
    <x:row r="446" ht="85" customHeight="1">
      <x:c r="A446" s="10" t="n">
        <x:v>445</x:v>
      </x:c>
      <x:c r="B446" s="10" t="str">
        <x:v>USER-08-0003</x:v>
      </x:c>
      <x:c r="C446" s="10" t="str">
        <x:v>钱包与账单</x:v>
      </x:c>
      <x:c r="D446" s="10" t="str">
        <x:v>余额充值（真实金币用户视角）</x:v>
      </x:c>
      <x:c r="E446" s="10" t="str">
        <x:v>功能需求</x:v>
      </x:c>
      <x:c r="F446" s="10" t="str">
        <x:v>P1</x:v>
      </x:c>
      <x:c r="G446" s="9" t="str">
        <x:v>验证套餐基础与赠送分开：赠送金币</x:v>
      </x:c>
      <x:c r="H446" s="9" t="str">
        <x:v>赠送金币</x:v>
      </x:c>
      <x:c r="I446" s="9" t="str">
        <x:v>1. 执行角色为真实金币用户；当前处于余额充值页面
2. 当前可购套餐基础1000、赠送100金币</x:v>
      </x:c>
      <x:c r="J446" s="9" t="str">
        <x:v>1. 查看套餐</x:v>
      </x:c>
      <x:c r="K446" s="9" t="str">
        <x:v>赠送金币为100</x:v>
      </x:c>
      <x:c r="L446" s="10" t="str"/>
      <x:c r="M446" s="10" t="str">
        <x:v>未测</x:v>
      </x:c>
      <x:c r="N446" s="10" t="str"/>
      <x:c r="O446" s="9" t="str">
        <x:v>1. 来源（当前证据）：liveshow-proto/MainBasis/统一需求文档.md；位置：行1295、行1296、行1290
2. 规则：BR-ffa05a80ba0b856d
3. 未动态验证</x:v>
      </x:c>
    </x:row>
    <x:row r="447" ht="85" customHeight="1">
      <x:c r="A447" s="10" t="n">
        <x:v>446</x:v>
      </x:c>
      <x:c r="B447" s="10" t="str">
        <x:v>USER-08-0004</x:v>
      </x:c>
      <x:c r="C447" s="10" t="str">
        <x:v>钱包与账单</x:v>
      </x:c>
      <x:c r="D447" s="10" t="str">
        <x:v>余额充值（真实金币用户视角）</x:v>
      </x:c>
      <x:c r="E447" s="10" t="str">
        <x:v>逻辑校验</x:v>
      </x:c>
      <x:c r="F447" s="10" t="str">
        <x:v>P1</x:v>
      </x:c>
      <x:c r="G447" s="9" t="str">
        <x:v>验证赠送比例标签</x:v>
      </x:c>
      <x:c r="H447" s="9" t="str">
        <x:v>套餐赠送比例</x:v>
      </x:c>
      <x:c r="I447" s="9" t="str">
        <x:v>1. 执行角色为真实金币用户；当前处于余额充值页面
2. 当前可购套餐基础1000、赠送100金币</x:v>
      </x:c>
      <x:c r="J447" s="9" t="str">
        <x:v>1. 查看赠送比例</x:v>
      </x:c>
      <x:c r="K447" s="9" t="str">
        <x:v>显示10%（计算结果 = 10 %）</x:v>
      </x:c>
      <x:c r="L447" s="10" t="str"/>
      <x:c r="M447" s="10" t="str">
        <x:v>未测</x:v>
      </x:c>
      <x:c r="N447" s="10" t="str"/>
      <x:c r="O447" s="9" t="str">
        <x:v>1. 来源（当前证据）：liveshow-proto/MainBasis/统一需求文档.md；位置：行1297、行1290
2. 规则：BR-5e62040fd435354e
3. 未动态验证</x:v>
      </x:c>
    </x:row>
    <x:row r="448" ht="85" customHeight="1">
      <x:c r="A448" s="10" t="n">
        <x:v>447</x:v>
      </x:c>
      <x:c r="B448" s="10" t="str">
        <x:v>USER-08-0005</x:v>
      </x:c>
      <x:c r="C448" s="10" t="str">
        <x:v>钱包与账单</x:v>
      </x:c>
      <x:c r="D448" s="10" t="str">
        <x:v>余额充值（真实金币用户视角）</x:v>
      </x:c>
      <x:c r="E448" s="10" t="str">
        <x:v>功能需求</x:v>
      </x:c>
      <x:c r="F448" s="10" t="str">
        <x:v>P1</x:v>
      </x:c>
      <x:c r="G448" s="9" t="str">
        <x:v>验证价格USD两位小数</x:v>
      </x:c>
      <x:c r="H448" s="9" t="str">
        <x:v>美元价格小数位</x:v>
      </x:c>
      <x:c r="I448" s="9" t="str">
        <x:v>1. 执行角色为真实金币用户；当前处于余额充值页面
2. 套餐实际支付金额为1.5美元</x:v>
      </x:c>
      <x:c r="J448" s="9" t="str">
        <x:v>1. 查看套餐价格</x:v>
      </x:c>
      <x:c r="K448" s="9" t="str">
        <x:v>显示USD 1.50</x:v>
      </x:c>
      <x:c r="L448" s="10" t="str"/>
      <x:c r="M448" s="10" t="str">
        <x:v>未测</x:v>
      </x:c>
      <x:c r="N448" s="10" t="str"/>
      <x:c r="O448" s="9" t="str">
        <x:v>1. 来源（当前证据）：liveshow-proto/MainBasis/统一需求文档.md；位置：行1300、行1290
2. 规则：BR-3b6c7a720337d709
3. 未动态验证</x:v>
      </x:c>
    </x:row>
    <x:row r="449" ht="85" customHeight="1">
      <x:c r="A449" s="10" t="n">
        <x:v>448</x:v>
      </x:c>
      <x:c r="B449" s="10" t="str">
        <x:v>USER-08-0006</x:v>
      </x:c>
      <x:c r="C449" s="10" t="str">
        <x:v>钱包与账单</x:v>
      </x:c>
      <x:c r="D449" s="10" t="str">
        <x:v>余额充值（真实金币用户视角）</x:v>
      </x:c>
      <x:c r="E449" s="10" t="str">
        <x:v>功能需求</x:v>
      </x:c>
      <x:c r="F449" s="10" t="str">
        <x:v>P2</x:v>
      </x:c>
      <x:c r="G449" s="9" t="str">
        <x:v>验证活动套餐优先</x:v>
      </x:c>
      <x:c r="H449" s="9" t="str">
        <x:v>排列次序</x:v>
      </x:c>
      <x:c r="I449" s="9" t="str">
        <x:v>1. 执行角色为真实金币用户；当前处于余额充值页面
2. 有普通套餐A和活动套餐B</x:v>
      </x:c>
      <x:c r="J449" s="9" t="str">
        <x:v>1. 查看套餐排序</x:v>
      </x:c>
      <x:c r="K449" s="9" t="str">
        <x:v>活动套餐B排在普通套餐A之前</x:v>
      </x:c>
      <x:c r="L449" s="10" t="str"/>
      <x:c r="M449" s="10" t="str">
        <x:v>未测</x:v>
      </x:c>
      <x:c r="N449" s="10" t="str"/>
      <x:c r="O449" s="9" t="str">
        <x:v>1. 来源（当前证据）：liveshow-proto/MainBasis/统一需求文档.md；位置：行1301、行1290
2. 规则：BR-c42f2403fde20cb3
3. 未动态验证</x:v>
      </x:c>
    </x:row>
    <x:row r="450" ht="85" customHeight="1">
      <x:c r="A450" s="10" t="n">
        <x:v>449</x:v>
      </x:c>
      <x:c r="B450" s="10" t="str">
        <x:v>USER-08-0007</x:v>
      </x:c>
      <x:c r="C450" s="10" t="str">
        <x:v>钱包与账单</x:v>
      </x:c>
      <x:c r="D450" s="10" t="str">
        <x:v>余额充值（真实金币用户视角）</x:v>
      </x:c>
      <x:c r="E450" s="10" t="str">
        <x:v>功能需求</x:v>
      </x:c>
      <x:c r="F450" s="10" t="str">
        <x:v>P2</x:v>
      </x:c>
      <x:c r="G450" s="9" t="str">
        <x:v>验证同类套餐按权重排序</x:v>
      </x:c>
      <x:c r="H450" s="9" t="str">
        <x:v>排列次序</x:v>
      </x:c>
      <x:c r="I450" s="9" t="str">
        <x:v>1. 执行角色为真实金币用户；当前处于余额充值页面
2. 同类套餐A权重10、B权重20</x:v>
      </x:c>
      <x:c r="J450" s="9" t="str">
        <x:v>1. 查看套餐排序</x:v>
      </x:c>
      <x:c r="K450" s="9" t="str">
        <x:v>B排在A之前</x:v>
      </x:c>
      <x:c r="L450" s="10" t="str"/>
      <x:c r="M450" s="10" t="str">
        <x:v>未测</x:v>
      </x:c>
      <x:c r="N450" s="10" t="str"/>
      <x:c r="O450" s="9" t="str">
        <x:v>1. 来源（当前证据）：liveshow-proto/MainBasis/统一需求文档.md；位置：行1301、行1290
2. 规则：BR-5250daf7144e1ebc
3. 未动态验证</x:v>
      </x:c>
    </x:row>
    <x:row r="451" ht="85" customHeight="1">
      <x:c r="A451" s="10" t="n">
        <x:v>450</x:v>
      </x:c>
      <x:c r="B451" s="10" t="str">
        <x:v>USER-08-0008</x:v>
      </x:c>
      <x:c r="C451" s="10" t="str">
        <x:v>钱包与账单</x:v>
      </x:c>
      <x:c r="D451" s="10" t="str">
        <x:v>余额充值（真实金币用户视角）</x:v>
      </x:c>
      <x:c r="E451" s="10" t="str">
        <x:v>功能需求</x:v>
      </x:c>
      <x:c r="F451" s="10" t="str">
        <x:v>P1</x:v>
      </x:c>
      <x:c r="G451" s="9" t="str">
        <x:v>验证已下架套餐过滤</x:v>
      </x:c>
      <x:c r="H451" s="9" t="str">
        <x:v>下架套餐过滤</x:v>
      </x:c>
      <x:c r="I451" s="9" t="str">
        <x:v>1. 执行角色为真实金币用户；当前处于余额充值页面
2. 套餐A已下架</x:v>
      </x:c>
      <x:c r="J451" s="9" t="str">
        <x:v>1. 刷新充值页</x:v>
      </x:c>
      <x:c r="K451" s="9" t="str">
        <x:v>不展示套餐A</x:v>
      </x:c>
      <x:c r="L451" s="10" t="str"/>
      <x:c r="M451" s="10" t="str">
        <x:v>未测</x:v>
      </x:c>
      <x:c r="N451" s="10" t="str"/>
      <x:c r="O451" s="9" t="str">
        <x:v>1. 来源（当前证据）：liveshow-proto/MainBasis/统一需求文档.md；位置：行1301、行1290
2. 规则：BR-dfc56ecd99beb7cd
3. 未动态验证</x:v>
      </x:c>
    </x:row>
    <x:row r="452" ht="85" customHeight="1">
      <x:c r="A452" s="10" t="n">
        <x:v>451</x:v>
      </x:c>
      <x:c r="B452" s="10" t="str">
        <x:v>USER-08-0009</x:v>
      </x:c>
      <x:c r="C452" s="10" t="str">
        <x:v>钱包与账单</x:v>
      </x:c>
      <x:c r="D452" s="10" t="str">
        <x:v>余额充值（真实金币用户视角）</x:v>
      </x:c>
      <x:c r="E452" s="10" t="str">
        <x:v>功能需求</x:v>
      </x:c>
      <x:c r="F452" s="10" t="str">
        <x:v>P1</x:v>
      </x:c>
      <x:c r="G452" s="9" t="str">
        <x:v>验证过期活动套餐过滤</x:v>
      </x:c>
      <x:c r="H452" s="9" t="str">
        <x:v>过期套餐过滤</x:v>
      </x:c>
      <x:c r="I452" s="9" t="str">
        <x:v>1. 执行角色为真实金币用户；当前处于余额充值页面
2. 活动套餐A已超过活动结束时间</x:v>
      </x:c>
      <x:c r="J452" s="9" t="str">
        <x:v>1. 刷新充值页</x:v>
      </x:c>
      <x:c r="K452" s="9" t="str">
        <x:v>不展示活动套餐A</x:v>
      </x:c>
      <x:c r="L452" s="10" t="str"/>
      <x:c r="M452" s="10" t="str">
        <x:v>未测</x:v>
      </x:c>
      <x:c r="N452" s="10" t="str"/>
      <x:c r="O452" s="9" t="str">
        <x:v>1. 来源（当前证据）：liveshow-proto/MainBasis/统一需求文档.md；位置：行1301、行1290
2. 规则：BR-11faa1510e776a97
3. 未动态验证</x:v>
      </x:c>
    </x:row>
    <x:row r="453" ht="85" customHeight="1">
      <x:c r="A453" s="10" t="n">
        <x:v>452</x:v>
      </x:c>
      <x:c r="B453" s="10" t="str">
        <x:v>USER-08-0010</x:v>
      </x:c>
      <x:c r="C453" s="10" t="str">
        <x:v>钱包与账单</x:v>
      </x:c>
      <x:c r="D453" s="10" t="str">
        <x:v>余额充值（真实金币用户视角）</x:v>
      </x:c>
      <x:c r="E453" s="10" t="str">
        <x:v>功能需求</x:v>
      </x:c>
      <x:c r="F453" s="10" t="str">
        <x:v>P1</x:v>
      </x:c>
      <x:c r="G453" s="9" t="str">
        <x:v>验证达到限购次数过滤</x:v>
      </x:c>
      <x:c r="H453" s="9" t="str">
        <x:v>套餐限购资格</x:v>
      </x:c>
      <x:c r="I453" s="9" t="str">
        <x:v>1. 执行角色为真实金币用户；当前处于余额充值页面
2. 活动套餐限购2次；本账号已有2笔成功订单</x:v>
      </x:c>
      <x:c r="J453" s="9" t="str">
        <x:v>1. 刷新充值页</x:v>
      </x:c>
      <x:c r="K453" s="9" t="str">
        <x:v>该套餐不再可购买</x:v>
      </x:c>
      <x:c r="L453" s="10" t="str"/>
      <x:c r="M453" s="10" t="str">
        <x:v>未测</x:v>
      </x:c>
      <x:c r="N453" s="10" t="str"/>
      <x:c r="O453" s="9" t="str">
        <x:v>1. 来源（当前证据）：liveshow-proto/MainBasis/统一需求文档.md；位置：行1301、行1302、行1290
2. 规则：BR-e307ed8e1c6ff557
3. 未动态验证</x:v>
      </x:c>
    </x:row>
    <x:row r="454" ht="85" customHeight="1">
      <x:c r="A454" s="10" t="n">
        <x:v>453</x:v>
      </x:c>
      <x:c r="B454" s="10" t="str">
        <x:v>USER-08-0011</x:v>
      </x:c>
      <x:c r="C454" s="10" t="str">
        <x:v>钱包与账单</x:v>
      </x:c>
      <x:c r="D454" s="10" t="str">
        <x:v>余额充值（真实金币用户视角）</x:v>
      </x:c>
      <x:c r="E454" s="10" t="str">
        <x:v>功能需求</x:v>
      </x:c>
      <x:c r="F454" s="10" t="str">
        <x:v>P1</x:v>
      </x:c>
      <x:c r="G454" s="9" t="str">
        <x:v>验证未达到限购仍可购买</x:v>
      </x:c>
      <x:c r="H454" s="9" t="str">
        <x:v>套餐限购资格</x:v>
      </x:c>
      <x:c r="I454" s="9" t="str">
        <x:v>1. 执行角色为真实金币用户；当前处于余额充值页面
2. 活动套餐限购2次；本账号只有1笔成功订单</x:v>
      </x:c>
      <x:c r="J454" s="9" t="str">
        <x:v>1. 刷新充值页</x:v>
      </x:c>
      <x:c r="K454" s="9" t="str">
        <x:v>该套餐仍可购买</x:v>
      </x:c>
      <x:c r="L454" s="10" t="str"/>
      <x:c r="M454" s="10" t="str">
        <x:v>未测</x:v>
      </x:c>
      <x:c r="N454" s="10" t="str"/>
      <x:c r="O454" s="9" t="str">
        <x:v>1. 来源（当前证据）：liveshow-proto/MainBasis/统一需求文档.md；位置：行1302、行1290
2. 规则：BR-734ed804fd86c29b
3. 未动态验证</x:v>
      </x:c>
    </x:row>
    <x:row r="455" ht="85" customHeight="1">
      <x:c r="A455" s="10" t="n">
        <x:v>454</x:v>
      </x:c>
      <x:c r="B455" s="10" t="str">
        <x:v>USER-08-0012</x:v>
      </x:c>
      <x:c r="C455" s="10" t="str">
        <x:v>钱包与账单</x:v>
      </x:c>
      <x:c r="D455" s="10" t="str">
        <x:v>余额充值（真实金币用户视角）</x:v>
      </x:c>
      <x:c r="E455" s="10" t="str">
        <x:v>功能需求</x:v>
      </x:c>
      <x:c r="F455" s="10" t="str">
        <x:v>P1</x:v>
      </x:c>
      <x:c r="G455" s="9" t="str">
        <x:v>验证零限购为不限购</x:v>
      </x:c>
      <x:c r="H455" s="9" t="str">
        <x:v>套餐限购资格</x:v>
      </x:c>
      <x:c r="I455" s="9" t="str">
        <x:v>1. 执行角色为真实金币用户；当前处于余额充值页面
2. 活动套餐限购配置0；本账号已成功购买3次</x:v>
      </x:c>
      <x:c r="J455" s="9" t="str">
        <x:v>1. 刷新充值页</x:v>
      </x:c>
      <x:c r="K455" s="9" t="str">
        <x:v>该套餐仍可购买</x:v>
      </x:c>
      <x:c r="L455" s="10" t="str"/>
      <x:c r="M455" s="10" t="str">
        <x:v>未测</x:v>
      </x:c>
      <x:c r="N455" s="10" t="str"/>
      <x:c r="O455" s="9" t="str">
        <x:v>1. 来源（当前证据）：liveshow-proto/MainBasis/统一需求文档.md；位置：行1302、行1290
2. 规则：BR-2d5510b1c344ab87
3. 未动态验证</x:v>
      </x:c>
    </x:row>
    <x:row r="456" ht="85" customHeight="1">
      <x:c r="A456" s="10" t="n">
        <x:v>455</x:v>
      </x:c>
      <x:c r="B456" s="10" t="str">
        <x:v>USER-08-0013</x:v>
      </x:c>
      <x:c r="C456" s="10" t="str">
        <x:v>钱包与账单</x:v>
      </x:c>
      <x:c r="D456" s="10" t="str">
        <x:v>余额充值（真实金币用户视角）</x:v>
      </x:c>
      <x:c r="E456" s="10" t="str">
        <x:v>逻辑校验</x:v>
      </x:c>
      <x:c r="F456" s="10" t="str">
        <x:v>P1</x:v>
      </x:c>
      <x:c r="G456" s="9" t="str">
        <x:v>验证退款不恢复购买次数</x:v>
      </x:c>
      <x:c r="H456" s="9" t="str">
        <x:v>入口可用性</x:v>
      </x:c>
      <x:c r="I456" s="9" t="str">
        <x:v>1. 执行角色为真实金币用户；当前处于余额充值页面
2. 套餐限购1次；成功订单已全额退款</x:v>
      </x:c>
      <x:c r="J456" s="9" t="str">
        <x:v>1. 刷新充值页</x:v>
      </x:c>
      <x:c r="K456" s="9" t="str">
        <x:v>不能再次购买该限购套餐</x:v>
      </x:c>
      <x:c r="L456" s="10" t="str"/>
      <x:c r="M456" s="10" t="str">
        <x:v>未测</x:v>
      </x:c>
      <x:c r="N456" s="10" t="str"/>
      <x:c r="O456" s="9" t="str">
        <x:v>1. 来源（当前证据）：liveshow-proto/MainBasis/统一需求文档.md；位置：行1302、行1290
2. 规则：BR-c8792892c9a47cd0
3. 未动态验证</x:v>
      </x:c>
    </x:row>
    <x:row r="457" ht="85" customHeight="1">
      <x:c r="A457" s="10" t="n">
        <x:v>456</x:v>
      </x:c>
      <x:c r="B457" s="10" t="str">
        <x:v>USER-08-0014</x:v>
      </x:c>
      <x:c r="C457" s="10" t="str">
        <x:v>钱包与账单</x:v>
      </x:c>
      <x:c r="D457" s="10" t="str">
        <x:v>余额充值（真实金币用户视角）</x:v>
      </x:c>
      <x:c r="E457" s="10" t="str">
        <x:v>功能需求</x:v>
      </x:c>
      <x:c r="F457" s="10" t="str">
        <x:v>P2</x:v>
      </x:c>
      <x:c r="G457" s="9" t="str">
        <x:v>验证页面不提供渠道选择</x:v>
      </x:c>
      <x:c r="H457" s="9" t="str">
        <x:v>支付渠道入口限制</x:v>
      </x:c>
      <x:c r="I457" s="9" t="str">
        <x:v>1. 执行角色为真实金币用户；当前处于余额充值页面</x:v>
      </x:c>
      <x:c r="J457" s="9" t="str">
        <x:v>1. 查看支付控件</x:v>
      </x:c>
      <x:c r="K457" s="9" t="str">
        <x:v>本页没有支付渠道选择控件</x:v>
      </x:c>
      <x:c r="L457" s="10" t="str"/>
      <x:c r="M457" s="10" t="str">
        <x:v>未测</x:v>
      </x:c>
      <x:c r="N457" s="10" t="str"/>
      <x:c r="O457" s="9" t="str">
        <x:v>1. 来源（当前证据）：liveshow-proto/MainBasis/统一需求文档.md；位置：行1306、行1290
2. 规则：BR-4127194d17424628
3. 未动态验证</x:v>
      </x:c>
    </x:row>
    <x:row r="458" ht="85" customHeight="1">
      <x:c r="A458" s="10" t="n">
        <x:v>457</x:v>
      </x:c>
      <x:c r="B458" s="10" t="str">
        <x:v>USER-08-0015</x:v>
      </x:c>
      <x:c r="C458" s="10" t="str">
        <x:v>钱包与账单</x:v>
      </x:c>
      <x:c r="D458" s="10" t="str">
        <x:v>余额充值（真实金币用户视角）</x:v>
      </x:c>
      <x:c r="E458" s="10" t="str">
        <x:v>业务流程</x:v>
      </x:c>
      <x:c r="F458" s="10" t="str">
        <x:v>P0</x:v>
      </x:c>
      <x:c r="G458" s="9" t="str">
        <x:v>验证套餐价格发起支付</x:v>
      </x:c>
      <x:c r="H458" s="9" t="str">
        <x:v>套餐支付发起</x:v>
      </x:c>
      <x:c r="I458" s="9" t="str">
        <x:v>1. 执行角色为真实金币用户；当前处于余额充值页面
2. 已准备可购买测试套餐和沙箱支付环境</x:v>
      </x:c>
      <x:c r="J458" s="9" t="str">
        <x:v>1. 点击该套餐价格</x:v>
      </x:c>
      <x:c r="K458" s="9" t="str">
        <x:v>发起该套餐支付</x:v>
      </x:c>
      <x:c r="L458" s="10" t="str"/>
      <x:c r="M458" s="10" t="str">
        <x:v>未测</x:v>
      </x:c>
      <x:c r="N458" s="10" t="str"/>
      <x:c r="O458" s="9" t="str">
        <x:v>1. 来源（当前证据）：liveshow-proto/MainBasis/统一需求文档.md；位置：行1306、行1290
2. 规则：BR-df2850bf2e4cd91a
3. 未动态验证</x:v>
      </x:c>
    </x:row>
    <x:row r="459" ht="85" customHeight="1">
      <x:c r="A459" s="10" t="n">
        <x:v>458</x:v>
      </x:c>
      <x:c r="B459" s="10" t="str">
        <x:v>USER-08-0016</x:v>
      </x:c>
      <x:c r="C459" s="10" t="str">
        <x:v>钱包与账单</x:v>
      </x:c>
      <x:c r="D459" s="10" t="str">
        <x:v>余额充值（真实金币用户视角）</x:v>
      </x:c>
      <x:c r="E459" s="10" t="str">
        <x:v>逻辑校验</x:v>
      </x:c>
      <x:c r="F459" s="10" t="str">
        <x:v>P0</x:v>
      </x:c>
      <x:c r="G459" s="9" t="str">
        <x:v>验证成功支付金币到账</x:v>
      </x:c>
      <x:c r="H459" s="9" t="str">
        <x:v>资产数值</x:v>
      </x:c>
      <x:c r="I459" s="9" t="str">
        <x:v>1. 执行角色为真实金币用户；当前处于余额充值页面
2. 余额100；套餐1000基础加100赠送；使用沙箱支付</x:v>
      </x:c>
      <x:c r="J459" s="9" t="str">
        <x:v>1. 点击套餐价格
2. 完成成功支付
3. 查看金币余额</x:v>
      </x:c>
      <x:c r="K459" s="9" t="str">
        <x:v>余额为1200金币（计算结果 = 1200 金币）</x:v>
      </x:c>
      <x:c r="L459" s="10" t="str"/>
      <x:c r="M459" s="10" t="str">
        <x:v>未测</x:v>
      </x:c>
      <x:c r="N459" s="10" t="str"/>
      <x:c r="O459" s="9" t="str">
        <x:v>1. 来源（当前证据）：liveshow-proto/MainBasis/统一需求文档.md；位置：行1303、行1296、行1290
2. 规则：BR-8940765f9b214345
3. 未动态验证</x:v>
      </x:c>
    </x:row>
    <x:row r="460" ht="85" customHeight="1">
      <x:c r="A460" s="10" t="n">
        <x:v>459</x:v>
      </x:c>
      <x:c r="B460" s="10" t="str">
        <x:v>USER-08-0017</x:v>
      </x:c>
      <x:c r="C460" s="10" t="str">
        <x:v>钱包与账单</x:v>
      </x:c>
      <x:c r="D460" s="10" t="str">
        <x:v>余额充值（真实金币用户视角）</x:v>
      </x:c>
      <x:c r="E460" s="10" t="str">
        <x:v>逻辑校验</x:v>
      </x:c>
      <x:c r="F460" s="10" t="str">
        <x:v>P1</x:v>
      </x:c>
      <x:c r="G460" s="9" t="str">
        <x:v>验证支付时套餐快照</x:v>
      </x:c>
      <x:c r="H460" s="9" t="str">
        <x:v>资产数值</x:v>
      </x:c>
      <x:c r="I460" s="9" t="str">
        <x:v>1. 执行角色为真实金币用户；当前处于余额充值页面
2. 订单已按1000基础加100赠送下单；后台随后改为赠送200</x:v>
      </x:c>
      <x:c r="J460" s="9" t="str">
        <x:v>1. 完成该订单支付
2. 查看余额变化</x:v>
      </x:c>
      <x:c r="K460" s="9" t="str">
        <x:v>本订单只增加1100金币（计算结果 = 1100 金币）</x:v>
      </x:c>
      <x:c r="L460" s="10" t="str"/>
      <x:c r="M460" s="10" t="str">
        <x:v>未测</x:v>
      </x:c>
      <x:c r="N460" s="10" t="str"/>
      <x:c r="O460" s="9" t="str">
        <x:v>1. 来源（当前证据）：liveshow-proto/MainBasis/统一需求文档.md；位置：行1303、行1290
2. 规则：BR-04b92a0758602ecd
3. 未动态验证</x:v>
      </x:c>
    </x:row>
    <x:row r="461" ht="175" customHeight="1">
      <x:c r="A461" s="10" t="n">
        <x:v>460</x:v>
      </x:c>
      <x:c r="B461" s="10" t="str">
        <x:v>USER-08-0018</x:v>
      </x:c>
      <x:c r="C461" s="10" t="str">
        <x:v>钱包与账单</x:v>
      </x:c>
      <x:c r="D461" s="10" t="str">
        <x:v>余额充值（真实金币用户视角）</x:v>
      </x:c>
      <x:c r="E461" s="10" t="str">
        <x:v>异常用例</x:v>
      </x:c>
      <x:c r="F461" s="10" t="str">
        <x:v>P1</x:v>
      </x:c>
      <x:c r="G461" s="9" t="str">
        <x:v>验证重复支付回调只入账一次</x:v>
      </x:c>
      <x:c r="H461" s="9" t="str">
        <x:v>资产数值</x:v>
      </x:c>
      <x:c r="I461" s="9" t="str">
        <x:v>1. 执行角色为真实金币用户；当前处于余额充值页面
2. 余额原为100；1100金币订单已成功入账；测试渠道重复回调已完成
3. 环境准备要求（尚未具备）：需测试支付环境保存首次成功回调并对同一订单重放一次；订单号、金额、币种和签名均使用原记录，不能新建订单替代重复回调</x:v>
      </x:c>
      <x:c r="J461" s="9" t="str">
        <x:v>1. 刷新充值页余额</x:v>
      </x:c>
      <x:c r="K461" s="9" t="str">
        <x:v>余额仍为1200金币</x:v>
      </x:c>
      <x:c r="L461" s="10" t="str"/>
      <x:c r="M461" s="10" t="str">
        <x:v>未测</x:v>
      </x:c>
      <x:c r="N461" s="10" t="str"/>
      <x:c r="O461" s="9" t="str">
        <x:v>1. 来源（当前证据）：liveshow-proto/MainBasis/统一需求文档.md；位置：行1303、行1290
2. 规则：BR-652484cbd533d5e6
3. 未动态验证
4. 环境待准备：同一充值订单成功回调；时点：该订单第一次成功入账之后；恢复：本条结束后撤销故障设置，恢复真实请求处理；使用新测试对象复跑正常路径，避免污染后续用例</x:v>
      </x:c>
    </x:row>
    <x:row r="462" ht="130" customHeight="1">
      <x:c r="A462" s="10" t="n">
        <x:v>461</x:v>
      </x:c>
      <x:c r="B462" s="10" t="str">
        <x:v>USER-08-0019</x:v>
      </x:c>
      <x:c r="C462" s="10" t="str">
        <x:v>钱包与账单</x:v>
      </x:c>
      <x:c r="D462" s="10" t="str">
        <x:v>余额充值（真实金币用户视角）</x:v>
      </x:c>
      <x:c r="E462" s="10" t="str">
        <x:v>逻辑校验</x:v>
      </x:c>
      <x:c r="F462" s="10" t="str">
        <x:v>P1</x:v>
      </x:c>
      <x:c r="G462" s="9" t="str">
        <x:v>验证负余额充值先抵扣</x:v>
      </x:c>
      <x:c r="H462" s="9" t="str">
        <x:v>资产数值</x:v>
      </x:c>
      <x:c r="I462" s="9" t="str">
        <x:v>1. 执行角色为真实金币用户；当前处于余额充值页面
2. 当前余额-200；本订单到账1100金币</x:v>
      </x:c>
      <x:c r="J462" s="9" t="str">
        <x:v>1. 完成沙箱支付
2. 查看余额</x:v>
      </x:c>
      <x:c r="K462" s="9" t="str">
        <x:v>余额为900金币（计算结果 = 900 金币）</x:v>
      </x:c>
      <x:c r="L462" s="10" t="str">
        <x:v>FLOW-719C647D</x:v>
      </x:c>
      <x:c r="M462" s="10" t="str">
        <x:v>未测</x:v>
      </x:c>
      <x:c r="N462" s="10" t="str"/>
      <x:c r="O462" s="9" t="str">
        <x:v>1. 来源（当前证据）：liveshow-proto/MainBasis/统一需求文档.md；位置：行1304、行507、行1290
2. 规则：BR-7e7077d4fe8a03a3
3. 未动态验证
4. 状态转换：ST-USER-028；共同业务对象：金币账户；当前阶段：充值到账后的用户App观察</x:v>
      </x:c>
    </x:row>
    <x:row r="463" ht="85" customHeight="1">
      <x:c r="A463" s="10" t="n">
        <x:v>462</x:v>
      </x:c>
      <x:c r="B463" s="10" t="str">
        <x:v>USER-08-0020</x:v>
      </x:c>
      <x:c r="C463" s="10" t="str">
        <x:v>钱包与账单</x:v>
      </x:c>
      <x:c r="D463" s="10" t="str">
        <x:v>余额充值（真实金币用户视角）</x:v>
      </x:c>
      <x:c r="E463" s="10" t="str">
        <x:v>功能需求</x:v>
      </x:c>
      <x:c r="F463" s="10" t="str">
        <x:v>P1</x:v>
      </x:c>
      <x:c r="G463" s="9" t="str">
        <x:v>验证用户侧无退款入口</x:v>
      </x:c>
      <x:c r="H463" s="9" t="str">
        <x:v>充值退款入口限制</x:v>
      </x:c>
      <x:c r="I463" s="9" t="str">
        <x:v>1. 执行角色为真实金币用户；当前处于余额充值页面</x:v>
      </x:c>
      <x:c r="J463" s="9" t="str">
        <x:v>1. 查看充值页面操作入口</x:v>
      </x:c>
      <x:c r="K463" s="9" t="str">
        <x:v>不提供退款操作</x:v>
      </x:c>
      <x:c r="L463" s="10" t="str"/>
      <x:c r="M463" s="10" t="str">
        <x:v>未测</x:v>
      </x:c>
      <x:c r="N463" s="10" t="str"/>
      <x:c r="O463" s="9" t="str">
        <x:v>1. 来源（当前证据）：liveshow-proto/MainBasis/统一需求文档.md；位置：行1304、行1290
2. 规则：BR-a63e17288897dc74
3. 未动态验证</x:v>
      </x:c>
    </x:row>
    <x:row r="464" ht="85" customHeight="1">
      <x:c r="A464" s="10" t="n">
        <x:v>463</x:v>
      </x:c>
      <x:c r="B464" s="10" t="str">
        <x:v>USER-08-0021</x:v>
      </x:c>
      <x:c r="C464" s="10" t="str">
        <x:v>钱包与账单</x:v>
      </x:c>
      <x:c r="D464" s="10" t="str">
        <x:v>余额充值（真实金币用户视角）</x:v>
      </x:c>
      <x:c r="E464" s="10" t="str">
        <x:v>功能需求</x:v>
      </x:c>
      <x:c r="F464" s="10" t="str">
        <x:v>P2</x:v>
      </x:c>
      <x:c r="G464" s="9" t="str">
        <x:v>验证金币明细入口</x:v>
      </x:c>
      <x:c r="H464" s="9" t="str">
        <x:v>余额明细页面去向</x:v>
      </x:c>
      <x:c r="I464" s="9" t="str">
        <x:v>1. 执行角色为真实金币用户；当前处于余额充值页面</x:v>
      </x:c>
      <x:c r="J464" s="9" t="str">
        <x:v>1. 点击明细</x:v>
      </x:c>
      <x:c r="K464" s="9" t="str">
        <x:v>进入余额明细页</x:v>
      </x:c>
      <x:c r="L464" s="10" t="str"/>
      <x:c r="M464" s="10" t="str">
        <x:v>未测</x:v>
      </x:c>
      <x:c r="N464" s="10" t="str"/>
      <x:c r="O464" s="9" t="str">
        <x:v>1. 来源（当前证据）：liveshow-proto/MainBasis/统一需求文档.md；位置：行1308、行1290
2. 规则：BR-a9ee4f09282e288b
3. 未动态验证</x:v>
      </x:c>
    </x:row>
    <x:row r="465" ht="85" customHeight="1">
      <x:c r="A465" s="10" t="n">
        <x:v>464</x:v>
      </x:c>
      <x:c r="B465" s="10" t="str">
        <x:v>USER-08-0022</x:v>
      </x:c>
      <x:c r="C465" s="10" t="str">
        <x:v>钱包与账单</x:v>
      </x:c>
      <x:c r="D465" s="10" t="str">
        <x:v>余额充值（真实金币用户视角）</x:v>
      </x:c>
      <x:c r="E465" s="10" t="str">
        <x:v>功能需求</x:v>
      </x:c>
      <x:c r="F465" s="10" t="str">
        <x:v>P2</x:v>
      </x:c>
      <x:c r="G465" s="9" t="str">
        <x:v>验证充值页返回</x:v>
      </x:c>
      <x:c r="H465" s="9" t="str">
        <x:v>充值页返回去向</x:v>
      </x:c>
      <x:c r="I465" s="9" t="str">
        <x:v>1. 执行角色为真实金币用户；当前处于余额充值页面</x:v>
      </x:c>
      <x:c r="J465" s="9" t="str">
        <x:v>1. 点击返回</x:v>
      </x:c>
      <x:c r="K465" s="9" t="str">
        <x:v>进入我的页面</x:v>
      </x:c>
      <x:c r="L465" s="10" t="str"/>
      <x:c r="M465" s="10" t="str">
        <x:v>未测</x:v>
      </x:c>
      <x:c r="N465" s="10" t="str"/>
      <x:c r="O465" s="9" t="str">
        <x:v>1. 来源（当前证据）：liveshow-proto/MainBasis/统一需求文档.md；位置：行1308、行1290
2. 规则：BR-2250e009a3d8c36a
3. 未动态验证</x:v>
      </x:c>
    </x:row>
    <x:row r="466" ht="160" customHeight="1">
      <x:c r="A466" s="10" t="n">
        <x:v>465</x:v>
      </x:c>
      <x:c r="B466" s="10" t="str">
        <x:v>USER-08-0023</x:v>
      </x:c>
      <x:c r="C466" s="10" t="str">
        <x:v>钱包与账单</x:v>
      </x:c>
      <x:c r="D466" s="10" t="str">
        <x:v>余额充值（真实金币用户视角）</x:v>
      </x:c>
      <x:c r="E466" s="10" t="str">
        <x:v>异常用例</x:v>
      </x:c>
      <x:c r="F466" s="10" t="str">
        <x:v>P1</x:v>
      </x:c>
      <x:c r="G466" s="9" t="str">
        <x:v>验证支付失败不增加余额</x:v>
      </x:c>
      <x:c r="H466" s="9" t="str">
        <x:v>资产数值</x:v>
      </x:c>
      <x:c r="I466" s="9" t="str">
        <x:v>1. 执行角色为真实金币用户；当前处于余额充值页面
2. 支付前余额100；已准备沙箱支付订单
3. 环境准备要求（尚未具备）：需配置支付测试订单最终失败结果，并提供应用可收到的失败回调；不能用取消支付替代失败。仅使用测试环境与测试支付账户</x:v>
      </x:c>
      <x:c r="J466" s="9" t="str">
        <x:v>1. 使本笔沙箱支付返回失败结果
2. 查看余额</x:v>
      </x:c>
      <x:c r="K466" s="9" t="str">
        <x:v>余额仍为100金币</x:v>
      </x:c>
      <x:c r="L466" s="10" t="str"/>
      <x:c r="M466" s="10" t="str">
        <x:v>未测</x:v>
      </x:c>
      <x:c r="N466" s="10" t="str"/>
      <x:c r="O466" s="9" t="str">
        <x:v>1. 来源（当前证据）：liveshow-proto/MainBasis/统一需求文档.md；位置：行1303、行1307、行1290
2. 规则：BR-45b6760416a66ceb
3. 未动态验证
4. 环境待准备：测试支付订单；时点：本次支付结果回到应用时；恢复：本条结束后撤销故障设置，恢复真实请求处理；使用新测试对象复跑正常路径，避免污染后续用例</x:v>
      </x:c>
    </x:row>
    <x:row r="467" ht="160" customHeight="1">
      <x:c r="A467" s="10" t="n">
        <x:v>466</x:v>
      </x:c>
      <x:c r="B467" s="10" t="str">
        <x:v>USER-08-0024</x:v>
      </x:c>
      <x:c r="C467" s="10" t="str">
        <x:v>钱包与账单</x:v>
      </x:c>
      <x:c r="D467" s="10" t="str">
        <x:v>余额充值（真实金币用户视角）</x:v>
      </x:c>
      <x:c r="E467" s="10" t="str">
        <x:v>异常用例</x:v>
      </x:c>
      <x:c r="F467" s="10" t="str">
        <x:v>P1</x:v>
      </x:c>
      <x:c r="G467" s="9" t="str">
        <x:v>验证支付超时不增加余额</x:v>
      </x:c>
      <x:c r="H467" s="9" t="str">
        <x:v>资产数值</x:v>
      </x:c>
      <x:c r="I467" s="9" t="str">
        <x:v>1. 执行角色为真实金币用户；当前处于余额充值页面
2. 支付前余额100；已准备沙箱支付订单
3. 环境准备要求（尚未具备）：需支付测试环境提供已确认的超时终态及回调；具体超时由渠道配置读取，不自行约定等待秒数</x:v>
      </x:c>
      <x:c r="J467" s="9" t="str">
        <x:v>1. 使本笔沙箱支付返回超时结果
2. 查看余额</x:v>
      </x:c>
      <x:c r="K467" s="9" t="str">
        <x:v>余额仍为100金币</x:v>
      </x:c>
      <x:c r="L467" s="10" t="str"/>
      <x:c r="M467" s="10" t="str">
        <x:v>未测</x:v>
      </x:c>
      <x:c r="N467" s="10" t="str"/>
      <x:c r="O467" s="9" t="str">
        <x:v>1. 来源（当前证据）：liveshow-proto/MainBasis/统一需求文档.md；位置：行1303、行1307、行1290
2. 规则：BR-403dd1780b1ae938
3. 未动态验证
4. 环境待准备：测试支付订单超时；时点：指定订单在支付渠道达到其已配置超时终态时；恢复：本条结束后撤销故障设置，恢复真实请求处理；使用新测试对象复跑正常路径，避免污染后续用例</x:v>
      </x:c>
    </x:row>
    <x:row r="468" ht="85" customHeight="1">
      <x:c r="A468" s="10" t="n">
        <x:v>467</x:v>
      </x:c>
      <x:c r="B468" s="10" t="str">
        <x:v>USER-08-0025</x:v>
      </x:c>
      <x:c r="C468" s="10" t="str">
        <x:v>钱包与账单</x:v>
      </x:c>
      <x:c r="D468" s="10" t="str">
        <x:v>余额充值（真实金币用户视角）</x:v>
      </x:c>
      <x:c r="E468" s="10" t="str">
        <x:v>异常用例</x:v>
      </x:c>
      <x:c r="F468" s="10" t="str">
        <x:v>P1</x:v>
      </x:c>
      <x:c r="G468" s="9" t="str">
        <x:v>验证支付取消不增加余额</x:v>
      </x:c>
      <x:c r="H468" s="9" t="str">
        <x:v>资产数值</x:v>
      </x:c>
      <x:c r="I468" s="9" t="str">
        <x:v>1. 执行角色为真实金币用户；当前处于余额充值页面
2. 支付前余额100；已准备沙箱支付订单</x:v>
      </x:c>
      <x:c r="J468" s="9" t="str">
        <x:v>1. 使本笔沙箱支付返回取消结果
2. 查看余额</x:v>
      </x:c>
      <x:c r="K468" s="9" t="str">
        <x:v>余额仍为100金币</x:v>
      </x:c>
      <x:c r="L468" s="10" t="str"/>
      <x:c r="M468" s="10" t="str">
        <x:v>未测</x:v>
      </x:c>
      <x:c r="N468" s="10" t="str"/>
      <x:c r="O468" s="9" t="str">
        <x:v>1. 来源（当前证据）：liveshow-proto/MainBasis/统一需求文档.md；位置：行1303、行1307、行1290
2. 规则：BR-8744c760fb7072c1
3. 未动态验证</x:v>
      </x:c>
    </x:row>
    <x:row r="469" ht="85" customHeight="1">
      <x:c r="A469" s="10" t="n">
        <x:v>468</x:v>
      </x:c>
      <x:c r="B469" s="10" t="str">
        <x:v>USER-08-0026</x:v>
      </x:c>
      <x:c r="C469" s="10" t="str">
        <x:v>钱包与账单</x:v>
      </x:c>
      <x:c r="D469" s="10" t="str">
        <x:v>余额明细（真实金币用户视角）</x:v>
      </x:c>
      <x:c r="E469" s="10" t="str">
        <x:v>功能需求</x:v>
      </x:c>
      <x:c r="F469" s="10" t="str">
        <x:v>P1</x:v>
      </x:c>
      <x:c r="G469" s="9" t="str">
        <x:v>验证本人流水隔离</x:v>
      </x:c>
      <x:c r="H469" s="9" t="str">
        <x:v>账单账号数据范围</x:v>
      </x:c>
      <x:c r="I469" s="9" t="str">
        <x:v>1. 执行角色为真实金币用户；当前处于余额明细页面
2. 当前账号及另一账号均有金币流水</x:v>
      </x:c>
      <x:c r="J469" s="9" t="str">
        <x:v>1. 查看余额明细</x:v>
      </x:c>
      <x:c r="K469" s="9" t="str">
        <x:v>只展示当前登录账号流水</x:v>
      </x:c>
      <x:c r="L469" s="10" t="str"/>
      <x:c r="M469" s="10" t="str">
        <x:v>未测</x:v>
      </x:c>
      <x:c r="N469" s="10" t="str"/>
      <x:c r="O469" s="9" t="str">
        <x:v>1. 来源（当前证据）：liveshow-proto/MainBasis/统一需求文档.md；位置：行1317、行1311
2. 规则：BR-727446a23a271a82
3. 未动态验证</x:v>
      </x:c>
    </x:row>
    <x:row r="470" ht="85" customHeight="1">
      <x:c r="A470" s="10" t="n">
        <x:v>469</x:v>
      </x:c>
      <x:c r="B470" s="10" t="str">
        <x:v>USER-08-0027</x:v>
      </x:c>
      <x:c r="C470" s="10" t="str">
        <x:v>钱包与账单</x:v>
      </x:c>
      <x:c r="D470" s="10" t="str">
        <x:v>余额明细（真实金币用户视角）</x:v>
      </x:c>
      <x:c r="E470" s="10" t="str">
        <x:v>功能需求</x:v>
      </x:c>
      <x:c r="F470" s="10" t="str">
        <x:v>P2</x:v>
      </x:c>
      <x:c r="G470" s="9" t="str">
        <x:v>验证流水时间倒序</x:v>
      </x:c>
      <x:c r="H470" s="9" t="str">
        <x:v>排列次序</x:v>
      </x:c>
      <x:c r="I470" s="9" t="str">
        <x:v>1. 执行角色为真实金币用户；当前处于余额明细页面
2. 有9月14日和9月15日流水</x:v>
      </x:c>
      <x:c r="J470" s="9" t="str">
        <x:v>1. 查看流水列表</x:v>
      </x:c>
      <x:c r="K470" s="9" t="str">
        <x:v>9月15日记录在前</x:v>
      </x:c>
      <x:c r="L470" s="10" t="str"/>
      <x:c r="M470" s="10" t="str">
        <x:v>未测</x:v>
      </x:c>
      <x:c r="N470" s="10" t="str"/>
      <x:c r="O470" s="9" t="str">
        <x:v>1. 来源（当前证据）：liveshow-proto/MainBasis/统一需求文档.md；位置：行1317、行1311
2. 规则：BR-12b2ffde71073d74
3. 未动态验证</x:v>
      </x:c>
    </x:row>
    <x:row r="471" ht="85" customHeight="1">
      <x:c r="A471" s="10" t="n">
        <x:v>470</x:v>
      </x:c>
      <x:c r="B471" s="10" t="str">
        <x:v>USER-08-0028</x:v>
      </x:c>
      <x:c r="C471" s="10" t="str">
        <x:v>钱包与账单</x:v>
      </x:c>
      <x:c r="D471" s="10" t="str">
        <x:v>余额明细（真实金币用户视角）</x:v>
      </x:c>
      <x:c r="E471" s="10" t="str">
        <x:v>功能需求</x:v>
      </x:c>
      <x:c r="F471" s="10" t="str">
        <x:v>P2</x:v>
      </x:c>
      <x:c r="G471" s="9" t="str">
        <x:v>验证相同时间流水ID倒序</x:v>
      </x:c>
      <x:c r="H471" s="9" t="str">
        <x:v>同时间流水排序</x:v>
      </x:c>
      <x:c r="I471" s="9" t="str">
        <x:v>1. 执行角色为真实金币用户；当前处于余额明细页面
2. 同一时间流水ID为100和101</x:v>
      </x:c>
      <x:c r="J471" s="9" t="str">
        <x:v>1. 查看两条流水顺序</x:v>
      </x:c>
      <x:c r="K471" s="9" t="str">
        <x:v>ID101在ID100之前</x:v>
      </x:c>
      <x:c r="L471" s="10" t="str"/>
      <x:c r="M471" s="10" t="str">
        <x:v>未测</x:v>
      </x:c>
      <x:c r="N471" s="10" t="str"/>
      <x:c r="O471" s="9" t="str">
        <x:v>1. 来源（当前证据）：liveshow-proto/MainBasis/统一需求文档.md；位置：行1317、行1311
2. 规则：BR-43674e05b1cfc9a4
3. 未动态验证</x:v>
      </x:c>
    </x:row>
    <x:row r="472" ht="85" customHeight="1">
      <x:c r="A472" s="10" t="n">
        <x:v>471</x:v>
      </x:c>
      <x:c r="B472" s="10" t="str">
        <x:v>USER-08-0029</x:v>
      </x:c>
      <x:c r="C472" s="10" t="str">
        <x:v>钱包与账单</x:v>
      </x:c>
      <x:c r="D472" s="10" t="str">
        <x:v>余额明细（真实金币用户视角）</x:v>
      </x:c>
      <x:c r="E472" s="10" t="str">
        <x:v>功能需求</x:v>
      </x:c>
      <x:c r="F472" s="10" t="str">
        <x:v>P1</x:v>
      </x:c>
      <x:c r="G472" s="9" t="str">
        <x:v>验证收入为正数</x:v>
      </x:c>
      <x:c r="H472" s="9" t="str">
        <x:v>资产数值</x:v>
      </x:c>
      <x:c r="I472" s="9" t="str">
        <x:v>1. 执行角色为真实金币用户；当前处于余额明细页面
2. 有成功充值1100金币流水</x:v>
      </x:c>
      <x:c r="J472" s="9" t="str">
        <x:v>1. 查看该流水变动值</x:v>
      </x:c>
      <x:c r="K472" s="9" t="str">
        <x:v>变动值为+1100金币</x:v>
      </x:c>
      <x:c r="L472" s="10" t="str"/>
      <x:c r="M472" s="10" t="str">
        <x:v>未测</x:v>
      </x:c>
      <x:c r="N472" s="10" t="str"/>
      <x:c r="O472" s="9" t="str">
        <x:v>1. 来源（当前证据）：liveshow-proto/MainBasis/统一需求文档.md；位置：行1314、行1311
2. 规则：BR-f83bcd5f4909e106
3. 未动态验证</x:v>
      </x:c>
    </x:row>
    <x:row r="473" ht="85" customHeight="1">
      <x:c r="A473" s="10" t="n">
        <x:v>472</x:v>
      </x:c>
      <x:c r="B473" s="10" t="str">
        <x:v>USER-08-0030</x:v>
      </x:c>
      <x:c r="C473" s="10" t="str">
        <x:v>钱包与账单</x:v>
      </x:c>
      <x:c r="D473" s="10" t="str">
        <x:v>余额明细（真实金币用户视角）</x:v>
      </x:c>
      <x:c r="E473" s="10" t="str">
        <x:v>功能需求</x:v>
      </x:c>
      <x:c r="F473" s="10" t="str">
        <x:v>P1</x:v>
      </x:c>
      <x:c r="G473" s="9" t="str">
        <x:v>验证支出为负数</x:v>
      </x:c>
      <x:c r="H473" s="9" t="str">
        <x:v>资产数值</x:v>
      </x:c>
      <x:c r="I473" s="9" t="str">
        <x:v>1. 执行角色为真实金币用户；当前处于余额明细页面
2. 有成功送礼100金币流水</x:v>
      </x:c>
      <x:c r="J473" s="9" t="str">
        <x:v>1. 查看该流水变动值</x:v>
      </x:c>
      <x:c r="K473" s="9" t="str">
        <x:v>变动值为-100金币</x:v>
      </x:c>
      <x:c r="L473" s="10" t="str"/>
      <x:c r="M473" s="10" t="str">
        <x:v>未测</x:v>
      </x:c>
      <x:c r="N473" s="10" t="str"/>
      <x:c r="O473" s="9" t="str">
        <x:v>1. 来源（当前证据）：liveshow-proto/MainBasis/统一需求文档.md；位置：行1314、行1311
2. 规则：BR-4d186cc46538421f
3. 未动态验证</x:v>
      </x:c>
    </x:row>
    <x:row r="474" ht="85" customHeight="1">
      <x:c r="A474" s="10" t="n">
        <x:v>473</x:v>
      </x:c>
      <x:c r="B474" s="10" t="str">
        <x:v>USER-08-0031</x:v>
      </x:c>
      <x:c r="C474" s="10" t="str">
        <x:v>钱包与账单</x:v>
      </x:c>
      <x:c r="D474" s="10" t="str">
        <x:v>余额明细（真实金币用户视角）</x:v>
      </x:c>
      <x:c r="E474" s="10" t="str">
        <x:v>逻辑校验</x:v>
      </x:c>
      <x:c r="F474" s="10" t="str">
        <x:v>P1</x:v>
      </x:c>
      <x:c r="G474" s="9" t="str">
        <x:v>验证退款单独冲正不改原流水</x:v>
      </x:c>
      <x:c r="H474" s="9" t="str">
        <x:v>退款冲正流水保留</x:v>
      </x:c>
      <x:c r="I474" s="9" t="str">
        <x:v>1. 执行角色为真实金币用户；当前处于余额明细页面
2. 已到账1100金币充值订单已退款</x:v>
      </x:c>
      <x:c r="J474" s="9" t="str">
        <x:v>1. 查看关联金币流水</x:v>
      </x:c>
      <x:c r="K474" s="9" t="str">
        <x:v>保留原入账流水并新增-1100金币冲正流水</x:v>
      </x:c>
      <x:c r="L474" s="10" t="str"/>
      <x:c r="M474" s="10" t="str">
        <x:v>未测</x:v>
      </x:c>
      <x:c r="N474" s="10" t="str"/>
      <x:c r="O474" s="9" t="str">
        <x:v>1. 来源（当前证据）：liveshow-proto/MainBasis/统一需求文档.md；位置：行1316、行507、行1311
2. 规则：BR-3916826e92f10e67
3. 未动态验证</x:v>
      </x:c>
    </x:row>
    <x:row r="475" ht="85" customHeight="1">
      <x:c r="A475" s="10" t="n">
        <x:v>474</x:v>
      </x:c>
      <x:c r="B475" s="10" t="str">
        <x:v>USER-08-0032</x:v>
      </x:c>
      <x:c r="C475" s="10" t="str">
        <x:v>钱包与账单</x:v>
      </x:c>
      <x:c r="D475" s="10" t="str">
        <x:v>余额明细（真实金币用户视角）</x:v>
      </x:c>
      <x:c r="E475" s="10" t="str">
        <x:v>功能需求</x:v>
      </x:c>
      <x:c r="F475" s="10" t="str">
        <x:v>P1</x:v>
      </x:c>
      <x:c r="G475" s="9" t="str">
        <x:v>验证奖励无订单只显示流水：奖励流水可见</x:v>
      </x:c>
      <x:c r="H475" s="9" t="str">
        <x:v>奖励流水可见</x:v>
      </x:c>
      <x:c r="I475" s="9" t="str">
        <x:v>1. 执行角色为真实金币用户；当前处于余额明细页面
2. 当前任务奖励没有关联订单</x:v>
      </x:c>
      <x:c r="J475" s="9" t="str">
        <x:v>1. 点击该奖励流水</x:v>
      </x:c>
      <x:c r="K475" s="9" t="str">
        <x:v>展示所选奖励流水信息</x:v>
      </x:c>
      <x:c r="L475" s="10" t="str"/>
      <x:c r="M475" s="10" t="str">
        <x:v>未测</x:v>
      </x:c>
      <x:c r="N475" s="10" t="str"/>
      <x:c r="O475" s="9" t="str">
        <x:v>1. 来源（当前证据）：liveshow-proto/MainBasis/统一需求文档.md；位置：行1318、行1311
2. 规则：BR-a66862f644b019b7
3. 未动态验证</x:v>
      </x:c>
    </x:row>
    <x:row r="476" ht="85" customHeight="1">
      <x:c r="A476" s="10" t="n">
        <x:v>475</x:v>
      </x:c>
      <x:c r="B476" s="10" t="str">
        <x:v>USER-08-0033</x:v>
      </x:c>
      <x:c r="C476" s="10" t="str">
        <x:v>钱包与账单</x:v>
      </x:c>
      <x:c r="D476" s="10" t="str">
        <x:v>余额明细（真实金币用户视角）</x:v>
      </x:c>
      <x:c r="E476" s="10" t="str">
        <x:v>功能需求</x:v>
      </x:c>
      <x:c r="F476" s="10" t="str">
        <x:v>P1</x:v>
      </x:c>
      <x:c r="G476" s="9" t="str">
        <x:v>验证奖励无订单只显示流水：无订单不跳转</x:v>
      </x:c>
      <x:c r="H476" s="9" t="str">
        <x:v>无订单不跳转</x:v>
      </x:c>
      <x:c r="I476" s="9" t="str">
        <x:v>1. 执行角色为真实金币用户；当前处于余额明细页面
2. 当前任务奖励没有关联订单</x:v>
      </x:c>
      <x:c r="J476" s="9" t="str">
        <x:v>1. 点击该奖励流水</x:v>
      </x:c>
      <x:c r="K476" s="9" t="str">
        <x:v>不进入不存在的订单详情</x:v>
      </x:c>
      <x:c r="L476" s="10" t="str"/>
      <x:c r="M476" s="10" t="str">
        <x:v>未测</x:v>
      </x:c>
      <x:c r="N476" s="10" t="str"/>
      <x:c r="O476" s="9" t="str">
        <x:v>1. 来源（当前证据）：liveshow-proto/MainBasis/统一需求文档.md；位置：行1318、行1311
2. 规则：BR-1286276cffe77dc6
3. 未动态验证</x:v>
      </x:c>
    </x:row>
    <x:row r="477" ht="85" customHeight="1">
      <x:c r="A477" s="10" t="n">
        <x:v>476</x:v>
      </x:c>
      <x:c r="B477" s="10" t="str">
        <x:v>USER-08-0034</x:v>
      </x:c>
      <x:c r="C477" s="10" t="str">
        <x:v>钱包与账单</x:v>
      </x:c>
      <x:c r="D477" s="10" t="str">
        <x:v>余额明细（真实金币用户视角）</x:v>
      </x:c>
      <x:c r="E477" s="10" t="str">
        <x:v>功能需求</x:v>
      </x:c>
      <x:c r="F477" s="10" t="str">
        <x:v>P1</x:v>
      </x:c>
      <x:c r="G477" s="9" t="str">
        <x:v>验证充值流水进入充值详情</x:v>
      </x:c>
      <x:c r="H477" s="9" t="str">
        <x:v>充值账单详情去向</x:v>
      </x:c>
      <x:c r="I477" s="9" t="str">
        <x:v>1. 执行角色为真实金币用户；当前处于余额明细页面
2. 当前有成功充值流水</x:v>
      </x:c>
      <x:c r="J477" s="9" t="str">
        <x:v>1. 点击该充值流水</x:v>
      </x:c>
      <x:c r="K477" s="9" t="str">
        <x:v>进入对应充值订单详情</x:v>
      </x:c>
      <x:c r="L477" s="10" t="str"/>
      <x:c r="M477" s="10" t="str">
        <x:v>未测</x:v>
      </x:c>
      <x:c r="N477" s="10" t="str"/>
      <x:c r="O477" s="9" t="str">
        <x:v>1. 来源（当前证据）：liveshow-proto/MainBasis/统一需求文档.md；位置：行1318、行1311
2. 规则：BR-d7796e200b472fe4
3. 未动态验证</x:v>
      </x:c>
    </x:row>
    <x:row r="478" ht="85" customHeight="1">
      <x:c r="A478" s="10" t="n">
        <x:v>477</x:v>
      </x:c>
      <x:c r="B478" s="10" t="str">
        <x:v>USER-08-0035</x:v>
      </x:c>
      <x:c r="C478" s="10" t="str">
        <x:v>钱包与账单</x:v>
      </x:c>
      <x:c r="D478" s="10" t="str">
        <x:v>余额明细（真实金币用户视角）</x:v>
      </x:c>
      <x:c r="E478" s="10" t="str">
        <x:v>功能需求</x:v>
      </x:c>
      <x:c r="F478" s="10" t="str">
        <x:v>P1</x:v>
      </x:c>
      <x:c r="G478" s="9" t="str">
        <x:v>验证消费流水进入支出详情</x:v>
      </x:c>
      <x:c r="H478" s="9" t="str">
        <x:v>消费账单详情去向</x:v>
      </x:c>
      <x:c r="I478" s="9" t="str">
        <x:v>1. 执行角色为真实金币用户；当前处于余额明细页面
2. 当前有成功送礼流水</x:v>
      </x:c>
      <x:c r="J478" s="9" t="str">
        <x:v>1. 点击该消费流水</x:v>
      </x:c>
      <x:c r="K478" s="9" t="str">
        <x:v>进入对应支出订单详情</x:v>
      </x:c>
      <x:c r="L478" s="10" t="str"/>
      <x:c r="M478" s="10" t="str">
        <x:v>未测</x:v>
      </x:c>
      <x:c r="N478" s="10" t="str"/>
      <x:c r="O478" s="9" t="str">
        <x:v>1. 来源（当前证据）：liveshow-proto/MainBasis/统一需求文档.md；位置：行1318、行1311
2. 规则：BR-d58caa43dd286c4e
3. 未动态验证</x:v>
      </x:c>
    </x:row>
    <x:row r="479" ht="85" customHeight="1">
      <x:c r="A479" s="10" t="n">
        <x:v>478</x:v>
      </x:c>
      <x:c r="B479" s="10" t="str">
        <x:v>USER-08-0036</x:v>
      </x:c>
      <x:c r="C479" s="10" t="str">
        <x:v>钱包与账单</x:v>
      </x:c>
      <x:c r="D479" s="10" t="str">
        <x:v>余额明细（真实金币用户视角）</x:v>
      </x:c>
      <x:c r="E479" s="10" t="str">
        <x:v>功能需求</x:v>
      </x:c>
      <x:c r="F479" s="10" t="str">
        <x:v>P1</x:v>
      </x:c>
      <x:c r="G479" s="9" t="str">
        <x:v>验证金币流水类型：实际流水类型</x:v>
      </x:c>
      <x:c r="H479" s="9" t="str">
        <x:v>实际流水类型</x:v>
      </x:c>
      <x:c r="I479" s="9" t="str">
        <x:v>1. 执行角色为真实金币用户；当前处于余额明细页面
2. 当前账号分别有充值、退款、送礼、门票及任务奖励记录</x:v>
      </x:c>
      <x:c r="J479" s="9" t="str">
        <x:v>1. 查看各条流水类型</x:v>
      </x:c>
      <x:c r="K479" s="9" t="str">
        <x:v>各条流水类型对应其实际业务</x:v>
      </x:c>
      <x:c r="L479" s="10" t="str"/>
      <x:c r="M479" s="10" t="str">
        <x:v>未测</x:v>
      </x:c>
      <x:c r="N479" s="10" t="str"/>
      <x:c r="O479" s="9" t="str">
        <x:v>1. 来源（当前证据）：liveshow-proto/MainBasis/统一需求文档.md；位置：行1313、行1311
2. 规则：BR-20ae9a1346cd2011
3. 未动态验证</x:v>
      </x:c>
    </x:row>
    <x:row r="480" ht="85" customHeight="1">
      <x:c r="A480" s="10" t="n">
        <x:v>479</x:v>
      </x:c>
      <x:c r="B480" s="10" t="str">
        <x:v>USER-08-0037</x:v>
      </x:c>
      <x:c r="C480" s="10" t="str">
        <x:v>钱包与账单</x:v>
      </x:c>
      <x:c r="D480" s="10" t="str">
        <x:v>余额明细（真实金币用户视角）</x:v>
      </x:c>
      <x:c r="E480" s="10" t="str">
        <x:v>功能需求</x:v>
      </x:c>
      <x:c r="F480" s="10" t="str">
        <x:v>P1</x:v>
      </x:c>
      <x:c r="G480" s="9" t="str">
        <x:v>验证金币流水类型：礼物退款不提供</x:v>
      </x:c>
      <x:c r="H480" s="9" t="str">
        <x:v>礼物退款不提供</x:v>
      </x:c>
      <x:c r="I480" s="9" t="str">
        <x:v>1. 执行角色为真实金币用户；当前处于余额明细页面
2. 当前账号分别有充值、退款、送礼、门票及任务奖励记录</x:v>
      </x:c>
      <x:c r="J480" s="9" t="str">
        <x:v>1. 查看各条流水类型</x:v>
      </x:c>
      <x:c r="K480" s="9" t="str">
        <x:v>不提供礼物退款类型</x:v>
      </x:c>
      <x:c r="L480" s="10" t="str"/>
      <x:c r="M480" s="10" t="str">
        <x:v>未测</x:v>
      </x:c>
      <x:c r="N480" s="10" t="str"/>
      <x:c r="O480" s="9" t="str">
        <x:v>1. 来源（当前证据）：liveshow-proto/MainBasis/统一需求文档.md；位置：行1313、行1311
2. 规则：BR-a83de25a1cb52b18
3. 未动态验证</x:v>
      </x:c>
    </x:row>
    <x:row r="481" ht="85" customHeight="1">
      <x:c r="A481" s="10" t="n">
        <x:v>480</x:v>
      </x:c>
      <x:c r="B481" s="10" t="str">
        <x:v>USER-08-0038</x:v>
      </x:c>
      <x:c r="C481" s="10" t="str">
        <x:v>钱包与账单</x:v>
      </x:c>
      <x:c r="D481" s="10" t="str">
        <x:v>充值订单详情（真实金币用户视角）</x:v>
      </x:c>
      <x:c r="E481" s="10" t="str">
        <x:v>功能需求</x:v>
      </x:c>
      <x:c r="F481" s="10" t="str">
        <x:v>P1</x:v>
      </x:c>
      <x:c r="G481" s="9" t="str">
        <x:v>验证充值订单快照：套餐名称</x:v>
      </x:c>
      <x:c r="H481" s="9" t="str">
        <x:v>套餐名称</x:v>
      </x:c>
      <x:c r="I481" s="9" t="str">
        <x:v>1. 执行角色为真实金币用户；当前处于充值订单详情页面
2. 当前所选订单已知套餐、数量、支付时间、渠道和金额</x:v>
      </x:c>
      <x:c r="J481" s="9" t="str">
        <x:v>1. 查看充值订单详情</x:v>
      </x:c>
      <x:c r="K481" s="9" t="str">
        <x:v>套餐名称为所选订单的下单快照</x:v>
      </x:c>
      <x:c r="L481" s="10" t="str"/>
      <x:c r="M481" s="10" t="str">
        <x:v>未测</x:v>
      </x:c>
      <x:c r="N481" s="10" t="str"/>
      <x:c r="O481" s="9" t="str">
        <x:v>1. 来源（当前证据）：liveshow-proto/MainBasis/统一需求文档.md；位置：行1323、行1324、行1325、行1327、行1328、行1321
2. 规则：BR-1606477c0a5b1ebc
3. 未动态验证</x:v>
      </x:c>
    </x:row>
    <x:row r="482" ht="85" customHeight="1">
      <x:c r="A482" s="10" t="n">
        <x:v>481</x:v>
      </x:c>
      <x:c r="B482" s="10" t="str">
        <x:v>USER-08-0039</x:v>
      </x:c>
      <x:c r="C482" s="10" t="str">
        <x:v>钱包与账单</x:v>
      </x:c>
      <x:c r="D482" s="10" t="str">
        <x:v>充值订单详情（真实金币用户视角）</x:v>
      </x:c>
      <x:c r="E482" s="10" t="str">
        <x:v>功能需求</x:v>
      </x:c>
      <x:c r="F482" s="10" t="str">
        <x:v>P1</x:v>
      </x:c>
      <x:c r="G482" s="9" t="str">
        <x:v>验证充值订单快照：套餐数量</x:v>
      </x:c>
      <x:c r="H482" s="9" t="str">
        <x:v>套餐数量</x:v>
      </x:c>
      <x:c r="I482" s="9" t="str">
        <x:v>1. 执行角色为真实金币用户；当前处于充值订单详情页面
2. 当前所选订单已知套餐、数量、支付时间、渠道和金额</x:v>
      </x:c>
      <x:c r="J482" s="9" t="str">
        <x:v>1. 查看充值订单详情</x:v>
      </x:c>
      <x:c r="K482" s="9" t="str">
        <x:v>数量为所选订单购买数量</x:v>
      </x:c>
      <x:c r="L482" s="10" t="str"/>
      <x:c r="M482" s="10" t="str">
        <x:v>未测</x:v>
      </x:c>
      <x:c r="N482" s="10" t="str"/>
      <x:c r="O482" s="9" t="str">
        <x:v>1. 来源（当前证据）：liveshow-proto/MainBasis/统一需求文档.md；位置：行1323、行1324、行1325、行1327、行1328、行1321
2. 规则：BR-edd7e346995adac6
3. 未动态验证</x:v>
      </x:c>
    </x:row>
    <x:row r="483" ht="85" customHeight="1">
      <x:c r="A483" s="10" t="n">
        <x:v>482</x:v>
      </x:c>
      <x:c r="B483" s="10" t="str">
        <x:v>USER-08-0040</x:v>
      </x:c>
      <x:c r="C483" s="10" t="str">
        <x:v>钱包与账单</x:v>
      </x:c>
      <x:c r="D483" s="10" t="str">
        <x:v>充值订单详情（真实金币用户视角）</x:v>
      </x:c>
      <x:c r="E483" s="10" t="str">
        <x:v>功能需求</x:v>
      </x:c>
      <x:c r="F483" s="10" t="str">
        <x:v>P1</x:v>
      </x:c>
      <x:c r="G483" s="9" t="str">
        <x:v>验证充值订单快照：支付时间</x:v>
      </x:c>
      <x:c r="H483" s="9" t="str">
        <x:v>支付时间</x:v>
      </x:c>
      <x:c r="I483" s="9" t="str">
        <x:v>1. 执行角色为真实金币用户；当前处于充值订单详情页面
2. 当前所选订单已知套餐、数量、支付时间、渠道和金额</x:v>
      </x:c>
      <x:c r="J483" s="9" t="str">
        <x:v>1. 查看充值订单详情</x:v>
      </x:c>
      <x:c r="K483" s="9" t="str">
        <x:v>时间为所选订单支付时间</x:v>
      </x:c>
      <x:c r="L483" s="10" t="str"/>
      <x:c r="M483" s="10" t="str">
        <x:v>未测</x:v>
      </x:c>
      <x:c r="N483" s="10" t="str"/>
      <x:c r="O483" s="9" t="str">
        <x:v>1. 来源（当前证据）：liveshow-proto/MainBasis/统一需求文档.md；位置：行1323、行1324、行1325、行1327、行1328、行1321
2. 规则：BR-4af5f65f9e36610b
3. 未动态验证</x:v>
      </x:c>
    </x:row>
    <x:row r="484" ht="85" customHeight="1">
      <x:c r="A484" s="10" t="n">
        <x:v>483</x:v>
      </x:c>
      <x:c r="B484" s="10" t="str">
        <x:v>USER-08-0041</x:v>
      </x:c>
      <x:c r="C484" s="10" t="str">
        <x:v>钱包与账单</x:v>
      </x:c>
      <x:c r="D484" s="10" t="str">
        <x:v>充值订单详情（真实金币用户视角）</x:v>
      </x:c>
      <x:c r="E484" s="10" t="str">
        <x:v>功能需求</x:v>
      </x:c>
      <x:c r="F484" s="10" t="str">
        <x:v>P1</x:v>
      </x:c>
      <x:c r="G484" s="9" t="str">
        <x:v>验证充值订单快照：支付渠道</x:v>
      </x:c>
      <x:c r="H484" s="9" t="str">
        <x:v>支付渠道</x:v>
      </x:c>
      <x:c r="I484" s="9" t="str">
        <x:v>1. 执行角色为真实金币用户；当前处于充值订单详情页面
2. 当前所选订单已知套餐、数量、支付时间、渠道和金额</x:v>
      </x:c>
      <x:c r="J484" s="9" t="str">
        <x:v>1. 查看充值订单详情</x:v>
      </x:c>
      <x:c r="K484" s="9" t="str">
        <x:v>渠道为所选订单实际支付渠道</x:v>
      </x:c>
      <x:c r="L484" s="10" t="str"/>
      <x:c r="M484" s="10" t="str">
        <x:v>未测</x:v>
      </x:c>
      <x:c r="N484" s="10" t="str"/>
      <x:c r="O484" s="9" t="str">
        <x:v>1. 来源（当前证据）：liveshow-proto/MainBasis/统一需求文档.md；位置：行1323、行1324、行1325、行1327、行1328、行1321
2. 规则：BR-7b8690bace27b896
3. 未动态验证</x:v>
      </x:c>
    </x:row>
    <x:row r="485" ht="85" customHeight="1">
      <x:c r="A485" s="10" t="n">
        <x:v>484</x:v>
      </x:c>
      <x:c r="B485" s="10" t="str">
        <x:v>USER-08-0042</x:v>
      </x:c>
      <x:c r="C485" s="10" t="str">
        <x:v>钱包与账单</x:v>
      </x:c>
      <x:c r="D485" s="10" t="str">
        <x:v>充值订单详情（真实金币用户视角）</x:v>
      </x:c>
      <x:c r="E485" s="10" t="str">
        <x:v>功能需求</x:v>
      </x:c>
      <x:c r="F485" s="10" t="str">
        <x:v>P1</x:v>
      </x:c>
      <x:c r="G485" s="9" t="str">
        <x:v>验证充值订单快照：支付金额</x:v>
      </x:c>
      <x:c r="H485" s="9" t="str">
        <x:v>支付金额</x:v>
      </x:c>
      <x:c r="I485" s="9" t="str">
        <x:v>1. 执行角色为真实金币用户；当前处于充值订单详情页面
2. 当前所选订单已知套餐、数量、支付时间、渠道和金额</x:v>
      </x:c>
      <x:c r="J485" s="9" t="str">
        <x:v>1. 查看充值订单详情</x:v>
      </x:c>
      <x:c r="K485" s="9" t="str">
        <x:v>金额为所选订单实际支付金额</x:v>
      </x:c>
      <x:c r="L485" s="10" t="str"/>
      <x:c r="M485" s="10" t="str">
        <x:v>未测</x:v>
      </x:c>
      <x:c r="N485" s="10" t="str"/>
      <x:c r="O485" s="9" t="str">
        <x:v>1. 来源（当前证据）：liveshow-proto/MainBasis/统一需求文档.md；位置：行1323、行1324、行1325、行1327、行1328、行1321
2. 规则：BR-4103f85805e36290
3. 未动态验证</x:v>
      </x:c>
    </x:row>
    <x:row r="486" ht="85" customHeight="1">
      <x:c r="A486" s="10" t="n">
        <x:v>485</x:v>
      </x:c>
      <x:c r="B486" s="10" t="str">
        <x:v>USER-08-0043</x:v>
      </x:c>
      <x:c r="C486" s="10" t="str">
        <x:v>钱包与账单</x:v>
      </x:c>
      <x:c r="D486" s="10" t="str">
        <x:v>充值订单详情（真实金币用户视角）</x:v>
      </x:c>
      <x:c r="E486" s="10" t="str">
        <x:v>功能需求</x:v>
      </x:c>
      <x:c r="F486" s="10" t="str">
        <x:v>P1</x:v>
      </x:c>
      <x:c r="G486" s="9" t="str">
        <x:v>验证充值基础赠送拆分：订单基础金币</x:v>
      </x:c>
      <x:c r="H486" s="9" t="str">
        <x:v>订单基础金币</x:v>
      </x:c>
      <x:c r="I486" s="9" t="str">
        <x:v>1. 执行角色为真实金币用户；当前处于充值订单详情页面
2. 所选订单基础1000、赠送100</x:v>
      </x:c>
      <x:c r="J486" s="9" t="str">
        <x:v>1. 查看金币明细</x:v>
      </x:c>
      <x:c r="K486" s="9" t="str">
        <x:v>基础金币为1000</x:v>
      </x:c>
      <x:c r="L486" s="10" t="str"/>
      <x:c r="M486" s="10" t="str">
        <x:v>未测</x:v>
      </x:c>
      <x:c r="N486" s="10" t="str"/>
      <x:c r="O486" s="9" t="str">
        <x:v>1. 来源（当前证据）：liveshow-proto/MainBasis/统一需求文档.md；位置：行1326、行1321
2. 规则：BR-cc20cf6b2f19c995
3. 未动态验证</x:v>
      </x:c>
    </x:row>
    <x:row r="487" ht="85" customHeight="1">
      <x:c r="A487" s="10" t="n">
        <x:v>486</x:v>
      </x:c>
      <x:c r="B487" s="10" t="str">
        <x:v>USER-08-0044</x:v>
      </x:c>
      <x:c r="C487" s="10" t="str">
        <x:v>钱包与账单</x:v>
      </x:c>
      <x:c r="D487" s="10" t="str">
        <x:v>充值订单详情（真实金币用户视角）</x:v>
      </x:c>
      <x:c r="E487" s="10" t="str">
        <x:v>功能需求</x:v>
      </x:c>
      <x:c r="F487" s="10" t="str">
        <x:v>P1</x:v>
      </x:c>
      <x:c r="G487" s="9" t="str">
        <x:v>验证充值基础赠送拆分：订单赠送金币</x:v>
      </x:c>
      <x:c r="H487" s="9" t="str">
        <x:v>订单赠送金币</x:v>
      </x:c>
      <x:c r="I487" s="9" t="str">
        <x:v>1. 执行角色为真实金币用户；当前处于充值订单详情页面
2. 所选订单基础1000、赠送100</x:v>
      </x:c>
      <x:c r="J487" s="9" t="str">
        <x:v>1. 查看金币明细</x:v>
      </x:c>
      <x:c r="K487" s="9" t="str">
        <x:v>赠送金币为100</x:v>
      </x:c>
      <x:c r="L487" s="10" t="str"/>
      <x:c r="M487" s="10" t="str">
        <x:v>未测</x:v>
      </x:c>
      <x:c r="N487" s="10" t="str"/>
      <x:c r="O487" s="9" t="str">
        <x:v>1. 来源（当前证据）：liveshow-proto/MainBasis/统一需求文档.md；位置：行1326、行1321
2. 规则：BR-73c398f0c7b5460d
3. 未动态验证</x:v>
      </x:c>
    </x:row>
    <x:row r="488" ht="85" customHeight="1">
      <x:c r="A488" s="10" t="n">
        <x:v>487</x:v>
      </x:c>
      <x:c r="B488" s="10" t="str">
        <x:v>USER-08-0045</x:v>
      </x:c>
      <x:c r="C488" s="10" t="str">
        <x:v>钱包与账单</x:v>
      </x:c>
      <x:c r="D488" s="10" t="str">
        <x:v>充值订单详情（真实金币用户视角）</x:v>
      </x:c>
      <x:c r="E488" s="10" t="str">
        <x:v>功能需求</x:v>
      </x:c>
      <x:c r="F488" s="10" t="str">
        <x:v>P1</x:v>
      </x:c>
      <x:c r="G488" s="9" t="str">
        <x:v>验证套餐修改不改历史订单</x:v>
      </x:c>
      <x:c r="H488" s="9" t="str">
        <x:v>资产数值</x:v>
      </x:c>
      <x:c r="I488" s="9" t="str">
        <x:v>1. 执行角色为真实金币用户；当前处于充值订单详情页面
2. 订单按套餐A下单；后台已修改套餐A金币及价格</x:v>
      </x:c>
      <x:c r="J488" s="9" t="str">
        <x:v>1. 重新进入该订单详情</x:v>
      </x:c>
      <x:c r="K488" s="9" t="str">
        <x:v>金额与金币仍为原下单快照</x:v>
      </x:c>
      <x:c r="L488" s="10" t="str"/>
      <x:c r="M488" s="10" t="str">
        <x:v>未测</x:v>
      </x:c>
      <x:c r="N488" s="10" t="str"/>
      <x:c r="O488" s="9" t="str">
        <x:v>1. 来源（当前证据）：liveshow-proto/MainBasis/统一需求文档.md；位置：行1330、行1321
2. 规则：BR-bc4ddd1067551b17
3. 未动态验证</x:v>
      </x:c>
    </x:row>
    <x:row r="489" ht="85" customHeight="1">
      <x:c r="A489" s="10" t="n">
        <x:v>488</x:v>
      </x:c>
      <x:c r="B489" s="10" t="str">
        <x:v>USER-08-0046</x:v>
      </x:c>
      <x:c r="C489" s="10" t="str">
        <x:v>钱包与账单</x:v>
      </x:c>
      <x:c r="D489" s="10" t="str">
        <x:v>充值订单详情（真实金币用户视角）</x:v>
      </x:c>
      <x:c r="E489" s="10" t="str">
        <x:v>功能需求</x:v>
      </x:c>
      <x:c r="F489" s="10" t="str">
        <x:v>P1</x:v>
      </x:c>
      <x:c r="G489" s="9" t="str">
        <x:v>验证充值详情无退款入口</x:v>
      </x:c>
      <x:c r="H489" s="9" t="str">
        <x:v>订单退款入口限制</x:v>
      </x:c>
      <x:c r="I489" s="9" t="str">
        <x:v>1. 执行角色为真实金币用户；当前处于充值订单详情页面</x:v>
      </x:c>
      <x:c r="J489" s="9" t="str">
        <x:v>1. 查看订单操作入口</x:v>
      </x:c>
      <x:c r="K489" s="9" t="str">
        <x:v>没有用户退款操作</x:v>
      </x:c>
      <x:c r="L489" s="10" t="str"/>
      <x:c r="M489" s="10" t="str">
        <x:v>未测</x:v>
      </x:c>
      <x:c r="N489" s="10" t="str"/>
      <x:c r="O489" s="9" t="str">
        <x:v>1. 来源（当前证据）：liveshow-proto/MainBasis/统一需求文档.md；位置：行1329、行1321
2. 规则：BR-6d36e1d09b2bb9ea
3. 未动态验证</x:v>
      </x:c>
    </x:row>
    <x:row r="490" ht="85" customHeight="1">
      <x:c r="A490" s="10" t="n">
        <x:v>489</x:v>
      </x:c>
      <x:c r="B490" s="10" t="str">
        <x:v>USER-08-0047</x:v>
      </x:c>
      <x:c r="C490" s="10" t="str">
        <x:v>钱包与账单</x:v>
      </x:c>
      <x:c r="D490" s="10" t="str">
        <x:v>充值订单详情（真实金币用户视角）</x:v>
      </x:c>
      <x:c r="E490" s="10" t="str">
        <x:v>功能需求</x:v>
      </x:c>
      <x:c r="F490" s="10" t="str">
        <x:v>P1</x:v>
      </x:c>
      <x:c r="G490" s="9" t="str">
        <x:v>验证退款状态刷新：退款订单状态</x:v>
      </x:c>
      <x:c r="H490" s="9" t="str">
        <x:v>退款订单状态</x:v>
      </x:c>
      <x:c r="I490" s="9" t="str">
        <x:v>1. 执行角色为真实金币用户；当前处于充值订单详情页面
2. 后台已完成当前订单退款</x:v>
      </x:c>
      <x:c r="J490" s="9" t="str">
        <x:v>1. 刷新订单详情</x:v>
      </x:c>
      <x:c r="K490" s="9" t="str">
        <x:v>订单状态更新为退款后的状态</x:v>
      </x:c>
      <x:c r="L490" s="10" t="str"/>
      <x:c r="M490" s="10" t="str">
        <x:v>未测</x:v>
      </x:c>
      <x:c r="N490" s="10" t="str"/>
      <x:c r="O490" s="9" t="str">
        <x:v>1. 来源（当前证据）：liveshow-proto/MainBasis/统一需求文档.md；位置：行1331、行1321
2. 规则：BR-1e8e71ed27f6c5d8
3. 未动态验证</x:v>
      </x:c>
    </x:row>
    <x:row r="491" ht="85" customHeight="1">
      <x:c r="A491" s="10" t="n">
        <x:v>490</x:v>
      </x:c>
      <x:c r="B491" s="10" t="str">
        <x:v>USER-08-0048</x:v>
      </x:c>
      <x:c r="C491" s="10" t="str">
        <x:v>钱包与账单</x:v>
      </x:c>
      <x:c r="D491" s="10" t="str">
        <x:v>充值订单详情（真实金币用户视角）</x:v>
      </x:c>
      <x:c r="E491" s="10" t="str">
        <x:v>功能需求</x:v>
      </x:c>
      <x:c r="F491" s="10" t="str">
        <x:v>P1</x:v>
      </x:c>
      <x:c r="G491" s="9" t="str">
        <x:v>验证退款状态刷新：退款关联流水</x:v>
      </x:c>
      <x:c r="H491" s="9" t="str">
        <x:v>退款关联流水</x:v>
      </x:c>
      <x:c r="I491" s="9" t="str">
        <x:v>1. 执行角色为真实金币用户；当前处于充值订单详情页面
2. 后台已完成当前订单退款</x:v>
      </x:c>
      <x:c r="J491" s="9" t="str">
        <x:v>1. 刷新订单详情</x:v>
      </x:c>
      <x:c r="K491" s="9" t="str">
        <x:v>关联余额流水包含当前退款冲正记录</x:v>
      </x:c>
      <x:c r="L491" s="10" t="str"/>
      <x:c r="M491" s="10" t="str">
        <x:v>未测</x:v>
      </x:c>
      <x:c r="N491" s="10" t="str"/>
      <x:c r="O491" s="9" t="str">
        <x:v>1. 来源（当前证据）：liveshow-proto/MainBasis/统一需求文档.md；位置：行1331、行1321
2. 规则：BR-f519705361233cce
3. 未动态验证</x:v>
      </x:c>
    </x:row>
    <x:row r="492" ht="85" customHeight="1">
      <x:c r="A492" s="10" t="n">
        <x:v>491</x:v>
      </x:c>
      <x:c r="B492" s="10" t="str">
        <x:v>USER-08-0049</x:v>
      </x:c>
      <x:c r="C492" s="10" t="str">
        <x:v>钱包与账单</x:v>
      </x:c>
      <x:c r="D492" s="10" t="str">
        <x:v>充值订单详情（真实金币用户视角）</x:v>
      </x:c>
      <x:c r="E492" s="10" t="str">
        <x:v>功能需求</x:v>
      </x:c>
      <x:c r="F492" s="10" t="str">
        <x:v>P2</x:v>
      </x:c>
      <x:c r="G492" s="9" t="str">
        <x:v>验证返回保留账单位置</x:v>
      </x:c>
      <x:c r="H492" s="9" t="str">
        <x:v>数据保持</x:v>
      </x:c>
      <x:c r="I492" s="9" t="str">
        <x:v>1. 执行角色为真实金币用户；当前处于充值订单详情页面
2. 从账单列表的已知位置进入当前详情</x:v>
      </x:c>
      <x:c r="J492" s="9" t="str">
        <x:v>1. 点击返回</x:v>
      </x:c>
      <x:c r="K492" s="9" t="str">
        <x:v>回到账单列表并保留原筛选位置</x:v>
      </x:c>
      <x:c r="L492" s="10" t="str"/>
      <x:c r="M492" s="10" t="str">
        <x:v>未测</x:v>
      </x:c>
      <x:c r="N492" s="10" t="str"/>
      <x:c r="O492" s="9" t="str">
        <x:v>1. 来源（当前证据）：liveshow-proto/MainBasis/统一需求文档.md；位置：行1331、行1321
2. 规则：BR-26c24dbffa27917c
3. 未动态验证</x:v>
      </x:c>
    </x:row>
    <x:row r="493" ht="85" customHeight="1">
      <x:c r="A493" s="10" t="n">
        <x:v>492</x:v>
      </x:c>
      <x:c r="B493" s="10" t="str">
        <x:v>USER-08-0050</x:v>
      </x:c>
      <x:c r="C493" s="10" t="str">
        <x:v>钱包与账单</x:v>
      </x:c>
      <x:c r="D493" s="10" t="str">
        <x:v>支出订单详情（真实金币用户视角）</x:v>
      </x:c>
      <x:c r="E493" s="10" t="str">
        <x:v>功能需求</x:v>
      </x:c>
      <x:c r="F493" s="10" t="str">
        <x:v>P1</x:v>
      </x:c>
      <x:c r="G493" s="9" t="str">
        <x:v>验证支出订单快照：消费商品名称</x:v>
      </x:c>
      <x:c r="H493" s="9" t="str">
        <x:v>消费商品名称</x:v>
      </x:c>
      <x:c r="I493" s="9" t="str">
        <x:v>1. 执行角色为真实金币用户；当前处于支出订单详情页面
2. 所选订单为向主播A成功赠送2件每件50金币的礼物</x:v>
      </x:c>
      <x:c r="J493" s="9" t="str">
        <x:v>1. 查看支出订单详情</x:v>
      </x:c>
      <x:c r="K493" s="9" t="str">
        <x:v>商品名称为该礼物名称</x:v>
      </x:c>
      <x:c r="L493" s="10" t="str"/>
      <x:c r="M493" s="10" t="str">
        <x:v>未测</x:v>
      </x:c>
      <x:c r="N493" s="10" t="str"/>
      <x:c r="O493" s="9" t="str">
        <x:v>1. 来源（当前证据）：liveshow-proto/MainBasis/统一需求文档.md；位置：行1336、行1337、行1339、行1344、行1334
2. 规则：BR-1510009e5c389013
3. 未动态验证</x:v>
      </x:c>
    </x:row>
    <x:row r="494" ht="85" customHeight="1">
      <x:c r="A494" s="10" t="n">
        <x:v>493</x:v>
      </x:c>
      <x:c r="B494" s="10" t="str">
        <x:v>USER-08-0051</x:v>
      </x:c>
      <x:c r="C494" s="10" t="str">
        <x:v>钱包与账单</x:v>
      </x:c>
      <x:c r="D494" s="10" t="str">
        <x:v>支出订单详情（真实金币用户视角）</x:v>
      </x:c>
      <x:c r="E494" s="10" t="str">
        <x:v>功能需求</x:v>
      </x:c>
      <x:c r="F494" s="10" t="str">
        <x:v>P1</x:v>
      </x:c>
      <x:c r="G494" s="9" t="str">
        <x:v>验证支出订单快照：消费数量</x:v>
      </x:c>
      <x:c r="H494" s="9" t="str">
        <x:v>消费数量</x:v>
      </x:c>
      <x:c r="I494" s="9" t="str">
        <x:v>1. 执行角色为真实金币用户；当前处于支出订单详情页面
2. 所选订单为向主播A成功赠送2件每件50金币的礼物</x:v>
      </x:c>
      <x:c r="J494" s="9" t="str">
        <x:v>1. 查看支出订单详情</x:v>
      </x:c>
      <x:c r="K494" s="9" t="str">
        <x:v>消费数量为2</x:v>
      </x:c>
      <x:c r="L494" s="10" t="str"/>
      <x:c r="M494" s="10" t="str">
        <x:v>未测</x:v>
      </x:c>
      <x:c r="N494" s="10" t="str"/>
      <x:c r="O494" s="9" t="str">
        <x:v>1. 来源（当前证据）：liveshow-proto/MainBasis/统一需求文档.md；位置：行1336、行1337、行1339、行1344、行1334
2. 规则：BR-5ce55805d0c2bbc1
3. 未动态验证</x:v>
      </x:c>
    </x:row>
    <x:row r="495" ht="85" customHeight="1">
      <x:c r="A495" s="10" t="n">
        <x:v>494</x:v>
      </x:c>
      <x:c r="B495" s="10" t="str">
        <x:v>USER-08-0052</x:v>
      </x:c>
      <x:c r="C495" s="10" t="str">
        <x:v>钱包与账单</x:v>
      </x:c>
      <x:c r="D495" s="10" t="str">
        <x:v>支出订单详情（真实金币用户视角）</x:v>
      </x:c>
      <x:c r="E495" s="10" t="str">
        <x:v>功能需求</x:v>
      </x:c>
      <x:c r="F495" s="10" t="str">
        <x:v>P1</x:v>
      </x:c>
      <x:c r="G495" s="9" t="str">
        <x:v>验证支出订单快照：扣款数值</x:v>
      </x:c>
      <x:c r="H495" s="9" t="str">
        <x:v>扣款数值</x:v>
      </x:c>
      <x:c r="I495" s="9" t="str">
        <x:v>1. 执行角色为真实金币用户；当前处于支出订单详情页面
2. 所选订单为向主播A成功赠送2件每件50金币的礼物</x:v>
      </x:c>
      <x:c r="J495" s="9" t="str">
        <x:v>1. 查看支出订单详情</x:v>
      </x:c>
      <x:c r="K495" s="9" t="str">
        <x:v>扣款为100金币</x:v>
      </x:c>
      <x:c r="L495" s="10" t="str"/>
      <x:c r="M495" s="10" t="str">
        <x:v>未测</x:v>
      </x:c>
      <x:c r="N495" s="10" t="str"/>
      <x:c r="O495" s="9" t="str">
        <x:v>1. 来源（当前证据）：liveshow-proto/MainBasis/统一需求文档.md；位置：行1336、行1337、行1339、行1344、行1334
2. 规则：BR-d39a2a9ea107d743
3. 未动态验证</x:v>
      </x:c>
    </x:row>
    <x:row r="496" ht="85" customHeight="1">
      <x:c r="A496" s="10" t="n">
        <x:v>495</x:v>
      </x:c>
      <x:c r="B496" s="10" t="str">
        <x:v>USER-08-0053</x:v>
      </x:c>
      <x:c r="C496" s="10" t="str">
        <x:v>钱包与账单</x:v>
      </x:c>
      <x:c r="D496" s="10" t="str">
        <x:v>支出订单详情（真实金币用户视角）</x:v>
      </x:c>
      <x:c r="E496" s="10" t="str">
        <x:v>功能需求</x:v>
      </x:c>
      <x:c r="F496" s="10" t="str">
        <x:v>P1</x:v>
      </x:c>
      <x:c r="G496" s="9" t="str">
        <x:v>验证消费主播信息</x:v>
      </x:c>
      <x:c r="H496" s="9" t="str">
        <x:v>消费归属主播资料</x:v>
      </x:c>
      <x:c r="I496" s="9" t="str">
        <x:v>1. 执行角色为真实金币用户；当前处于支出订单详情页面
2. 订单消费对象为主播A</x:v>
      </x:c>
      <x:c r="J496" s="9" t="str">
        <x:v>1. 查看消费直播间信息</x:v>
      </x:c>
      <x:c r="K496" s="9" t="str">
        <x:v>展示主播A的昵称与主播ID</x:v>
      </x:c>
      <x:c r="L496" s="10" t="str"/>
      <x:c r="M496" s="10" t="str">
        <x:v>未测</x:v>
      </x:c>
      <x:c r="N496" s="10" t="str"/>
      <x:c r="O496" s="9" t="str">
        <x:v>1. 来源（当前证据）：liveshow-proto/MainBasis/统一需求文档.md；位置：行1340、行1334
2. 规则：BR-17b0e60e19d891a2
3. 未动态验证</x:v>
      </x:c>
    </x:row>
    <x:row r="497" ht="85" customHeight="1">
      <x:c r="A497" s="10" t="n">
        <x:v>496</x:v>
      </x:c>
      <x:c r="B497" s="10" t="str">
        <x:v>USER-08-0054</x:v>
      </x:c>
      <x:c r="C497" s="10" t="str">
        <x:v>钱包与账单</x:v>
      </x:c>
      <x:c r="D497" s="10" t="str">
        <x:v>支出订单详情（真实金币用户视角）</x:v>
      </x:c>
      <x:c r="E497" s="10" t="str">
        <x:v>功能需求</x:v>
      </x:c>
      <x:c r="F497" s="10" t="str">
        <x:v>P1</x:v>
      </x:c>
      <x:c r="G497" s="9" t="str">
        <x:v>验证历史支出不随商品改变：商品名称快照</x:v>
      </x:c>
      <x:c r="H497" s="9" t="str">
        <x:v>商品名称快照</x:v>
      </x:c>
      <x:c r="I497" s="9" t="str">
        <x:v>1. 执行角色为真实金币用户；当前处于支出订单详情页面
2. 订单成功后商品名称和价格已修改</x:v>
      </x:c>
      <x:c r="J497" s="9" t="str">
        <x:v>1. 重新进入该订单详情</x:v>
      </x:c>
      <x:c r="K497" s="9" t="str">
        <x:v>商品名称仍为支付时记录</x:v>
      </x:c>
      <x:c r="L497" s="10" t="str"/>
      <x:c r="M497" s="10" t="str">
        <x:v>未测</x:v>
      </x:c>
      <x:c r="N497" s="10" t="str"/>
      <x:c r="O497" s="9" t="str">
        <x:v>1. 来源（当前证据）：liveshow-proto/MainBasis/统一需求文档.md；位置：行1344、行1334
2. 规则：BR-24505c497016f1e6
3. 未动态验证</x:v>
      </x:c>
    </x:row>
    <x:row r="498" ht="85" customHeight="1">
      <x:c r="A498" s="10" t="n">
        <x:v>497</x:v>
      </x:c>
      <x:c r="B498" s="10" t="str">
        <x:v>USER-08-0055</x:v>
      </x:c>
      <x:c r="C498" s="10" t="str">
        <x:v>钱包与账单</x:v>
      </x:c>
      <x:c r="D498" s="10" t="str">
        <x:v>支出订单详情（真实金币用户视角）</x:v>
      </x:c>
      <x:c r="E498" s="10" t="str">
        <x:v>功能需求</x:v>
      </x:c>
      <x:c r="F498" s="10" t="str">
        <x:v>P1</x:v>
      </x:c>
      <x:c r="G498" s="9" t="str">
        <x:v>验证历史支出不随商品改变：商品数量快照</x:v>
      </x:c>
      <x:c r="H498" s="9" t="str">
        <x:v>商品数量快照</x:v>
      </x:c>
      <x:c r="I498" s="9" t="str">
        <x:v>1. 执行角色为真实金币用户；当前处于支出订单详情页面
2. 订单成功后商品名称和价格已修改</x:v>
      </x:c>
      <x:c r="J498" s="9" t="str">
        <x:v>1. 重新进入该订单详情</x:v>
      </x:c>
      <x:c r="K498" s="9" t="str">
        <x:v>数量仍为支付时记录</x:v>
      </x:c>
      <x:c r="L498" s="10" t="str"/>
      <x:c r="M498" s="10" t="str">
        <x:v>未测</x:v>
      </x:c>
      <x:c r="N498" s="10" t="str"/>
      <x:c r="O498" s="9" t="str">
        <x:v>1. 来源（当前证据）：liveshow-proto/MainBasis/统一需求文档.md；位置：行1344、行1334
2. 规则：BR-ac15258fa7c7538e
3. 未动态验证</x:v>
      </x:c>
    </x:row>
    <x:row r="499" ht="85" customHeight="1">
      <x:c r="A499" s="10" t="n">
        <x:v>498</x:v>
      </x:c>
      <x:c r="B499" s="10" t="str">
        <x:v>USER-08-0056</x:v>
      </x:c>
      <x:c r="C499" s="10" t="str">
        <x:v>钱包与账单</x:v>
      </x:c>
      <x:c r="D499" s="10" t="str">
        <x:v>支出订单详情（真实金币用户视角）</x:v>
      </x:c>
      <x:c r="E499" s="10" t="str">
        <x:v>功能需求</x:v>
      </x:c>
      <x:c r="F499" s="10" t="str">
        <x:v>P1</x:v>
      </x:c>
      <x:c r="G499" s="9" t="str">
        <x:v>验证历史支出不随商品改变：扣款快照</x:v>
      </x:c>
      <x:c r="H499" s="9" t="str">
        <x:v>扣款快照</x:v>
      </x:c>
      <x:c r="I499" s="9" t="str">
        <x:v>1. 执行角色为真实金币用户；当前处于支出订单详情页面
2. 订单成功后商品名称和价格已修改</x:v>
      </x:c>
      <x:c r="J499" s="9" t="str">
        <x:v>1. 重新进入该订单详情</x:v>
      </x:c>
      <x:c r="K499" s="9" t="str">
        <x:v>扣款金币仍为支付时记录</x:v>
      </x:c>
      <x:c r="L499" s="10" t="str"/>
      <x:c r="M499" s="10" t="str">
        <x:v>未测</x:v>
      </x:c>
      <x:c r="N499" s="10" t="str"/>
      <x:c r="O499" s="9" t="str">
        <x:v>1. 来源（当前证据）：liveshow-proto/MainBasis/统一需求文档.md；位置：行1344、行1334
2. 规则：BR-8e7e008ce55f0389
3. 未动态验证</x:v>
      </x:c>
    </x:row>
    <x:row r="500" ht="85" customHeight="1">
      <x:c r="A500" s="10" t="n">
        <x:v>499</x:v>
      </x:c>
      <x:c r="B500" s="10" t="str">
        <x:v>USER-08-0057</x:v>
      </x:c>
      <x:c r="C500" s="10" t="str">
        <x:v>钱包与账单</x:v>
      </x:c>
      <x:c r="D500" s="10" t="str">
        <x:v>支出订单详情（真实金币用户视角）</x:v>
      </x:c>
      <x:c r="E500" s="10" t="str">
        <x:v>功能需求</x:v>
      </x:c>
      <x:c r="F500" s="10" t="str">
        <x:v>P1</x:v>
      </x:c>
      <x:c r="G500" s="9" t="str">
        <x:v>验证礼物消费不可退款</x:v>
      </x:c>
      <x:c r="H500" s="9" t="str">
        <x:v>礼物退款入口限制</x:v>
      </x:c>
      <x:c r="I500" s="9" t="str">
        <x:v>1. 执行角色为真实金币用户；当前处于支出订单详情页面
2. 当前为成功礼物订单</x:v>
      </x:c>
      <x:c r="J500" s="9" t="str">
        <x:v>1. 查看订单操作入口</x:v>
      </x:c>
      <x:c r="K500" s="9" t="str">
        <x:v>没有礼物退款操作</x:v>
      </x:c>
      <x:c r="L500" s="10" t="str"/>
      <x:c r="M500" s="10" t="str">
        <x:v>未测</x:v>
      </x:c>
      <x:c r="N500" s="10" t="str"/>
      <x:c r="O500" s="9" t="str">
        <x:v>1. 来源（当前证据）：liveshow-proto/MainBasis/统一需求文档.md；位置：行1342、行1334
2. 规则：BR-33b17c25376e1556
3. 未动态验证</x:v>
      </x:c>
    </x:row>
    <x:row r="501" ht="85" customHeight="1">
      <x:c r="A501" s="10" t="n">
        <x:v>500</x:v>
      </x:c>
      <x:c r="B501" s="10" t="str">
        <x:v>USER-08-0058</x:v>
      </x:c>
      <x:c r="C501" s="10" t="str">
        <x:v>钱包与账单</x:v>
      </x:c>
      <x:c r="D501" s="10" t="str">
        <x:v>支出订单详情（真实金币用户视角）</x:v>
      </x:c>
      <x:c r="E501" s="10" t="str">
        <x:v>功能需求</x:v>
      </x:c>
      <x:c r="F501" s="10" t="str">
        <x:v>P1</x:v>
      </x:c>
      <x:c r="G501" s="9" t="str">
        <x:v>验证门票消费不可退款</x:v>
      </x:c>
      <x:c r="H501" s="9" t="str">
        <x:v>门票退款入口限制</x:v>
      </x:c>
      <x:c r="I501" s="9" t="str">
        <x:v>1. 执行角色为真实金币用户；当前处于支出订单详情页面
2. 当前为成功门票订单</x:v>
      </x:c>
      <x:c r="J501" s="9" t="str">
        <x:v>1. 查看订单操作入口</x:v>
      </x:c>
      <x:c r="K501" s="9" t="str">
        <x:v>没有门票退款操作</x:v>
      </x:c>
      <x:c r="L501" s="10" t="str"/>
      <x:c r="M501" s="10" t="str">
        <x:v>未测</x:v>
      </x:c>
      <x:c r="N501" s="10" t="str"/>
      <x:c r="O501" s="9" t="str">
        <x:v>1. 来源（当前证据）：liveshow-proto/MainBasis/统一需求文档.md；位置：行1342、行1334
2. 规则：BR-f611a2cb505e0800
3. 未动态验证</x:v>
      </x:c>
    </x:row>
    <x:row r="502" ht="85" customHeight="1">
      <x:c r="A502" s="10" t="n">
        <x:v>501</x:v>
      </x:c>
      <x:c r="B502" s="10" t="str">
        <x:v>USER-08-0059</x:v>
      </x:c>
      <x:c r="C502" s="10" t="str">
        <x:v>钱包与账单</x:v>
      </x:c>
      <x:c r="D502" s="10" t="str">
        <x:v>支出订单详情（真实金币用户视角）</x:v>
      </x:c>
      <x:c r="E502" s="10" t="str">
        <x:v>功能需求</x:v>
      </x:c>
      <x:c r="F502" s="10" t="str">
        <x:v>P1</x:v>
      </x:c>
      <x:c r="G502" s="9" t="str">
        <x:v>验证失效场次只保留快照</x:v>
      </x:c>
      <x:c r="H502" s="9" t="str">
        <x:v>数据保持</x:v>
      </x:c>
      <x:c r="I502" s="9" t="str">
        <x:v>1. 执行角色为真实金币用户；当前处于支出订单详情页面
2. 消费对应场次已结束</x:v>
      </x:c>
      <x:c r="J502" s="9" t="str">
        <x:v>1. 点击消费业务对象</x:v>
      </x:c>
      <x:c r="K502" s="9" t="str">
        <x:v>保留订单快照且不重新发起消费</x:v>
      </x:c>
      <x:c r="L502" s="10" t="str"/>
      <x:c r="M502" s="10" t="str">
        <x:v>未测</x:v>
      </x:c>
      <x:c r="N502" s="10" t="str"/>
      <x:c r="O502" s="9" t="str">
        <x:v>1. 来源（当前证据）：liveshow-proto/MainBasis/统一需求文档.md；位置：行1345、行1334
2. 规则：BR-a17d6382cd290213
3. 未动态验证</x:v>
      </x:c>
    </x:row>
    <x:row r="503" ht="85" customHeight="1">
      <x:c r="A503" s="10" t="n">
        <x:v>502</x:v>
      </x:c>
      <x:c r="B503" s="10" t="str">
        <x:v>USER-04-0001</x:v>
      </x:c>
      <x:c r="C503" s="10" t="str">
        <x:v>消息与社交</x:v>
      </x:c>
      <x:c r="D503" s="10" t="str">
        <x:v>消息（已登录普通用户视角）</x:v>
      </x:c>
      <x:c r="E503" s="10" t="str">
        <x:v>功能需求</x:v>
      </x:c>
      <x:c r="F503" s="10" t="str">
        <x:v>P2</x:v>
      </x:c>
      <x:c r="G503" s="9" t="str">
        <x:v>验证系统互动通知固定置顶</x:v>
      </x:c>
      <x:c r="H503" s="9" t="str">
        <x:v>系统会话置顶位置</x:v>
      </x:c>
      <x:c r="I503" s="9" t="str">
        <x:v>1. 执行角色为已登录普通用户；当前处于消息页面
2. 私信A比系统通知和互动通知更新</x:v>
      </x:c>
      <x:c r="J503" s="9" t="str">
        <x:v>1. 查看消息列表</x:v>
      </x:c>
      <x:c r="K503" s="9" t="str">
        <x:v>系统通知和互动通知仍固定在顶部</x:v>
      </x:c>
      <x:c r="L503" s="10" t="str"/>
      <x:c r="M503" s="10" t="str">
        <x:v>未测</x:v>
      </x:c>
      <x:c r="N503" s="10" t="str"/>
      <x:c r="O503" s="9" t="str">
        <x:v>1. 来源（当前证据）：liveshow-proto/MainBasis/统一需求文档.md；位置：行657、行659、行654
2. 规则：BR-e8e4e98874564fa1
3. 未动态验证</x:v>
      </x:c>
    </x:row>
    <x:row r="504" ht="85" customHeight="1">
      <x:c r="A504" s="10" t="n">
        <x:v>503</x:v>
      </x:c>
      <x:c r="B504" s="10" t="str">
        <x:v>USER-04-0002</x:v>
      </x:c>
      <x:c r="C504" s="10" t="str">
        <x:v>消息与社交</x:v>
      </x:c>
      <x:c r="D504" s="10" t="str">
        <x:v>消息（已登录普通用户视角）</x:v>
      </x:c>
      <x:c r="E504" s="10" t="str">
        <x:v>功能需求</x:v>
      </x:c>
      <x:c r="F504" s="10" t="str">
        <x:v>P2</x:v>
      </x:c>
      <x:c r="G504" s="9" t="str">
        <x:v>验证会话按最后时间倒序</x:v>
      </x:c>
      <x:c r="H504" s="9" t="str">
        <x:v>会话时间排序</x:v>
      </x:c>
      <x:c r="I504" s="9" t="str">
        <x:v>1. 执行角色为已登录普通用户；当前处于消息页面
2. 私信A最后消息10:00，群B最后消息11:00</x:v>
      </x:c>
      <x:c r="J504" s="9" t="str">
        <x:v>1. 查看对应会话顺序</x:v>
      </x:c>
      <x:c r="K504" s="9" t="str">
        <x:v>会话B在A之前</x:v>
      </x:c>
      <x:c r="L504" s="10" t="str"/>
      <x:c r="M504" s="10" t="str">
        <x:v>未测</x:v>
      </x:c>
      <x:c r="N504" s="10" t="str"/>
      <x:c r="O504" s="9" t="str">
        <x:v>1. 来源（当前证据）：liveshow-proto/MainBasis/统一需求文档.md；位置：行663、行654
2. 规则：BR-61467921566daf26
3. 未动态验证</x:v>
      </x:c>
    </x:row>
    <x:row r="505" ht="85" customHeight="1">
      <x:c r="A505" s="10" t="n">
        <x:v>504</x:v>
      </x:c>
      <x:c r="B505" s="10" t="str">
        <x:v>USER-04-0003</x:v>
      </x:c>
      <x:c r="C505" s="10" t="str">
        <x:v>消息与社交</x:v>
      </x:c>
      <x:c r="D505" s="10" t="str">
        <x:v>消息（已登录普通用户视角）</x:v>
      </x:c>
      <x:c r="E505" s="10" t="str">
        <x:v>功能需求</x:v>
      </x:c>
      <x:c r="F505" s="10" t="str">
        <x:v>P2</x:v>
      </x:c>
      <x:c r="G505" s="9" t="str">
        <x:v>验证相同时间按会话ID倒序</x:v>
      </x:c>
      <x:c r="H505" s="9" t="str">
        <x:v>同时间会话排序</x:v>
      </x:c>
      <x:c r="I505" s="9" t="str">
        <x:v>1. 执行角色为已登录普通用户；当前处于消息页面
2. A会话ID100、B会话ID101；最后时间相同</x:v>
      </x:c>
      <x:c r="J505" s="9" t="str">
        <x:v>1. 查看对应会话顺序</x:v>
      </x:c>
      <x:c r="K505" s="9" t="str">
        <x:v>B在A之前</x:v>
      </x:c>
      <x:c r="L505" s="10" t="str"/>
      <x:c r="M505" s="10" t="str">
        <x:v>未测</x:v>
      </x:c>
      <x:c r="N505" s="10" t="str"/>
      <x:c r="O505" s="9" t="str">
        <x:v>1. 来源（当前证据）：liveshow-proto/MainBasis/统一需求文档.md；位置：行663、行654
2. 规则：BR-7206ec770028cecf
3. 未动态验证</x:v>
      </x:c>
    </x:row>
    <x:row r="506" ht="85" customHeight="1">
      <x:c r="A506" s="10" t="n">
        <x:v>505</x:v>
      </x:c>
      <x:c r="B506" s="10" t="str">
        <x:v>USER-04-0004</x:v>
      </x:c>
      <x:c r="C506" s="10" t="str">
        <x:v>消息与社交</x:v>
      </x:c>
      <x:c r="D506" s="10" t="str">
        <x:v>消息（已登录普通用户视角）</x:v>
      </x:c>
      <x:c r="E506" s="10" t="str">
        <x:v>功能需求</x:v>
      </x:c>
      <x:c r="F506" s="10" t="str">
        <x:v>P2</x:v>
      </x:c>
      <x:c r="G506" s="9" t="str">
        <x:v>验证会话摘要字段：会话头像</x:v>
      </x:c>
      <x:c r="H506" s="9" t="str">
        <x:v>会话头像</x:v>
      </x:c>
      <x:c r="I506" s="9" t="str">
        <x:v>1. 执行角色为已登录普通用户；当前处于消息页面
2. 目标会话有未读消息</x:v>
      </x:c>
      <x:c r="J506" s="9" t="str">
        <x:v>1. 查看该会话</x:v>
      </x:c>
      <x:c r="K506" s="9" t="str">
        <x:v>会话头像与目标账号一致</x:v>
      </x:c>
      <x:c r="L506" s="10" t="str"/>
      <x:c r="M506" s="10" t="str">
        <x:v>未测</x:v>
      </x:c>
      <x:c r="N506" s="10" t="str"/>
      <x:c r="O506" s="9" t="str">
        <x:v>1. 来源（当前证据）：liveshow-proto/MainBasis/统一需求文档.md；位置：行656、行654
2. 规则：BR-34ddc73febf50ad5
3. 未动态验证</x:v>
      </x:c>
    </x:row>
    <x:row r="507" ht="85" customHeight="1">
      <x:c r="A507" s="10" t="n">
        <x:v>506</x:v>
      </x:c>
      <x:c r="B507" s="10" t="str">
        <x:v>USER-04-0005</x:v>
      </x:c>
      <x:c r="C507" s="10" t="str">
        <x:v>消息与社交</x:v>
      </x:c>
      <x:c r="D507" s="10" t="str">
        <x:v>消息（已登录普通用户视角）</x:v>
      </x:c>
      <x:c r="E507" s="10" t="str">
        <x:v>功能需求</x:v>
      </x:c>
      <x:c r="F507" s="10" t="str">
        <x:v>P2</x:v>
      </x:c>
      <x:c r="G507" s="9" t="str">
        <x:v>验证会话摘要字段：会话名称</x:v>
      </x:c>
      <x:c r="H507" s="9" t="str">
        <x:v>会话名称</x:v>
      </x:c>
      <x:c r="I507" s="9" t="str">
        <x:v>1. 执行角色为已登录普通用户；当前处于消息页面
2. 目标会话有未读消息</x:v>
      </x:c>
      <x:c r="J507" s="9" t="str">
        <x:v>1. 查看该会话</x:v>
      </x:c>
      <x:c r="K507" s="9" t="str">
        <x:v>会话名称与目标账号一致</x:v>
      </x:c>
      <x:c r="L507" s="10" t="str"/>
      <x:c r="M507" s="10" t="str">
        <x:v>未测</x:v>
      </x:c>
      <x:c r="N507" s="10" t="str"/>
      <x:c r="O507" s="9" t="str">
        <x:v>1. 来源（当前证据）：liveshow-proto/MainBasis/统一需求文档.md；位置：行656、行654
2. 规则：BR-6b41e10ce3e15ff3
3. 未动态验证</x:v>
      </x:c>
    </x:row>
    <x:row r="508" ht="85" customHeight="1">
      <x:c r="A508" s="10" t="n">
        <x:v>507</x:v>
      </x:c>
      <x:c r="B508" s="10" t="str">
        <x:v>USER-04-0006</x:v>
      </x:c>
      <x:c r="C508" s="10" t="str">
        <x:v>消息与社交</x:v>
      </x:c>
      <x:c r="D508" s="10" t="str">
        <x:v>消息（已登录普通用户视角）</x:v>
      </x:c>
      <x:c r="E508" s="10" t="str">
        <x:v>功能需求</x:v>
      </x:c>
      <x:c r="F508" s="10" t="str">
        <x:v>P2</x:v>
      </x:c>
      <x:c r="G508" s="9" t="str">
        <x:v>验证会话摘要字段：消息摘要</x:v>
      </x:c>
      <x:c r="H508" s="9" t="str">
        <x:v>消息摘要</x:v>
      </x:c>
      <x:c r="I508" s="9" t="str">
        <x:v>1. 执行角色为已登录普通用户；当前处于消息页面
2. 目标会话有未读消息</x:v>
      </x:c>
      <x:c r="J508" s="9" t="str">
        <x:v>1. 查看该会话</x:v>
      </x:c>
      <x:c r="K508" s="9" t="str">
        <x:v>摘要为最后一条消息内容</x:v>
      </x:c>
      <x:c r="L508" s="10" t="str"/>
      <x:c r="M508" s="10" t="str">
        <x:v>未测</x:v>
      </x:c>
      <x:c r="N508" s="10" t="str"/>
      <x:c r="O508" s="9" t="str">
        <x:v>1. 来源（当前证据）：liveshow-proto/MainBasis/统一需求文档.md；位置：行656、行654
2. 规则：BR-e5bf4fcc62f3c74b
3. 未动态验证</x:v>
      </x:c>
    </x:row>
    <x:row r="509" ht="85" customHeight="1">
      <x:c r="A509" s="10" t="n">
        <x:v>508</x:v>
      </x:c>
      <x:c r="B509" s="10" t="str">
        <x:v>USER-04-0007</x:v>
      </x:c>
      <x:c r="C509" s="10" t="str">
        <x:v>消息与社交</x:v>
      </x:c>
      <x:c r="D509" s="10" t="str">
        <x:v>消息（已登录普通用户视角）</x:v>
      </x:c>
      <x:c r="E509" s="10" t="str">
        <x:v>功能需求</x:v>
      </x:c>
      <x:c r="F509" s="10" t="str">
        <x:v>P2</x:v>
      </x:c>
      <x:c r="G509" s="9" t="str">
        <x:v>验证会话摘要字段：最后消息时间</x:v>
      </x:c>
      <x:c r="H509" s="9" t="str">
        <x:v>最后消息时间</x:v>
      </x:c>
      <x:c r="I509" s="9" t="str">
        <x:v>1. 执行角色为已登录普通用户；当前处于消息页面
2. 目标会话有未读消息</x:v>
      </x:c>
      <x:c r="J509" s="9" t="str">
        <x:v>1. 查看该会话</x:v>
      </x:c>
      <x:c r="K509" s="9" t="str">
        <x:v>显示最后消息时间</x:v>
      </x:c>
      <x:c r="L509" s="10" t="str"/>
      <x:c r="M509" s="10" t="str">
        <x:v>未测</x:v>
      </x:c>
      <x:c r="N509" s="10" t="str"/>
      <x:c r="O509" s="9" t="str">
        <x:v>1. 来源（当前证据）：liveshow-proto/MainBasis/统一需求文档.md；位置：行656、行654
2. 规则：BR-c585d501e9b37857
3. 未动态验证</x:v>
      </x:c>
    </x:row>
    <x:row r="510" ht="85" customHeight="1">
      <x:c r="A510" s="10" t="n">
        <x:v>509</x:v>
      </x:c>
      <x:c r="B510" s="10" t="str">
        <x:v>USER-04-0008</x:v>
      </x:c>
      <x:c r="C510" s="10" t="str">
        <x:v>消息与社交</x:v>
      </x:c>
      <x:c r="D510" s="10" t="str">
        <x:v>消息（已登录普通用户视角）</x:v>
      </x:c>
      <x:c r="E510" s="10" t="str">
        <x:v>功能需求</x:v>
      </x:c>
      <x:c r="F510" s="10" t="str">
        <x:v>P2</x:v>
      </x:c>
      <x:c r="G510" s="9" t="str">
        <x:v>验证会话摘要字段：会话未读计数</x:v>
      </x:c>
      <x:c r="H510" s="9" t="str">
        <x:v>会话未读计数</x:v>
      </x:c>
      <x:c r="I510" s="9" t="str">
        <x:v>1. 执行角色为已登录普通用户；当前处于消息页面
2. 目标会话有未读消息</x:v>
      </x:c>
      <x:c r="J510" s="9" t="str">
        <x:v>1. 查看该会话</x:v>
      </x:c>
      <x:c r="K510" s="9" t="str">
        <x:v>显示该会话当前未读数</x:v>
      </x:c>
      <x:c r="L510" s="10" t="str"/>
      <x:c r="M510" s="10" t="str">
        <x:v>未测</x:v>
      </x:c>
      <x:c r="N510" s="10" t="str"/>
      <x:c r="O510" s="9" t="str">
        <x:v>1. 来源（当前证据）：liveshow-proto/MainBasis/统一需求文档.md；位置：行656、行654
2. 规则：BR-76eba1508a5e1a21
3. 未动态验证</x:v>
      </x:c>
    </x:row>
    <x:row r="511" ht="85" customHeight="1">
      <x:c r="A511" s="10" t="n">
        <x:v>510</x:v>
      </x:c>
      <x:c r="B511" s="10" t="str">
        <x:v>USER-04-0009</x:v>
      </x:c>
      <x:c r="C511" s="10" t="str">
        <x:v>消息与社交</x:v>
      </x:c>
      <x:c r="D511" s="10" t="str">
        <x:v>消息（已登录普通用户视角）</x:v>
      </x:c>
      <x:c r="E511" s="10" t="str">
        <x:v>功能需求</x:v>
      </x:c>
      <x:c r="F511" s="10" t="str">
        <x:v>P1</x:v>
      </x:c>
      <x:c r="G511" s="9" t="str">
        <x:v>验证进入私信清未读</x:v>
      </x:c>
      <x:c r="H511" s="9" t="str">
        <x:v>私信未读计数清零</x:v>
      </x:c>
      <x:c r="I511" s="9" t="str">
        <x:v>1. 执行角色为已登录普通用户；当前处于消息页面
2. 目标私信有3条未读</x:v>
      </x:c>
      <x:c r="J511" s="9" t="str">
        <x:v>1. 进入该私信
2. 返回消息中心</x:v>
      </x:c>
      <x:c r="K511" s="9" t="str">
        <x:v>该会话未读数清零</x:v>
      </x:c>
      <x:c r="L511" s="10" t="str"/>
      <x:c r="M511" s="10" t="str">
        <x:v>未测</x:v>
      </x:c>
      <x:c r="N511" s="10" t="str"/>
      <x:c r="O511" s="9" t="str">
        <x:v>1. 来源（当前证据）：liveshow-proto/MainBasis/统一需求文档.md；位置：行664、行654
2. 规则：BR-d0f74bbfdc529d1d
3. 未动态验证</x:v>
      </x:c>
    </x:row>
    <x:row r="512" ht="85" customHeight="1">
      <x:c r="A512" s="10" t="n">
        <x:v>511</x:v>
      </x:c>
      <x:c r="B512" s="10" t="str">
        <x:v>USER-04-0010</x:v>
      </x:c>
      <x:c r="C512" s="10" t="str">
        <x:v>消息与社交</x:v>
      </x:c>
      <x:c r="D512" s="10" t="str">
        <x:v>消息（已登录普通用户视角）</x:v>
      </x:c>
      <x:c r="E512" s="10" t="str">
        <x:v>功能需求</x:v>
      </x:c>
      <x:c r="F512" s="10" t="str">
        <x:v>P1</x:v>
      </x:c>
      <x:c r="G512" s="9" t="str">
        <x:v>验证新消息更新会话</x:v>
      </x:c>
      <x:c r="H512" s="9" t="str">
        <x:v>新消息会话摘要更新</x:v>
      </x:c>
      <x:c r="I512" s="9" t="str">
        <x:v>1. 执行角色为已登录普通用户；当前处于消息页面
2. 目标会话原未读0；对方已发送一条新消息且未打开会话</x:v>
      </x:c>
      <x:c r="J512" s="9" t="str">
        <x:v>1. 查看该会话</x:v>
      </x:c>
      <x:c r="K512" s="9" t="str">
        <x:v>最后消息和时间更新且未读数为1</x:v>
      </x:c>
      <x:c r="L512" s="10" t="str"/>
      <x:c r="M512" s="10" t="str">
        <x:v>未测</x:v>
      </x:c>
      <x:c r="N512" s="10" t="str"/>
      <x:c r="O512" s="9" t="str">
        <x:v>1. 来源（当前证据）：liveshow-proto/MainBasis/统一需求文档.md；位置：行664、行654
2. 规则：BR-77e087b82bf9de3c
3. 未动态验证</x:v>
      </x:c>
    </x:row>
    <x:row r="513" ht="85" customHeight="1">
      <x:c r="A513" s="10" t="n">
        <x:v>512</x:v>
      </x:c>
      <x:c r="B513" s="10" t="str">
        <x:v>USER-04-0011</x:v>
      </x:c>
      <x:c r="C513" s="10" t="str">
        <x:v>消息与社交</x:v>
      </x:c>
      <x:c r="D513" s="10" t="str">
        <x:v>消息（已登录普通用户视角）</x:v>
      </x:c>
      <x:c r="E513" s="10" t="str">
        <x:v>功能需求</x:v>
      </x:c>
      <x:c r="F513" s="10" t="str">
        <x:v>P1</x:v>
      </x:c>
      <x:c r="G513" s="9" t="str">
        <x:v>验证粉丝群与私信分别维护</x:v>
      </x:c>
      <x:c r="H513" s="9" t="str">
        <x:v>私信与群会话隔离</x:v>
      </x:c>
      <x:c r="I513" s="9" t="str">
        <x:v>1. 执行角色为已登录普通用户；当前处于消息页面
2. 与主播A有私信且已加入A粉丝群</x:v>
      </x:c>
      <x:c r="J513" s="9" t="str">
        <x:v>1. 查看消息分类</x:v>
      </x:c>
      <x:c r="K513" s="9" t="str">
        <x:v>私信和粉丝群作为独立会话维护</x:v>
      </x:c>
      <x:c r="L513" s="10" t="str"/>
      <x:c r="M513" s="10" t="str">
        <x:v>未测</x:v>
      </x:c>
      <x:c r="N513" s="10" t="str"/>
      <x:c r="O513" s="9" t="str">
        <x:v>1. 来源（当前证据）：liveshow-proto/MainBasis/统一需求文档.md；位置：行659、行1927、行654
2. 规则：BR-97396432dccd56bd
3. 未动态验证</x:v>
      </x:c>
    </x:row>
    <x:row r="514" ht="85" customHeight="1">
      <x:c r="A514" s="10" t="n">
        <x:v>513</x:v>
      </x:c>
      <x:c r="B514" s="10" t="str">
        <x:v>USER-04-0012</x:v>
      </x:c>
      <x:c r="C514" s="10" t="str">
        <x:v>消息与社交</x:v>
      </x:c>
      <x:c r="D514" s="10" t="str">
        <x:v>消息（已登录普通用户视角）</x:v>
      </x:c>
      <x:c r="E514" s="10" t="str">
        <x:v>功能需求</x:v>
      </x:c>
      <x:c r="F514" s="10" t="str">
        <x:v>P1</x:v>
      </x:c>
      <x:c r="G514" s="9" t="str">
        <x:v>验证团籍失效移除会话</x:v>
      </x:c>
      <x:c r="H514" s="9" t="str">
        <x:v>失效团籍会话移除</x:v>
      </x:c>
      <x:c r="I514" s="9" t="str">
        <x:v>1. 执行角色为已登录普通用户；当前处于消息页面
2. 当前粉丝团团籍刚被移除</x:v>
      </x:c>
      <x:c r="J514" s="9" t="str">
        <x:v>1. 刷新消息列表</x:v>
      </x:c>
      <x:c r="K514" s="9" t="str">
        <x:v>该粉丝群入口被移除</x:v>
      </x:c>
      <x:c r="L514" s="10" t="str"/>
      <x:c r="M514" s="10" t="str">
        <x:v>未测</x:v>
      </x:c>
      <x:c r="N514" s="10" t="str"/>
      <x:c r="O514" s="9" t="str">
        <x:v>1. 来源（当前证据）：liveshow-proto/MainBasis/统一需求文档.md；位置：行1929、行654
2. 规则：BR-1b5bb5ecc030b3b6
3. 未动态验证</x:v>
      </x:c>
    </x:row>
    <x:row r="515" ht="85" customHeight="1">
      <x:c r="A515" s="10" t="n">
        <x:v>514</x:v>
      </x:c>
      <x:c r="B515" s="10" t="str">
        <x:v>USER-04-0013</x:v>
      </x:c>
      <x:c r="C515" s="10" t="str">
        <x:v>消息与社交</x:v>
      </x:c>
      <x:c r="D515" s="10" t="str">
        <x:v>消息（已登录普通用户视角）</x:v>
      </x:c>
      <x:c r="E515" s="10" t="str">
        <x:v>功能需求</x:v>
      </x:c>
      <x:c r="F515" s="10" t="str">
        <x:v>P1</x:v>
      </x:c>
      <x:c r="G515" s="9" t="str">
        <x:v>验证有效粉丝群进入清未读</x:v>
      </x:c>
      <x:c r="H515" s="9" t="str">
        <x:v>粉丝群未读计数清零</x:v>
      </x:c>
      <x:c r="I515" s="9" t="str">
        <x:v>1. 执行角色为已登录普通用户；当前处于消息页面
2. 有效粉丝群有2条未读</x:v>
      </x:c>
      <x:c r="J515" s="9" t="str">
        <x:v>1. 进入该粉丝群
2. 返回消息中心</x:v>
      </x:c>
      <x:c r="K515" s="9" t="str">
        <x:v>该群未读数清零</x:v>
      </x:c>
      <x:c r="L515" s="10" t="str"/>
      <x:c r="M515" s="10" t="str">
        <x:v>未测</x:v>
      </x:c>
      <x:c r="N515" s="10" t="str"/>
      <x:c r="O515" s="9" t="str">
        <x:v>1. 来源（当前证据）：liveshow-proto/MainBasis/统一需求文档.md；位置：行1929、行654
2. 规则：BR-d9acea2ace28e729
3. 未动态验证</x:v>
      </x:c>
    </x:row>
    <x:row r="516" ht="85" customHeight="1">
      <x:c r="A516" s="10" t="n">
        <x:v>515</x:v>
      </x:c>
      <x:c r="B516" s="10" t="str">
        <x:v>USER-04-0014</x:v>
      </x:c>
      <x:c r="C516" s="10" t="str">
        <x:v>消息与社交</x:v>
      </x:c>
      <x:c r="D516" s="10" t="str">
        <x:v>系统通知（已登录普通用户视角）</x:v>
      </x:c>
      <x:c r="E516" s="10" t="str">
        <x:v>功能需求</x:v>
      </x:c>
      <x:c r="F516" s="10" t="str">
        <x:v>P1</x:v>
      </x:c>
      <x:c r="G516" s="9" t="str">
        <x:v>验证系统通知仅当前账号</x:v>
      </x:c>
      <x:c r="H516" s="9" t="str">
        <x:v>系统通知账号范围</x:v>
      </x:c>
      <x:c r="I516" s="9" t="str">
        <x:v>1. 执行角色为已登录普通用户；当前处于系统通知页面
2. 测试环境有分别发送给A和B的通知；当前为A</x:v>
      </x:c>
      <x:c r="J516" s="9" t="str">
        <x:v>1. 查看系统通知</x:v>
      </x:c>
      <x:c r="K516" s="9" t="str">
        <x:v>只展示发送给A的通知</x:v>
      </x:c>
      <x:c r="L516" s="10" t="str"/>
      <x:c r="M516" s="10" t="str">
        <x:v>未测</x:v>
      </x:c>
      <x:c r="N516" s="10" t="str"/>
      <x:c r="O516" s="9" t="str">
        <x:v>1. 来源（当前证据）：liveshow-proto/MainBasis/统一需求文档.md；位置：行673、行667
2. 规则：BR-8dff76d39931e6be
3. 未动态验证</x:v>
      </x:c>
    </x:row>
    <x:row r="517" ht="85" customHeight="1">
      <x:c r="A517" s="10" t="n">
        <x:v>516</x:v>
      </x:c>
      <x:c r="B517" s="10" t="str">
        <x:v>USER-04-0015</x:v>
      </x:c>
      <x:c r="C517" s="10" t="str">
        <x:v>消息与社交</x:v>
      </x:c>
      <x:c r="D517" s="10" t="str">
        <x:v>系统通知（已登录普通用户视角）</x:v>
      </x:c>
      <x:c r="E517" s="10" t="str">
        <x:v>功能需求</x:v>
      </x:c>
      <x:c r="F517" s="10" t="str">
        <x:v>P2</x:v>
      </x:c>
      <x:c r="G517" s="9" t="str">
        <x:v>验证系统通知时间倒序</x:v>
      </x:c>
      <x:c r="H517" s="9" t="str">
        <x:v>排列次序</x:v>
      </x:c>
      <x:c r="I517" s="9" t="str">
        <x:v>1. 执行角色为已登录普通用户；当前处于系统通知页面
2. 当前有10:00和11:00两条通知</x:v>
      </x:c>
      <x:c r="J517" s="9" t="str">
        <x:v>1. 查看通知顺序</x:v>
      </x:c>
      <x:c r="K517" s="9" t="str">
        <x:v>11:00通知在前</x:v>
      </x:c>
      <x:c r="L517" s="10" t="str"/>
      <x:c r="M517" s="10" t="str">
        <x:v>未测</x:v>
      </x:c>
      <x:c r="N517" s="10" t="str"/>
      <x:c r="O517" s="9" t="str">
        <x:v>1. 来源（当前证据）：liveshow-proto/MainBasis/统一需求文档.md；位置：行670、行674、行667
2. 规则：BR-625457b5ca7c7d12
3. 未动态验证</x:v>
      </x:c>
    </x:row>
    <x:row r="518" ht="85" customHeight="1">
      <x:c r="A518" s="10" t="n">
        <x:v>517</x:v>
      </x:c>
      <x:c r="B518" s="10" t="str">
        <x:v>USER-04-0016</x:v>
      </x:c>
      <x:c r="C518" s="10" t="str">
        <x:v>消息与社交</x:v>
      </x:c>
      <x:c r="D518" s="10" t="str">
        <x:v>系统通知（已登录普通用户视角）</x:v>
      </x:c>
      <x:c r="E518" s="10" t="str">
        <x:v>功能需求</x:v>
      </x:c>
      <x:c r="F518" s="10" t="str">
        <x:v>P2</x:v>
      </x:c>
      <x:c r="G518" s="9" t="str">
        <x:v>验证同时间按通知ID倒序</x:v>
      </x:c>
      <x:c r="H518" s="9" t="str">
        <x:v>排列次序</x:v>
      </x:c>
      <x:c r="I518" s="9" t="str">
        <x:v>1. 执行角色为已登录普通用户；当前处于系统通知页面
2. 两条通知时间相同，ID100和101</x:v>
      </x:c>
      <x:c r="J518" s="9" t="str">
        <x:v>1. 查看通知顺序</x:v>
      </x:c>
      <x:c r="K518" s="9" t="str">
        <x:v>ID101通知在前</x:v>
      </x:c>
      <x:c r="L518" s="10" t="str"/>
      <x:c r="M518" s="10" t="str">
        <x:v>未测</x:v>
      </x:c>
      <x:c r="N518" s="10" t="str"/>
      <x:c r="O518" s="9" t="str">
        <x:v>1. 来源（当前证据）：liveshow-proto/MainBasis/统一需求文档.md；位置：行670、行667
2. 规则：BR-9f4cf3071883dc8d
3. 未动态验证</x:v>
      </x:c>
    </x:row>
    <x:row r="519" ht="85" customHeight="1">
      <x:c r="A519" s="10" t="n">
        <x:v>518</x:v>
      </x:c>
      <x:c r="B519" s="10" t="str">
        <x:v>USER-04-0017</x:v>
      </x:c>
      <x:c r="C519" s="10" t="str">
        <x:v>消息与社交</x:v>
      </x:c>
      <x:c r="D519" s="10" t="str">
        <x:v>系统通知（已登录普通用户视角）</x:v>
      </x:c>
      <x:c r="E519" s="10" t="str">
        <x:v>功能需求</x:v>
      </x:c>
      <x:c r="F519" s="10" t="str">
        <x:v>P1</x:v>
      </x:c>
      <x:c r="G519" s="9" t="str">
        <x:v>验证进入标为已读</x:v>
      </x:c>
      <x:c r="H519" s="9" t="str">
        <x:v>通知已读状态</x:v>
      </x:c>
      <x:c r="I519" s="9" t="str">
        <x:v>1. 执行角色为已登录普通用户；当前处于系统通知页面
2. 当前有未读系统通知</x:v>
      </x:c>
      <x:c r="J519" s="9" t="str">
        <x:v>1. 进入系统通知页</x:v>
      </x:c>
      <x:c r="K519" s="9" t="str">
        <x:v>所查看通知标记为已读</x:v>
      </x:c>
      <x:c r="L519" s="10" t="str"/>
      <x:c r="M519" s="10" t="str">
        <x:v>未测</x:v>
      </x:c>
      <x:c r="N519" s="10" t="str"/>
      <x:c r="O519" s="9" t="str">
        <x:v>1. 来源（当前证据）：liveshow-proto/MainBasis/统一需求文档.md；位置：行671、行667
2. 规则：BR-f1e91b1c7b64c5f4
3. 未动态验证</x:v>
      </x:c>
    </x:row>
    <x:row r="520" ht="85" customHeight="1">
      <x:c r="A520" s="10" t="n">
        <x:v>519</x:v>
      </x:c>
      <x:c r="B520" s="10" t="str">
        <x:v>USER-04-0018</x:v>
      </x:c>
      <x:c r="C520" s="10" t="str">
        <x:v>消息与社交</x:v>
      </x:c>
      <x:c r="D520" s="10" t="str">
        <x:v>系统通知（已登录普通用户视角）</x:v>
      </x:c>
      <x:c r="E520" s="10" t="str">
        <x:v>功能需求</x:v>
      </x:c>
      <x:c r="F520" s="10" t="str">
        <x:v>P1</x:v>
      </x:c>
      <x:c r="G520" s="9" t="str">
        <x:v>验证通知只读无业务操作</x:v>
      </x:c>
      <x:c r="H520" s="9" t="str">
        <x:v>通知操作入口可见性</x:v>
      </x:c>
      <x:c r="I520" s="9" t="str">
        <x:v>1. 执行角色为已登录普通用户；当前处于系统通知页面
2. 当前有主播身份或公会关系结果通知</x:v>
      </x:c>
      <x:c r="J520" s="9" t="str">
        <x:v>1. 查看通知可用操作</x:v>
      </x:c>
      <x:c r="K520" s="9" t="str">
        <x:v>通知不提供跳转及业务处理按钮</x:v>
      </x:c>
      <x:c r="L520" s="10" t="str"/>
      <x:c r="M520" s="10" t="str">
        <x:v>未测</x:v>
      </x:c>
      <x:c r="N520" s="10" t="str"/>
      <x:c r="O520" s="9" t="str">
        <x:v>1. 来源（当前证据）：liveshow-proto/MainBasis/统一需求文档.md；位置：行672、行667
2. 规则：BR-f933d4cb11692a2b
3. 未动态验证</x:v>
      </x:c>
    </x:row>
    <x:row r="521" ht="85" customHeight="1">
      <x:c r="A521" s="10" t="n">
        <x:v>520</x:v>
      </x:c>
      <x:c r="B521" s="10" t="str">
        <x:v>USER-04-0019</x:v>
      </x:c>
      <x:c r="C521" s="10" t="str">
        <x:v>消息与社交</x:v>
      </x:c>
      <x:c r="D521" s="10" t="str">
        <x:v>系统通知（已登录普通用户视角）</x:v>
      </x:c>
      <x:c r="E521" s="10" t="str">
        <x:v>功能需求</x:v>
      </x:c>
      <x:c r="F521" s="10" t="str">
        <x:v>P1</x:v>
      </x:c>
      <x:c r="G521" s="9" t="str">
        <x:v>验证关闭系统权限仍收到站内通知</x:v>
      </x:c>
      <x:c r="H521" s="9" t="str">
        <x:v>站内通知独立接收</x:v>
      </x:c>
      <x:c r="I521" s="9" t="str">
        <x:v>1. 执行角色为已登录普通用户；当前处于系统通知页面
2. 设备通知权限拒绝；平台已向该账号发出新通知</x:v>
      </x:c>
      <x:c r="J521" s="9" t="str">
        <x:v>1. 查看系统通知列表</x:v>
      </x:c>
      <x:c r="K521" s="9" t="str">
        <x:v>仍能看到新站内通知</x:v>
      </x:c>
      <x:c r="L521" s="10" t="str"/>
      <x:c r="M521" s="10" t="str">
        <x:v>未测</x:v>
      </x:c>
      <x:c r="N521" s="10" t="str"/>
      <x:c r="O521" s="9" t="str">
        <x:v>1. 来源（当前证据）：liveshow-proto/MainBasis/统一需求文档.md；位置：行673、行1548、行667
2. 规则：BR-d0c5177e5aea63b2
3. 未动态验证</x:v>
      </x:c>
    </x:row>
    <x:row r="522" ht="85" customHeight="1">
      <x:c r="A522" s="10" t="n">
        <x:v>521</x:v>
      </x:c>
      <x:c r="B522" s="10" t="str">
        <x:v>USER-04-0020</x:v>
      </x:c>
      <x:c r="C522" s="10" t="str">
        <x:v>消息与社交</x:v>
      </x:c>
      <x:c r="D522" s="10" t="str">
        <x:v>粉丝列表（已登录普通用户视角）</x:v>
      </x:c>
      <x:c r="E522" s="10" t="str">
        <x:v>功能需求</x:v>
      </x:c>
      <x:c r="F522" s="10" t="str">
        <x:v>P1</x:v>
      </x:c>
      <x:c r="G522" s="9" t="str">
        <x:v>验证粉丝列表范围</x:v>
      </x:c>
      <x:c r="H522" s="9" t="str">
        <x:v>有效粉丝列表范围</x:v>
      </x:c>
      <x:c r="I522" s="9" t="str">
        <x:v>1. 执行角色为已登录普通用户；当前处于粉丝列表页面
2. 当前有有效粉丝A；关系已解除的B</x:v>
      </x:c>
      <x:c r="J522" s="9" t="str">
        <x:v>1. 查看列表</x:v>
      </x:c>
      <x:c r="K522" s="9" t="str">
        <x:v>只包含有效关系A</x:v>
      </x:c>
      <x:c r="L522" s="10" t="str"/>
      <x:c r="M522" s="10" t="str">
        <x:v>未测</x:v>
      </x:c>
      <x:c r="N522" s="10" t="str"/>
      <x:c r="O522" s="9" t="str">
        <x:v>1. 来源（当前证据）：liveshow-proto/MainBasis/统一需求文档.md；位置：行714、行708
2. 规则：BR-3106705ff2c1c20d
3. 未动态验证</x:v>
      </x:c>
    </x:row>
    <x:row r="523" ht="85" customHeight="1">
      <x:c r="A523" s="10" t="n">
        <x:v>522</x:v>
      </x:c>
      <x:c r="B523" s="10" t="str">
        <x:v>USER-04-0021</x:v>
      </x:c>
      <x:c r="C523" s="10" t="str">
        <x:v>消息与社交</x:v>
      </x:c>
      <x:c r="D523" s="10" t="str">
        <x:v>粉丝列表（已登录普通用户视角）</x:v>
      </x:c>
      <x:c r="E523" s="10" t="str">
        <x:v>功能需求</x:v>
      </x:c>
      <x:c r="F523" s="10" t="str">
        <x:v>P2</x:v>
      </x:c>
      <x:c r="G523" s="9" t="str">
        <x:v>验证粉丝模糊搜索不区分大小写</x:v>
      </x:c>
      <x:c r="H523" s="9" t="str">
        <x:v>粉丝搜索大小写匹配</x:v>
      </x:c>
      <x:c r="I523" s="9" t="str">
        <x:v>1. 执行角色为已登录普通用户；当前处于粉丝列表页面
2. 有效粉丝昵称QaTest</x:v>
      </x:c>
      <x:c r="J523" s="9" t="str">
        <x:v>1. 输入qat</x:v>
      </x:c>
      <x:c r="K523" s="9" t="str">
        <x:v>结果包含QaTest</x:v>
      </x:c>
      <x:c r="L523" s="10" t="str"/>
      <x:c r="M523" s="10" t="str">
        <x:v>未测</x:v>
      </x:c>
      <x:c r="N523" s="10" t="str"/>
      <x:c r="O523" s="9" t="str">
        <x:v>1. 来源（当前证据）：liveshow-proto/MainBasis/统一需求文档.md；位置：行710、行708
2. 规则：BR-a23f1c7dad1d9aec
3. 未动态验证</x:v>
      </x:c>
    </x:row>
    <x:row r="524" ht="85" customHeight="1">
      <x:c r="A524" s="10" t="n">
        <x:v>523</x:v>
      </x:c>
      <x:c r="B524" s="10" t="str">
        <x:v>USER-04-0022</x:v>
      </x:c>
      <x:c r="C524" s="10" t="str">
        <x:v>消息与社交</x:v>
      </x:c>
      <x:c r="D524" s="10" t="str">
        <x:v>粉丝列表（已登录普通用户视角）</x:v>
      </x:c>
      <x:c r="E524" s="10" t="str">
        <x:v>功能需求</x:v>
      </x:c>
      <x:c r="F524" s="10" t="str">
        <x:v>P2</x:v>
      </x:c>
      <x:c r="G524" s="9" t="str">
        <x:v>验证粉丝空搜索恢复</x:v>
      </x:c>
      <x:c r="H524" s="9" t="str">
        <x:v>数据保持</x:v>
      </x:c>
      <x:c r="I524" s="9" t="str">
        <x:v>1. 执行角色为已登录普通用户；当前处于粉丝列表页面
2. 列表当前已筛选</x:v>
      </x:c>
      <x:c r="J524" s="9" t="str">
        <x:v>1. 清空搜索词</x:v>
      </x:c>
      <x:c r="K524" s="9" t="str">
        <x:v>恢复全部当前有效粉丝</x:v>
      </x:c>
      <x:c r="L524" s="10" t="str"/>
      <x:c r="M524" s="10" t="str">
        <x:v>未测</x:v>
      </x:c>
      <x:c r="N524" s="10" t="str"/>
      <x:c r="O524" s="9" t="str">
        <x:v>1. 来源（当前证据）：liveshow-proto/MainBasis/统一需求文档.md；位置：行710、行708
2. 规则：BR-1c954b037805e690
3. 未动态验证</x:v>
      </x:c>
    </x:row>
    <x:row r="525" ht="85" customHeight="1">
      <x:c r="A525" s="10" t="n">
        <x:v>524</x:v>
      </x:c>
      <x:c r="B525" s="10" t="str">
        <x:v>USER-04-0023</x:v>
      </x:c>
      <x:c r="C525" s="10" t="str">
        <x:v>消息与社交</x:v>
      </x:c>
      <x:c r="D525" s="10" t="str">
        <x:v>粉丝列表（已登录普通用户视角）</x:v>
      </x:c>
      <x:c r="E525" s="10" t="str">
        <x:v>功能需求</x:v>
      </x:c>
      <x:c r="F525" s="10" t="str">
        <x:v>P2</x:v>
      </x:c>
      <x:c r="G525" s="9" t="str">
        <x:v>验证粉丝无匹配空态</x:v>
      </x:c>
      <x:c r="H525" s="9" t="str">
        <x:v>粉丝搜索空态</x:v>
      </x:c>
      <x:c r="I525" s="9" t="str">
        <x:v>1. 执行角色为已登录普通用户；当前处于粉丝列表页面</x:v>
      </x:c>
      <x:c r="J525" s="9" t="str">
        <x:v>1. 输入QA-NOT-EXIST</x:v>
      </x:c>
      <x:c r="K525" s="9" t="str">
        <x:v>显示空状态</x:v>
      </x:c>
      <x:c r="L525" s="10" t="str"/>
      <x:c r="M525" s="10" t="str">
        <x:v>未测</x:v>
      </x:c>
      <x:c r="N525" s="10" t="str"/>
      <x:c r="O525" s="9" t="str">
        <x:v>1. 来源（当前证据）：liveshow-proto/MainBasis/统一需求文档.md；位置：行716、行708
2. 规则：BR-217e221c639d1688
3. 未动态验证</x:v>
      </x:c>
    </x:row>
    <x:row r="526" ht="85" customHeight="1">
      <x:c r="A526" s="10" t="n">
        <x:v>525</x:v>
      </x:c>
      <x:c r="B526" s="10" t="str">
        <x:v>USER-04-0024</x:v>
      </x:c>
      <x:c r="C526" s="10" t="str">
        <x:v>消息与社交</x:v>
      </x:c>
      <x:c r="D526" s="10" t="str">
        <x:v>粉丝列表（已登录普通用户视角）</x:v>
      </x:c>
      <x:c r="E526" s="10" t="str">
        <x:v>功能需求</x:v>
      </x:c>
      <x:c r="F526" s="10" t="str">
        <x:v>P2</x:v>
      </x:c>
      <x:c r="G526" s="9" t="str">
        <x:v>验证粉丝普通账号主页</x:v>
      </x:c>
      <x:c r="H526" s="9" t="str">
        <x:v>普通粉丝主页去向</x:v>
      </x:c>
      <x:c r="I526" s="9" t="str">
        <x:v>1. 执行角色为已登录普通用户；当前处于粉丝列表页面
2. 列表目标为普通用户A</x:v>
      </x:c>
      <x:c r="J526" s="9" t="str">
        <x:v>1. 点击A头像</x:v>
      </x:c>
      <x:c r="K526" s="9" t="str">
        <x:v>进入A用户主页</x:v>
      </x:c>
      <x:c r="L526" s="10" t="str"/>
      <x:c r="M526" s="10" t="str">
        <x:v>未测</x:v>
      </x:c>
      <x:c r="N526" s="10" t="str"/>
      <x:c r="O526" s="9" t="str">
        <x:v>1. 来源（当前证据）：liveshow-proto/MainBasis/统一需求文档.md；位置：行716、行708
2. 规则：BR-a99651ee445a18d8
3. 未动态验证</x:v>
      </x:c>
    </x:row>
    <x:row r="527" ht="85" customHeight="1">
      <x:c r="A527" s="10" t="n">
        <x:v>526</x:v>
      </x:c>
      <x:c r="B527" s="10" t="str">
        <x:v>USER-04-0025</x:v>
      </x:c>
      <x:c r="C527" s="10" t="str">
        <x:v>消息与社交</x:v>
      </x:c>
      <x:c r="D527" s="10" t="str">
        <x:v>粉丝列表（已登录普通用户视角）</x:v>
      </x:c>
      <x:c r="E527" s="10" t="str">
        <x:v>功能需求</x:v>
      </x:c>
      <x:c r="F527" s="10" t="str">
        <x:v>P2</x:v>
      </x:c>
      <x:c r="G527" s="9" t="str">
        <x:v>验证粉丝主播账号主页</x:v>
      </x:c>
      <x:c r="H527" s="9" t="str">
        <x:v>主播粉丝主页去向</x:v>
      </x:c>
      <x:c r="I527" s="9" t="str">
        <x:v>1. 执行角色为已登录普通用户；当前处于粉丝列表页面
2. 列表目标为主播B</x:v>
      </x:c>
      <x:c r="J527" s="9" t="str">
        <x:v>1. 点击B头像</x:v>
      </x:c>
      <x:c r="K527" s="9" t="str">
        <x:v>进入B主播主页</x:v>
      </x:c>
      <x:c r="L527" s="10" t="str"/>
      <x:c r="M527" s="10" t="str">
        <x:v>未测</x:v>
      </x:c>
      <x:c r="N527" s="10" t="str"/>
      <x:c r="O527" s="9" t="str">
        <x:v>1. 来源（当前证据）：liveshow-proto/MainBasis/统一需求文档.md；位置：行716、行708
2. 规则：BR-3ce3efa8b234e5d5
3. 未动态验证</x:v>
      </x:c>
    </x:row>
    <x:row r="528" ht="85" customHeight="1">
      <x:c r="A528" s="10" t="n">
        <x:v>527</x:v>
      </x:c>
      <x:c r="B528" s="10" t="str">
        <x:v>USER-04-0026</x:v>
      </x:c>
      <x:c r="C528" s="10" t="str">
        <x:v>消息与社交</x:v>
      </x:c>
      <x:c r="D528" s="10" t="str">
        <x:v>好友列表（已登录普通用户视角）</x:v>
      </x:c>
      <x:c r="E528" s="10" t="str">
        <x:v>功能需求</x:v>
      </x:c>
      <x:c r="F528" s="10" t="str">
        <x:v>P1</x:v>
      </x:c>
      <x:c r="G528" s="9" t="str">
        <x:v>验证好友列表范围</x:v>
      </x:c>
      <x:c r="H528" s="9" t="str">
        <x:v>账号关系</x:v>
      </x:c>
      <x:c r="I528" s="9" t="str">
        <x:v>1. 执行角色为已登录普通用户；当前处于好友列表页面
2. 当前有有效好友A；关系已解除的B</x:v>
      </x:c>
      <x:c r="J528" s="9" t="str">
        <x:v>1. 查看列表</x:v>
      </x:c>
      <x:c r="K528" s="9" t="str">
        <x:v>只包含有效关系A</x:v>
      </x:c>
      <x:c r="L528" s="10" t="str"/>
      <x:c r="M528" s="10" t="str">
        <x:v>未测</x:v>
      </x:c>
      <x:c r="N528" s="10" t="str"/>
      <x:c r="O528" s="9" t="str">
        <x:v>1. 来源（当前证据）：liveshow-proto/MainBasis/统一需求文档.md；位置：行864、行855
2. 规则：BR-23aac7b458d9af30
3. 未动态验证</x:v>
      </x:c>
    </x:row>
    <x:row r="529" ht="85" customHeight="1">
      <x:c r="A529" s="10" t="n">
        <x:v>528</x:v>
      </x:c>
      <x:c r="B529" s="10" t="str">
        <x:v>USER-04-0027</x:v>
      </x:c>
      <x:c r="C529" s="10" t="str">
        <x:v>消息与社交</x:v>
      </x:c>
      <x:c r="D529" s="10" t="str">
        <x:v>好友列表（已登录普通用户视角）</x:v>
      </x:c>
      <x:c r="E529" s="10" t="str">
        <x:v>功能需求</x:v>
      </x:c>
      <x:c r="F529" s="10" t="str">
        <x:v>P2</x:v>
      </x:c>
      <x:c r="G529" s="9" t="str">
        <x:v>验证好友模糊搜索不区分大小写</x:v>
      </x:c>
      <x:c r="H529" s="9" t="str">
        <x:v>好友账号搜索结果</x:v>
      </x:c>
      <x:c r="I529" s="9" t="str">
        <x:v>1. 执行角色为已登录普通用户；当前处于好友列表页面
2. 有效好友昵称QaTest</x:v>
      </x:c>
      <x:c r="J529" s="9" t="str">
        <x:v>1. 输入qat</x:v>
      </x:c>
      <x:c r="K529" s="9" t="str">
        <x:v>结果包含QaTest</x:v>
      </x:c>
      <x:c r="L529" s="10" t="str"/>
      <x:c r="M529" s="10" t="str">
        <x:v>未测</x:v>
      </x:c>
      <x:c r="N529" s="10" t="str"/>
      <x:c r="O529" s="9" t="str">
        <x:v>1. 来源（当前证据）：liveshow-proto/MainBasis/统一需求文档.md；位置：行857、行855
2. 规则：BR-8d68b01c2862df61
3. 未动态验证</x:v>
      </x:c>
    </x:row>
    <x:row r="530" ht="85" customHeight="1">
      <x:c r="A530" s="10" t="n">
        <x:v>529</x:v>
      </x:c>
      <x:c r="B530" s="10" t="str">
        <x:v>USER-04-0028</x:v>
      </x:c>
      <x:c r="C530" s="10" t="str">
        <x:v>消息与社交</x:v>
      </x:c>
      <x:c r="D530" s="10" t="str">
        <x:v>好友列表（已登录普通用户视角）</x:v>
      </x:c>
      <x:c r="E530" s="10" t="str">
        <x:v>功能需求</x:v>
      </x:c>
      <x:c r="F530" s="10" t="str">
        <x:v>P2</x:v>
      </x:c>
      <x:c r="G530" s="9" t="str">
        <x:v>验证好友空搜索恢复</x:v>
      </x:c>
      <x:c r="H530" s="9" t="str">
        <x:v>好友列表搜索恢复</x:v>
      </x:c>
      <x:c r="I530" s="9" t="str">
        <x:v>1. 执行角色为已登录普通用户；当前处于好友列表页面
2. 列表当前已筛选</x:v>
      </x:c>
      <x:c r="J530" s="9" t="str">
        <x:v>1. 清空搜索词</x:v>
      </x:c>
      <x:c r="K530" s="9" t="str">
        <x:v>恢复全部当前有效好友</x:v>
      </x:c>
      <x:c r="L530" s="10" t="str"/>
      <x:c r="M530" s="10" t="str">
        <x:v>未测</x:v>
      </x:c>
      <x:c r="N530" s="10" t="str"/>
      <x:c r="O530" s="9" t="str">
        <x:v>1. 来源（当前证据）：liveshow-proto/MainBasis/统一需求文档.md；位置：行857、行855
2. 规则：BR-d3131f35519c8e87
3. 未动态验证</x:v>
      </x:c>
    </x:row>
    <x:row r="531" ht="85" customHeight="1">
      <x:c r="A531" s="10" t="n">
        <x:v>530</x:v>
      </x:c>
      <x:c r="B531" s="10" t="str">
        <x:v>USER-04-0029</x:v>
      </x:c>
      <x:c r="C531" s="10" t="str">
        <x:v>消息与社交</x:v>
      </x:c>
      <x:c r="D531" s="10" t="str">
        <x:v>好友列表（已登录普通用户视角）</x:v>
      </x:c>
      <x:c r="E531" s="10" t="str">
        <x:v>功能需求</x:v>
      </x:c>
      <x:c r="F531" s="10" t="str">
        <x:v>P2</x:v>
      </x:c>
      <x:c r="G531" s="9" t="str">
        <x:v>验证好友无匹配空态</x:v>
      </x:c>
      <x:c r="H531" s="9" t="str">
        <x:v>好友搜索空态</x:v>
      </x:c>
      <x:c r="I531" s="9" t="str">
        <x:v>1. 执行角色为已登录普通用户；当前处于好友列表页面</x:v>
      </x:c>
      <x:c r="J531" s="9" t="str">
        <x:v>1. 输入QA-NOT-EXIST</x:v>
      </x:c>
      <x:c r="K531" s="9" t="str">
        <x:v>显示空状态</x:v>
      </x:c>
      <x:c r="L531" s="10" t="str"/>
      <x:c r="M531" s="10" t="str">
        <x:v>未测</x:v>
      </x:c>
      <x:c r="N531" s="10" t="str"/>
      <x:c r="O531" s="9" t="str">
        <x:v>1. 来源（当前证据）：liveshow-proto/MainBasis/统一需求文档.md；位置：行866、行855
2. 规则：BR-ebbb83e49144015b
3. 未动态验证</x:v>
      </x:c>
    </x:row>
    <x:row r="532" ht="85" customHeight="1">
      <x:c r="A532" s="10" t="n">
        <x:v>531</x:v>
      </x:c>
      <x:c r="B532" s="10" t="str">
        <x:v>USER-04-0030</x:v>
      </x:c>
      <x:c r="C532" s="10" t="str">
        <x:v>消息与社交</x:v>
      </x:c>
      <x:c r="D532" s="10" t="str">
        <x:v>好友列表（已登录普通用户视角）</x:v>
      </x:c>
      <x:c r="E532" s="10" t="str">
        <x:v>功能需求</x:v>
      </x:c>
      <x:c r="F532" s="10" t="str">
        <x:v>P2</x:v>
      </x:c>
      <x:c r="G532" s="9" t="str">
        <x:v>验证好友普通账号主页</x:v>
      </x:c>
      <x:c r="H532" s="9" t="str">
        <x:v>普通好友主页去向</x:v>
      </x:c>
      <x:c r="I532" s="9" t="str">
        <x:v>1. 执行角色为已登录普通用户；当前处于好友列表页面
2. 列表目标为普通用户A</x:v>
      </x:c>
      <x:c r="J532" s="9" t="str">
        <x:v>1. 点击A头像</x:v>
      </x:c>
      <x:c r="K532" s="9" t="str">
        <x:v>进入A用户主页</x:v>
      </x:c>
      <x:c r="L532" s="10" t="str"/>
      <x:c r="M532" s="10" t="str">
        <x:v>未测</x:v>
      </x:c>
      <x:c r="N532" s="10" t="str"/>
      <x:c r="O532" s="9" t="str">
        <x:v>1. 来源（当前证据）：liveshow-proto/MainBasis/统一需求文档.md；位置：行867、行855
2. 规则：BR-9daf05622a30662d
3. 未动态验证</x:v>
      </x:c>
    </x:row>
    <x:row r="533" ht="85" customHeight="1">
      <x:c r="A533" s="10" t="n">
        <x:v>532</x:v>
      </x:c>
      <x:c r="B533" s="10" t="str">
        <x:v>USER-04-0031</x:v>
      </x:c>
      <x:c r="C533" s="10" t="str">
        <x:v>消息与社交</x:v>
      </x:c>
      <x:c r="D533" s="10" t="str">
        <x:v>好友列表（已登录普通用户视角）</x:v>
      </x:c>
      <x:c r="E533" s="10" t="str">
        <x:v>功能需求</x:v>
      </x:c>
      <x:c r="F533" s="10" t="str">
        <x:v>P2</x:v>
      </x:c>
      <x:c r="G533" s="9" t="str">
        <x:v>验证好友主播账号主页</x:v>
      </x:c>
      <x:c r="H533" s="9" t="str">
        <x:v>主播好友主页去向</x:v>
      </x:c>
      <x:c r="I533" s="9" t="str">
        <x:v>1. 执行角色为已登录普通用户；当前处于好友列表页面
2. 列表目标为主播B</x:v>
      </x:c>
      <x:c r="J533" s="9" t="str">
        <x:v>1. 点击B头像</x:v>
      </x:c>
      <x:c r="K533" s="9" t="str">
        <x:v>进入B主播主页</x:v>
      </x:c>
      <x:c r="L533" s="10" t="str"/>
      <x:c r="M533" s="10" t="str">
        <x:v>未测</x:v>
      </x:c>
      <x:c r="N533" s="10" t="str"/>
      <x:c r="O533" s="9" t="str">
        <x:v>1. 来源（当前证据）：liveshow-proto/MainBasis/统一需求文档.md；位置：行867、行855
2. 规则：BR-e5f900961422da09
3. 未动态验证</x:v>
      </x:c>
    </x:row>
    <x:row r="534" ht="85" customHeight="1">
      <x:c r="A534" s="10" t="n">
        <x:v>533</x:v>
      </x:c>
      <x:c r="B534" s="10" t="str">
        <x:v>USER-05-0118</x:v>
      </x:c>
      <x:c r="C534" s="10" t="str">
        <x:v>我的</x:v>
      </x:c>
      <x:c r="D534" s="10" t="str">
        <x:v>我的关注（已登录普通用户视角）</x:v>
      </x:c>
      <x:c r="E534" s="10" t="str">
        <x:v>功能需求</x:v>
      </x:c>
      <x:c r="F534" s="10" t="str">
        <x:v>P1</x:v>
      </x:c>
      <x:c r="G534" s="9" t="str">
        <x:v>验证关注列表范围</x:v>
      </x:c>
      <x:c r="H534" s="9" t="str">
        <x:v>账号关系</x:v>
      </x:c>
      <x:c r="I534" s="9" t="str">
        <x:v>1. 执行角色为已登录普通用户；当前处于我的关注页面
2. 当前有有效关注A；关系已解除的B</x:v>
      </x:c>
      <x:c r="J534" s="9" t="str">
        <x:v>1. 查看列表</x:v>
      </x:c>
      <x:c r="K534" s="9" t="str">
        <x:v>只包含有效关系A</x:v>
      </x:c>
      <x:c r="L534" s="10" t="str"/>
      <x:c r="M534" s="10" t="str">
        <x:v>未测</x:v>
      </x:c>
      <x:c r="N534" s="10" t="str"/>
      <x:c r="O534" s="9" t="str">
        <x:v>1. 来源（当前证据）：liveshow-proto/MainBasis/统一需求文档.md；位置：行724、行719
2. 规则：BR-039589bdafd99d64
3. 未动态验证</x:v>
      </x:c>
    </x:row>
    <x:row r="535" ht="85" customHeight="1">
      <x:c r="A535" s="10" t="n">
        <x:v>534</x:v>
      </x:c>
      <x:c r="B535" s="10" t="str">
        <x:v>USER-05-0119</x:v>
      </x:c>
      <x:c r="C535" s="10" t="str">
        <x:v>我的</x:v>
      </x:c>
      <x:c r="D535" s="10" t="str">
        <x:v>我的关注（已登录普通用户视角）</x:v>
      </x:c>
      <x:c r="E535" s="10" t="str">
        <x:v>功能需求</x:v>
      </x:c>
      <x:c r="F535" s="10" t="str">
        <x:v>P1</x:v>
      </x:c>
      <x:c r="G535" s="9" t="str">
        <x:v>验证关注模糊搜索不区分大小写</x:v>
      </x:c>
      <x:c r="H535" s="9" t="str">
        <x:v>关注账号搜索结果</x:v>
      </x:c>
      <x:c r="I535" s="9" t="str">
        <x:v>1. 执行角色为已登录普通用户；当前处于我的关注页面
2. 有效关注昵称QaTest</x:v>
      </x:c>
      <x:c r="J535" s="9" t="str">
        <x:v>1. 输入qat</x:v>
      </x:c>
      <x:c r="K535" s="9" t="str">
        <x:v>结果包含QaTest</x:v>
      </x:c>
      <x:c r="L535" s="10" t="str"/>
      <x:c r="M535" s="10" t="str">
        <x:v>未测</x:v>
      </x:c>
      <x:c r="N535" s="10" t="str"/>
      <x:c r="O535" s="9" t="str">
        <x:v>1. 来源（当前证据）：liveshow-proto/MainBasis/统一需求文档.md；位置：行721、行719
2. 规则：BR-ec970d09314716ad
3. 未动态验证</x:v>
      </x:c>
    </x:row>
    <x:row r="536" ht="85" customHeight="1">
      <x:c r="A536" s="10" t="n">
        <x:v>535</x:v>
      </x:c>
      <x:c r="B536" s="10" t="str">
        <x:v>USER-05-0120</x:v>
      </x:c>
      <x:c r="C536" s="10" t="str">
        <x:v>我的</x:v>
      </x:c>
      <x:c r="D536" s="10" t="str">
        <x:v>我的关注（已登录普通用户视角）</x:v>
      </x:c>
      <x:c r="E536" s="10" t="str">
        <x:v>功能需求</x:v>
      </x:c>
      <x:c r="F536" s="10" t="str">
        <x:v>P1</x:v>
      </x:c>
      <x:c r="G536" s="9" t="str">
        <x:v>验证关注空搜索恢复</x:v>
      </x:c>
      <x:c r="H536" s="9" t="str">
        <x:v>关注列表搜索恢复</x:v>
      </x:c>
      <x:c r="I536" s="9" t="str">
        <x:v>1. 执行角色为已登录普通用户；当前处于我的关注页面
2. 列表当前已筛选</x:v>
      </x:c>
      <x:c r="J536" s="9" t="str">
        <x:v>1. 清空搜索词</x:v>
      </x:c>
      <x:c r="K536" s="9" t="str">
        <x:v>恢复全部当前有效关注</x:v>
      </x:c>
      <x:c r="L536" s="10" t="str"/>
      <x:c r="M536" s="10" t="str">
        <x:v>未测</x:v>
      </x:c>
      <x:c r="N536" s="10" t="str"/>
      <x:c r="O536" s="9" t="str">
        <x:v>1. 来源（当前证据）：liveshow-proto/MainBasis/统一需求文档.md；位置：行721、行719
2. 规则：BR-35e39428a82e891f
3. 未动态验证</x:v>
      </x:c>
    </x:row>
    <x:row r="537" ht="85" customHeight="1">
      <x:c r="A537" s="10" t="n">
        <x:v>536</x:v>
      </x:c>
      <x:c r="B537" s="10" t="str">
        <x:v>USER-05-0121</x:v>
      </x:c>
      <x:c r="C537" s="10" t="str">
        <x:v>我的</x:v>
      </x:c>
      <x:c r="D537" s="10" t="str">
        <x:v>我的关注（已登录普通用户视角）</x:v>
      </x:c>
      <x:c r="E537" s="10" t="str">
        <x:v>功能需求</x:v>
      </x:c>
      <x:c r="F537" s="10" t="str">
        <x:v>P1</x:v>
      </x:c>
      <x:c r="G537" s="9" t="str">
        <x:v>验证关注无匹配空态</x:v>
      </x:c>
      <x:c r="H537" s="9" t="str">
        <x:v>关注搜索空态</x:v>
      </x:c>
      <x:c r="I537" s="9" t="str">
        <x:v>1. 执行角色为已登录普通用户；当前处于我的关注页面</x:v>
      </x:c>
      <x:c r="J537" s="9" t="str">
        <x:v>1. 输入QA-NOT-EXIST</x:v>
      </x:c>
      <x:c r="K537" s="9" t="str">
        <x:v>显示空状态</x:v>
      </x:c>
      <x:c r="L537" s="10" t="str"/>
      <x:c r="M537" s="10" t="str">
        <x:v>未测</x:v>
      </x:c>
      <x:c r="N537" s="10" t="str"/>
      <x:c r="O537" s="9" t="str">
        <x:v>1. 来源（当前证据）：liveshow-proto/MainBasis/统一需求文档.md；位置：行726、行719
2. 规则：BR-a9d87e4ce0093e7a
3. 未动态验证</x:v>
      </x:c>
    </x:row>
    <x:row r="538" ht="85" customHeight="1">
      <x:c r="A538" s="10" t="n">
        <x:v>537</x:v>
      </x:c>
      <x:c r="B538" s="10" t="str">
        <x:v>USER-05-0122</x:v>
      </x:c>
      <x:c r="C538" s="10" t="str">
        <x:v>我的</x:v>
      </x:c>
      <x:c r="D538" s="10" t="str">
        <x:v>我的关注（已登录普通用户视角）</x:v>
      </x:c>
      <x:c r="E538" s="10" t="str">
        <x:v>功能需求</x:v>
      </x:c>
      <x:c r="F538" s="10" t="str">
        <x:v>P2</x:v>
      </x:c>
      <x:c r="G538" s="9" t="str">
        <x:v>验证关注普通账号主页</x:v>
      </x:c>
      <x:c r="H538" s="9" t="str">
        <x:v>普通关注账号主页去向</x:v>
      </x:c>
      <x:c r="I538" s="9" t="str">
        <x:v>1. 执行角色为已登录普通用户；当前处于我的关注页面
2. 列表目标为普通用户A</x:v>
      </x:c>
      <x:c r="J538" s="9" t="str">
        <x:v>1. 点击A头像</x:v>
      </x:c>
      <x:c r="K538" s="9" t="str">
        <x:v>进入A用户主页</x:v>
      </x:c>
      <x:c r="L538" s="10" t="str"/>
      <x:c r="M538" s="10" t="str">
        <x:v>未测</x:v>
      </x:c>
      <x:c r="N538" s="10" t="str"/>
      <x:c r="O538" s="9" t="str">
        <x:v>1. 来源（当前证据）：liveshow-proto/MainBasis/统一需求文档.md；位置：行726、行719
2. 规则：BR-d741042d5ef56107
3. 未动态验证</x:v>
      </x:c>
    </x:row>
    <x:row r="539" ht="85" customHeight="1">
      <x:c r="A539" s="10" t="n">
        <x:v>538</x:v>
      </x:c>
      <x:c r="B539" s="10" t="str">
        <x:v>USER-05-0123</x:v>
      </x:c>
      <x:c r="C539" s="10" t="str">
        <x:v>我的</x:v>
      </x:c>
      <x:c r="D539" s="10" t="str">
        <x:v>我的关注（已登录普通用户视角）</x:v>
      </x:c>
      <x:c r="E539" s="10" t="str">
        <x:v>功能需求</x:v>
      </x:c>
      <x:c r="F539" s="10" t="str">
        <x:v>P2</x:v>
      </x:c>
      <x:c r="G539" s="9" t="str">
        <x:v>验证关注主播账号主页</x:v>
      </x:c>
      <x:c r="H539" s="9" t="str">
        <x:v>主播关注账号主页去向</x:v>
      </x:c>
      <x:c r="I539" s="9" t="str">
        <x:v>1. 执行角色为已登录普通用户；当前处于我的关注页面
2. 列表目标为主播B</x:v>
      </x:c>
      <x:c r="J539" s="9" t="str">
        <x:v>1. 点击B头像</x:v>
      </x:c>
      <x:c r="K539" s="9" t="str">
        <x:v>进入B主播主页</x:v>
      </x:c>
      <x:c r="L539" s="10" t="str"/>
      <x:c r="M539" s="10" t="str">
        <x:v>未测</x:v>
      </x:c>
      <x:c r="N539" s="10" t="str"/>
      <x:c r="O539" s="9" t="str">
        <x:v>1. 来源（当前证据）：liveshow-proto/MainBasis/统一需求文档.md；位置：行726、行719
2. 规则：BR-b4b34c17ebdc6da6
3. 未动态验证</x:v>
      </x:c>
    </x:row>
    <x:row r="540" ht="85" customHeight="1">
      <x:c r="A540" s="10" t="n">
        <x:v>539</x:v>
      </x:c>
      <x:c r="B540" s="10" t="str">
        <x:v>USER-04-0032</x:v>
      </x:c>
      <x:c r="C540" s="10" t="str">
        <x:v>消息与社交</x:v>
      </x:c>
      <x:c r="D540" s="10" t="str">
        <x:v>好友列表（已登录普通用户视角）</x:v>
      </x:c>
      <x:c r="E540" s="10" t="str">
        <x:v>功能需求</x:v>
      </x:c>
      <x:c r="F540" s="10" t="str">
        <x:v>P1</x:v>
      </x:c>
      <x:c r="G540" s="9" t="str">
        <x:v>验证好友申请接受后双方可见</x:v>
      </x:c>
      <x:c r="H540" s="9" t="str">
        <x:v>申请处理</x:v>
      </x:c>
      <x:c r="I540" s="9" t="str">
        <x:v>1. 执行角色为已登录普通用户；当前处于好友列表页面
2. B已接受当前账号A好友申请</x:v>
      </x:c>
      <x:c r="J540" s="9" t="str">
        <x:v>1. 刷新好友列表</x:v>
      </x:c>
      <x:c r="K540" s="9" t="str">
        <x:v>好友列表中出现B</x:v>
      </x:c>
      <x:c r="L540" s="10" t="str"/>
      <x:c r="M540" s="10" t="str">
        <x:v>未测</x:v>
      </x:c>
      <x:c r="N540" s="10" t="str"/>
      <x:c r="O540" s="9" t="str">
        <x:v>1. 来源（当前证据）：liveshow-proto/MainBasis/统一需求文档.md；位置：行861、行855
2. 规则：BR-b435c11fefcdad82
3. 未动态验证</x:v>
      </x:c>
    </x:row>
    <x:row r="541" ht="85" customHeight="1">
      <x:c r="A541" s="10" t="n">
        <x:v>540</x:v>
      </x:c>
      <x:c r="B541" s="10" t="str">
        <x:v>USER-04-0033</x:v>
      </x:c>
      <x:c r="C541" s="10" t="str">
        <x:v>消息与社交</x:v>
      </x:c>
      <x:c r="D541" s="10" t="str">
        <x:v>好友列表（已登录普通用户视角）</x:v>
      </x:c>
      <x:c r="E541" s="10" t="str">
        <x:v>功能需求</x:v>
      </x:c>
      <x:c r="F541" s="10" t="str">
        <x:v>P1</x:v>
      </x:c>
      <x:c r="G541" s="9" t="str">
        <x:v>验证取消拉黑不恢复好友</x:v>
      </x:c>
      <x:c r="H541" s="9" t="str">
        <x:v>账号关系</x:v>
      </x:c>
      <x:c r="I541" s="9" t="str">
        <x:v>1. 执行角色为已登录普通用户；当前处于好友列表页面
2. 此前与B为好友；拉黑后已取消拉黑</x:v>
      </x:c>
      <x:c r="J541" s="9" t="str">
        <x:v>1. 查看好友列表</x:v>
      </x:c>
      <x:c r="K541" s="9" t="str">
        <x:v>列表中不自动恢复B</x:v>
      </x:c>
      <x:c r="L541" s="10" t="str"/>
      <x:c r="M541" s="10" t="str">
        <x:v>未测</x:v>
      </x:c>
      <x:c r="N541" s="10" t="str"/>
      <x:c r="O541" s="9" t="str">
        <x:v>1. 来源（当前证据）：liveshow-proto/MainBasis/统一需求文档.md；位置：行862、行855
2. 规则：BR-ccc58bf30b01ec11
3. 未动态验证</x:v>
      </x:c>
    </x:row>
    <x:row r="542" ht="85" customHeight="1">
      <x:c r="A542" s="10" t="n">
        <x:v>541</x:v>
      </x:c>
      <x:c r="B542" s="10" t="str">
        <x:v>USER-04-0034</x:v>
      </x:c>
      <x:c r="C542" s="10" t="str">
        <x:v>消息与社交</x:v>
      </x:c>
      <x:c r="D542" s="10" t="str">
        <x:v>好友列表（已登录普通用户视角）</x:v>
      </x:c>
      <x:c r="E542" s="10" t="str">
        <x:v>功能需求</x:v>
      </x:c>
      <x:c r="F542" s="10" t="str">
        <x:v>P1</x:v>
      </x:c>
      <x:c r="G542" s="9" t="str">
        <x:v>验证关注不自动成为好友</x:v>
      </x:c>
      <x:c r="H542" s="9" t="str">
        <x:v>关注与好友关系独立性</x:v>
      </x:c>
      <x:c r="I542" s="9" t="str">
        <x:v>1. 执行角色为已登录普通用户；当前处于好友列表页面
2. 当前只关注B而未建立好友关系</x:v>
      </x:c>
      <x:c r="J542" s="9" t="str">
        <x:v>1. 查看好友列表</x:v>
      </x:c>
      <x:c r="K542" s="9" t="str">
        <x:v>B不因关注进入好友列表</x:v>
      </x:c>
      <x:c r="L542" s="10" t="str"/>
      <x:c r="M542" s="10" t="str">
        <x:v>未测</x:v>
      </x:c>
      <x:c r="N542" s="10" t="str"/>
      <x:c r="O542" s="9" t="str">
        <x:v>1. 来源（当前证据）：liveshow-proto/MainBasis/统一需求文档.md；位置：行863、行855
2. 规则：BR-d6a617c22f6c6644
3. 未动态验证</x:v>
      </x:c>
    </x:row>
    <x:row r="543" ht="85" customHeight="1">
      <x:c r="A543" s="10" t="n">
        <x:v>542</x:v>
      </x:c>
      <x:c r="B543" s="10" t="str">
        <x:v>USER-04-0035</x:v>
      </x:c>
      <x:c r="C543" s="10" t="str">
        <x:v>消息与社交</x:v>
      </x:c>
      <x:c r="D543" s="10" t="str">
        <x:v>好友列表（已登录普通用户视角）</x:v>
      </x:c>
      <x:c r="E543" s="10" t="str">
        <x:v>功能需求</x:v>
      </x:c>
      <x:c r="F543" s="10" t="str">
        <x:v>P2</x:v>
      </x:c>
      <x:c r="G543" s="9" t="str">
        <x:v>验证好友行空白可点击</x:v>
      </x:c>
      <x:c r="H543" s="9" t="str">
        <x:v>好友行点击范围</x:v>
      </x:c>
      <x:c r="I543" s="9" t="str">
        <x:v>1. 执行角色为已登录普通用户；当前处于好友列表页面
2. 列表存在好友A</x:v>
      </x:c>
      <x:c r="J543" s="9" t="str">
        <x:v>1. 点击A行内空白</x:v>
      </x:c>
      <x:c r="K543" s="9" t="str">
        <x:v>进入A主页</x:v>
      </x:c>
      <x:c r="L543" s="10" t="str"/>
      <x:c r="M543" s="10" t="str">
        <x:v>未测</x:v>
      </x:c>
      <x:c r="N543" s="10" t="str"/>
      <x:c r="O543" s="9" t="str">
        <x:v>1. 来源（当前证据）：liveshow-proto/MainBasis/统一需求文档.md；位置：行867、行855
2. 规则：BR-8e11ed16ba6bedfb
3. 未动态验证</x:v>
      </x:c>
    </x:row>
    <x:row r="544" ht="85" customHeight="1">
      <x:c r="A544" s="10" t="n">
        <x:v>543</x:v>
      </x:c>
      <x:c r="B544" s="10" t="str">
        <x:v>USER-04-0036</x:v>
      </x:c>
      <x:c r="C544" s="10" t="str">
        <x:v>消息与社交</x:v>
      </x:c>
      <x:c r="D544" s="10" t="str">
        <x:v>好友列表（已登录普通用户视角）</x:v>
      </x:c>
      <x:c r="E544" s="10" t="str">
        <x:v>功能需求</x:v>
      </x:c>
      <x:c r="F544" s="10" t="str">
        <x:v>P2</x:v>
      </x:c>
      <x:c r="G544" s="9" t="str">
        <x:v>验证好友列表返回</x:v>
      </x:c>
      <x:c r="H544" s="9" t="str">
        <x:v>好友页返回去向</x:v>
      </x:c>
      <x:c r="I544" s="9" t="str">
        <x:v>1. 执行角色为已登录普通用户；当前处于好友列表页面</x:v>
      </x:c>
      <x:c r="J544" s="9" t="str">
        <x:v>1. 点击返回</x:v>
      </x:c>
      <x:c r="K544" s="9" t="str">
        <x:v>进入消息中心</x:v>
      </x:c>
      <x:c r="L544" s="10" t="str"/>
      <x:c r="M544" s="10" t="str">
        <x:v>未测</x:v>
      </x:c>
      <x:c r="N544" s="10" t="str"/>
      <x:c r="O544" s="9" t="str">
        <x:v>1. 来源（当前证据）：liveshow-proto/MainBasis/统一需求文档.md；位置：行868、行855
2. 规则：BR-c9060e7507c0d1ed
3. 未动态验证</x:v>
      </x:c>
    </x:row>
    <x:row r="545" ht="85" customHeight="1">
      <x:c r="A545" s="10" t="n">
        <x:v>544</x:v>
      </x:c>
      <x:c r="B545" s="10" t="str">
        <x:v>USER-04-0037</x:v>
      </x:c>
      <x:c r="C545" s="10" t="str">
        <x:v>消息与社交</x:v>
      </x:c>
      <x:c r="D545" s="10" t="str">
        <x:v>互动通知（好友申请接收用户视角）</x:v>
      </x:c>
      <x:c r="E545" s="10" t="str">
        <x:v>业务流程</x:v>
      </x:c>
      <x:c r="F545" s="10" t="str">
        <x:v>P0</x:v>
      </x:c>
      <x:c r="G545" s="9" t="str">
        <x:v>验证同意好友申请</x:v>
      </x:c>
      <x:c r="H545" s="9" t="str">
        <x:v>申请处理</x:v>
      </x:c>
      <x:c r="I545" s="9" t="str">
        <x:v>1. 执行角色为好友申请接收用户；当前处于互动通知页面
2. 存在B发来的待处理好友申请</x:v>
      </x:c>
      <x:c r="J545" s="9" t="str">
        <x:v>1. 点击同意</x:v>
      </x:c>
      <x:c r="K545" s="9" t="str">
        <x:v>建立与B的好友关系</x:v>
      </x:c>
      <x:c r="L545" s="10" t="str"/>
      <x:c r="M545" s="10" t="str">
        <x:v>未测</x:v>
      </x:c>
      <x:c r="N545" s="10" t="str"/>
      <x:c r="O545" s="9" t="str">
        <x:v>1. 来源（当前证据）：liveshow-proto/MainBasis/统一需求文档.md；位置：行877、行871
2. 规则：BR-44b29f2515422c9e
3. 未动态验证</x:v>
      </x:c>
    </x:row>
    <x:row r="546" ht="85" customHeight="1">
      <x:c r="A546" s="10" t="n">
        <x:v>545</x:v>
      </x:c>
      <x:c r="B546" s="10" t="str">
        <x:v>USER-04-0038</x:v>
      </x:c>
      <x:c r="C546" s="10" t="str">
        <x:v>消息与社交</x:v>
      </x:c>
      <x:c r="D546" s="10" t="str">
        <x:v>互动通知（好友申请接收用户视角）</x:v>
      </x:c>
      <x:c r="E546" s="10" t="str">
        <x:v>业务流程</x:v>
      </x:c>
      <x:c r="F546" s="10" t="str">
        <x:v>P1</x:v>
      </x:c>
      <x:c r="G546" s="9" t="str">
        <x:v>验证拒绝好友申请</x:v>
      </x:c>
      <x:c r="H546" s="9" t="str">
        <x:v>申请处理</x:v>
      </x:c>
      <x:c r="I546" s="9" t="str">
        <x:v>1. 执行角色为好友申请接收用户；当前处于互动通知页面
2. 存在B发来的待处理好友申请</x:v>
      </x:c>
      <x:c r="J546" s="9" t="str">
        <x:v>1. 点击拒绝</x:v>
      </x:c>
      <x:c r="K546" s="9" t="str">
        <x:v>不建立与B的好友关系</x:v>
      </x:c>
      <x:c r="L546" s="10" t="str"/>
      <x:c r="M546" s="10" t="str">
        <x:v>未测</x:v>
      </x:c>
      <x:c r="N546" s="10" t="str"/>
      <x:c r="O546" s="9" t="str">
        <x:v>1. 来源（当前证据）：liveshow-proto/MainBasis/统一需求文档.md；位置：行877、行871
2. 规则：BR-a4fad1c21fe81936
3. 未动态验证</x:v>
      </x:c>
    </x:row>
    <x:row r="547" ht="85" customHeight="1">
      <x:c r="A547" s="10" t="n">
        <x:v>546</x:v>
      </x:c>
      <x:c r="B547" s="10" t="str">
        <x:v>USER-04-0039</x:v>
      </x:c>
      <x:c r="C547" s="10" t="str">
        <x:v>消息与社交</x:v>
      </x:c>
      <x:c r="D547" s="10" t="str">
        <x:v>互动通知（好友申请接收用户视角）</x:v>
      </x:c>
      <x:c r="E547" s="10" t="str">
        <x:v>功能需求</x:v>
      </x:c>
      <x:c r="F547" s="10" t="str">
        <x:v>P1</x:v>
      </x:c>
      <x:c r="G547" s="9" t="str">
        <x:v>验证同意后不可重复操作</x:v>
      </x:c>
      <x:c r="H547" s="9" t="str">
        <x:v>同意后的重复处理限制</x:v>
      </x:c>
      <x:c r="I547" s="9" t="str">
        <x:v>1. 执行角色为好友申请接收用户；当前处于互动通知页面
2. 当前申请同意处理已成功</x:v>
      </x:c>
      <x:c r="J547" s="9" t="str">
        <x:v>1. 查看该通知按钮</x:v>
      </x:c>
      <x:c r="K547" s="9" t="str">
        <x:v>不再允许重复同意或拒绝</x:v>
      </x:c>
      <x:c r="L547" s="10" t="str"/>
      <x:c r="M547" s="10" t="str">
        <x:v>未测</x:v>
      </x:c>
      <x:c r="N547" s="10" t="str"/>
      <x:c r="O547" s="9" t="str">
        <x:v>1. 来源（当前证据）：liveshow-proto/MainBasis/统一需求文档.md；位置：行880、行871
2. 规则：BR-ad7c72607803ce5e
3. 未动态验证</x:v>
      </x:c>
    </x:row>
    <x:row r="548" ht="85" customHeight="1">
      <x:c r="A548" s="10" t="n">
        <x:v>547</x:v>
      </x:c>
      <x:c r="B548" s="10" t="str">
        <x:v>USER-04-0040</x:v>
      </x:c>
      <x:c r="C548" s="10" t="str">
        <x:v>消息与社交</x:v>
      </x:c>
      <x:c r="D548" s="10" t="str">
        <x:v>互动通知（好友申请接收用户视角）</x:v>
      </x:c>
      <x:c r="E548" s="10" t="str">
        <x:v>功能需求</x:v>
      </x:c>
      <x:c r="F548" s="10" t="str">
        <x:v>P1</x:v>
      </x:c>
      <x:c r="G548" s="9" t="str">
        <x:v>验证拒绝后不可重复操作</x:v>
      </x:c>
      <x:c r="H548" s="9" t="str">
        <x:v>拒绝后的重复处理限制</x:v>
      </x:c>
      <x:c r="I548" s="9" t="str">
        <x:v>1. 执行角色为好友申请接收用户；当前处于互动通知页面
2. 当前申请拒绝处理已成功</x:v>
      </x:c>
      <x:c r="J548" s="9" t="str">
        <x:v>1. 查看该通知按钮</x:v>
      </x:c>
      <x:c r="K548" s="9" t="str">
        <x:v>不再允许重复同意或拒绝</x:v>
      </x:c>
      <x:c r="L548" s="10" t="str"/>
      <x:c r="M548" s="10" t="str">
        <x:v>未测</x:v>
      </x:c>
      <x:c r="N548" s="10" t="str"/>
      <x:c r="O548" s="9" t="str">
        <x:v>1. 来源（当前证据）：liveshow-proto/MainBasis/统一需求文档.md；位置：行880、行871
2. 规则：BR-311957210eb292d2
3. 未动态验证</x:v>
      </x:c>
    </x:row>
    <x:row r="549" ht="85" customHeight="1">
      <x:c r="A549" s="10" t="n">
        <x:v>548</x:v>
      </x:c>
      <x:c r="B549" s="10" t="str">
        <x:v>USER-04-0041</x:v>
      </x:c>
      <x:c r="C549" s="10" t="str">
        <x:v>消息与社交</x:v>
      </x:c>
      <x:c r="D549" s="10" t="str">
        <x:v>互动通知（好友申请接收用户视角）</x:v>
      </x:c>
      <x:c r="E549" s="10" t="str">
        <x:v>功能需求</x:v>
      </x:c>
      <x:c r="F549" s="10" t="str">
        <x:v>P1</x:v>
      </x:c>
      <x:c r="G549" s="9" t="str">
        <x:v>验证拉黑使申请失效</x:v>
      </x:c>
      <x:c r="H549" s="9" t="str">
        <x:v>申请处理</x:v>
      </x:c>
      <x:c r="I549" s="9" t="str">
        <x:v>1. 执行角色为好友申请接收用户；当前处于互动通知页面
2. 与申请发送方之间产生任一方向拉黑关系</x:v>
      </x:c>
      <x:c r="J549" s="9" t="str">
        <x:v>1. 刷新互动通知</x:v>
      </x:c>
      <x:c r="K549" s="9" t="str">
        <x:v>该好友申请变为已失效</x:v>
      </x:c>
      <x:c r="L549" s="10" t="str"/>
      <x:c r="M549" s="10" t="str">
        <x:v>未测</x:v>
      </x:c>
      <x:c r="N549" s="10" t="str"/>
      <x:c r="O549" s="9" t="str">
        <x:v>1. 来源（当前证据）：liveshow-proto/MainBasis/统一需求文档.md；位置：行877、行871
2. 规则：BR-9e2f78d38aa766b4
3. 未动态验证</x:v>
      </x:c>
    </x:row>
    <x:row r="550" ht="85" customHeight="1">
      <x:c r="A550" s="10" t="n">
        <x:v>549</x:v>
      </x:c>
      <x:c r="B550" s="10" t="str">
        <x:v>USER-04-0042</x:v>
      </x:c>
      <x:c r="C550" s="10" t="str">
        <x:v>消息与社交</x:v>
      </x:c>
      <x:c r="D550" s="10" t="str">
        <x:v>互动通知（好友申请接收用户视角）</x:v>
      </x:c>
      <x:c r="E550" s="10" t="str">
        <x:v>功能需求</x:v>
      </x:c>
      <x:c r="F550" s="10" t="str">
        <x:v>P1</x:v>
      </x:c>
      <x:c r="G550" s="9" t="str">
        <x:v>验证失效申请无处理按钮</x:v>
      </x:c>
      <x:c r="H550" s="9" t="str">
        <x:v>失效申请操作可见性</x:v>
      </x:c>
      <x:c r="I550" s="9" t="str">
        <x:v>1. 执行角色为好友申请接收用户；当前处于互动通知页面
2. 好友申请已失效</x:v>
      </x:c>
      <x:c r="J550" s="9" t="str">
        <x:v>1. 查看该申请</x:v>
      </x:c>
      <x:c r="K550" s="9" t="str">
        <x:v>仅展示状态，没有同意和拒绝按钮</x:v>
      </x:c>
      <x:c r="L550" s="10" t="str"/>
      <x:c r="M550" s="10" t="str">
        <x:v>未测</x:v>
      </x:c>
      <x:c r="N550" s="10" t="str"/>
      <x:c r="O550" s="9" t="str">
        <x:v>1. 来源（当前证据）：liveshow-proto/MainBasis/统一需求文档.md；位置：行881、行871
2. 规则：BR-ade5780cf6c5d8e6
3. 未动态验证</x:v>
      </x:c>
    </x:row>
    <x:row r="551" ht="85" customHeight="1">
      <x:c r="A551" s="10" t="n">
        <x:v>550</x:v>
      </x:c>
      <x:c r="B551" s="10" t="str">
        <x:v>USER-04-0043</x:v>
      </x:c>
      <x:c r="C551" s="10" t="str">
        <x:v>消息与社交</x:v>
      </x:c>
      <x:c r="D551" s="10" t="str">
        <x:v>互动通知（好友申请接收用户视角）</x:v>
      </x:c>
      <x:c r="E551" s="10" t="str">
        <x:v>功能需求</x:v>
      </x:c>
      <x:c r="F551" s="10" t="str">
        <x:v>P2</x:v>
      </x:c>
      <x:c r="G551" s="9" t="str">
        <x:v>验证互动通知时间排序</x:v>
      </x:c>
      <x:c r="H551" s="9" t="str">
        <x:v>排列次序</x:v>
      </x:c>
      <x:c r="I551" s="9" t="str">
        <x:v>1. 执行角色为好友申请接收用户；当前处于互动通知页面
2. 两条通知时间分别为10:00、11:00</x:v>
      </x:c>
      <x:c r="J551" s="9" t="str">
        <x:v>1. 查看互动通知顺序</x:v>
      </x:c>
      <x:c r="K551" s="9" t="str">
        <x:v>11:00通知在前</x:v>
      </x:c>
      <x:c r="L551" s="10" t="str"/>
      <x:c r="M551" s="10" t="str">
        <x:v>未测</x:v>
      </x:c>
      <x:c r="N551" s="10" t="str"/>
      <x:c r="O551" s="9" t="str">
        <x:v>1. 来源（当前证据）：liveshow-proto/MainBasis/统一需求文档.md；位置：行875、行879、行871
2. 规则：BR-1ac6f05d401a6805
3. 未动态验证</x:v>
      </x:c>
    </x:row>
    <x:row r="552" ht="85" customHeight="1">
      <x:c r="A552" s="10" t="n">
        <x:v>551</x:v>
      </x:c>
      <x:c r="B552" s="10" t="str">
        <x:v>USER-04-0044</x:v>
      </x:c>
      <x:c r="C552" s="10" t="str">
        <x:v>消息与社交</x:v>
      </x:c>
      <x:c r="D552" s="10" t="str">
        <x:v>1 对 1 私信（普通消息发送用户视角）</x:v>
      </x:c>
      <x:c r="E552" s="10" t="str">
        <x:v>功能需求</x:v>
      </x:c>
      <x:c r="F552" s="10" t="str">
        <x:v>P2</x:v>
      </x:c>
      <x:c r="G552" s="9" t="str">
        <x:v>验证私信消息时间正序</x:v>
      </x:c>
      <x:c r="H552" s="9" t="str">
        <x:v>私信消息时间排序</x:v>
      </x:c>
      <x:c r="I552" s="9" t="str">
        <x:v>1. 执行角色为普通消息发送用户；当前处于1 对 1 私信页面
2. 有10:00和11:00两条消息</x:v>
      </x:c>
      <x:c r="J552" s="9" t="str">
        <x:v>1. 查看消息顺序</x:v>
      </x:c>
      <x:c r="K552" s="9" t="str">
        <x:v>10:00消息在11:00之前</x:v>
      </x:c>
      <x:c r="L552" s="10" t="str"/>
      <x:c r="M552" s="10" t="str">
        <x:v>未测</x:v>
      </x:c>
      <x:c r="N552" s="10" t="str"/>
      <x:c r="O552" s="9" t="str">
        <x:v>1. 来源（当前证据）：liveshow-proto/MainBasis/统一需求文档.md；位置：行886、行884
2. 规则：BR-01d1ac66060bb092
3. 未动态验证</x:v>
      </x:c>
    </x:row>
    <x:row r="553" ht="85" customHeight="1">
      <x:c r="A553" s="10" t="n">
        <x:v>552</x:v>
      </x:c>
      <x:c r="B553" s="10" t="str">
        <x:v>USER-04-0045</x:v>
      </x:c>
      <x:c r="C553" s="10" t="str">
        <x:v>消息与社交</x:v>
      </x:c>
      <x:c r="D553" s="10" t="str">
        <x:v>1 对 1 私信（普通消息发送用户视角）</x:v>
      </x:c>
      <x:c r="E553" s="10" t="str">
        <x:v>功能需求</x:v>
      </x:c>
      <x:c r="F553" s="10" t="str">
        <x:v>P2</x:v>
      </x:c>
      <x:c r="G553" s="9" t="str">
        <x:v>验证相同时间消息ID正序</x:v>
      </x:c>
      <x:c r="H553" s="9" t="str">
        <x:v>同时间私信消息排序</x:v>
      </x:c>
      <x:c r="I553" s="9" t="str">
        <x:v>1. 执行角色为普通消息发送用户；当前处于1 对 1 私信页面
2. 两条消息时间相同，ID100和101</x:v>
      </x:c>
      <x:c r="J553" s="9" t="str">
        <x:v>1. 查看消息顺序</x:v>
      </x:c>
      <x:c r="K553" s="9" t="str">
        <x:v>ID100在ID101之前</x:v>
      </x:c>
      <x:c r="L553" s="10" t="str"/>
      <x:c r="M553" s="10" t="str">
        <x:v>未测</x:v>
      </x:c>
      <x:c r="N553" s="10" t="str"/>
      <x:c r="O553" s="9" t="str">
        <x:v>1. 来源（当前证据）：liveshow-proto/MainBasis/统一需求文档.md；位置：行893、行884
2. 规则：BR-579bd32f3983ea81
3. 未动态验证</x:v>
      </x:c>
    </x:row>
    <x:row r="554" ht="85" customHeight="1">
      <x:c r="A554" s="10" t="n">
        <x:v>553</x:v>
      </x:c>
      <x:c r="B554" s="10" t="str">
        <x:v>USER-04-0046</x:v>
      </x:c>
      <x:c r="C554" s="10" t="str">
        <x:v>消息与社交</x:v>
      </x:c>
      <x:c r="D554" s="10" t="str">
        <x:v>1 对 1 私信（普通消息发送用户视角）</x:v>
      </x:c>
      <x:c r="E554" s="10" t="str">
        <x:v>功能需求</x:v>
      </x:c>
      <x:c r="F554" s="10" t="str">
        <x:v>P1</x:v>
      </x:c>
      <x:c r="G554" s="9" t="str">
        <x:v>验证好友不受三条限制</x:v>
      </x:c>
      <x:c r="H554" s="9" t="str">
        <x:v>私信发送条数限制</x:v>
      </x:c>
      <x:c r="I554" s="9" t="str">
        <x:v>1. 执行角色为普通消息发送用户；当前处于1 对 1 私信页面
2. 对方为好友且当前已成功发送3条消息</x:v>
      </x:c>
      <x:c r="J554" s="9" t="str">
        <x:v>1. 输入第四条文本“QA第四条”
2. 点击发送</x:v>
      </x:c>
      <x:c r="K554" s="9" t="str">
        <x:v>第四条消息发送成功</x:v>
      </x:c>
      <x:c r="L554" s="10" t="str"/>
      <x:c r="M554" s="10" t="str">
        <x:v>未测</x:v>
      </x:c>
      <x:c r="N554" s="10" t="str"/>
      <x:c r="O554" s="9" t="str">
        <x:v>1. 来源（当前证据）：liveshow-proto/MainBasis/统一需求文档.md；位置：行888、行884
2. 规则：BR-50629428a90082d3
3. 未动态验证</x:v>
      </x:c>
    </x:row>
    <x:row r="555" ht="85" customHeight="1">
      <x:c r="A555" s="10" t="n">
        <x:v>554</x:v>
      </x:c>
      <x:c r="B555" s="10" t="str">
        <x:v>USER-04-0047</x:v>
      </x:c>
      <x:c r="C555" s="10" t="str">
        <x:v>消息与社交</x:v>
      </x:c>
      <x:c r="D555" s="10" t="str">
        <x:v>1 对 1 私信（普通消息发送用户视角）</x:v>
      </x:c>
      <x:c r="E555" s="10" t="str">
        <x:v>功能需求</x:v>
      </x:c>
      <x:c r="F555" s="10" t="str">
        <x:v>P1</x:v>
      </x:c>
      <x:c r="G555" s="9" t="str">
        <x:v>验证非好友第三条允许</x:v>
      </x:c>
      <x:c r="H555" s="9" t="str">
        <x:v>私信发送条数限制</x:v>
      </x:c>
      <x:c r="I555" s="9" t="str">
        <x:v>1. 执行角色为普通消息发送用户；当前处于1 对 1 私信页面
2. 对方为非好友；当前主动成功发送2条</x:v>
      </x:c>
      <x:c r="J555" s="9" t="str">
        <x:v>1. 输入第三条文本“QA第三条”
2. 点击发送</x:v>
      </x:c>
      <x:c r="K555" s="9" t="str">
        <x:v>第三条消息发送成功</x:v>
      </x:c>
      <x:c r="L555" s="10" t="str"/>
      <x:c r="M555" s="10" t="str">
        <x:v>未测</x:v>
      </x:c>
      <x:c r="N555" s="10" t="str"/>
      <x:c r="O555" s="9" t="str">
        <x:v>1. 来源（当前证据）：liveshow-proto/MainBasis/统一需求文档.md；位置：行888、行884
2. 规则：BR-0759dd410030eae7
3. 未动态验证</x:v>
      </x:c>
    </x:row>
    <x:row r="556" ht="85" customHeight="1">
      <x:c r="A556" s="10" t="n">
        <x:v>555</x:v>
      </x:c>
      <x:c r="B556" s="10" t="str">
        <x:v>USER-04-0048</x:v>
      </x:c>
      <x:c r="C556" s="10" t="str">
        <x:v>消息与社交</x:v>
      </x:c>
      <x:c r="D556" s="10" t="str">
        <x:v>1 对 1 私信（普通消息发送用户视角）</x:v>
      </x:c>
      <x:c r="E556" s="10" t="str">
        <x:v>逻辑校验</x:v>
      </x:c>
      <x:c r="F556" s="10" t="str">
        <x:v>P1</x:v>
      </x:c>
      <x:c r="G556" s="9" t="str">
        <x:v>验证非好友第四条限制：非好友超额提示</x:v>
      </x:c>
      <x:c r="H556" s="9" t="str">
        <x:v>非好友超额提示</x:v>
      </x:c>
      <x:c r="I556" s="9" t="str">
        <x:v>1. 执行角色为普通消息发送用户；当前处于1 对 1 私信页面
2. 对方为非好友；当前主动成功发送3条</x:v>
      </x:c>
      <x:c r="J556" s="9" t="str">
        <x:v>1. 输入第四条文本“QA第四条”
2. 点击发送</x:v>
      </x:c>
      <x:c r="K556" s="9" t="str">
        <x:v>提示“非好友最多发送三条”</x:v>
      </x:c>
      <x:c r="L556" s="10" t="str"/>
      <x:c r="M556" s="10" t="str">
        <x:v>未测</x:v>
      </x:c>
      <x:c r="N556" s="10" t="str"/>
      <x:c r="O556" s="9" t="str">
        <x:v>1. 来源（当前证据）：liveshow-proto/MainBasis/统一需求文档.md；位置：行894、行884
2. 规则：BR-ec2e06a6e5199b66
3. 未动态验证</x:v>
      </x:c>
    </x:row>
    <x:row r="557" ht="85" customHeight="1">
      <x:c r="A557" s="10" t="n">
        <x:v>556</x:v>
      </x:c>
      <x:c r="B557" s="10" t="str">
        <x:v>USER-04-0049</x:v>
      </x:c>
      <x:c r="C557" s="10" t="str">
        <x:v>消息与社交</x:v>
      </x:c>
      <x:c r="D557" s="10" t="str">
        <x:v>1 对 1 私信（普通消息发送用户视角）</x:v>
      </x:c>
      <x:c r="E557" s="10" t="str">
        <x:v>逻辑校验</x:v>
      </x:c>
      <x:c r="F557" s="10" t="str">
        <x:v>P1</x:v>
      </x:c>
      <x:c r="G557" s="9" t="str">
        <x:v>验证非好友第四条限制：超额消息不生成</x:v>
      </x:c>
      <x:c r="H557" s="9" t="str">
        <x:v>超额消息不生成</x:v>
      </x:c>
      <x:c r="I557" s="9" t="str">
        <x:v>1. 执行角色为普通消息发送用户；当前处于1 对 1 私信页面
2. 对方为非好友；当前主动成功发送3条</x:v>
      </x:c>
      <x:c r="J557" s="9" t="str">
        <x:v>1. 输入第四条文本“QA第四条”
2. 点击发送</x:v>
      </x:c>
      <x:c r="K557" s="9" t="str">
        <x:v>不生成第四条消息</x:v>
      </x:c>
      <x:c r="L557" s="10" t="str"/>
      <x:c r="M557" s="10" t="str">
        <x:v>未测</x:v>
      </x:c>
      <x:c r="N557" s="10" t="str"/>
      <x:c r="O557" s="9" t="str">
        <x:v>1. 来源（当前证据）：liveshow-proto/MainBasis/统一需求文档.md；位置：行894、行884
2. 规则：BR-613d348501e60dba
3. 未动态验证</x:v>
      </x:c>
    </x:row>
    <x:row r="558" ht="85" customHeight="1">
      <x:c r="A558" s="10" t="n">
        <x:v>557</x:v>
      </x:c>
      <x:c r="B558" s="10" t="str">
        <x:v>USER-04-0050</x:v>
      </x:c>
      <x:c r="C558" s="10" t="str">
        <x:v>消息与社交</x:v>
      </x:c>
      <x:c r="D558" s="10" t="str">
        <x:v>1 对 1 私信（普通消息发送用户视角）</x:v>
      </x:c>
      <x:c r="E558" s="10" t="str">
        <x:v>功能需求</x:v>
      </x:c>
      <x:c r="F558" s="10" t="str">
        <x:v>P1</x:v>
      </x:c>
      <x:c r="G558" s="9" t="str">
        <x:v>验证双向非好友独立计数</x:v>
      </x:c>
      <x:c r="H558" s="9" t="str">
        <x:v>双向私信限额独立性</x:v>
      </x:c>
      <x:c r="I558" s="9" t="str">
        <x:v>1. 执行角色为普通消息发送用户；当前处于1 对 1 私信页面
2. 非好友B已向A发3条；当前A尚未向B发消息</x:v>
      </x:c>
      <x:c r="J558" s="9" t="str">
        <x:v>1. 输入文本“QA首条”
2. 点击发送</x:v>
      </x:c>
      <x:c r="K558" s="9" t="str">
        <x:v>A可以向B发送第一条消息</x:v>
      </x:c>
      <x:c r="L558" s="10" t="str"/>
      <x:c r="M558" s="10" t="str">
        <x:v>未测</x:v>
      </x:c>
      <x:c r="N558" s="10" t="str"/>
      <x:c r="O558" s="9" t="str">
        <x:v>1. 来源（当前证据）：liveshow-proto/MainBasis/统一需求文档.md；位置：行888、行884
2. 规则：BR-b0290758f7cb2601
3. 未动态验证</x:v>
      </x:c>
    </x:row>
    <x:row r="559" ht="145" customHeight="1">
      <x:c r="A559" s="10" t="n">
        <x:v>558</x:v>
      </x:c>
      <x:c r="B559" s="10" t="str">
        <x:v>USER-04-0051</x:v>
      </x:c>
      <x:c r="C559" s="10" t="str">
        <x:v>消息与社交</x:v>
      </x:c>
      <x:c r="D559" s="10" t="str">
        <x:v>1 对 1 私信（普通消息发送用户视角）</x:v>
      </x:c>
      <x:c r="E559" s="10" t="str">
        <x:v>异常用例</x:v>
      </x:c>
      <x:c r="F559" s="10" t="str">
        <x:v>P1</x:v>
      </x:c>
      <x:c r="G559" s="9" t="str">
        <x:v>验证失败消息保留内容：发送失败标记</x:v>
      </x:c>
      <x:c r="H559" s="9" t="str">
        <x:v>发送失败标记</x:v>
      </x:c>
      <x:c r="I559" s="9" t="str">
        <x:v>1. 执行角色为普通消息发送用户；当前处于1 对 1 私信页面
2. 发送请求返回失败
3. 环境准备要求（尚未具备）：需测试构建使指定会话首次发送返回失败；重试场景在失败标记出现后恢复发送，再点击该消息失败图标；不用拉黑拒收代替一般发送失败</x:v>
      </x:c>
      <x:c r="J559" s="9" t="str">
        <x:v>1. 输入文本“QA失败内容”
2. 点击发送</x:v>
      </x:c>
      <x:c r="K559" s="9" t="str">
        <x:v>该消息显示发送失败图标</x:v>
      </x:c>
      <x:c r="L559" s="10" t="str"/>
      <x:c r="M559" s="10" t="str">
        <x:v>未测</x:v>
      </x:c>
      <x:c r="N559" s="10" t="str"/>
      <x:c r="O559" s="9" t="str">
        <x:v>1. 来源（当前证据）：liveshow-proto/MainBasis/统一需求文档.md；位置：行894、行884
2. 规则：BR-270a32f9e34991f9
3. 未动态验证
4. 环境待准备：私信消息发送；时点：本条文本消息提交时；恢复：本条结束后撤销故障设置，恢复真实请求处理；使用新测试对象复跑正常路径，避免污染后续用例</x:v>
      </x:c>
    </x:row>
    <x:row r="560" ht="145" customHeight="1">
      <x:c r="A560" s="10" t="n">
        <x:v>559</x:v>
      </x:c>
      <x:c r="B560" s="10" t="str">
        <x:v>USER-04-0052</x:v>
      </x:c>
      <x:c r="C560" s="10" t="str">
        <x:v>消息与社交</x:v>
      </x:c>
      <x:c r="D560" s="10" t="str">
        <x:v>1 对 1 私信（普通消息发送用户视角）</x:v>
      </x:c>
      <x:c r="E560" s="10" t="str">
        <x:v>异常用例</x:v>
      </x:c>
      <x:c r="F560" s="10" t="str">
        <x:v>P1</x:v>
      </x:c>
      <x:c r="G560" s="9" t="str">
        <x:v>验证失败消息保留内容：失败内容保留</x:v>
      </x:c>
      <x:c r="H560" s="9" t="str">
        <x:v>失败内容保留</x:v>
      </x:c>
      <x:c r="I560" s="9" t="str">
        <x:v>1. 执行角色为普通消息发送用户；当前处于1 对 1 私信页面
2. 发送请求返回失败
3. 环境准备要求（尚未具备）：需测试构建使指定会话首次发送返回失败；重试场景在失败标记出现后恢复发送，再点击该消息失败图标；不用拉黑拒收代替一般发送失败</x:v>
      </x:c>
      <x:c r="J560" s="9" t="str">
        <x:v>1. 输入文本“QA失败内容”
2. 点击发送</x:v>
      </x:c>
      <x:c r="K560" s="9" t="str">
        <x:v>输入消息内容仍为QA失败内容</x:v>
      </x:c>
      <x:c r="L560" s="10" t="str"/>
      <x:c r="M560" s="10" t="str">
        <x:v>未测</x:v>
      </x:c>
      <x:c r="N560" s="10" t="str"/>
      <x:c r="O560" s="9" t="str">
        <x:v>1. 来源（当前证据）：liveshow-proto/MainBasis/统一需求文档.md；位置：行894、行884
2. 规则：BR-739305ad352e6357
3. 未动态验证
4. 环境待准备：私信消息发送；时点：本条文本消息提交时；恢复：本条结束后撤销故障设置，恢复真实请求处理；使用新测试对象复跑正常路径，避免污染后续用例</x:v>
      </x:c>
    </x:row>
    <x:row r="561" ht="160" customHeight="1">
      <x:c r="A561" s="10" t="n">
        <x:v>560</x:v>
      </x:c>
      <x:c r="B561" s="10" t="str">
        <x:v>USER-04-0053</x:v>
      </x:c>
      <x:c r="C561" s="10" t="str">
        <x:v>消息与社交</x:v>
      </x:c>
      <x:c r="D561" s="10" t="str">
        <x:v>1 对 1 私信（普通消息发送用户视角）</x:v>
      </x:c>
      <x:c r="E561" s="10" t="str">
        <x:v>异常用例</x:v>
      </x:c>
      <x:c r="F561" s="10" t="str">
        <x:v>P1</x:v>
      </x:c>
      <x:c r="G561" s="9" t="str">
        <x:v>验证失败图标重试</x:v>
      </x:c>
      <x:c r="H561" s="9" t="str">
        <x:v>失败消息重发</x:v>
      </x:c>
      <x:c r="I561" s="9" t="str">
        <x:v>1. 执行角色为普通消息发送用户；当前处于1 对 1 私信页面
2. 文本消息发送失败；网络已恢复且仍有发送资格
3. 环境准备要求（尚未具备）：需测试构建使指定会话首次发送返回失败；重试场景在失败标记出现后恢复发送，再点击该消息失败图标；不用拉黑拒收代替一般发送失败</x:v>
      </x:c>
      <x:c r="J561" s="9" t="str">
        <x:v>1. 点击失败图标</x:v>
      </x:c>
      <x:c r="K561" s="9" t="str">
        <x:v>重新发送该条消息</x:v>
      </x:c>
      <x:c r="L561" s="10" t="str"/>
      <x:c r="M561" s="10" t="str">
        <x:v>未测</x:v>
      </x:c>
      <x:c r="N561" s="10" t="str"/>
      <x:c r="O561" s="9" t="str">
        <x:v>1. 来源（当前证据）：liveshow-proto/MainBasis/统一需求文档.md；位置：行894、行884
2. 规则：BR-f53d4a53c7f1ad8f
3. 未动态验证
4. 环境待准备：私信消息发送；时点：本条文本消息提交时；恢复：本条结束后撤销故障设置，恢复真实请求处理；使用新测试对象复跑正常路径，避免污染后续用例</x:v>
      </x:c>
    </x:row>
    <x:row r="562" ht="85" customHeight="1">
      <x:c r="A562" s="10" t="n">
        <x:v>561</x:v>
      </x:c>
      <x:c r="B562" s="10" t="str">
        <x:v>USER-04-0054</x:v>
      </x:c>
      <x:c r="C562" s="10" t="str">
        <x:v>消息与社交</x:v>
      </x:c>
      <x:c r="D562" s="10" t="str">
        <x:v>1 对 1 私信（普通消息发送用户视角）</x:v>
      </x:c>
      <x:c r="E562" s="10" t="str">
        <x:v>功能需求</x:v>
      </x:c>
      <x:c r="F562" s="10" t="str">
        <x:v>P1</x:v>
      </x:c>
      <x:c r="G562" s="9" t="str">
        <x:v>验证对方进入更新已读</x:v>
      </x:c>
      <x:c r="H562" s="9" t="str">
        <x:v>消息已读状态</x:v>
      </x:c>
      <x:c r="I562" s="9" t="str">
        <x:v>1. 执行角色为普通消息发送用户；当前处于1 对 1 私信页面
2. 本账号消息已送达；对方已进入该会话</x:v>
      </x:c>
      <x:c r="J562" s="9" t="str">
        <x:v>1. 查看该消息已读状态</x:v>
      </x:c>
      <x:c r="K562" s="9" t="str">
        <x:v>更新为已读</x:v>
      </x:c>
      <x:c r="L562" s="10" t="str"/>
      <x:c r="M562" s="10" t="str">
        <x:v>未测</x:v>
      </x:c>
      <x:c r="N562" s="10" t="str"/>
      <x:c r="O562" s="9" t="str">
        <x:v>1. 来源（当前证据）：liveshow-proto/MainBasis/统一需求文档.md；位置：行887、行884
2. 规则：BR-2786cfd6860cffb0
3. 未动态验证</x:v>
      </x:c>
    </x:row>
    <x:row r="563" ht="85" customHeight="1">
      <x:c r="A563" s="10" t="n">
        <x:v>562</x:v>
      </x:c>
      <x:c r="B563" s="10" t="str">
        <x:v>USER-04-0055</x:v>
      </x:c>
      <x:c r="C563" s="10" t="str">
        <x:v>消息与社交</x:v>
      </x:c>
      <x:c r="D563" s="10" t="str">
        <x:v>1 对 1 私信（普通消息发送用户视角）</x:v>
      </x:c>
      <x:c r="E563" s="10" t="str">
        <x:v>功能需求</x:v>
      </x:c>
      <x:c r="F563" s="10" t="str">
        <x:v>P1</x:v>
      </x:c>
      <x:c r="G563" s="9" t="str">
        <x:v>验证删除好友清记录</x:v>
      </x:c>
      <x:c r="H563" s="9" t="str">
        <x:v>解除好友后聊天清理</x:v>
      </x:c>
      <x:c r="I563" s="9" t="str">
        <x:v>1. 执行角色为普通消息发送用户；当前处于1 对 1 私信页面
2. 对方已删除当前账号好友关系</x:v>
      </x:c>
      <x:c r="J563" s="9" t="str">
        <x:v>1. 重新进入原会话</x:v>
      </x:c>
      <x:c r="K563" s="9" t="str">
        <x:v>双方聊天记录已清空</x:v>
      </x:c>
      <x:c r="L563" s="10" t="str"/>
      <x:c r="M563" s="10" t="str">
        <x:v>未测</x:v>
      </x:c>
      <x:c r="N563" s="10" t="str"/>
      <x:c r="O563" s="9" t="str">
        <x:v>1. 来源（当前证据）：liveshow-proto/MainBasis/统一需求文档.md；位置：行890、行884
2. 规则：BR-2d12568fff3b2f1f
3. 未动态验证</x:v>
      </x:c>
    </x:row>
    <x:row r="564" ht="85" customHeight="1">
      <x:c r="A564" s="10" t="n">
        <x:v>563</x:v>
      </x:c>
      <x:c r="B564" s="10" t="str">
        <x:v>USER-04-0056</x:v>
      </x:c>
      <x:c r="C564" s="10" t="str">
        <x:v>消息与社交</x:v>
      </x:c>
      <x:c r="D564" s="10" t="str">
        <x:v>1 对 1 私信（普通消息发送用户视角）</x:v>
      </x:c>
      <x:c r="E564" s="10" t="str">
        <x:v>功能需求</x:v>
      </x:c>
      <x:c r="F564" s="10" t="str">
        <x:v>P0</x:v>
      </x:c>
      <x:c r="G564" s="9" t="str">
        <x:v>验证私信发送文本</x:v>
      </x:c>
      <x:c r="H564" s="9" t="str">
        <x:v>文本消息发送</x:v>
      </x:c>
      <x:c r="I564" s="9" t="str">
        <x:v>1. 执行角色为普通消息发送用户；当前处于1 对 1 私信页面
2. 对方为好友且未拉黑</x:v>
      </x:c>
      <x:c r="J564" s="9" t="str">
        <x:v>1. 选择并发送测试文本</x:v>
      </x:c>
      <x:c r="K564" s="9" t="str">
        <x:v>会话中写入本次文本消息</x:v>
      </x:c>
      <x:c r="L564" s="10" t="str"/>
      <x:c r="M564" s="10" t="str">
        <x:v>未测</x:v>
      </x:c>
      <x:c r="N564" s="10" t="str"/>
      <x:c r="O564" s="9" t="str">
        <x:v>1. 来源（当前证据）：liveshow-proto/MainBasis/统一需求文档.md；位置：行886、行894、行884
2. 规则：BR-84df608ca2b5d087
3. 未动态验证</x:v>
      </x:c>
    </x:row>
    <x:row r="565" ht="85" customHeight="1">
      <x:c r="A565" s="10" t="n">
        <x:v>564</x:v>
      </x:c>
      <x:c r="B565" s="10" t="str">
        <x:v>USER-04-0057</x:v>
      </x:c>
      <x:c r="C565" s="10" t="str">
        <x:v>消息与社交</x:v>
      </x:c>
      <x:c r="D565" s="10" t="str">
        <x:v>1 对 1 私信（普通消息发送用户视角）</x:v>
      </x:c>
      <x:c r="E565" s="10" t="str">
        <x:v>异常用例</x:v>
      </x:c>
      <x:c r="F565" s="10" t="str">
        <x:v>P1</x:v>
      </x:c>
      <x:c r="G565" s="9" t="str">
        <x:v>验证拉黑拒收文本</x:v>
      </x:c>
      <x:c r="H565" s="9" t="str">
        <x:v>拉黑后消息拒收</x:v>
      </x:c>
      <x:c r="I565" s="9" t="str">
        <x:v>1. 执行角色为普通消息发送用户；当前处于1 对 1 私信页面
2. 当前会话任一方已拉黑另一方</x:v>
      </x:c>
      <x:c r="J565" s="9" t="str">
        <x:v>1. 选择并发送测试文本</x:v>
      </x:c>
      <x:c r="K565" s="9" t="str">
        <x:v>消息显示失败标记及“消息发送失败，对方拒收”</x:v>
      </x:c>
      <x:c r="L565" s="10" t="str"/>
      <x:c r="M565" s="10" t="str">
        <x:v>未测</x:v>
      </x:c>
      <x:c r="N565" s="10" t="str"/>
      <x:c r="O565" s="9" t="str">
        <x:v>1. 来源（当前证据）：liveshow-proto/MainBasis/统一需求文档.md；位置：行891、行884
2. 规则：BR-f54a5eb503815f50
3. 未动态验证</x:v>
      </x:c>
    </x:row>
    <x:row r="566" ht="85" customHeight="1">
      <x:c r="A566" s="10" t="n">
        <x:v>565</x:v>
      </x:c>
      <x:c r="B566" s="10" t="str">
        <x:v>USER-04-0058</x:v>
      </x:c>
      <x:c r="C566" s="10" t="str">
        <x:v>消息与社交</x:v>
      </x:c>
      <x:c r="D566" s="10" t="str">
        <x:v>1 对 1 私信（普通消息发送用户视角）</x:v>
      </x:c>
      <x:c r="E566" s="10" t="str">
        <x:v>功能需求</x:v>
      </x:c>
      <x:c r="F566" s="10" t="str">
        <x:v>P1</x:v>
      </x:c>
      <x:c r="G566" s="9" t="str">
        <x:v>验证私信发送图片</x:v>
      </x:c>
      <x:c r="H566" s="9" t="str">
        <x:v>图片消息发送</x:v>
      </x:c>
      <x:c r="I566" s="9" t="str">
        <x:v>1. 执行角色为普通消息发送用户；当前处于1 对 1 私信页面
2. 对方为好友且未拉黑</x:v>
      </x:c>
      <x:c r="J566" s="9" t="str">
        <x:v>1. 选择并发送测试图片</x:v>
      </x:c>
      <x:c r="K566" s="9" t="str">
        <x:v>会话中写入本次图片消息</x:v>
      </x:c>
      <x:c r="L566" s="10" t="str"/>
      <x:c r="M566" s="10" t="str">
        <x:v>未测</x:v>
      </x:c>
      <x:c r="N566" s="10" t="str"/>
      <x:c r="O566" s="9" t="str">
        <x:v>1. 来源（当前证据）：liveshow-proto/MainBasis/统一需求文档.md；位置：行886、行894、行884
2. 规则：BR-9899e65706de4030
3. 未动态验证</x:v>
      </x:c>
    </x:row>
    <x:row r="567" ht="85" customHeight="1">
      <x:c r="A567" s="10" t="n">
        <x:v>566</x:v>
      </x:c>
      <x:c r="B567" s="10" t="str">
        <x:v>USER-04-0059</x:v>
      </x:c>
      <x:c r="C567" s="10" t="str">
        <x:v>消息与社交</x:v>
      </x:c>
      <x:c r="D567" s="10" t="str">
        <x:v>1 对 1 私信（普通消息发送用户视角）</x:v>
      </x:c>
      <x:c r="E567" s="10" t="str">
        <x:v>异常用例</x:v>
      </x:c>
      <x:c r="F567" s="10" t="str">
        <x:v>P1</x:v>
      </x:c>
      <x:c r="G567" s="9" t="str">
        <x:v>验证拉黑拒收图片</x:v>
      </x:c>
      <x:c r="H567" s="9" t="str">
        <x:v>拉黑后消息拒收</x:v>
      </x:c>
      <x:c r="I567" s="9" t="str">
        <x:v>1. 执行角色为普通消息发送用户；当前处于1 对 1 私信页面
2. 当前会话任一方已拉黑另一方</x:v>
      </x:c>
      <x:c r="J567" s="9" t="str">
        <x:v>1. 选择并发送测试图片</x:v>
      </x:c>
      <x:c r="K567" s="9" t="str">
        <x:v>消息显示失败标记及“消息发送失败，对方拒收”</x:v>
      </x:c>
      <x:c r="L567" s="10" t="str"/>
      <x:c r="M567" s="10" t="str">
        <x:v>未测</x:v>
      </x:c>
      <x:c r="N567" s="10" t="str"/>
      <x:c r="O567" s="9" t="str">
        <x:v>1. 来源（当前证据）：liveshow-proto/MainBasis/统一需求文档.md；位置：行891、行884
2. 规则：BR-e1bbe3349ce7a1ce
3. 未动态验证</x:v>
      </x:c>
    </x:row>
    <x:row r="568" ht="85" customHeight="1">
      <x:c r="A568" s="10" t="n">
        <x:v>567</x:v>
      </x:c>
      <x:c r="B568" s="10" t="str">
        <x:v>USER-04-0060</x:v>
      </x:c>
      <x:c r="C568" s="10" t="str">
        <x:v>消息与社交</x:v>
      </x:c>
      <x:c r="D568" s="10" t="str">
        <x:v>1 对 1 私信（普通消息发送用户视角）</x:v>
      </x:c>
      <x:c r="E568" s="10" t="str">
        <x:v>功能需求</x:v>
      </x:c>
      <x:c r="F568" s="10" t="str">
        <x:v>P1</x:v>
      </x:c>
      <x:c r="G568" s="9" t="str">
        <x:v>验证私信发送语音</x:v>
      </x:c>
      <x:c r="H568" s="9" t="str">
        <x:v>语音消息发送</x:v>
      </x:c>
      <x:c r="I568" s="9" t="str">
        <x:v>1. 执行角色为普通消息发送用户；当前处于1 对 1 私信页面
2. 对方为好友且未拉黑</x:v>
      </x:c>
      <x:c r="J568" s="9" t="str">
        <x:v>1. 选择并发送测试语音</x:v>
      </x:c>
      <x:c r="K568" s="9" t="str">
        <x:v>会话中写入本次语音消息</x:v>
      </x:c>
      <x:c r="L568" s="10" t="str"/>
      <x:c r="M568" s="10" t="str">
        <x:v>未测</x:v>
      </x:c>
      <x:c r="N568" s="10" t="str"/>
      <x:c r="O568" s="9" t="str">
        <x:v>1. 来源（当前证据）：liveshow-proto/MainBasis/统一需求文档.md；位置：行886、行894、行884
2. 规则：BR-e427a84ddd3eb380
3. 未动态验证</x:v>
      </x:c>
    </x:row>
    <x:row r="569" ht="85" customHeight="1">
      <x:c r="A569" s="10" t="n">
        <x:v>568</x:v>
      </x:c>
      <x:c r="B569" s="10" t="str">
        <x:v>USER-04-0061</x:v>
      </x:c>
      <x:c r="C569" s="10" t="str">
        <x:v>消息与社交</x:v>
      </x:c>
      <x:c r="D569" s="10" t="str">
        <x:v>1 对 1 私信（普通消息发送用户视角）</x:v>
      </x:c>
      <x:c r="E569" s="10" t="str">
        <x:v>异常用例</x:v>
      </x:c>
      <x:c r="F569" s="10" t="str">
        <x:v>P1</x:v>
      </x:c>
      <x:c r="G569" s="9" t="str">
        <x:v>验证拉黑拒收语音</x:v>
      </x:c>
      <x:c r="H569" s="9" t="str">
        <x:v>拉黑后消息拒收</x:v>
      </x:c>
      <x:c r="I569" s="9" t="str">
        <x:v>1. 执行角色为普通消息发送用户；当前处于1 对 1 私信页面
2. 当前会话任一方已拉黑另一方</x:v>
      </x:c>
      <x:c r="J569" s="9" t="str">
        <x:v>1. 选择并发送测试语音</x:v>
      </x:c>
      <x:c r="K569" s="9" t="str">
        <x:v>消息显示失败标记及“消息发送失败，对方拒收”</x:v>
      </x:c>
      <x:c r="L569" s="10" t="str"/>
      <x:c r="M569" s="10" t="str">
        <x:v>未测</x:v>
      </x:c>
      <x:c r="N569" s="10" t="str"/>
      <x:c r="O569" s="9" t="str">
        <x:v>1. 来源（当前证据）：liveshow-proto/MainBasis/统一需求文档.md；位置：行891、行884
2. 规则：BR-039bcc0b00f70020
3. 未动态验证</x:v>
      </x:c>
    </x:row>
    <x:row r="570" ht="85" customHeight="1">
      <x:c r="A570" s="10" t="n">
        <x:v>569</x:v>
      </x:c>
      <x:c r="B570" s="10" t="str">
        <x:v>USER-04-0062</x:v>
      </x:c>
      <x:c r="C570" s="10" t="str">
        <x:v>消息与社交</x:v>
      </x:c>
      <x:c r="D570" s="10" t="str">
        <x:v>粉丝团群聊（有效粉丝团成员视角）</x:v>
      </x:c>
      <x:c r="E570" s="10" t="str">
        <x:v>功能需求</x:v>
      </x:c>
      <x:c r="F570" s="10" t="str">
        <x:v>P2</x:v>
      </x:c>
      <x:c r="G570" s="9" t="str">
        <x:v>验证群消息可见字段：群消息发送人</x:v>
      </x:c>
      <x:c r="H570" s="9" t="str">
        <x:v>群消息发送人</x:v>
      </x:c>
      <x:c r="I570" s="9" t="str">
        <x:v>1. 执行角色为有效粉丝团成员；当前处于粉丝团群聊页面
2. 群内已有一条来自其他成员的消息</x:v>
      </x:c>
      <x:c r="J570" s="9" t="str">
        <x:v>1. 查看该消息</x:v>
      </x:c>
      <x:c r="K570" s="9" t="str">
        <x:v>发送人为该消息实际发送人</x:v>
      </x:c>
      <x:c r="L570" s="10" t="str"/>
      <x:c r="M570" s="10" t="str">
        <x:v>未测</x:v>
      </x:c>
      <x:c r="N570" s="10" t="str"/>
      <x:c r="O570" s="9" t="str">
        <x:v>1. 来源（当前证据）：liveshow-proto/MainBasis/统一需求文档.md；位置：行899、行897
2. 规则：BR-644eb790eb582fe9
3. 未动态验证</x:v>
      </x:c>
    </x:row>
    <x:row r="571" ht="85" customHeight="1">
      <x:c r="A571" s="10" t="n">
        <x:v>570</x:v>
      </x:c>
      <x:c r="B571" s="10" t="str">
        <x:v>USER-04-0063</x:v>
      </x:c>
      <x:c r="C571" s="10" t="str">
        <x:v>消息与社交</x:v>
      </x:c>
      <x:c r="D571" s="10" t="str">
        <x:v>粉丝团群聊（有效粉丝团成员视角）</x:v>
      </x:c>
      <x:c r="E571" s="10" t="str">
        <x:v>功能需求</x:v>
      </x:c>
      <x:c r="F571" s="10" t="str">
        <x:v>P2</x:v>
      </x:c>
      <x:c r="G571" s="9" t="str">
        <x:v>验证群消息可见字段：发送人身份标签</x:v>
      </x:c>
      <x:c r="H571" s="9" t="str">
        <x:v>发送人身份标签</x:v>
      </x:c>
      <x:c r="I571" s="9" t="str">
        <x:v>1. 执行角色为有效粉丝团成员；当前处于粉丝团群聊页面
2. 群内已有一条来自其他成员的消息</x:v>
      </x:c>
      <x:c r="J571" s="9" t="str">
        <x:v>1. 查看该消息</x:v>
      </x:c>
      <x:c r="K571" s="9" t="str">
        <x:v>身份标签对应发送人当前身份</x:v>
      </x:c>
      <x:c r="L571" s="10" t="str"/>
      <x:c r="M571" s="10" t="str">
        <x:v>未测</x:v>
      </x:c>
      <x:c r="N571" s="10" t="str"/>
      <x:c r="O571" s="9" t="str">
        <x:v>1. 来源（当前证据）：liveshow-proto/MainBasis/统一需求文档.md；位置：行899、行897
2. 规则：BR-7f9352bbf7757615
3. 未动态验证</x:v>
      </x:c>
    </x:row>
    <x:row r="572" ht="85" customHeight="1">
      <x:c r="A572" s="10" t="n">
        <x:v>571</x:v>
      </x:c>
      <x:c r="B572" s="10" t="str">
        <x:v>USER-04-0064</x:v>
      </x:c>
      <x:c r="C572" s="10" t="str">
        <x:v>消息与社交</x:v>
      </x:c>
      <x:c r="D572" s="10" t="str">
        <x:v>粉丝团群聊（有效粉丝团成员视角）</x:v>
      </x:c>
      <x:c r="E572" s="10" t="str">
        <x:v>功能需求</x:v>
      </x:c>
      <x:c r="F572" s="10" t="str">
        <x:v>P2</x:v>
      </x:c>
      <x:c r="G572" s="9" t="str">
        <x:v>验证群消息可见字段：群消息正文</x:v>
      </x:c>
      <x:c r="H572" s="9" t="str">
        <x:v>群消息正文</x:v>
      </x:c>
      <x:c r="I572" s="9" t="str">
        <x:v>1. 执行角色为有效粉丝团成员；当前处于粉丝团群聊页面
2. 群内已有一条来自其他成员的消息</x:v>
      </x:c>
      <x:c r="J572" s="9" t="str">
        <x:v>1. 查看该消息</x:v>
      </x:c>
      <x:c r="K572" s="9" t="str">
        <x:v>正文为该消息内容</x:v>
      </x:c>
      <x:c r="L572" s="10" t="str"/>
      <x:c r="M572" s="10" t="str">
        <x:v>未测</x:v>
      </x:c>
      <x:c r="N572" s="10" t="str"/>
      <x:c r="O572" s="9" t="str">
        <x:v>1. 来源（当前证据）：liveshow-proto/MainBasis/统一需求文档.md；位置：行899、行897
2. 规则：BR-73764f6ed7e484b1
3. 未动态验证</x:v>
      </x:c>
    </x:row>
    <x:row r="573" ht="85" customHeight="1">
      <x:c r="A573" s="10" t="n">
        <x:v>572</x:v>
      </x:c>
      <x:c r="B573" s="10" t="str">
        <x:v>USER-04-0065</x:v>
      </x:c>
      <x:c r="C573" s="10" t="str">
        <x:v>消息与社交</x:v>
      </x:c>
      <x:c r="D573" s="10" t="str">
        <x:v>粉丝团群聊（有效粉丝团成员视角）</x:v>
      </x:c>
      <x:c r="E573" s="10" t="str">
        <x:v>功能需求</x:v>
      </x:c>
      <x:c r="F573" s="10" t="str">
        <x:v>P2</x:v>
      </x:c>
      <x:c r="G573" s="9" t="str">
        <x:v>验证群消息可见字段：群消息时间</x:v>
      </x:c>
      <x:c r="H573" s="9" t="str">
        <x:v>群消息时间</x:v>
      </x:c>
      <x:c r="I573" s="9" t="str">
        <x:v>1. 执行角色为有效粉丝团成员；当前处于粉丝团群聊页面
2. 群内已有一条来自其他成员的消息</x:v>
      </x:c>
      <x:c r="J573" s="9" t="str">
        <x:v>1. 查看该消息</x:v>
      </x:c>
      <x:c r="K573" s="9" t="str">
        <x:v>时间为该消息发送时间</x:v>
      </x:c>
      <x:c r="L573" s="10" t="str"/>
      <x:c r="M573" s="10" t="str">
        <x:v>未测</x:v>
      </x:c>
      <x:c r="N573" s="10" t="str"/>
      <x:c r="O573" s="9" t="str">
        <x:v>1. 来源（当前证据）：liveshow-proto/MainBasis/统一需求文档.md；位置：行899、行897
2. 规则：BR-2df6026a67f0f7c6
3. 未动态验证</x:v>
      </x:c>
    </x:row>
    <x:row r="574" ht="85" customHeight="1">
      <x:c r="A574" s="10" t="n">
        <x:v>573</x:v>
      </x:c>
      <x:c r="B574" s="10" t="str">
        <x:v>USER-04-0066</x:v>
      </x:c>
      <x:c r="C574" s="10" t="str">
        <x:v>消息与社交</x:v>
      </x:c>
      <x:c r="D574" s="10" t="str">
        <x:v>粉丝团群聊（有效粉丝团成员视角）</x:v>
      </x:c>
      <x:c r="E574" s="10" t="str">
        <x:v>功能需求</x:v>
      </x:c>
      <x:c r="F574" s="10" t="str">
        <x:v>P2</x:v>
      </x:c>
      <x:c r="G574" s="9" t="str">
        <x:v>验证群消息按时间正序</x:v>
      </x:c>
      <x:c r="H574" s="9" t="str">
        <x:v>群消息时间排序</x:v>
      </x:c>
      <x:c r="I574" s="9" t="str">
        <x:v>1. 执行角色为有效粉丝团成员；当前处于粉丝团群聊页面
2. 群内有10:00及11:00消息</x:v>
      </x:c>
      <x:c r="J574" s="9" t="str">
        <x:v>1. 查看消息顺序</x:v>
      </x:c>
      <x:c r="K574" s="9" t="str">
        <x:v>10:00消息在11:00之前</x:v>
      </x:c>
      <x:c r="L574" s="10" t="str"/>
      <x:c r="M574" s="10" t="str">
        <x:v>未测</x:v>
      </x:c>
      <x:c r="N574" s="10" t="str"/>
      <x:c r="O574" s="9" t="str">
        <x:v>1. 来源（当前证据）：liveshow-proto/MainBasis/统一需求文档.md；位置：行906、行897
2. 规则：BR-ed121094ea3fccc9
3. 未动态验证</x:v>
      </x:c>
    </x:row>
    <x:row r="575" ht="85" customHeight="1">
      <x:c r="A575" s="10" t="n">
        <x:v>574</x:v>
      </x:c>
      <x:c r="B575" s="10" t="str">
        <x:v>USER-04-0067</x:v>
      </x:c>
      <x:c r="C575" s="10" t="str">
        <x:v>消息与社交</x:v>
      </x:c>
      <x:c r="D575" s="10" t="str">
        <x:v>粉丝团群聊（有效粉丝团成员视角）</x:v>
      </x:c>
      <x:c r="E575" s="10" t="str">
        <x:v>功能需求</x:v>
      </x:c>
      <x:c r="F575" s="10" t="str">
        <x:v>P0</x:v>
      </x:c>
      <x:c r="G575" s="9" t="str">
        <x:v>验证有效成员发送群消息</x:v>
      </x:c>
      <x:c r="H575" s="9" t="str">
        <x:v>群消息发送资格</x:v>
      </x:c>
      <x:c r="I575" s="9" t="str">
        <x:v>1. 执行角色为有效粉丝团成员；当前处于粉丝团群聊页面
2. 当前未被单人禁言、全员禁言或平台限制</x:v>
      </x:c>
      <x:c r="J575" s="9" t="str">
        <x:v>1. 输入文本“QA群消息”
2. 点击发送</x:v>
      </x:c>
      <x:c r="K575" s="9" t="str">
        <x:v>本次消息写入群聊</x:v>
      </x:c>
      <x:c r="L575" s="10" t="str"/>
      <x:c r="M575" s="10" t="str">
        <x:v>未测</x:v>
      </x:c>
      <x:c r="N575" s="10" t="str"/>
      <x:c r="O575" s="9" t="str">
        <x:v>1. 来源（当前证据）：liveshow-proto/MainBasis/统一需求文档.md；位置：行902、行907、行897
2. 规则：BR-39b5783253df4f24
3. 未动态验证</x:v>
      </x:c>
    </x:row>
    <x:row r="576" ht="85" customHeight="1">
      <x:c r="A576" s="10" t="n">
        <x:v>575</x:v>
      </x:c>
      <x:c r="B576" s="10" t="str">
        <x:v>USER-04-0068</x:v>
      </x:c>
      <x:c r="C576" s="10" t="str">
        <x:v>消息与社交</x:v>
      </x:c>
      <x:c r="D576" s="10" t="str">
        <x:v>粉丝团群聊（有效粉丝团成员视角）</x:v>
      </x:c>
      <x:c r="E576" s="10" t="str">
        <x:v>功能需求</x:v>
      </x:c>
      <x:c r="F576" s="10" t="str">
        <x:v>P1</x:v>
      </x:c>
      <x:c r="G576" s="9" t="str">
        <x:v>验证团籍失效禁止历史访问</x:v>
      </x:c>
      <x:c r="H576" s="9" t="str">
        <x:v>入口可用性</x:v>
      </x:c>
      <x:c r="I576" s="9" t="str">
        <x:v>1. 执行角色为有效粉丝团成员；当前处于粉丝团群聊页面
2. 本账号已被移出该粉丝团</x:v>
      </x:c>
      <x:c r="J576" s="9" t="str">
        <x:v>1. 重新进入原粉丝群</x:v>
      </x:c>
      <x:c r="K576" s="9" t="str">
        <x:v>不能查看该群历史消息</x:v>
      </x:c>
      <x:c r="L576" s="10" t="str"/>
      <x:c r="M576" s="10" t="str">
        <x:v>未测</x:v>
      </x:c>
      <x:c r="N576" s="10" t="str"/>
      <x:c r="O576" s="9" t="str">
        <x:v>1. 来源（当前证据）：liveshow-proto/MainBasis/统一需求文档.md；位置：行903、行897
2. 规则：BR-24ac8cf10f23cbbc
3. 未动态验证</x:v>
      </x:c>
    </x:row>
    <x:row r="577" ht="85" customHeight="1">
      <x:c r="A577" s="10" t="n">
        <x:v>576</x:v>
      </x:c>
      <x:c r="B577" s="10" t="str">
        <x:v>USER-04-0069</x:v>
      </x:c>
      <x:c r="C577" s="10" t="str">
        <x:v>消息与社交</x:v>
      </x:c>
      <x:c r="D577" s="10" t="str">
        <x:v>粉丝团群聊（有效粉丝团成员视角）</x:v>
      </x:c>
      <x:c r="E577" s="10" t="str">
        <x:v>功能需求</x:v>
      </x:c>
      <x:c r="F577" s="10" t="str">
        <x:v>P1</x:v>
      </x:c>
      <x:c r="G577" s="9" t="str">
        <x:v>验证有效直播卡片入场</x:v>
      </x:c>
      <x:c r="H577" s="9" t="str">
        <x:v>直播分享卡片场次去向</x:v>
      </x:c>
      <x:c r="I577" s="9" t="str">
        <x:v>1. 执行角色为有效粉丝团成员；当前处于粉丝团群聊页面
2. 群内卡片对应场次在播且当前有准入资格</x:v>
      </x:c>
      <x:c r="J577" s="9" t="str">
        <x:v>1. 点击直播卡片</x:v>
      </x:c>
      <x:c r="K577" s="9" t="str">
        <x:v>进入卡片对应的当前场次</x:v>
      </x:c>
      <x:c r="L577" s="10" t="str"/>
      <x:c r="M577" s="10" t="str">
        <x:v>未测</x:v>
      </x:c>
      <x:c r="N577" s="10" t="str"/>
      <x:c r="O577" s="9" t="str">
        <x:v>1. 来源（当前证据）：liveshow-proto/MainBasis/统一需求文档.md；位置：行907、行897
2. 规则：BR-f05f23db64df34f5
3. 未动态验证</x:v>
      </x:c>
    </x:row>
    <x:row r="578" ht="85" customHeight="1">
      <x:c r="A578" s="10" t="n">
        <x:v>577</x:v>
      </x:c>
      <x:c r="B578" s="10" t="str">
        <x:v>USER-04-0070</x:v>
      </x:c>
      <x:c r="C578" s="10" t="str">
        <x:v>消息与社交</x:v>
      </x:c>
      <x:c r="D578" s="10" t="str">
        <x:v>粉丝团群聊（有效粉丝团成员视角）</x:v>
      </x:c>
      <x:c r="E578" s="10" t="str">
        <x:v>功能需求</x:v>
      </x:c>
      <x:c r="F578" s="10" t="str">
        <x:v>P1</x:v>
      </x:c>
      <x:c r="G578" s="9" t="str">
        <x:v>验证过期直播卡片不跳新场：旧场次提示</x:v>
      </x:c>
      <x:c r="H578" s="9" t="str">
        <x:v>旧场次提示</x:v>
      </x:c>
      <x:c r="I578" s="9" t="str">
        <x:v>1. 执行角色为有效粉丝团成员；当前处于粉丝团群聊页面
2. 卡片对应场次已结束；主播又开新场</x:v>
      </x:c>
      <x:c r="J578" s="9" t="str">
        <x:v>1. 点击旧直播卡片</x:v>
      </x:c>
      <x:c r="K578" s="9" t="str">
        <x:v>提示直播已结束</x:v>
      </x:c>
      <x:c r="L578" s="10" t="str"/>
      <x:c r="M578" s="10" t="str">
        <x:v>未测</x:v>
      </x:c>
      <x:c r="N578" s="10" t="str"/>
      <x:c r="O578" s="9" t="str">
        <x:v>1. 来源（当前证据）：liveshow-proto/MainBasis/统一需求文档.md；位置：行904、行907、行897
2. 规则：BR-795084272cf00136
3. 未动态验证</x:v>
      </x:c>
    </x:row>
    <x:row r="579" ht="85" customHeight="1">
      <x:c r="A579" s="10" t="n">
        <x:v>578</x:v>
      </x:c>
      <x:c r="B579" s="10" t="str">
        <x:v>USER-04-0071</x:v>
      </x:c>
      <x:c r="C579" s="10" t="str">
        <x:v>消息与社交</x:v>
      </x:c>
      <x:c r="D579" s="10" t="str">
        <x:v>粉丝团群聊（有效粉丝团成员视角）</x:v>
      </x:c>
      <x:c r="E579" s="10" t="str">
        <x:v>功能需求</x:v>
      </x:c>
      <x:c r="F579" s="10" t="str">
        <x:v>P1</x:v>
      </x:c>
      <x:c r="G579" s="9" t="str">
        <x:v>验证过期直播卡片不跳新场：不跳新场次</x:v>
      </x:c>
      <x:c r="H579" s="9" t="str">
        <x:v>不跳新场次</x:v>
      </x:c>
      <x:c r="I579" s="9" t="str">
        <x:v>1. 执行角色为有效粉丝团成员；当前处于粉丝团群聊页面
2. 卡片对应场次已结束；主播又开新场</x:v>
      </x:c>
      <x:c r="J579" s="9" t="str">
        <x:v>1. 点击旧直播卡片</x:v>
      </x:c>
      <x:c r="K579" s="9" t="str">
        <x:v>不进入主播新场次</x:v>
      </x:c>
      <x:c r="L579" s="10" t="str"/>
      <x:c r="M579" s="10" t="str">
        <x:v>未测</x:v>
      </x:c>
      <x:c r="N579" s="10" t="str"/>
      <x:c r="O579" s="9" t="str">
        <x:v>1. 来源（当前证据）：liveshow-proto/MainBasis/统一需求文档.md；位置：行904、行907、行897
2. 规则：BR-a4894878d1f70752
3. 未动态验证</x:v>
      </x:c>
    </x:row>
    <x:row r="580" ht="85" customHeight="1">
      <x:c r="A580" s="10" t="n">
        <x:v>579</x:v>
      </x:c>
      <x:c r="B580" s="10" t="str">
        <x:v>USER-04-0072</x:v>
      </x:c>
      <x:c r="C580" s="10" t="str">
        <x:v>消息与社交</x:v>
      </x:c>
      <x:c r="D580" s="10" t="str">
        <x:v>粉丝团群聊（有效粉丝团成员视角）</x:v>
      </x:c>
      <x:c r="E580" s="10" t="str">
        <x:v>功能需求</x:v>
      </x:c>
      <x:c r="F580" s="10" t="str">
        <x:v>P1</x:v>
      </x:c>
      <x:c r="G580" s="9" t="str">
        <x:v>验证被禁言输入框：群禁言文案</x:v>
      </x:c>
      <x:c r="H580" s="9" t="str">
        <x:v>群禁言文案</x:v>
      </x:c>
      <x:c r="I580" s="9" t="str">
        <x:v>1. 执行角色为有效粉丝团成员；当前处于粉丝团群聊页面
2. 当前在该群被禁言</x:v>
      </x:c>
      <x:c r="J580" s="9" t="str">
        <x:v>1. 查看输入框</x:v>
      </x:c>
      <x:c r="K580" s="9" t="str">
        <x:v>输入框显示“当前被禁言”</x:v>
      </x:c>
      <x:c r="L580" s="10" t="str"/>
      <x:c r="M580" s="10" t="str">
        <x:v>未测</x:v>
      </x:c>
      <x:c r="N580" s="10" t="str"/>
      <x:c r="O580" s="9" t="str">
        <x:v>1. 来源（当前证据）：liveshow-proto/MainBasis/统一需求文档.md；位置：行907、行897
2. 规则：BR-8d1764d893718a95
3. 未动态验证</x:v>
      </x:c>
    </x:row>
    <x:row r="581" ht="85" customHeight="1">
      <x:c r="A581" s="10" t="n">
        <x:v>580</x:v>
      </x:c>
      <x:c r="B581" s="10" t="str">
        <x:v>USER-04-0073</x:v>
      </x:c>
      <x:c r="C581" s="10" t="str">
        <x:v>消息与社交</x:v>
      </x:c>
      <x:c r="D581" s="10" t="str">
        <x:v>粉丝团群聊（有效粉丝团成员视角）</x:v>
      </x:c>
      <x:c r="E581" s="10" t="str">
        <x:v>功能需求</x:v>
      </x:c>
      <x:c r="F581" s="10" t="str">
        <x:v>P1</x:v>
      </x:c>
      <x:c r="G581" s="9" t="str">
        <x:v>验证被禁言输入框：群发送禁止</x:v>
      </x:c>
      <x:c r="H581" s="9" t="str">
        <x:v>群发送禁止</x:v>
      </x:c>
      <x:c r="I581" s="9" t="str">
        <x:v>1. 执行角色为有效粉丝团成员；当前处于粉丝团群聊页面
2. 当前在该群被禁言</x:v>
      </x:c>
      <x:c r="J581" s="9" t="str">
        <x:v>1. 查看输入框</x:v>
      </x:c>
      <x:c r="K581" s="9" t="str">
        <x:v>不能输入或发送群消息</x:v>
      </x:c>
      <x:c r="L581" s="10" t="str"/>
      <x:c r="M581" s="10" t="str">
        <x:v>未测</x:v>
      </x:c>
      <x:c r="N581" s="10" t="str"/>
      <x:c r="O581" s="9" t="str">
        <x:v>1. 来源（当前证据）：liveshow-proto/MainBasis/统一需求文档.md；位置：行907、行897
2. 规则：BR-a4062fe194dae1f1
3. 未动态验证</x:v>
      </x:c>
    </x:row>
    <x:row r="582" ht="85" customHeight="1">
      <x:c r="A582" s="10" t="n">
        <x:v>581</x:v>
      </x:c>
      <x:c r="B582" s="10" t="str">
        <x:v>USER-04-0074</x:v>
      </x:c>
      <x:c r="C582" s="10" t="str">
        <x:v>消息与社交</x:v>
      </x:c>
      <x:c r="D582" s="10" t="str">
        <x:v>粉丝团群聊（被禁言粉丝团成员视角）</x:v>
      </x:c>
      <x:c r="E582" s="10" t="str">
        <x:v>异常用例</x:v>
      </x:c>
      <x:c r="F582" s="10" t="str">
        <x:v>P1</x:v>
      </x:c>
      <x:c r="G582" s="9" t="str">
        <x:v>验证群禁言禁用语音：禁言语音提示</x:v>
      </x:c>
      <x:c r="H582" s="9" t="str">
        <x:v>禁言语音提示</x:v>
      </x:c>
      <x:c r="I582" s="9" t="str">
        <x:v>1. 执行角色为被禁言粉丝团成员；当前处于粉丝团群聊页面</x:v>
      </x:c>
      <x:c r="J582" s="9" t="str">
        <x:v>1. 点击语音</x:v>
      </x:c>
      <x:c r="K582" s="9" t="str">
        <x:v>提示“当前被禁言”</x:v>
      </x:c>
      <x:c r="L582" s="10" t="str"/>
      <x:c r="M582" s="10" t="str">
        <x:v>未测</x:v>
      </x:c>
      <x:c r="N582" s="10" t="str"/>
      <x:c r="O582" s="9" t="str">
        <x:v>1. 来源（当前证据）：liveshow-proto/MainBasis/统一需求文档.md；位置：行907、行897
2. 规则：BR-a88852f28a278338
3. 未动态验证</x:v>
      </x:c>
    </x:row>
    <x:row r="583" ht="85" customHeight="1">
      <x:c r="A583" s="10" t="n">
        <x:v>582</x:v>
      </x:c>
      <x:c r="B583" s="10" t="str">
        <x:v>USER-04-0075</x:v>
      </x:c>
      <x:c r="C583" s="10" t="str">
        <x:v>消息与社交</x:v>
      </x:c>
      <x:c r="D583" s="10" t="str">
        <x:v>粉丝团群聊（被禁言粉丝团成员视角）</x:v>
      </x:c>
      <x:c r="E583" s="10" t="str">
        <x:v>异常用例</x:v>
      </x:c>
      <x:c r="F583" s="10" t="str">
        <x:v>P1</x:v>
      </x:c>
      <x:c r="G583" s="9" t="str">
        <x:v>验证群禁言禁用语音：语音功能拦截</x:v>
      </x:c>
      <x:c r="H583" s="9" t="str">
        <x:v>语音功能拦截</x:v>
      </x:c>
      <x:c r="I583" s="9" t="str">
        <x:v>1. 执行角色为被禁言粉丝团成员；当前处于粉丝团群聊页面</x:v>
      </x:c>
      <x:c r="J583" s="9" t="str">
        <x:v>1. 点击语音</x:v>
      </x:c>
      <x:c r="K583" s="9" t="str">
        <x:v>不打开语音功能</x:v>
      </x:c>
      <x:c r="L583" s="10" t="str"/>
      <x:c r="M583" s="10" t="str">
        <x:v>未测</x:v>
      </x:c>
      <x:c r="N583" s="10" t="str"/>
      <x:c r="O583" s="9" t="str">
        <x:v>1. 来源（当前证据）：liveshow-proto/MainBasis/统一需求文档.md；位置：行907、行897
2. 规则：BR-b6e2dc9ab750cee8
3. 未动态验证</x:v>
      </x:c>
    </x:row>
    <x:row r="584" ht="85" customHeight="1">
      <x:c r="A584" s="10" t="n">
        <x:v>583</x:v>
      </x:c>
      <x:c r="B584" s="10" t="str">
        <x:v>USER-04-0076</x:v>
      </x:c>
      <x:c r="C584" s="10" t="str">
        <x:v>消息与社交</x:v>
      </x:c>
      <x:c r="D584" s="10" t="str">
        <x:v>粉丝团群聊（被禁言粉丝团成员视角）</x:v>
      </x:c>
      <x:c r="E584" s="10" t="str">
        <x:v>异常用例</x:v>
      </x:c>
      <x:c r="F584" s="10" t="str">
        <x:v>P1</x:v>
      </x:c>
      <x:c r="G584" s="9" t="str">
        <x:v>验证群禁言禁用图片：禁言图片提示</x:v>
      </x:c>
      <x:c r="H584" s="9" t="str">
        <x:v>禁言图片提示</x:v>
      </x:c>
      <x:c r="I584" s="9" t="str">
        <x:v>1. 执行角色为被禁言粉丝团成员；当前处于粉丝团群聊页面</x:v>
      </x:c>
      <x:c r="J584" s="9" t="str">
        <x:v>1. 点击图片</x:v>
      </x:c>
      <x:c r="K584" s="9" t="str">
        <x:v>提示“当前被禁言”</x:v>
      </x:c>
      <x:c r="L584" s="10" t="str"/>
      <x:c r="M584" s="10" t="str">
        <x:v>未测</x:v>
      </x:c>
      <x:c r="N584" s="10" t="str"/>
      <x:c r="O584" s="9" t="str">
        <x:v>1. 来源（当前证据）：liveshow-proto/MainBasis/统一需求文档.md；位置：行907、行897
2. 规则：BR-ab5104857792c297
3. 未动态验证</x:v>
      </x:c>
    </x:row>
    <x:row r="585" ht="85" customHeight="1">
      <x:c r="A585" s="10" t="n">
        <x:v>584</x:v>
      </x:c>
      <x:c r="B585" s="10" t="str">
        <x:v>USER-04-0077</x:v>
      </x:c>
      <x:c r="C585" s="10" t="str">
        <x:v>消息与社交</x:v>
      </x:c>
      <x:c r="D585" s="10" t="str">
        <x:v>粉丝团群聊（被禁言粉丝团成员视角）</x:v>
      </x:c>
      <x:c r="E585" s="10" t="str">
        <x:v>异常用例</x:v>
      </x:c>
      <x:c r="F585" s="10" t="str">
        <x:v>P1</x:v>
      </x:c>
      <x:c r="G585" s="9" t="str">
        <x:v>验证群禁言禁用图片：图片功能拦截</x:v>
      </x:c>
      <x:c r="H585" s="9" t="str">
        <x:v>图片功能拦截</x:v>
      </x:c>
      <x:c r="I585" s="9" t="str">
        <x:v>1. 执行角色为被禁言粉丝团成员；当前处于粉丝团群聊页面</x:v>
      </x:c>
      <x:c r="J585" s="9" t="str">
        <x:v>1. 点击图片</x:v>
      </x:c>
      <x:c r="K585" s="9" t="str">
        <x:v>不打开图片功能</x:v>
      </x:c>
      <x:c r="L585" s="10" t="str"/>
      <x:c r="M585" s="10" t="str">
        <x:v>未测</x:v>
      </x:c>
      <x:c r="N585" s="10" t="str"/>
      <x:c r="O585" s="9" t="str">
        <x:v>1. 来源（当前证据）：liveshow-proto/MainBasis/统一需求文档.md；位置：行907、行897
2. 规则：BR-c00430ac0f3d6368
3. 未动态验证</x:v>
      </x:c>
    </x:row>
    <x:row r="586" ht="85" customHeight="1">
      <x:c r="A586" s="10" t="n">
        <x:v>585</x:v>
      </x:c>
      <x:c r="B586" s="10" t="str">
        <x:v>USER-04-0078</x:v>
      </x:c>
      <x:c r="C586" s="10" t="str">
        <x:v>消息与社交</x:v>
      </x:c>
      <x:c r="D586" s="10" t="str">
        <x:v>粉丝团群聊（被禁言粉丝团成员视角）</x:v>
      </x:c>
      <x:c r="E586" s="10" t="str">
        <x:v>异常用例</x:v>
      </x:c>
      <x:c r="F586" s="10" t="str">
        <x:v>P1</x:v>
      </x:c>
      <x:c r="G586" s="9" t="str">
        <x:v>验证群禁言禁用表情：禁言表情提示</x:v>
      </x:c>
      <x:c r="H586" s="9" t="str">
        <x:v>禁言表情提示</x:v>
      </x:c>
      <x:c r="I586" s="9" t="str">
        <x:v>1. 执行角色为被禁言粉丝团成员；当前处于粉丝团群聊页面</x:v>
      </x:c>
      <x:c r="J586" s="9" t="str">
        <x:v>1. 点击表情</x:v>
      </x:c>
      <x:c r="K586" s="9" t="str">
        <x:v>提示“当前被禁言”</x:v>
      </x:c>
      <x:c r="L586" s="10" t="str"/>
      <x:c r="M586" s="10" t="str">
        <x:v>未测</x:v>
      </x:c>
      <x:c r="N586" s="10" t="str"/>
      <x:c r="O586" s="9" t="str">
        <x:v>1. 来源（当前证据）：liveshow-proto/MainBasis/统一需求文档.md；位置：行907、行897
2. 规则：BR-efdb0b98793bcbeb
3. 未动态验证</x:v>
      </x:c>
    </x:row>
    <x:row r="587" ht="85" customHeight="1">
      <x:c r="A587" s="10" t="n">
        <x:v>586</x:v>
      </x:c>
      <x:c r="B587" s="10" t="str">
        <x:v>USER-04-0079</x:v>
      </x:c>
      <x:c r="C587" s="10" t="str">
        <x:v>消息与社交</x:v>
      </x:c>
      <x:c r="D587" s="10" t="str">
        <x:v>粉丝团群聊（被禁言粉丝团成员视角）</x:v>
      </x:c>
      <x:c r="E587" s="10" t="str">
        <x:v>异常用例</x:v>
      </x:c>
      <x:c r="F587" s="10" t="str">
        <x:v>P1</x:v>
      </x:c>
      <x:c r="G587" s="9" t="str">
        <x:v>验证群禁言禁用表情：表情功能拦截</x:v>
      </x:c>
      <x:c r="H587" s="9" t="str">
        <x:v>表情功能拦截</x:v>
      </x:c>
      <x:c r="I587" s="9" t="str">
        <x:v>1. 执行角色为被禁言粉丝团成员；当前处于粉丝团群聊页面</x:v>
      </x:c>
      <x:c r="J587" s="9" t="str">
        <x:v>1. 点击表情</x:v>
      </x:c>
      <x:c r="K587" s="9" t="str">
        <x:v>不打开表情功能</x:v>
      </x:c>
      <x:c r="L587" s="10" t="str"/>
      <x:c r="M587" s="10" t="str">
        <x:v>未测</x:v>
      </x:c>
      <x:c r="N587" s="10" t="str"/>
      <x:c r="O587" s="9" t="str">
        <x:v>1. 来源（当前证据）：liveshow-proto/MainBasis/统一需求文档.md；位置：行907、行897
2. 规则：BR-236da4e9b08ecaef
3. 未动态验证</x:v>
      </x:c>
    </x:row>
    <x:row r="588" ht="85" customHeight="1">
      <x:c r="A588" s="10" t="n">
        <x:v>587</x:v>
      </x:c>
      <x:c r="B588" s="10" t="str">
        <x:v>USER-04-0080</x:v>
      </x:c>
      <x:c r="C588" s="10" t="str">
        <x:v>消息与社交</x:v>
      </x:c>
      <x:c r="D588" s="10" t="str">
        <x:v>群管理（成员）（普通粉丝团成员视角）</x:v>
      </x:c>
      <x:c r="E588" s="10" t="str">
        <x:v>功能需求</x:v>
      </x:c>
      <x:c r="F588" s="10" t="str">
        <x:v>P1</x:v>
      </x:c>
      <x:c r="G588" s="9" t="str">
        <x:v>验证普通成员无管理权限</x:v>
      </x:c>
      <x:c r="H588" s="9" t="str">
        <x:v>普通群成员管理权限</x:v>
      </x:c>
      <x:c r="I588" s="9" t="str">
        <x:v>1. 执行角色为普通粉丝团成员；当前处于群管理（成员）页面</x:v>
      </x:c>
      <x:c r="J588" s="9" t="str">
        <x:v>1. 查看群管理入口</x:v>
      </x:c>
      <x:c r="K588" s="9" t="str">
        <x:v>不提供成员管理权限</x:v>
      </x:c>
      <x:c r="L588" s="10" t="str"/>
      <x:c r="M588" s="10" t="str">
        <x:v>未测</x:v>
      </x:c>
      <x:c r="N588" s="10" t="str"/>
      <x:c r="O588" s="9" t="str">
        <x:v>1. 来源（当前证据）：liveshow-proto/MainBasis/统一需求文档.md；位置：行914、行910
2. 规则：BR-f440ae6a8c9910b2
3. 未动态验证</x:v>
      </x:c>
    </x:row>
    <x:row r="589" ht="85" customHeight="1">
      <x:c r="A589" s="10" t="n">
        <x:v>588</x:v>
      </x:c>
      <x:c r="B589" s="10" t="str">
        <x:v>USER-04-0081</x:v>
      </x:c>
      <x:c r="C589" s="10" t="str">
        <x:v>消息与社交</x:v>
      </x:c>
      <x:c r="D589" s="10" t="str">
        <x:v>群管理（成员）（普通粉丝团成员视角）</x:v>
      </x:c>
      <x:c r="E589" s="10" t="str">
        <x:v>功能需求</x:v>
      </x:c>
      <x:c r="F589" s="10" t="str">
        <x:v>P1</x:v>
      </x:c>
      <x:c r="G589" s="9" t="str">
        <x:v>验证群免打扰不影响接收</x:v>
      </x:c>
      <x:c r="H589" s="9" t="str">
        <x:v>免打扰下消息接收</x:v>
      </x:c>
      <x:c r="I589" s="9" t="str">
        <x:v>1. 执行角色为普通粉丝团成员；当前处于群管理（成员）页面
2. 本群免打扰已开启；群内已发新消息</x:v>
      </x:c>
      <x:c r="J589" s="9" t="str">
        <x:v>1. 返回群聊</x:v>
      </x:c>
      <x:c r="K589" s="9" t="str">
        <x:v>仍接收新群消息</x:v>
      </x:c>
      <x:c r="L589" s="10" t="str"/>
      <x:c r="M589" s="10" t="str">
        <x:v>未测</x:v>
      </x:c>
      <x:c r="N589" s="10" t="str"/>
      <x:c r="O589" s="9" t="str">
        <x:v>1. 来源（当前证据）：liveshow-proto/MainBasis/统一需求文档.md；位置：行913、行917、行910
2. 规则：BR-cfda8fc83405b9d5
3. 未动态验证</x:v>
      </x:c>
    </x:row>
    <x:row r="590" ht="85" customHeight="1">
      <x:c r="A590" s="10" t="n">
        <x:v>589</x:v>
      </x:c>
      <x:c r="B590" s="10" t="str">
        <x:v>USER-04-0082</x:v>
      </x:c>
      <x:c r="C590" s="10" t="str">
        <x:v>消息与社交</x:v>
      </x:c>
      <x:c r="D590" s="10" t="str">
        <x:v>群管理（成员）（普通粉丝团成员视角）</x:v>
      </x:c>
      <x:c r="E590" s="10" t="str">
        <x:v>功能需求</x:v>
      </x:c>
      <x:c r="F590" s="10" t="str">
        <x:v>P1</x:v>
      </x:c>
      <x:c r="G590" s="9" t="str">
        <x:v>验证退团需要确认</x:v>
      </x:c>
      <x:c r="H590" s="9" t="str">
        <x:v>退团二次确认</x:v>
      </x:c>
      <x:c r="I590" s="9" t="str">
        <x:v>1. 执行角色为普通粉丝团成员；当前处于群管理（成员）页面</x:v>
      </x:c>
      <x:c r="J590" s="9" t="str">
        <x:v>1. 点击退出粉丝团</x:v>
      </x:c>
      <x:c r="K590" s="9" t="str">
        <x:v>显示二次确认</x:v>
      </x:c>
      <x:c r="L590" s="10" t="str"/>
      <x:c r="M590" s="10" t="str">
        <x:v>未测</x:v>
      </x:c>
      <x:c r="N590" s="10" t="str"/>
      <x:c r="O590" s="9" t="str">
        <x:v>1. 来源（当前证据）：liveshow-proto/MainBasis/统一需求文档.md；位置：行917、行910
2. 规则：BR-74053d7c52d47745
3. 未动态验证</x:v>
      </x:c>
    </x:row>
    <x:row r="591" ht="85" customHeight="1">
      <x:c r="A591" s="10" t="n">
        <x:v>590</x:v>
      </x:c>
      <x:c r="B591" s="10" t="str">
        <x:v>USER-04-0083</x:v>
      </x:c>
      <x:c r="C591" s="10" t="str">
        <x:v>消息与社交</x:v>
      </x:c>
      <x:c r="D591" s="10" t="str">
        <x:v>群管理（成员）（普通粉丝团成员视角）</x:v>
      </x:c>
      <x:c r="E591" s="10" t="str">
        <x:v>业务流程</x:v>
      </x:c>
      <x:c r="F591" s="10" t="str">
        <x:v>P1</x:v>
      </x:c>
      <x:c r="G591" s="9" t="str">
        <x:v>验证确认退团返回消息</x:v>
      </x:c>
      <x:c r="H591" s="9" t="str">
        <x:v>退团返回页面</x:v>
      </x:c>
      <x:c r="I591" s="9" t="str">
        <x:v>1. 执行角色为普通粉丝团成员；当前处于群管理（成员）页面</x:v>
      </x:c>
      <x:c r="J591" s="9" t="str">
        <x:v>1. 点击退出粉丝团
2. 点击确认退出</x:v>
      </x:c>
      <x:c r="K591" s="9" t="str">
        <x:v>离开群聊并返回消息中心</x:v>
      </x:c>
      <x:c r="L591" s="10" t="str"/>
      <x:c r="M591" s="10" t="str">
        <x:v>未测</x:v>
      </x:c>
      <x:c r="N591" s="10" t="str"/>
      <x:c r="O591" s="9" t="str">
        <x:v>1. 来源（当前证据）：liveshow-proto/MainBasis/统一需求文档.md；位置：行917、行910
2. 规则：BR-37b1f7033b2c21eb
3. 未动态验证</x:v>
      </x:c>
    </x:row>
    <x:row r="592" ht="85" customHeight="1">
      <x:c r="A592" s="10" t="n">
        <x:v>591</x:v>
      </x:c>
      <x:c r="B592" s="10" t="str">
        <x:v>USER-04-0084</x:v>
      </x:c>
      <x:c r="C592" s="10" t="str">
        <x:v>消息与社交</x:v>
      </x:c>
      <x:c r="D592" s="10" t="str">
        <x:v>群管理（成员）（普通粉丝团成员视角）</x:v>
      </x:c>
      <x:c r="E592" s="10" t="str">
        <x:v>功能需求</x:v>
      </x:c>
      <x:c r="F592" s="10" t="str">
        <x:v>P1</x:v>
      </x:c>
      <x:c r="G592" s="9" t="str">
        <x:v>验证退团不取消关注</x:v>
      </x:c>
      <x:c r="H592" s="9" t="str">
        <x:v>账号关系</x:v>
      </x:c>
      <x:c r="I592" s="9" t="str">
        <x:v>1. 执行角色为普通粉丝团成员；当前处于群管理（成员）页面
2. 当前已关注所属主播</x:v>
      </x:c>
      <x:c r="J592" s="9" t="str">
        <x:v>1. 点击退出粉丝团
2. 点击确认退出
3. 进入我的关注</x:v>
      </x:c>
      <x:c r="K592" s="9" t="str">
        <x:v>仍保留对该主播的关注</x:v>
      </x:c>
      <x:c r="L592" s="10" t="str"/>
      <x:c r="M592" s="10" t="str">
        <x:v>未测</x:v>
      </x:c>
      <x:c r="N592" s="10" t="str"/>
      <x:c r="O592" s="9" t="str">
        <x:v>1. 来源（当前证据）：liveshow-proto/MainBasis/统一需求文档.md；位置：行916、行514、行910
2. 规则：BR-3ea8ad3e08f65a3e
3. 未动态验证</x:v>
      </x:c>
    </x:row>
    <x:row r="593" ht="85" customHeight="1">
      <x:c r="A593" s="10" t="n">
        <x:v>592</x:v>
      </x:c>
      <x:c r="B593" s="10" t="str">
        <x:v>USER-04-0085</x:v>
      </x:c>
      <x:c r="C593" s="10" t="str">
        <x:v>消息与社交</x:v>
      </x:c>
      <x:c r="D593" s="10" t="str">
        <x:v>群管理（群主）（本粉丝团所属主播视角）</x:v>
      </x:c>
      <x:c r="E593" s="10" t="str">
        <x:v>功能需求</x:v>
      </x:c>
      <x:c r="F593" s="10" t="str">
        <x:v>P2</x:v>
      </x:c>
      <x:c r="G593" s="9" t="str">
        <x:v>验证编辑公告回填</x:v>
      </x:c>
      <x:c r="H593" s="9" t="str">
        <x:v>群公告编辑初值</x:v>
      </x:c>
      <x:c r="I593" s="9" t="str">
        <x:v>1. 执行角色为本粉丝团所属主播；当前处于群管理（群主）页面
2. 已有公告“QA旧公告”</x:v>
      </x:c>
      <x:c r="J593" s="9" t="str">
        <x:v>1. 点击编辑公告</x:v>
      </x:c>
      <x:c r="K593" s="9" t="str">
        <x:v>弹窗回填“QA旧公告”</x:v>
      </x:c>
      <x:c r="L593" s="10" t="str"/>
      <x:c r="M593" s="10" t="str">
        <x:v>未测</x:v>
      </x:c>
      <x:c r="N593" s="10" t="str"/>
      <x:c r="O593" s="9" t="str">
        <x:v>1. 来源（当前证据）：liveshow-proto/MainBasis/统一需求文档.md；位置：行926、行920
2. 规则：BR-2948394b38fd10bc
3. 未动态验证</x:v>
      </x:c>
    </x:row>
    <x:row r="594" ht="85" customHeight="1">
      <x:c r="A594" s="10" t="n">
        <x:v>593</x:v>
      </x:c>
      <x:c r="B594" s="10" t="str">
        <x:v>USER-04-0086</x:v>
      </x:c>
      <x:c r="C594" s="10" t="str">
        <x:v>消息与社交</x:v>
      </x:c>
      <x:c r="D594" s="10" t="str">
        <x:v>群管理（群主）（本粉丝团所属主播视角）</x:v>
      </x:c>
      <x:c r="E594" s="10" t="str">
        <x:v>功能需求</x:v>
      </x:c>
      <x:c r="F594" s="10" t="str">
        <x:v>P2</x:v>
      </x:c>
      <x:c r="G594" s="9" t="str">
        <x:v>验证公告支持换行</x:v>
      </x:c>
      <x:c r="H594" s="9" t="str">
        <x:v>数据保持</x:v>
      </x:c>
      <x:c r="I594" s="9" t="str">
        <x:v>1. 执行角色为本粉丝团所属主播；当前处于群管理（群主）页面</x:v>
      </x:c>
      <x:c r="J594" s="9" t="str">
        <x:v>1. 点击编辑公告
2. 输入“第一行
第二行”
3. 点击保存</x:v>
      </x:c>
      <x:c r="K594" s="9" t="str">
        <x:v>公告保留两行内容</x:v>
      </x:c>
      <x:c r="L594" s="10" t="str"/>
      <x:c r="M594" s="10" t="str">
        <x:v>未测</x:v>
      </x:c>
      <x:c r="N594" s="10" t="str"/>
      <x:c r="O594" s="9" t="str">
        <x:v>1. 来源（当前证据）：liveshow-proto/MainBasis/统一需求文档.md；位置：行926、行920
2. 规则：BR-d974ebebd0d89941
3. 未动态验证</x:v>
      </x:c>
    </x:row>
    <x:row r="595" ht="85" customHeight="1">
      <x:c r="A595" s="10" t="n">
        <x:v>594</x:v>
      </x:c>
      <x:c r="B595" s="10" t="str">
        <x:v>USER-04-0087</x:v>
      </x:c>
      <x:c r="C595" s="10" t="str">
        <x:v>消息与社交</x:v>
      </x:c>
      <x:c r="D595" s="10" t="str">
        <x:v>群管理（群主）（本粉丝团所属主播视角）</x:v>
      </x:c>
      <x:c r="E595" s="10" t="str">
        <x:v>逻辑校验</x:v>
      </x:c>
      <x:c r="F595" s="10" t="str">
        <x:v>P2</x:v>
      </x:c>
      <x:c r="G595" s="9" t="str">
        <x:v>验证公告200字符边界</x:v>
      </x:c>
      <x:c r="H595" s="9" t="str">
        <x:v>数据保持</x:v>
      </x:c>
      <x:c r="I595" s="9" t="str">
        <x:v>1. 执行角色为本粉丝团所属主播；当前处于群管理（群主）页面</x:v>
      </x:c>
      <x:c r="J595" s="9" t="str">
        <x:v>1. 点击编辑公告
2. 输入200个“测”
3. 点击保存</x:v>
      </x:c>
      <x:c r="K595" s="9" t="str">
        <x:v>公告保存200个字符</x:v>
      </x:c>
      <x:c r="L595" s="10" t="str"/>
      <x:c r="M595" s="10" t="str">
        <x:v>未测</x:v>
      </x:c>
      <x:c r="N595" s="10" t="str"/>
      <x:c r="O595" s="9" t="str">
        <x:v>1. 来源（当前证据）：liveshow-proto/MainBasis/统一需求文档.md；位置：行922、行926、行920
2. 规则：BR-07078e8abfe34de9
3. 未动态验证</x:v>
      </x:c>
    </x:row>
    <x:row r="596" ht="85" customHeight="1">
      <x:c r="A596" s="10" t="n">
        <x:v>595</x:v>
      </x:c>
      <x:c r="B596" s="10" t="str">
        <x:v>USER-04-0088</x:v>
      </x:c>
      <x:c r="C596" s="10" t="str">
        <x:v>消息与社交</x:v>
      </x:c>
      <x:c r="D596" s="10" t="str">
        <x:v>群管理（群主）（本粉丝团所属主播视角）</x:v>
      </x:c>
      <x:c r="E596" s="10" t="str">
        <x:v>逻辑校验</x:v>
      </x:c>
      <x:c r="F596" s="10" t="str">
        <x:v>P2</x:v>
      </x:c>
      <x:c r="G596" s="9" t="str">
        <x:v>验证公告201字符限制</x:v>
      </x:c>
      <x:c r="H596" s="9" t="str">
        <x:v>入口可用性</x:v>
      </x:c>
      <x:c r="I596" s="9" t="str">
        <x:v>1. 执行角色为本粉丝团所属主播；当前处于群管理（群主）页面</x:v>
      </x:c>
      <x:c r="J596" s="9" t="str">
        <x:v>1. 点击编辑公告
2. 输入200个“测”
3. 继续输入“多”</x:v>
      </x:c>
      <x:c r="K596" s="9" t="str">
        <x:v>公告不能超过200字符</x:v>
      </x:c>
      <x:c r="L596" s="10" t="str"/>
      <x:c r="M596" s="10" t="str">
        <x:v>未测</x:v>
      </x:c>
      <x:c r="N596" s="10" t="str"/>
      <x:c r="O596" s="9" t="str">
        <x:v>1. 来源（当前证据）：liveshow-proto/MainBasis/统一需求文档.md；位置：行926、行920
2. 规则：BR-5cc7cf37eca7278a
3. 未动态验证</x:v>
      </x:c>
    </x:row>
    <x:row r="597" ht="85" customHeight="1">
      <x:c r="A597" s="10" t="n">
        <x:v>596</x:v>
      </x:c>
      <x:c r="B597" s="10" t="str">
        <x:v>USER-04-0089</x:v>
      </x:c>
      <x:c r="C597" s="10" t="str">
        <x:v>消息与社交</x:v>
      </x:c>
      <x:c r="D597" s="10" t="str">
        <x:v>群管理（群主）（本粉丝团所属主播视角）</x:v>
      </x:c>
      <x:c r="E597" s="10" t="str">
        <x:v>功能需求</x:v>
      </x:c>
      <x:c r="F597" s="10" t="str">
        <x:v>P2</x:v>
      </x:c>
      <x:c r="G597" s="9" t="str">
        <x:v>验证空白公告不保存</x:v>
      </x:c>
      <x:c r="H597" s="9" t="str">
        <x:v>入口可用性</x:v>
      </x:c>
      <x:c r="I597" s="9" t="str">
        <x:v>1. 执行角色为本粉丝团所属主播；当前处于群管理（群主）页面</x:v>
      </x:c>
      <x:c r="J597" s="9" t="str">
        <x:v>1. 点击编辑公告
2. 输入三个空格
3. 查看保存按钮</x:v>
      </x:c>
      <x:c r="K597" s="9" t="str">
        <x:v>不能保存空白公告</x:v>
      </x:c>
      <x:c r="L597" s="10" t="str"/>
      <x:c r="M597" s="10" t="str">
        <x:v>未测</x:v>
      </x:c>
      <x:c r="N597" s="10" t="str"/>
      <x:c r="O597" s="9" t="str">
        <x:v>1. 来源（当前证据）：liveshow-proto/MainBasis/统一需求文档.md；位置：行926、行920
2. 规则：BR-63f780556ae845b8
3. 未动态验证</x:v>
      </x:c>
    </x:row>
    <x:row r="598" ht="85" customHeight="1">
      <x:c r="A598" s="10" t="n">
        <x:v>597</x:v>
      </x:c>
      <x:c r="B598" s="10" t="str">
        <x:v>USER-04-0090</x:v>
      </x:c>
      <x:c r="C598" s="10" t="str">
        <x:v>消息与社交</x:v>
      </x:c>
      <x:c r="D598" s="10" t="str">
        <x:v>群管理（群主）（本粉丝团所属主播视角）</x:v>
      </x:c>
      <x:c r="E598" s="10" t="str">
        <x:v>功能需求</x:v>
      </x:c>
      <x:c r="F598" s="10" t="str">
        <x:v>P2</x:v>
      </x:c>
      <x:c r="G598" s="9" t="str">
        <x:v>验证取消公告编辑</x:v>
      </x:c>
      <x:c r="H598" s="9" t="str">
        <x:v>群公告取消保留值</x:v>
      </x:c>
      <x:c r="I598" s="9" t="str">
        <x:v>1. 执行角色为本粉丝团所属主播；当前处于群管理（群主）页面
2. 原公告为QA旧公告</x:v>
      </x:c>
      <x:c r="J598" s="9" t="str">
        <x:v>1. 点击编辑公告
2. 输入QA新公告
3. 点击取消</x:v>
      </x:c>
      <x:c r="K598" s="9" t="str">
        <x:v>公告仍为QA旧公告</x:v>
      </x:c>
      <x:c r="L598" s="10" t="str"/>
      <x:c r="M598" s="10" t="str">
        <x:v>未测</x:v>
      </x:c>
      <x:c r="N598" s="10" t="str"/>
      <x:c r="O598" s="9" t="str">
        <x:v>1. 来源（当前证据）：liveshow-proto/MainBasis/统一需求文档.md；位置：行926、行920
2. 规则：BR-3c5a3543a8ab2439
3. 未动态验证</x:v>
      </x:c>
    </x:row>
    <x:row r="599" ht="85" customHeight="1">
      <x:c r="A599" s="10" t="n">
        <x:v>598</x:v>
      </x:c>
      <x:c r="B599" s="10" t="str">
        <x:v>USER-04-0091</x:v>
      </x:c>
      <x:c r="C599" s="10" t="str">
        <x:v>消息与社交</x:v>
      </x:c>
      <x:c r="D599" s="10" t="str">
        <x:v>群管理（群主）（本粉丝团所属主播视角）</x:v>
      </x:c>
      <x:c r="E599" s="10" t="str">
        <x:v>功能需求</x:v>
      </x:c>
      <x:c r="F599" s="10" t="str">
        <x:v>P2</x:v>
      </x:c>
      <x:c r="G599" s="9" t="str">
        <x:v>验证群成员管理入口</x:v>
      </x:c>
      <x:c r="H599" s="9" t="str">
        <x:v>群成员管理去向</x:v>
      </x:c>
      <x:c r="I599" s="9" t="str">
        <x:v>1. 执行角色为本粉丝团所属主播；当前处于群管理（群主）页面</x:v>
      </x:c>
      <x:c r="J599" s="9" t="str">
        <x:v>1. 点击群成员管理</x:v>
      </x:c>
      <x:c r="K599" s="9" t="str">
        <x:v>进入当前粉丝团成员管理页</x:v>
      </x:c>
      <x:c r="L599" s="10" t="str"/>
      <x:c r="M599" s="10" t="str">
        <x:v>未测</x:v>
      </x:c>
      <x:c r="N599" s="10" t="str"/>
      <x:c r="O599" s="9" t="str">
        <x:v>1. 来源（当前证据）：liveshow-proto/MainBasis/统一需求文档.md；位置：行928、行920
2. 规则：BR-c69ca10a8c3973f9
3. 未动态验证</x:v>
      </x:c>
    </x:row>
    <x:row r="600" ht="85" customHeight="1">
      <x:c r="A600" s="10" t="n">
        <x:v>599</x:v>
      </x:c>
      <x:c r="B600" s="10" t="str">
        <x:v>USER-04-0092</x:v>
      </x:c>
      <x:c r="C600" s="10" t="str">
        <x:v>消息与社交</x:v>
      </x:c>
      <x:c r="D600" s="10" t="str">
        <x:v>群管理（群主）（本粉丝团所属主播视角）</x:v>
      </x:c>
      <x:c r="E600" s="10" t="str">
        <x:v>功能需求</x:v>
      </x:c>
      <x:c r="F600" s="10" t="str">
        <x:v>P1</x:v>
      </x:c>
      <x:c r="G600" s="9" t="str">
        <x:v>验证群主免打扰不影响成员</x:v>
      </x:c>
      <x:c r="H600" s="9" t="str">
        <x:v>免打扰设置成员隔离</x:v>
      </x:c>
      <x:c r="I600" s="9" t="str">
        <x:v>1. 执行角色为本粉丝团所属主播；当前处于群管理（群主）页面
2. 其他成员A该群通知开启</x:v>
      </x:c>
      <x:c r="J600" s="9" t="str">
        <x:v>1. 打开群主免打扰
2. 查看成员A群通知设置</x:v>
      </x:c>
      <x:c r="K600" s="9" t="str">
        <x:v>成员A该群通知仍开启</x:v>
      </x:c>
      <x:c r="L600" s="10" t="str"/>
      <x:c r="M600" s="10" t="str">
        <x:v>未测</x:v>
      </x:c>
      <x:c r="N600" s="10" t="str"/>
      <x:c r="O600" s="9" t="str">
        <x:v>1. 来源（当前证据）：liveshow-proto/MainBasis/统一需求文档.md；位置：行925、行920
2. 规则：BR-b8d6ef83add161a8
3. 未动态验证</x:v>
      </x:c>
    </x:row>
    <x:row r="601" ht="85" customHeight="1">
      <x:c r="A601" s="10" t="n">
        <x:v>600</x:v>
      </x:c>
      <x:c r="B601" s="10" t="str">
        <x:v>USER-04-0093</x:v>
      </x:c>
      <x:c r="C601" s="10" t="str">
        <x:v>消息与社交</x:v>
      </x:c>
      <x:c r="D601" s="10" t="str">
        <x:v>群管理（群主）（本粉丝团所属主播视角）</x:v>
      </x:c>
      <x:c r="E601" s="10" t="str">
        <x:v>功能需求</x:v>
      </x:c>
      <x:c r="F601" s="10" t="str">
        <x:v>P2</x:v>
      </x:c>
      <x:c r="G601" s="9" t="str">
        <x:v>验证群管理返回</x:v>
      </x:c>
      <x:c r="H601" s="9" t="str">
        <x:v>群设置返回去向</x:v>
      </x:c>
      <x:c r="I601" s="9" t="str">
        <x:v>1. 执行角色为本粉丝团所属主播；当前处于群管理（群主）页面</x:v>
      </x:c>
      <x:c r="J601" s="9" t="str">
        <x:v>1. 点击返回</x:v>
      </x:c>
      <x:c r="K601" s="9" t="str">
        <x:v>进入粉丝群聊天页</x:v>
      </x:c>
      <x:c r="L601" s="10" t="str"/>
      <x:c r="M601" s="10" t="str">
        <x:v>未测</x:v>
      </x:c>
      <x:c r="N601" s="10" t="str"/>
      <x:c r="O601" s="9" t="str">
        <x:v>1. 来源（当前证据）：liveshow-proto/MainBasis/统一需求文档.md；位置：行929、行920
2. 规则：BR-39b0df3af5ef4545
3. 未动态验证</x:v>
      </x:c>
    </x:row>
    <x:row r="602" ht="85" customHeight="1">
      <x:c r="A602" s="10" t="n">
        <x:v>601</x:v>
      </x:c>
      <x:c r="B602" s="10" t="str">
        <x:v>USER-04-0094</x:v>
      </x:c>
      <x:c r="C602" s="10" t="str">
        <x:v>消息与社交</x:v>
      </x:c>
      <x:c r="D602" s="10" t="str">
        <x:v>单聊设置（已登录普通用户视角）</x:v>
      </x:c>
      <x:c r="E602" s="10" t="str">
        <x:v>功能需求</x:v>
      </x:c>
      <x:c r="F602" s="10" t="str">
        <x:v>P2</x:v>
      </x:c>
      <x:c r="G602" s="9" t="str">
        <x:v>验证聊天对象资料：私信对象头像</x:v>
      </x:c>
      <x:c r="H602" s="9" t="str">
        <x:v>私信对象头像</x:v>
      </x:c>
      <x:c r="I602" s="9" t="str">
        <x:v>1. 执行角色为已登录普通用户；当前处于单聊设置页面
2. 当前与测试账号B私信</x:v>
      </x:c>
      <x:c r="J602" s="9" t="str">
        <x:v>1. 查看对象资料</x:v>
      </x:c>
      <x:c r="K602" s="9" t="str">
        <x:v>头像对应B</x:v>
      </x:c>
      <x:c r="L602" s="10" t="str"/>
      <x:c r="M602" s="10" t="str">
        <x:v>未测</x:v>
      </x:c>
      <x:c r="N602" s="10" t="str"/>
      <x:c r="O602" s="9" t="str">
        <x:v>1. 来源（当前证据）：liveshow-proto/MainBasis/统一需求文档.md；位置：行934、行932
2. 规则：BR-acbcb934c57dc12e
3. 未动态验证</x:v>
      </x:c>
    </x:row>
    <x:row r="603" ht="85" customHeight="1">
      <x:c r="A603" s="10" t="n">
        <x:v>602</x:v>
      </x:c>
      <x:c r="B603" s="10" t="str">
        <x:v>USER-04-0095</x:v>
      </x:c>
      <x:c r="C603" s="10" t="str">
        <x:v>消息与社交</x:v>
      </x:c>
      <x:c r="D603" s="10" t="str">
        <x:v>单聊设置（已登录普通用户视角）</x:v>
      </x:c>
      <x:c r="E603" s="10" t="str">
        <x:v>功能需求</x:v>
      </x:c>
      <x:c r="F603" s="10" t="str">
        <x:v>P2</x:v>
      </x:c>
      <x:c r="G603" s="9" t="str">
        <x:v>验证聊天对象资料：私信对象昵称</x:v>
      </x:c>
      <x:c r="H603" s="9" t="str">
        <x:v>私信对象昵称</x:v>
      </x:c>
      <x:c r="I603" s="9" t="str">
        <x:v>1. 执行角色为已登录普通用户；当前处于单聊设置页面
2. 当前与测试账号B私信</x:v>
      </x:c>
      <x:c r="J603" s="9" t="str">
        <x:v>1. 查看对象资料</x:v>
      </x:c>
      <x:c r="K603" s="9" t="str">
        <x:v>昵称对应B</x:v>
      </x:c>
      <x:c r="L603" s="10" t="str"/>
      <x:c r="M603" s="10" t="str">
        <x:v>未测</x:v>
      </x:c>
      <x:c r="N603" s="10" t="str"/>
      <x:c r="O603" s="9" t="str">
        <x:v>1. 来源（当前证据）：liveshow-proto/MainBasis/统一需求文档.md；位置：行934、行932
2. 规则：BR-aa63aff28fb20698
3. 未动态验证</x:v>
      </x:c>
    </x:row>
    <x:row r="604" ht="85" customHeight="1">
      <x:c r="A604" s="10" t="n">
        <x:v>603</x:v>
      </x:c>
      <x:c r="B604" s="10" t="str">
        <x:v>USER-04-0096</x:v>
      </x:c>
      <x:c r="C604" s="10" t="str">
        <x:v>消息与社交</x:v>
      </x:c>
      <x:c r="D604" s="10" t="str">
        <x:v>单聊设置（已登录普通用户视角）</x:v>
      </x:c>
      <x:c r="E604" s="10" t="str">
        <x:v>功能需求</x:v>
      </x:c>
      <x:c r="F604" s="10" t="str">
        <x:v>P2</x:v>
      </x:c>
      <x:c r="G604" s="9" t="str">
        <x:v>验证聊天对象资料：私信对象等级</x:v>
      </x:c>
      <x:c r="H604" s="9" t="str">
        <x:v>私信对象等级</x:v>
      </x:c>
      <x:c r="I604" s="9" t="str">
        <x:v>1. 执行角色为已登录普通用户；当前处于单聊设置页面
2. 当前与测试账号B私信</x:v>
      </x:c>
      <x:c r="J604" s="9" t="str">
        <x:v>1. 查看对象资料</x:v>
      </x:c>
      <x:c r="K604" s="9" t="str">
        <x:v>等级对应B</x:v>
      </x:c>
      <x:c r="L604" s="10" t="str"/>
      <x:c r="M604" s="10" t="str">
        <x:v>未测</x:v>
      </x:c>
      <x:c r="N604" s="10" t="str"/>
      <x:c r="O604" s="9" t="str">
        <x:v>1. 来源（当前证据）：liveshow-proto/MainBasis/统一需求文档.md；位置：行934、行932
2. 规则：BR-cc7de0e029b7b090
3. 未动态验证</x:v>
      </x:c>
    </x:row>
    <x:row r="605" ht="85" customHeight="1">
      <x:c r="A605" s="10" t="n">
        <x:v>604</x:v>
      </x:c>
      <x:c r="B605" s="10" t="str">
        <x:v>USER-04-0097</x:v>
      </x:c>
      <x:c r="C605" s="10" t="str">
        <x:v>消息与社交</x:v>
      </x:c>
      <x:c r="D605" s="10" t="str">
        <x:v>单聊设置（已登录普通用户视角）</x:v>
      </x:c>
      <x:c r="E605" s="10" t="str">
        <x:v>功能需求</x:v>
      </x:c>
      <x:c r="F605" s="10" t="str">
        <x:v>P2</x:v>
      </x:c>
      <x:c r="G605" s="9" t="str">
        <x:v>验证聊天对象资料：私信对象勋章</x:v>
      </x:c>
      <x:c r="H605" s="9" t="str">
        <x:v>私信对象勋章</x:v>
      </x:c>
      <x:c r="I605" s="9" t="str">
        <x:v>1. 执行角色为已登录普通用户；当前处于单聊设置页面
2. 当前与测试账号B私信</x:v>
      </x:c>
      <x:c r="J605" s="9" t="str">
        <x:v>1. 查看对象资料</x:v>
      </x:c>
      <x:c r="K605" s="9" t="str">
        <x:v>勋章对应B</x:v>
      </x:c>
      <x:c r="L605" s="10" t="str"/>
      <x:c r="M605" s="10" t="str">
        <x:v>未测</x:v>
      </x:c>
      <x:c r="N605" s="10" t="str"/>
      <x:c r="O605" s="9" t="str">
        <x:v>1. 来源（当前证据）：liveshow-proto/MainBasis/统一需求文档.md；位置：行934、行932
2. 规则：BR-388a1fe790906440
3. 未动态验证</x:v>
      </x:c>
    </x:row>
    <x:row r="606" ht="85" customHeight="1">
      <x:c r="A606" s="10" t="n">
        <x:v>605</x:v>
      </x:c>
      <x:c r="B606" s="10" t="str">
        <x:v>USER-04-0098</x:v>
      </x:c>
      <x:c r="C606" s="10" t="str">
        <x:v>消息与社交</x:v>
      </x:c>
      <x:c r="D606" s="10" t="str">
        <x:v>单聊设置（已登录普通用户视角）</x:v>
      </x:c>
      <x:c r="E606" s="10" t="str">
        <x:v>功能需求</x:v>
      </x:c>
      <x:c r="F606" s="10" t="str">
        <x:v>P1</x:v>
      </x:c>
      <x:c r="G606" s="9" t="str">
        <x:v>验证单聊免打扰仍收消息</x:v>
      </x:c>
      <x:c r="H606" s="9" t="str">
        <x:v>免打扰下消息接收</x:v>
      </x:c>
      <x:c r="I606" s="9" t="str">
        <x:v>1. 执行角色为已登录普通用户；当前处于单聊设置页面
2. 该会话免打扰开启；对方已发新消息</x:v>
      </x:c>
      <x:c r="J606" s="9" t="str">
        <x:v>1. 返回单聊查看消息</x:v>
      </x:c>
      <x:c r="K606" s="9" t="str">
        <x:v>仍接收对方消息</x:v>
      </x:c>
      <x:c r="L606" s="10" t="str"/>
      <x:c r="M606" s="10" t="str">
        <x:v>未测</x:v>
      </x:c>
      <x:c r="N606" s="10" t="str"/>
      <x:c r="O606" s="9" t="str">
        <x:v>1. 来源（当前证据）：liveshow-proto/MainBasis/统一需求文档.md；位置：行935、行936、行932
2. 规则：BR-152471648d497489
3. 未动态验证</x:v>
      </x:c>
    </x:row>
    <x:row r="607" ht="85" customHeight="1">
      <x:c r="A607" s="10" t="n">
        <x:v>606</x:v>
      </x:c>
      <x:c r="B607" s="10" t="str">
        <x:v>USER-04-0099</x:v>
      </x:c>
      <x:c r="C607" s="10" t="str">
        <x:v>消息与社交</x:v>
      </x:c>
      <x:c r="D607" s="10" t="str">
        <x:v>单聊设置（已登录普通用户视角）</x:v>
      </x:c>
      <x:c r="E607" s="10" t="str">
        <x:v>功能需求</x:v>
      </x:c>
      <x:c r="F607" s="10" t="str">
        <x:v>P1</x:v>
      </x:c>
      <x:c r="G607" s="9" t="str">
        <x:v>验证取消拉黑确认</x:v>
      </x:c>
      <x:c r="H607" s="9" t="str">
        <x:v>账号关系</x:v>
      </x:c>
      <x:c r="I607" s="9" t="str">
        <x:v>1. 执行角色为已登录普通用户；当前处于单聊设置页面
2. 双方为好友；拉黑确认弹窗已打开</x:v>
      </x:c>
      <x:c r="J607" s="9" t="str">
        <x:v>1. 点击取消</x:v>
      </x:c>
      <x:c r="K607" s="9" t="str">
        <x:v>双方好友和会话保持</x:v>
      </x:c>
      <x:c r="L607" s="10" t="str"/>
      <x:c r="M607" s="10" t="str">
        <x:v>未测</x:v>
      </x:c>
      <x:c r="N607" s="10" t="str"/>
      <x:c r="O607" s="9" t="str">
        <x:v>1. 来源（当前证据）：liveshow-proto/MainBasis/统一需求文档.md；位置：行939、行1973、行932
2. 规则：BR-4e41a8d13f175c79
3. 未动态验证</x:v>
      </x:c>
    </x:row>
    <x:row r="608" ht="85" customHeight="1">
      <x:c r="A608" s="10" t="n">
        <x:v>607</x:v>
      </x:c>
      <x:c r="B608" s="10" t="str">
        <x:v>USER-04-0100</x:v>
      </x:c>
      <x:c r="C608" s="10" t="str">
        <x:v>消息与社交</x:v>
      </x:c>
      <x:c r="D608" s="10" t="str">
        <x:v>单聊设置（已登录普通用户视角）</x:v>
      </x:c>
      <x:c r="E608" s="10" t="str">
        <x:v>功能需求</x:v>
      </x:c>
      <x:c r="F608" s="10" t="str">
        <x:v>P1</x:v>
      </x:c>
      <x:c r="G608" s="9" t="str">
        <x:v>验证确认拉黑删除会话：退出单聊</x:v>
      </x:c>
      <x:c r="H608" s="9" t="str">
        <x:v>退出单聊</x:v>
      </x:c>
      <x:c r="I608" s="9" t="str">
        <x:v>1. 执行角色为已登录普通用户；当前处于单聊设置页面
2. 双方有历史聊天</x:v>
      </x:c>
      <x:c r="J608" s="9" t="str">
        <x:v>1. 点击拉黑
2. 点击确认拉黑</x:v>
      </x:c>
      <x:c r="K608" s="9" t="str">
        <x:v>退出当前单聊</x:v>
      </x:c>
      <x:c r="L608" s="10" t="str"/>
      <x:c r="M608" s="10" t="str">
        <x:v>未测</x:v>
      </x:c>
      <x:c r="N608" s="10" t="str"/>
      <x:c r="O608" s="9" t="str">
        <x:v>1. 来源（当前证据）：liveshow-proto/MainBasis/统一需求文档.md；位置：行939、行1972、行932
2. 规则：BR-b55199acb8446fad
3. 未动态验证</x:v>
      </x:c>
    </x:row>
    <x:row r="609" ht="85" customHeight="1">
      <x:c r="A609" s="10" t="n">
        <x:v>608</x:v>
      </x:c>
      <x:c r="B609" s="10" t="str">
        <x:v>USER-04-0101</x:v>
      </x:c>
      <x:c r="C609" s="10" t="str">
        <x:v>消息与社交</x:v>
      </x:c>
      <x:c r="D609" s="10" t="str">
        <x:v>单聊设置（已登录普通用户视角）</x:v>
      </x:c>
      <x:c r="E609" s="10" t="str">
        <x:v>功能需求</x:v>
      </x:c>
      <x:c r="F609" s="10" t="str">
        <x:v>P1</x:v>
      </x:c>
      <x:c r="G609" s="9" t="str">
        <x:v>验证确认拉黑删除会话：删除私信会话</x:v>
      </x:c>
      <x:c r="H609" s="9" t="str">
        <x:v>删除私信会话</x:v>
      </x:c>
      <x:c r="I609" s="9" t="str">
        <x:v>1. 执行角色为已登录普通用户；当前处于单聊设置页面
2. 双方有历史聊天</x:v>
      </x:c>
      <x:c r="J609" s="9" t="str">
        <x:v>1. 点击拉黑
2. 点击确认拉黑</x:v>
      </x:c>
      <x:c r="K609" s="9" t="str">
        <x:v>当前私信会话被删除</x:v>
      </x:c>
      <x:c r="L609" s="10" t="str"/>
      <x:c r="M609" s="10" t="str">
        <x:v>未测</x:v>
      </x:c>
      <x:c r="N609" s="10" t="str"/>
      <x:c r="O609" s="9" t="str">
        <x:v>1. 来源（当前证据）：liveshow-proto/MainBasis/统一需求文档.md；位置：行939、行1972、行932
2. 规则：BR-4c3801db37aa68b6
3. 未动态验证</x:v>
      </x:c>
    </x:row>
    <x:row r="610" ht="85" customHeight="1">
      <x:c r="A610" s="10" t="n">
        <x:v>609</x:v>
      </x:c>
      <x:c r="B610" s="10" t="str">
        <x:v>USER-04-0102</x:v>
      </x:c>
      <x:c r="C610" s="10" t="str">
        <x:v>消息与社交</x:v>
      </x:c>
      <x:c r="D610" s="10" t="str">
        <x:v>单聊设置（已登录普通用户视角）</x:v>
      </x:c>
      <x:c r="E610" s="10" t="str">
        <x:v>功能需求</x:v>
      </x:c>
      <x:c r="F610" s="10" t="str">
        <x:v>P2</x:v>
      </x:c>
      <x:c r="G610" s="9" t="str">
        <x:v>验证拉黑对象确认</x:v>
      </x:c>
      <x:c r="H610" s="9" t="str">
        <x:v>拉黑确认对象</x:v>
      </x:c>
      <x:c r="I610" s="9" t="str">
        <x:v>1. 执行角色为已登录普通用户；当前处于单聊设置页面
2. 当前聊天对象昵称B</x:v>
      </x:c>
      <x:c r="J610" s="9" t="str">
        <x:v>1. 点击拉黑</x:v>
      </x:c>
      <x:c r="K610" s="9" t="str">
        <x:v>确认弹窗展示对象B</x:v>
      </x:c>
      <x:c r="L610" s="10" t="str"/>
      <x:c r="M610" s="10" t="str">
        <x:v>未测</x:v>
      </x:c>
      <x:c r="N610" s="10" t="str"/>
      <x:c r="O610" s="9" t="str">
        <x:v>1. 来源（当前证据）：liveshow-proto/MainBasis/统一需求文档.md；位置：行1970、行932
2. 规则：BR-d2407f0917fc8105
3. 未动态验证</x:v>
      </x:c>
    </x:row>
    <x:row r="611" ht="85" customHeight="1">
      <x:c r="A611" s="10" t="n">
        <x:v>610</x:v>
      </x:c>
      <x:c r="B611" s="10" t="str">
        <x:v>USER-04-0103</x:v>
      </x:c>
      <x:c r="C611" s="10" t="str">
        <x:v>消息与社交</x:v>
      </x:c>
      <x:c r="D611" s="10" t="str">
        <x:v>单聊设置（已登录普通用户视角）</x:v>
      </x:c>
      <x:c r="E611" s="10" t="str">
        <x:v>功能需求</x:v>
      </x:c>
      <x:c r="F611" s="10" t="str">
        <x:v>P2</x:v>
      </x:c>
      <x:c r="G611" s="9" t="str">
        <x:v>验证单聊举报对象</x:v>
      </x:c>
      <x:c r="H611" s="9" t="str">
        <x:v>单聊举报目标</x:v>
      </x:c>
      <x:c r="I611" s="9" t="str">
        <x:v>1. 执行角色为已登录普通用户；当前处于单聊设置页面</x:v>
      </x:c>
      <x:c r="J611" s="9" t="str">
        <x:v>1. 点击举报</x:v>
      </x:c>
      <x:c r="K611" s="9" t="str">
        <x:v>进入当前聊天对象的账号举报流程</x:v>
      </x:c>
      <x:c r="L611" s="10" t="str"/>
      <x:c r="M611" s="10" t="str">
        <x:v>未测</x:v>
      </x:c>
      <x:c r="N611" s="10" t="str"/>
      <x:c r="O611" s="9" t="str">
        <x:v>1. 来源（当前证据）：liveshow-proto/MainBasis/统一需求文档.md；位置：行939、行932
2. 规则：BR-190a31094e2e041a
3. 未动态验证</x:v>
      </x:c>
    </x:row>
    <x:row r="612" ht="85" customHeight="1">
      <x:c r="A612" s="10" t="n">
        <x:v>611</x:v>
      </x:c>
      <x:c r="B612" s="10" t="str">
        <x:v>USER-04-0104</x:v>
      </x:c>
      <x:c r="C612" s="10" t="str">
        <x:v>消息与社交</x:v>
      </x:c>
      <x:c r="D612" s="10" t="str">
        <x:v>用户主页（查看他人主页的普通用户视角）</x:v>
      </x:c>
      <x:c r="E612" s="10" t="str">
        <x:v>功能需求</x:v>
      </x:c>
      <x:c r="F612" s="10" t="str">
        <x:v>P2</x:v>
      </x:c>
      <x:c r="G612" s="9" t="str">
        <x:v>验证用户主页资料</x:v>
      </x:c>
      <x:c r="H612" s="9" t="str">
        <x:v>被访用户资料来源</x:v>
      </x:c>
      <x:c r="I612" s="9" t="str">
        <x:v>1. 执行角色为查看他人主页的普通用户；当前处于用户主页页面
2. 当前对象已准备头像、昵称、ID、签名及有效装扮</x:v>
      </x:c>
      <x:c r="J612" s="9" t="str">
        <x:v>1. 查看用户资料</x:v>
      </x:c>
      <x:c r="K612" s="9" t="str">
        <x:v>显示当前查看对象资料</x:v>
      </x:c>
      <x:c r="L612" s="10" t="str"/>
      <x:c r="M612" s="10" t="str">
        <x:v>未测</x:v>
      </x:c>
      <x:c r="N612" s="10" t="str"/>
      <x:c r="O612" s="9" t="str">
        <x:v>1. 来源（当前证据）：liveshow-proto/MainBasis/统一需求文档.md；位置：行1042、行1049、行1040
2. 规则：BR-625a2bdbb4a4fe8e
3. 未动态验证</x:v>
      </x:c>
    </x:row>
    <x:row r="613" ht="85" customHeight="1">
      <x:c r="A613" s="10" t="n">
        <x:v>612</x:v>
      </x:c>
      <x:c r="B613" s="10" t="str">
        <x:v>USER-04-0105</x:v>
      </x:c>
      <x:c r="C613" s="10" t="str">
        <x:v>消息与社交</x:v>
      </x:c>
      <x:c r="D613" s="10" t="str">
        <x:v>用户主页（查看他人主页的普通用户视角）</x:v>
      </x:c>
      <x:c r="E613" s="10" t="str">
        <x:v>功能需求</x:v>
      </x:c>
      <x:c r="F613" s="10" t="str">
        <x:v>P1</x:v>
      </x:c>
      <x:c r="G613" s="9" t="str">
        <x:v>验证关注建立</x:v>
      </x:c>
      <x:c r="H613" s="9" t="str">
        <x:v>账号关系</x:v>
      </x:c>
      <x:c r="I613" s="9" t="str">
        <x:v>1. 执行角色为查看他人主页的普通用户；当前处于用户主页页面
2. 当前未关注B且未拉黑</x:v>
      </x:c>
      <x:c r="J613" s="9" t="str">
        <x:v>1. 点击关注</x:v>
      </x:c>
      <x:c r="K613" s="9" t="str">
        <x:v>与B的关注状态更新为已关注</x:v>
      </x:c>
      <x:c r="L613" s="10" t="str"/>
      <x:c r="M613" s="10" t="str">
        <x:v>未测</x:v>
      </x:c>
      <x:c r="N613" s="10" t="str"/>
      <x:c r="O613" s="9" t="str">
        <x:v>1. 来源（当前证据）：liveshow-proto/MainBasis/统一需求文档.md；位置：行1050、行1040
2. 规则：BR-5c83e8997a25aef9
3. 未动态验证</x:v>
      </x:c>
    </x:row>
    <x:row r="614" ht="85" customHeight="1">
      <x:c r="A614" s="10" t="n">
        <x:v>613</x:v>
      </x:c>
      <x:c r="B614" s="10" t="str">
        <x:v>USER-04-0106</x:v>
      </x:c>
      <x:c r="C614" s="10" t="str">
        <x:v>消息与社交</x:v>
      </x:c>
      <x:c r="D614" s="10" t="str">
        <x:v>用户主页（查看他人主页的普通用户视角）</x:v>
      </x:c>
      <x:c r="E614" s="10" t="str">
        <x:v>功能需求</x:v>
      </x:c>
      <x:c r="F614" s="10" t="str">
        <x:v>P1</x:v>
      </x:c>
      <x:c r="G614" s="9" t="str">
        <x:v>验证取消关注</x:v>
      </x:c>
      <x:c r="H614" s="9" t="str">
        <x:v>账号关系</x:v>
      </x:c>
      <x:c r="I614" s="9" t="str">
        <x:v>1. 执行角色为查看他人主页的普通用户；当前处于用户主页页面
2. 当前已关注B</x:v>
      </x:c>
      <x:c r="J614" s="9" t="str">
        <x:v>1. 点击取消关注</x:v>
      </x:c>
      <x:c r="K614" s="9" t="str">
        <x:v>与B的关注状态更新为未关注</x:v>
      </x:c>
      <x:c r="L614" s="10" t="str"/>
      <x:c r="M614" s="10" t="str">
        <x:v>未测</x:v>
      </x:c>
      <x:c r="N614" s="10" t="str"/>
      <x:c r="O614" s="9" t="str">
        <x:v>1. 来源（当前证据）：liveshow-proto/MainBasis/统一需求文档.md；位置：行1050、行1040
2. 规则：BR-53c22c82d49bbe45
3. 未动态验证</x:v>
      </x:c>
    </x:row>
    <x:row r="615" ht="85" customHeight="1">
      <x:c r="A615" s="10" t="n">
        <x:v>614</x:v>
      </x:c>
      <x:c r="B615" s="10" t="str">
        <x:v>USER-04-0107</x:v>
      </x:c>
      <x:c r="C615" s="10" t="str">
        <x:v>消息与社交</x:v>
      </x:c>
      <x:c r="D615" s="10" t="str">
        <x:v>用户主页（查看他人主页的普通用户视角）</x:v>
      </x:c>
      <x:c r="E615" s="10" t="str">
        <x:v>功能需求</x:v>
      </x:c>
      <x:c r="F615" s="10" t="str">
        <x:v>P1</x:v>
      </x:c>
      <x:c r="G615" s="9" t="str">
        <x:v>验证取消关注不删好友</x:v>
      </x:c>
      <x:c r="H615" s="9" t="str">
        <x:v>账号关系</x:v>
      </x:c>
      <x:c r="I615" s="9" t="str">
        <x:v>1. 执行角色为查看他人主页的普通用户；当前处于用户主页页面
2. B同时为已关注对象及好友</x:v>
      </x:c>
      <x:c r="J615" s="9" t="str">
        <x:v>1. 点击取消关注
2. 查看好友状态</x:v>
      </x:c>
      <x:c r="K615" s="9" t="str">
        <x:v>好友关系仍保留</x:v>
      </x:c>
      <x:c r="L615" s="10" t="str"/>
      <x:c r="M615" s="10" t="str">
        <x:v>未测</x:v>
      </x:c>
      <x:c r="N615" s="10" t="str"/>
      <x:c r="O615" s="9" t="str">
        <x:v>1. 来源（当前证据）：liveshow-proto/MainBasis/统一需求文档.md；位置：行1047、行1939、行1040
2. 规则：BR-bfd78266e5f9f931
3. 未动态验证</x:v>
      </x:c>
    </x:row>
    <x:row r="616" ht="85" customHeight="1">
      <x:c r="A616" s="10" t="n">
        <x:v>615</x:v>
      </x:c>
      <x:c r="B616" s="10" t="str">
        <x:v>USER-04-0108</x:v>
      </x:c>
      <x:c r="C616" s="10" t="str">
        <x:v>消息与社交</x:v>
      </x:c>
      <x:c r="D616" s="10" t="str">
        <x:v>用户主页（查看他人主页的普通用户视角）</x:v>
      </x:c>
      <x:c r="E616" s="10" t="str">
        <x:v>功能需求</x:v>
      </x:c>
      <x:c r="F616" s="10" t="str">
        <x:v>P2</x:v>
      </x:c>
      <x:c r="G616" s="9" t="str">
        <x:v>验证删除好友确认</x:v>
      </x:c>
      <x:c r="H616" s="9" t="str">
        <x:v>删除好友确认弹窗</x:v>
      </x:c>
      <x:c r="I616" s="9" t="str">
        <x:v>1. 执行角色为查看他人主页的普通用户；当前处于用户主页页面
2. B为当前好友</x:v>
      </x:c>
      <x:c r="J616" s="9" t="str">
        <x:v>1. 点击删除好友</x:v>
      </x:c>
      <x:c r="K616" s="9" t="str">
        <x:v>显示二次确认</x:v>
      </x:c>
      <x:c r="L616" s="10" t="str"/>
      <x:c r="M616" s="10" t="str">
        <x:v>未测</x:v>
      </x:c>
      <x:c r="N616" s="10" t="str"/>
      <x:c r="O616" s="9" t="str">
        <x:v>1. 来源（当前证据）：liveshow-proto/MainBasis/统一需求文档.md；位置：行1939、行1040
2. 规则：BR-998058b0d2c4af10
3. 未动态验证</x:v>
      </x:c>
    </x:row>
    <x:row r="617" ht="85" customHeight="1">
      <x:c r="A617" s="10" t="n">
        <x:v>616</x:v>
      </x:c>
      <x:c r="B617" s="10" t="str">
        <x:v>USER-04-0109</x:v>
      </x:c>
      <x:c r="C617" s="10" t="str">
        <x:v>消息与社交</x:v>
      </x:c>
      <x:c r="D617" s="10" t="str">
        <x:v>用户主页（查看他人主页的普通用户视角）</x:v>
      </x:c>
      <x:c r="E617" s="10" t="str">
        <x:v>功能需求</x:v>
      </x:c>
      <x:c r="F617" s="10" t="str">
        <x:v>P1</x:v>
      </x:c>
      <x:c r="G617" s="9" t="str">
        <x:v>验证删除好友不取消关注</x:v>
      </x:c>
      <x:c r="H617" s="9" t="str">
        <x:v>账号关系</x:v>
      </x:c>
      <x:c r="I617" s="9" t="str">
        <x:v>1. 执行角色为查看他人主页的普通用户；当前处于用户主页页面
2. 当前已关注好友B</x:v>
      </x:c>
      <x:c r="J617" s="9" t="str">
        <x:v>1. 点击删除好友
2. 点击确认删除
3. 查看关注状态</x:v>
      </x:c>
      <x:c r="K617" s="9" t="str">
        <x:v>仍为已关注B</x:v>
      </x:c>
      <x:c r="L617" s="10" t="str"/>
      <x:c r="M617" s="10" t="str">
        <x:v>未测</x:v>
      </x:c>
      <x:c r="N617" s="10" t="str"/>
      <x:c r="O617" s="9" t="str">
        <x:v>1. 来源（当前证据）：liveshow-proto/MainBasis/统一需求文档.md；位置：行1937、行1040
2. 规则：BR-30a4f1199fd64d8c
3. 未动态验证</x:v>
      </x:c>
    </x:row>
    <x:row r="618" ht="85" customHeight="1">
      <x:c r="A618" s="10" t="n">
        <x:v>617</x:v>
      </x:c>
      <x:c r="B618" s="10" t="str">
        <x:v>USER-04-0110</x:v>
      </x:c>
      <x:c r="C618" s="10" t="str">
        <x:v>消息与社交</x:v>
      </x:c>
      <x:c r="D618" s="10" t="str">
        <x:v>用户主页（查看他人主页的普通用户视角）</x:v>
      </x:c>
      <x:c r="E618" s="10" t="str">
        <x:v>功能需求</x:v>
      </x:c>
      <x:c r="F618" s="10" t="str">
        <x:v>P2</x:v>
      </x:c>
      <x:c r="G618" s="9" t="str">
        <x:v>验证好友进入单聊</x:v>
      </x:c>
      <x:c r="H618" s="9" t="str">
        <x:v>好友私信会话对象</x:v>
      </x:c>
      <x:c r="I618" s="9" t="str">
        <x:v>1. 执行角色为查看他人主页的普通用户；当前处于用户主页页面
2. B为当前好友</x:v>
      </x:c>
      <x:c r="J618" s="9" t="str">
        <x:v>1. 点击私信</x:v>
      </x:c>
      <x:c r="K618" s="9" t="str">
        <x:v>进入与B的单聊</x:v>
      </x:c>
      <x:c r="L618" s="10" t="str"/>
      <x:c r="M618" s="10" t="str">
        <x:v>未测</x:v>
      </x:c>
      <x:c r="N618" s="10" t="str"/>
      <x:c r="O618" s="9" t="str">
        <x:v>1. 来源（当前证据）：liveshow-proto/MainBasis/统一需求文档.md；位置：行1939、行1040
2. 规则：BR-dd2c2e2123472f25
3. 未动态验证</x:v>
      </x:c>
    </x:row>
    <x:row r="619" ht="85" customHeight="1">
      <x:c r="A619" s="10" t="n">
        <x:v>618</x:v>
      </x:c>
      <x:c r="B619" s="10" t="str">
        <x:v>USER-04-0111</x:v>
      </x:c>
      <x:c r="C619" s="10" t="str">
        <x:v>消息与社交</x:v>
      </x:c>
      <x:c r="D619" s="10" t="str">
        <x:v>用户主页（查看他人主页的普通用户视角）</x:v>
      </x:c>
      <x:c r="E619" s="10" t="str">
        <x:v>功能需求</x:v>
      </x:c>
      <x:c r="F619" s="10" t="str">
        <x:v>P1</x:v>
      </x:c>
      <x:c r="G619" s="9" t="str">
        <x:v>验证拉黑确认取消</x:v>
      </x:c>
      <x:c r="H619" s="9" t="str">
        <x:v>账号关系</x:v>
      </x:c>
      <x:c r="I619" s="9" t="str">
        <x:v>1. 执行角色为查看他人主页的普通用户；当前处于用户主页页面
2. B为当前好友</x:v>
      </x:c>
      <x:c r="J619" s="9" t="str">
        <x:v>1. 点击拉黑
2. 点击取消</x:v>
      </x:c>
      <x:c r="K619" s="9" t="str">
        <x:v>好友及关注关系不改变</x:v>
      </x:c>
      <x:c r="L619" s="10" t="str"/>
      <x:c r="M619" s="10" t="str">
        <x:v>未测</x:v>
      </x:c>
      <x:c r="N619" s="10" t="str"/>
      <x:c r="O619" s="9" t="str">
        <x:v>1. 来源（当前证据）：liveshow-proto/MainBasis/统一需求文档.md；位置：行1052、行1040
2. 规则：BR-cf50bee087183468
3. 未动态验证</x:v>
      </x:c>
    </x:row>
    <x:row r="620" ht="85" customHeight="1">
      <x:c r="A620" s="10" t="n">
        <x:v>619</x:v>
      </x:c>
      <x:c r="B620" s="10" t="str">
        <x:v>USER-04-0112</x:v>
      </x:c>
      <x:c r="C620" s="10" t="str">
        <x:v>消息与社交</x:v>
      </x:c>
      <x:c r="D620" s="10" t="str">
        <x:v>用户主页（查看他人主页的普通用户视角）</x:v>
      </x:c>
      <x:c r="E620" s="10" t="str">
        <x:v>功能需求</x:v>
      </x:c>
      <x:c r="F620" s="10" t="str">
        <x:v>P1</x:v>
      </x:c>
      <x:c r="G620" s="9" t="str">
        <x:v>验证确认拉黑隐藏社交操作</x:v>
      </x:c>
      <x:c r="H620" s="9" t="str">
        <x:v>拉黑后社交入口可见性</x:v>
      </x:c>
      <x:c r="I620" s="9" t="str">
        <x:v>1. 执行角色为查看他人主页的普通用户；当前处于用户主页页面</x:v>
      </x:c>
      <x:c r="J620" s="9" t="str">
        <x:v>1. 点击拉黑
2. 点击确认拉黑</x:v>
      </x:c>
      <x:c r="K620" s="9" t="str">
        <x:v>主页隐藏关注、好友和私信操作</x:v>
      </x:c>
      <x:c r="L620" s="10" t="str"/>
      <x:c r="M620" s="10" t="str">
        <x:v>未测</x:v>
      </x:c>
      <x:c r="N620" s="10" t="str"/>
      <x:c r="O620" s="9" t="str">
        <x:v>1. 来源（当前证据）：liveshow-proto/MainBasis/统一需求文档.md；位置：行1945、行1949、行1040
2. 规则：BR-c1a66e8f5ef3d691
3. 未动态验证</x:v>
      </x:c>
    </x:row>
    <x:row r="621" ht="85" customHeight="1">
      <x:c r="A621" s="10" t="n">
        <x:v>620</x:v>
      </x:c>
      <x:c r="B621" s="10" t="str">
        <x:v>USER-04-0113</x:v>
      </x:c>
      <x:c r="C621" s="10" t="str">
        <x:v>消息与社交</x:v>
      </x:c>
      <x:c r="D621" s="10" t="str">
        <x:v>用户主页（查看他人主页的普通用户视角）</x:v>
      </x:c>
      <x:c r="E621" s="10" t="str">
        <x:v>功能需求</x:v>
      </x:c>
      <x:c r="F621" s="10" t="str">
        <x:v>P1</x:v>
      </x:c>
      <x:c r="G621" s="9" t="str">
        <x:v>验证取消拉黑不恢复关系</x:v>
      </x:c>
      <x:c r="H621" s="9" t="str">
        <x:v>账号关系</x:v>
      </x:c>
      <x:c r="I621" s="9" t="str">
        <x:v>1. 执行角色为查看他人主页的普通用户；当前处于用户主页页面
2. B已被当前账号拉黑，B没有反向拉黑</x:v>
      </x:c>
      <x:c r="J621" s="9" t="str">
        <x:v>1. 点击取消拉黑
2. 点击确认</x:v>
      </x:c>
      <x:c r="K621" s="9" t="str">
        <x:v>恢复可操作状态但关注、好友关系均未建立</x:v>
      </x:c>
      <x:c r="L621" s="10" t="str"/>
      <x:c r="M621" s="10" t="str">
        <x:v>未测</x:v>
      </x:c>
      <x:c r="N621" s="10" t="str"/>
      <x:c r="O621" s="9" t="str">
        <x:v>1. 来源（当前证据）：liveshow-proto/MainBasis/统一需求文档.md；位置：行1948、行1949、行1040
2. 规则：BR-6b1074a997714d49
3. 未动态验证</x:v>
      </x:c>
    </x:row>
    <x:row r="622" ht="85" customHeight="1">
      <x:c r="A622" s="10" t="n">
        <x:v>621</x:v>
      </x:c>
      <x:c r="B622" s="10" t="str">
        <x:v>USER-04-0114</x:v>
      </x:c>
      <x:c r="C622" s="10" t="str">
        <x:v>消息与社交</x:v>
      </x:c>
      <x:c r="D622" s="10" t="str">
        <x:v>主播主页（查看主播主页的普通用户视角）</x:v>
      </x:c>
      <x:c r="E622" s="10" t="str">
        <x:v>功能需求</x:v>
      </x:c>
      <x:c r="F622" s="10" t="str">
        <x:v>P2</x:v>
      </x:c>
      <x:c r="G622" s="9" t="str">
        <x:v>验证等级值独立：主播等级</x:v>
      </x:c>
      <x:c r="H622" s="9" t="str">
        <x:v>主播等级</x:v>
      </x:c>
      <x:c r="I622" s="9" t="str">
        <x:v>1. 执行角色为查看主播主页的普通用户；当前处于主播主页页面
2. 目标主播等级10，财富等级5</x:v>
      </x:c>
      <x:c r="J622" s="9" t="str">
        <x:v>1. 查看等级</x:v>
      </x:c>
      <x:c r="K622" s="9" t="str">
        <x:v>主播等级为10</x:v>
      </x:c>
      <x:c r="L622" s="10" t="str"/>
      <x:c r="M622" s="10" t="str">
        <x:v>未测</x:v>
      </x:c>
      <x:c r="N622" s="10" t="str"/>
      <x:c r="O622" s="9" t="str">
        <x:v>1. 来源（当前证据）：liveshow-proto/MainBasis/统一需求文档.md；位置：行1062、行1055
2. 规则：BR-a97ff20245c13391
3. 未动态验证</x:v>
      </x:c>
    </x:row>
    <x:row r="623" ht="85" customHeight="1">
      <x:c r="A623" s="10" t="n">
        <x:v>622</x:v>
      </x:c>
      <x:c r="B623" s="10" t="str">
        <x:v>USER-04-0115</x:v>
      </x:c>
      <x:c r="C623" s="10" t="str">
        <x:v>消息与社交</x:v>
      </x:c>
      <x:c r="D623" s="10" t="str">
        <x:v>主播主页（查看主播主页的普通用户视角）</x:v>
      </x:c>
      <x:c r="E623" s="10" t="str">
        <x:v>功能需求</x:v>
      </x:c>
      <x:c r="F623" s="10" t="str">
        <x:v>P2</x:v>
      </x:c>
      <x:c r="G623" s="9" t="str">
        <x:v>验证等级值独立：财富等级</x:v>
      </x:c>
      <x:c r="H623" s="9" t="str">
        <x:v>财富等级</x:v>
      </x:c>
      <x:c r="I623" s="9" t="str">
        <x:v>1. 执行角色为查看主播主页的普通用户；当前处于主播主页页面
2. 目标主播等级10，财富等级5</x:v>
      </x:c>
      <x:c r="J623" s="9" t="str">
        <x:v>1. 查看等级</x:v>
      </x:c>
      <x:c r="K623" s="9" t="str">
        <x:v>财富等级为5</x:v>
      </x:c>
      <x:c r="L623" s="10" t="str"/>
      <x:c r="M623" s="10" t="str">
        <x:v>未测</x:v>
      </x:c>
      <x:c r="N623" s="10" t="str"/>
      <x:c r="O623" s="9" t="str">
        <x:v>1. 来源（当前证据）：liveshow-proto/MainBasis/统一需求文档.md；位置：行1062、行1055
2. 规则：BR-24613fc86ba2175d
3. 未动态验证</x:v>
      </x:c>
    </x:row>
    <x:row r="624" ht="85" customHeight="1">
      <x:c r="A624" s="10" t="n">
        <x:v>623</x:v>
      </x:c>
      <x:c r="B624" s="10" t="str">
        <x:v>USER-04-0116</x:v>
      </x:c>
      <x:c r="C624" s="10" t="str">
        <x:v>消息与社交</x:v>
      </x:c>
      <x:c r="D624" s="10" t="str">
        <x:v>主播主页（查看主播主页的普通用户视角）</x:v>
      </x:c>
      <x:c r="E624" s="10" t="str">
        <x:v>功能需求</x:v>
      </x:c>
      <x:c r="F624" s="10" t="str">
        <x:v>P2</x:v>
      </x:c>
      <x:c r="G624" s="9" t="str">
        <x:v>验证未开播无当前场次入口</x:v>
      </x:c>
      <x:c r="H624" s="9" t="str">
        <x:v>未开播场次入口隐藏</x:v>
      </x:c>
      <x:c r="I624" s="9" t="str">
        <x:v>1. 执行角色为查看主播主页的普通用户；当前处于主播主页页面
2. 目标主播未开播</x:v>
      </x:c>
      <x:c r="J624" s="9" t="str">
        <x:v>1. 查看直播入口</x:v>
      </x:c>
      <x:c r="K624" s="9" t="str">
        <x:v>不提供当前直播场次入口</x:v>
      </x:c>
      <x:c r="L624" s="10" t="str"/>
      <x:c r="M624" s="10" t="str">
        <x:v>未测</x:v>
      </x:c>
      <x:c r="N624" s="10" t="str"/>
      <x:c r="O624" s="9" t="str">
        <x:v>1. 来源（当前证据）：liveshow-proto/MainBasis/统一需求文档.md；位置：行1063、行1055
2. 规则：BR-52c09a3d6cac8663
3. 未动态验证</x:v>
      </x:c>
    </x:row>
    <x:row r="625" ht="85" customHeight="1">
      <x:c r="A625" s="10" t="n">
        <x:v>624</x:v>
      </x:c>
      <x:c r="B625" s="10" t="str">
        <x:v>USER-04-0117</x:v>
      </x:c>
      <x:c r="C625" s="10" t="str">
        <x:v>消息与社交</x:v>
      </x:c>
      <x:c r="D625" s="10" t="str">
        <x:v>主播主页（查看主播主页的普通用户视角）</x:v>
      </x:c>
      <x:c r="E625" s="10" t="str">
        <x:v>功能需求</x:v>
      </x:c>
      <x:c r="F625" s="10" t="str">
        <x:v>P2</x:v>
      </x:c>
      <x:c r="G625" s="9" t="str">
        <x:v>验证已入团进入贡献榜</x:v>
      </x:c>
      <x:c r="H625" s="9" t="str">
        <x:v>有团籍贡献榜入口</x:v>
      </x:c>
      <x:c r="I625" s="9" t="str">
        <x:v>1. 执行角色为查看主播主页的普通用户；当前处于主播主页页面
2. 当前已加入该主播粉丝团</x:v>
      </x:c>
      <x:c r="J625" s="9" t="str">
        <x:v>1. 点击粉丝团</x:v>
      </x:c>
      <x:c r="K625" s="9" t="str">
        <x:v>进入该主播粉丝团贡献榜</x:v>
      </x:c>
      <x:c r="L625" s="10" t="str"/>
      <x:c r="M625" s="10" t="str">
        <x:v>未测</x:v>
      </x:c>
      <x:c r="N625" s="10" t="str"/>
      <x:c r="O625" s="9" t="str">
        <x:v>1. 来源（当前证据）：liveshow-proto/MainBasis/统一需求文档.md；位置：行1068、行1055
2. 规则：BR-ce01e07b778bbe41
3. 未动态验证</x:v>
      </x:c>
    </x:row>
    <x:row r="626" ht="85" customHeight="1">
      <x:c r="A626" s="10" t="n">
        <x:v>625</x:v>
      </x:c>
      <x:c r="B626" s="10" t="str">
        <x:v>USER-04-0118</x:v>
      </x:c>
      <x:c r="C626" s="10" t="str">
        <x:v>消息与社交</x:v>
      </x:c>
      <x:c r="D626" s="10" t="str">
        <x:v>主播主页（查看主播主页的普通用户视角）</x:v>
      </x:c>
      <x:c r="E626" s="10" t="str">
        <x:v>功能需求</x:v>
      </x:c>
      <x:c r="F626" s="10" t="str">
        <x:v>P2</x:v>
      </x:c>
      <x:c r="G626" s="9" t="str">
        <x:v>验证未入团打开加入视图</x:v>
      </x:c>
      <x:c r="H626" s="9" t="str">
        <x:v>无团籍加入弹层</x:v>
      </x:c>
      <x:c r="I626" s="9" t="str">
        <x:v>1. 执行角色为查看主播主页的普通用户；当前处于主播主页页面
2. 当前未加入该主播粉丝团且无拉黑</x:v>
      </x:c>
      <x:c r="J626" s="9" t="str">
        <x:v>1. 点击粉丝团</x:v>
      </x:c>
      <x:c r="K626" s="9" t="str">
        <x:v>打开加入粉丝团视图</x:v>
      </x:c>
      <x:c r="L626" s="10" t="str"/>
      <x:c r="M626" s="10" t="str">
        <x:v>未测</x:v>
      </x:c>
      <x:c r="N626" s="10" t="str"/>
      <x:c r="O626" s="9" t="str">
        <x:v>1. 来源（当前证据）：liveshow-proto/MainBasis/统一需求文档.md；位置：行1068、行1055
2. 规则：BR-cacff6e1098db393
3. 未动态验证</x:v>
      </x:c>
    </x:row>
    <x:row r="627" ht="85" customHeight="1">
      <x:c r="A627" s="10" t="n">
        <x:v>626</x:v>
      </x:c>
      <x:c r="B627" s="10" t="str">
        <x:v>USER-04-0119</x:v>
      </x:c>
      <x:c r="C627" s="10" t="str">
        <x:v>消息与社交</x:v>
      </x:c>
      <x:c r="D627" s="10" t="str">
        <x:v>主播主页（查看主播主页的普通用户视角）</x:v>
      </x:c>
      <x:c r="E627" s="10" t="str">
        <x:v>功能需求</x:v>
      </x:c>
      <x:c r="F627" s="10" t="str">
        <x:v>P1</x:v>
      </x:c>
      <x:c r="G627" s="9" t="str">
        <x:v>验证主播历史数据不串号</x:v>
      </x:c>
      <x:c r="H627" s="9" t="str">
        <x:v>历史主播统计归属</x:v>
      </x:c>
      <x:c r="I627" s="9" t="str">
        <x:v>1. 执行角色为查看主播主页的普通用户；当前处于主播主页页面
2. 主播A和B历史数据不同；当前查看A</x:v>
      </x:c>
      <x:c r="J627" s="9" t="str">
        <x:v>1. 查看历史统计</x:v>
      </x:c>
      <x:c r="K627" s="9" t="str">
        <x:v>仅展示主播A的数据</x:v>
      </x:c>
      <x:c r="L627" s="10" t="str"/>
      <x:c r="M627" s="10" t="str">
        <x:v>未测</x:v>
      </x:c>
      <x:c r="N627" s="10" t="str"/>
      <x:c r="O627" s="9" t="str">
        <x:v>1. 来源（当前证据）：liveshow-proto/MainBasis/统一需求文档.md；位置：行1067、行1055
2. 规则：BR-9b67664e53b52341
3. 未动态验证</x:v>
      </x:c>
    </x:row>
    <x:row r="628" ht="85" customHeight="1">
      <x:c r="A628" s="10" t="n">
        <x:v>627</x:v>
      </x:c>
      <x:c r="B628" s="10" t="str">
        <x:v>USER-04-0120</x:v>
      </x:c>
      <x:c r="C628" s="10" t="str">
        <x:v>消息与社交</x:v>
      </x:c>
      <x:c r="D628" s="10" t="str">
        <x:v>主播主页（运营账号视角）</x:v>
      </x:c>
      <x:c r="E628" s="10" t="str">
        <x:v>功能需求</x:v>
      </x:c>
      <x:c r="F628" s="10" t="str">
        <x:v>P1</x:v>
      </x:c>
      <x:c r="G628" s="9" t="str">
        <x:v>验证运营号无加入粉丝团入口</x:v>
      </x:c>
      <x:c r="H628" s="9" t="str">
        <x:v>运营账号入团入口</x:v>
      </x:c>
      <x:c r="I628" s="9" t="str">
        <x:v>1. 执行角色为运营账号；当前处于主播主页页面</x:v>
      </x:c>
      <x:c r="J628" s="9" t="str">
        <x:v>1. 查看主播粉丝团区域</x:v>
      </x:c>
      <x:c r="K628" s="9" t="str">
        <x:v>不展示加入入口</x:v>
      </x:c>
      <x:c r="L628" s="10" t="str"/>
      <x:c r="M628" s="10" t="str">
        <x:v>未测</x:v>
      </x:c>
      <x:c r="N628" s="10" t="str"/>
      <x:c r="O628" s="9" t="str">
        <x:v>1. 来源（当前证据）：liveshow-proto/MainBasis/统一需求文档.md；位置：行1066、行1055
2. 规则：BR-20434fda944a4454
3. 未动态验证</x:v>
      </x:c>
    </x:row>
    <x:row r="629" ht="85" customHeight="1">
      <x:c r="A629" s="10" t="n">
        <x:v>628</x:v>
      </x:c>
      <x:c r="B629" s="10" t="str">
        <x:v>USER-04-0121</x:v>
      </x:c>
      <x:c r="C629" s="10" t="str">
        <x:v>消息与社交</x:v>
      </x:c>
      <x:c r="D629" s="10" t="str">
        <x:v>礼物展馆（已登录普通用户视角）</x:v>
      </x:c>
      <x:c r="E629" s="10" t="str">
        <x:v>功能需求</x:v>
      </x:c>
      <x:c r="F629" s="10" t="str">
        <x:v>P1</x:v>
      </x:c>
      <x:c r="G629" s="9" t="str">
        <x:v>验证成功礼物数量统计</x:v>
      </x:c>
      <x:c r="H629" s="9" t="str">
        <x:v>礼物成功收到数量</x:v>
      </x:c>
      <x:c r="I629" s="9" t="str">
        <x:v>1. 执行角色为已登录普通用户；当前处于礼物展馆页面
2. 该主播成功收到礼物A 2件；另有失败1件、撤销1件</x:v>
      </x:c>
      <x:c r="J629" s="9" t="str">
        <x:v>1. 查看礼物A数量</x:v>
      </x:c>
      <x:c r="K629" s="9" t="str">
        <x:v>收到数量为2</x:v>
      </x:c>
      <x:c r="L629" s="10" t="str"/>
      <x:c r="M629" s="10" t="str">
        <x:v>未测</x:v>
      </x:c>
      <x:c r="N629" s="10" t="str"/>
      <x:c r="O629" s="9" t="str">
        <x:v>1. 来源（当前证据）：liveshow-proto/MainBasis/统一需求文档.md；位置：行1077、行1078、行1073
2. 规则：BR-efa11c93e3b7f767
3. 未动态验证</x:v>
      </x:c>
    </x:row>
    <x:row r="630" ht="85" customHeight="1">
      <x:c r="A630" s="10" t="n">
        <x:v>629</x:v>
      </x:c>
      <x:c r="B630" s="10" t="str">
        <x:v>USER-04-0122</x:v>
      </x:c>
      <x:c r="C630" s="10" t="str">
        <x:v>消息与社交</x:v>
      </x:c>
      <x:c r="D630" s="10" t="str">
        <x:v>礼物展馆（已登录普通用户视角）</x:v>
      </x:c>
      <x:c r="E630" s="10" t="str">
        <x:v>功能需求</x:v>
      </x:c>
      <x:c r="F630" s="10" t="str">
        <x:v>P2</x:v>
      </x:c>
      <x:c r="G630" s="9" t="str">
        <x:v>验证未收到礼物仍展示：未收到商品保留</x:v>
      </x:c>
      <x:c r="H630" s="9" t="str">
        <x:v>未收到商品保留</x:v>
      </x:c>
      <x:c r="I630" s="9" t="str">
        <x:v>1. 执行角色为已登录普通用户；当前处于礼物展馆页面
2. 目录中礼物B无该主播收礼记录</x:v>
      </x:c>
      <x:c r="J630" s="9" t="str">
        <x:v>1. 查看礼物B</x:v>
      </x:c>
      <x:c r="K630" s="9" t="str">
        <x:v>礼物B仍在目录中</x:v>
      </x:c>
      <x:c r="L630" s="10" t="str"/>
      <x:c r="M630" s="10" t="str">
        <x:v>未测</x:v>
      </x:c>
      <x:c r="N630" s="10" t="str"/>
      <x:c r="O630" s="9" t="str">
        <x:v>1. 来源（当前证据）：liveshow-proto/MainBasis/统一需求文档.md；位置：行1081、行1077、行1073
2. 规则：BR-4023ab44046c176d
3. 未动态验证</x:v>
      </x:c>
    </x:row>
    <x:row r="631" ht="85" customHeight="1">
      <x:c r="A631" s="10" t="n">
        <x:v>630</x:v>
      </x:c>
      <x:c r="B631" s="10" t="str">
        <x:v>USER-04-0123</x:v>
      </x:c>
      <x:c r="C631" s="10" t="str">
        <x:v>消息与社交</x:v>
      </x:c>
      <x:c r="D631" s="10" t="str">
        <x:v>礼物展馆（已登录普通用户视角）</x:v>
      </x:c>
      <x:c r="E631" s="10" t="str">
        <x:v>功能需求</x:v>
      </x:c>
      <x:c r="F631" s="10" t="str">
        <x:v>P2</x:v>
      </x:c>
      <x:c r="G631" s="9" t="str">
        <x:v>验证未收到礼物仍展示：未收到状态</x:v>
      </x:c>
      <x:c r="H631" s="9" t="str">
        <x:v>未收到状态</x:v>
      </x:c>
      <x:c r="I631" s="9" t="str">
        <x:v>1. 执行角色为已登录普通用户；当前处于礼物展馆页面
2. 目录中礼物B无该主播收礼记录</x:v>
      </x:c>
      <x:c r="J631" s="9" t="str">
        <x:v>1. 查看礼物B</x:v>
      </x:c>
      <x:c r="K631" s="9" t="str">
        <x:v>礼物B标记未收到</x:v>
      </x:c>
      <x:c r="L631" s="10" t="str"/>
      <x:c r="M631" s="10" t="str">
        <x:v>未测</x:v>
      </x:c>
      <x:c r="N631" s="10" t="str"/>
      <x:c r="O631" s="9" t="str">
        <x:v>1. 来源（当前证据）：liveshow-proto/MainBasis/统一需求文档.md；位置：行1081、行1077、行1073
2. 规则：BR-451ffc5f4beb993b
3. 未动态验证</x:v>
      </x:c>
    </x:row>
    <x:row r="632" ht="85" customHeight="1">
      <x:c r="A632" s="10" t="n">
        <x:v>631</x:v>
      </x:c>
      <x:c r="B632" s="10" t="str">
        <x:v>USER-04-0124</x:v>
      </x:c>
      <x:c r="C632" s="10" t="str">
        <x:v>消息与社交</x:v>
      </x:c>
      <x:c r="D632" s="10" t="str">
        <x:v>礼物展馆（已登录普通用户视角）</x:v>
      </x:c>
      <x:c r="E632" s="10" t="str">
        <x:v>功能需求</x:v>
      </x:c>
      <x:c r="F632" s="10" t="str">
        <x:v>P1</x:v>
      </x:c>
      <x:c r="G632" s="9" t="str">
        <x:v>验证下架保留礼物历史</x:v>
      </x:c>
      <x:c r="H632" s="9" t="str">
        <x:v>数据保持</x:v>
      </x:c>
      <x:c r="I632" s="9" t="str">
        <x:v>1. 执行角色为已登录普通用户；当前处于礼物展馆页面
2. 已收到2件礼物A；A随后下架</x:v>
      </x:c>
      <x:c r="J632" s="9" t="str">
        <x:v>1. 查看礼物展馆</x:v>
      </x:c>
      <x:c r="K632" s="9" t="str">
        <x:v>保留A及历史数量2</x:v>
      </x:c>
      <x:c r="L632" s="10" t="str"/>
      <x:c r="M632" s="10" t="str">
        <x:v>未测</x:v>
      </x:c>
      <x:c r="N632" s="10" t="str"/>
      <x:c r="O632" s="9" t="str">
        <x:v>1. 来源（当前证据）：liveshow-proto/MainBasis/统一需求文档.md；位置：行1079、行1073
2. 规则：BR-a372227dad1b64e8
3. 未动态验证</x:v>
      </x:c>
    </x:row>
    <x:row r="633" ht="85" customHeight="1">
      <x:c r="A633" s="10" t="n">
        <x:v>632</x:v>
      </x:c>
      <x:c r="B633" s="10" t="str">
        <x:v>USER-04-0125</x:v>
      </x:c>
      <x:c r="C633" s="10" t="str">
        <x:v>消息与社交</x:v>
      </x:c>
      <x:c r="D633" s="10" t="str">
        <x:v>礼物展馆（已登录普通用户视角）</x:v>
      </x:c>
      <x:c r="E633" s="10" t="str">
        <x:v>功能需求</x:v>
      </x:c>
      <x:c r="F633" s="10" t="str">
        <x:v>P1</x:v>
      </x:c>
      <x:c r="G633" s="9" t="str">
        <x:v>验证幸运礼物按件数</x:v>
      </x:c>
      <x:c r="H633" s="9" t="str">
        <x:v>幸运礼物件数口径</x:v>
      </x:c>
      <x:c r="I633" s="9" t="str">
        <x:v>1. 执行角色为已登录普通用户；当前处于礼物展馆页面
2. 当前主播收到一组10件幸运礼物</x:v>
      </x:c>
      <x:c r="J633" s="9" t="str">
        <x:v>1. 查看幸运礼物数量</x:v>
      </x:c>
      <x:c r="K633" s="9" t="str">
        <x:v>计入10件而非返奖倍数</x:v>
      </x:c>
      <x:c r="L633" s="10" t="str"/>
      <x:c r="M633" s="10" t="str">
        <x:v>未测</x:v>
      </x:c>
      <x:c r="N633" s="10" t="str"/>
      <x:c r="O633" s="9" t="str">
        <x:v>1. 来源（当前证据）：liveshow-proto/MainBasis/统一需求文档.md；位置：行1080、行1073
2. 规则：BR-7f18153a69803b43
3. 未动态验证</x:v>
      </x:c>
    </x:row>
    <x:row r="634" ht="85" customHeight="1">
      <x:c r="A634" s="10" t="n">
        <x:v>633</x:v>
      </x:c>
      <x:c r="B634" s="10" t="str">
        <x:v>USER-04-0126</x:v>
      </x:c>
      <x:c r="C634" s="10" t="str">
        <x:v>消息与社交</x:v>
      </x:c>
      <x:c r="D634" s="10" t="str">
        <x:v>礼物展馆（已登录普通用户视角）</x:v>
      </x:c>
      <x:c r="E634" s="10" t="str">
        <x:v>功能需求</x:v>
      </x:c>
      <x:c r="F634" s="10" t="str">
        <x:v>P2</x:v>
      </x:c>
      <x:c r="G634" s="9" t="str">
        <x:v>验证礼物目录顺序</x:v>
      </x:c>
      <x:c r="H634" s="9" t="str">
        <x:v>礼物目录排序</x:v>
      </x:c>
      <x:c r="I634" s="9" t="str">
        <x:v>1. 执行角色为已登录普通用户；当前处于礼物展馆页面
2. 目录配置B在A之前</x:v>
      </x:c>
      <x:c r="J634" s="9" t="str">
        <x:v>1. 查看展馆礼物顺序</x:v>
      </x:c>
      <x:c r="K634" s="9" t="str">
        <x:v>B在A之前</x:v>
      </x:c>
      <x:c r="L634" s="10" t="str"/>
      <x:c r="M634" s="10" t="str">
        <x:v>未测</x:v>
      </x:c>
      <x:c r="N634" s="10" t="str"/>
      <x:c r="O634" s="9" t="str">
        <x:v>1. 来源（当前证据）：liveshow-proto/MainBasis/统一需求文档.md；位置：行1082、行1073
2. 规则：BR-916366d36ab260ce
3. 未动态验证</x:v>
      </x:c>
    </x:row>
    <x:row r="635" ht="85" customHeight="1">
      <x:c r="A635" s="10" t="n">
        <x:v>634</x:v>
      </x:c>
      <x:c r="B635" s="10" t="str">
        <x:v>USER-04-0127</x:v>
      </x:c>
      <x:c r="C635" s="10" t="str">
        <x:v>消息与社交</x:v>
      </x:c>
      <x:c r="D635" s="10" t="str">
        <x:v>礼物展馆（已登录普通用户视角）</x:v>
      </x:c>
      <x:c r="E635" s="10" t="str">
        <x:v>功能需求</x:v>
      </x:c>
      <x:c r="F635" s="10" t="str">
        <x:v>P2</x:v>
      </x:c>
      <x:c r="G635" s="9" t="str">
        <x:v>验证展馆返回</x:v>
      </x:c>
      <x:c r="H635" s="9" t="str">
        <x:v>主播主页返回去向</x:v>
      </x:c>
      <x:c r="I635" s="9" t="str">
        <x:v>1. 执行角色为已登录普通用户；当前处于礼物展馆页面</x:v>
      </x:c>
      <x:c r="J635" s="9" t="str">
        <x:v>1. 点击返回</x:v>
      </x:c>
      <x:c r="K635" s="9" t="str">
        <x:v>回到当前主播主页</x:v>
      </x:c>
      <x:c r="L635" s="10" t="str"/>
      <x:c r="M635" s="10" t="str">
        <x:v>未测</x:v>
      </x:c>
      <x:c r="N635" s="10" t="str"/>
      <x:c r="O635" s="9" t="str">
        <x:v>1. 来源（当前证据）：liveshow-proto/MainBasis/统一需求文档.md；位置：行1083、行1073
2. 规则：BR-68a1d6547977659d
3. 未动态验证</x:v>
      </x:c>
    </x:row>
    <x:row r="636" ht="85" customHeight="1">
      <x:c r="A636" s="10" t="n">
        <x:v>635</x:v>
      </x:c>
      <x:c r="B636" s="10" t="str">
        <x:v>USER-04-0128</x:v>
      </x:c>
      <x:c r="C636" s="10" t="str">
        <x:v>消息与社交</x:v>
      </x:c>
      <x:c r="D636" s="10" t="str">
        <x:v>举报直播间（举报用户视角）</x:v>
      </x:c>
      <x:c r="E636" s="10" t="str">
        <x:v>功能需求</x:v>
      </x:c>
      <x:c r="F636" s="10" t="str">
        <x:v>P2</x:v>
      </x:c>
      <x:c r="G636" s="9" t="str">
        <x:v>验证场次举报必选原因</x:v>
      </x:c>
      <x:c r="H636" s="9" t="str">
        <x:v>入口可用性</x:v>
      </x:c>
      <x:c r="I636" s="9" t="str">
        <x:v>1. 执行角色为举报用户；当前处于举报直播间页面
2. 当前举报目标为正在直播的场次</x:v>
      </x:c>
      <x:c r="J636" s="9" t="str">
        <x:v>1. 不选择举报原因
2. 查看提交按钮</x:v>
      </x:c>
      <x:c r="K636" s="9" t="str">
        <x:v>提交按钮不可用</x:v>
      </x:c>
      <x:c r="L636" s="10" t="str"/>
      <x:c r="M636" s="10" t="str">
        <x:v>未测</x:v>
      </x:c>
      <x:c r="N636" s="10" t="str"/>
      <x:c r="O636" s="9" t="str">
        <x:v>1. 来源（当前证据）：liveshow-proto/MainBasis/统一需求文档.md；位置：行785、行780
2. 规则：BR-6b336bf2d32adaca
3. 未动态验证</x:v>
      </x:c>
    </x:row>
    <x:row r="637" ht="85" customHeight="1">
      <x:c r="A637" s="10" t="n">
        <x:v>636</x:v>
      </x:c>
      <x:c r="B637" s="10" t="str">
        <x:v>USER-04-0129</x:v>
      </x:c>
      <x:c r="C637" s="10" t="str">
        <x:v>消息与社交</x:v>
      </x:c>
      <x:c r="D637" s="10" t="str">
        <x:v>举报直播间（举报用户视角）</x:v>
      </x:c>
      <x:c r="E637" s="10" t="str">
        <x:v>功能需求</x:v>
      </x:c>
      <x:c r="F637" s="10" t="str">
        <x:v>P2</x:v>
      </x:c>
      <x:c r="G637" s="9" t="str">
        <x:v>验证场次举报原因单选</x:v>
      </x:c>
      <x:c r="H637" s="9" t="str">
        <x:v>场次举报原因选中态</x:v>
      </x:c>
      <x:c r="I637" s="9" t="str">
        <x:v>1. 执行角色为举报用户；当前处于举报直播间页面
2. 当前举报目标为正在直播的场次</x:v>
      </x:c>
      <x:c r="J637" s="9" t="str">
        <x:v>1. 选择色情低俗
2. 选择其他</x:v>
      </x:c>
      <x:c r="K637" s="9" t="str">
        <x:v>仅其他被选中</x:v>
      </x:c>
      <x:c r="L637" s="10" t="str"/>
      <x:c r="M637" s="10" t="str">
        <x:v>未测</x:v>
      </x:c>
      <x:c r="N637" s="10" t="str"/>
      <x:c r="O637" s="9" t="str">
        <x:v>1. 来源（当前证据）：liveshow-proto/MainBasis/统一需求文档.md；位置：行781、行780
2. 规则：BR-9ed498b36d189acb
3. 未动态验证</x:v>
      </x:c>
    </x:row>
    <x:row r="638" ht="85" customHeight="1">
      <x:c r="A638" s="10" t="n">
        <x:v>637</x:v>
      </x:c>
      <x:c r="B638" s="10" t="str">
        <x:v>USER-04-0130</x:v>
      </x:c>
      <x:c r="C638" s="10" t="str">
        <x:v>消息与社交</x:v>
      </x:c>
      <x:c r="D638" s="10" t="str">
        <x:v>举报直播间（举报用户视角）</x:v>
      </x:c>
      <x:c r="E638" s="10" t="str">
        <x:v>功能需求</x:v>
      </x:c>
      <x:c r="F638" s="10" t="str">
        <x:v>P2</x:v>
      </x:c>
      <x:c r="G638" s="9" t="str">
        <x:v>验证场次举报说明可空</x:v>
      </x:c>
      <x:c r="H638" s="9" t="str">
        <x:v>场次举报空说明提交</x:v>
      </x:c>
      <x:c r="I638" s="9" t="str">
        <x:v>1. 执行角色为举报用户；当前处于举报直播间页面
2. 当前举报目标为正在直播的场次</x:v>
      </x:c>
      <x:c r="J638" s="9" t="str">
        <x:v>1. 选择其他
2. 清空补充说明
3. 点击提交</x:v>
      </x:c>
      <x:c r="K638" s="9" t="str">
        <x:v>提交场次举报并返回直播间</x:v>
      </x:c>
      <x:c r="L638" s="10" t="str"/>
      <x:c r="M638" s="10" t="str">
        <x:v>未测</x:v>
      </x:c>
      <x:c r="N638" s="10" t="str"/>
      <x:c r="O638" s="9" t="str">
        <x:v>1. 来源（当前证据）：liveshow-proto/MainBasis/统一需求文档.md；位置：行782、行786、行780
2. 规则：BR-842304467c342a11
3. 未动态验证</x:v>
      </x:c>
    </x:row>
    <x:row r="639" ht="85" customHeight="1">
      <x:c r="A639" s="10" t="n">
        <x:v>638</x:v>
      </x:c>
      <x:c r="B639" s="10" t="str">
        <x:v>USER-04-0131</x:v>
      </x:c>
      <x:c r="C639" s="10" t="str">
        <x:v>消息与社交</x:v>
      </x:c>
      <x:c r="D639" s="10" t="str">
        <x:v>举报直播间（举报用户视角）</x:v>
      </x:c>
      <x:c r="E639" s="10" t="str">
        <x:v>逻辑校验</x:v>
      </x:c>
      <x:c r="F639" s="10" t="str">
        <x:v>P2</x:v>
      </x:c>
      <x:c r="G639" s="9" t="str">
        <x:v>验证场次举报说明200字符</x:v>
      </x:c>
      <x:c r="H639" s="9" t="str">
        <x:v>举报说明长度上限</x:v>
      </x:c>
      <x:c r="I639" s="9" t="str">
        <x:v>1. 执行角色为举报用户；当前处于举报直播间页面
2. 当前举报目标为正在直播的场次</x:v>
      </x:c>
      <x:c r="J639" s="9" t="str">
        <x:v>1. 选择其他
2. 输入200个“测”作为说明
3. 点击提交</x:v>
      </x:c>
      <x:c r="K639" s="9" t="str">
        <x:v>允许提交200字符说明</x:v>
      </x:c>
      <x:c r="L639" s="10" t="str"/>
      <x:c r="M639" s="10" t="str">
        <x:v>未测</x:v>
      </x:c>
      <x:c r="N639" s="10" t="str"/>
      <x:c r="O639" s="9" t="str">
        <x:v>1. 来源（当前证据）：liveshow-proto/MainBasis/统一需求文档.md；位置：行782、行786、行780
2. 规则：BR-12a66dbace2970f1
3. 未动态验证</x:v>
      </x:c>
    </x:row>
    <x:row r="640" ht="85" customHeight="1">
      <x:c r="A640" s="10" t="n">
        <x:v>639</x:v>
      </x:c>
      <x:c r="B640" s="10" t="str">
        <x:v>USER-04-0132</x:v>
      </x:c>
      <x:c r="C640" s="10" t="str">
        <x:v>消息与社交</x:v>
      </x:c>
      <x:c r="D640" s="10" t="str">
        <x:v>举报直播间（举报用户视角）</x:v>
      </x:c>
      <x:c r="E640" s="10" t="str">
        <x:v>逻辑校验</x:v>
      </x:c>
      <x:c r="F640" s="10" t="str">
        <x:v>P2</x:v>
      </x:c>
      <x:c r="G640" s="9" t="str">
        <x:v>验证场次举报说明超长</x:v>
      </x:c>
      <x:c r="H640" s="9" t="str">
        <x:v>入口可用性</x:v>
      </x:c>
      <x:c r="I640" s="9" t="str">
        <x:v>1. 执行角色为举报用户；当前处于举报直播间页面
2. 当前举报目标为正在直播的场次</x:v>
      </x:c>
      <x:c r="J640" s="9" t="str">
        <x:v>1. 输入201个“测”作为说明</x:v>
      </x:c>
      <x:c r="K640" s="9" t="str">
        <x:v>不能提交超过200字符的说明</x:v>
      </x:c>
      <x:c r="L640" s="10" t="str"/>
      <x:c r="M640" s="10" t="str">
        <x:v>未测</x:v>
      </x:c>
      <x:c r="N640" s="10" t="str"/>
      <x:c r="O640" s="9" t="str">
        <x:v>1. 来源（当前证据）：liveshow-proto/MainBasis/统一需求文档.md；位置：行782、行780
2. 规则：BR-ee752235d18b726a
3. 未动态验证</x:v>
      </x:c>
    </x:row>
    <x:row r="641" ht="85" customHeight="1">
      <x:c r="A641" s="10" t="n">
        <x:v>640</x:v>
      </x:c>
      <x:c r="B641" s="10" t="str">
        <x:v>USER-03-0001</x:v>
      </x:c>
      <x:c r="C641" s="10" t="str">
        <x:v>直播</x:v>
      </x:c>
      <x:c r="D641" s="10" t="str">
        <x:v>举报用户（举报用户视角）</x:v>
      </x:c>
      <x:c r="E641" s="10" t="str">
        <x:v>功能需求</x:v>
      </x:c>
      <x:c r="F641" s="10" t="str">
        <x:v>P2</x:v>
      </x:c>
      <x:c r="G641" s="9" t="str">
        <x:v>验证账号举报必选原因</x:v>
      </x:c>
      <x:c r="H641" s="9" t="str">
        <x:v>入口可用性</x:v>
      </x:c>
      <x:c r="I641" s="9" t="str">
        <x:v>1. 执行角色为举报用户；当前处于举报用户页面
2. 当前举报目标为账号B</x:v>
      </x:c>
      <x:c r="J641" s="9" t="str">
        <x:v>1. 不选择举报原因
2. 查看提交按钮</x:v>
      </x:c>
      <x:c r="K641" s="9" t="str">
        <x:v>提交按钮不可用</x:v>
      </x:c>
      <x:c r="L641" s="10" t="str"/>
      <x:c r="M641" s="10" t="str">
        <x:v>未测</x:v>
      </x:c>
      <x:c r="N641" s="10" t="str"/>
      <x:c r="O641" s="9" t="str">
        <x:v>1. 来源（当前证据）：liveshow-proto/MainBasis/统一需求文档.md；位置：行793、行789
2. 规则：BR-8864f7196e0a4682
3. 未动态验证</x:v>
      </x:c>
    </x:row>
    <x:row r="642" ht="85" customHeight="1">
      <x:c r="A642" s="10" t="n">
        <x:v>641</x:v>
      </x:c>
      <x:c r="B642" s="10" t="str">
        <x:v>USER-03-0002</x:v>
      </x:c>
      <x:c r="C642" s="10" t="str">
        <x:v>直播</x:v>
      </x:c>
      <x:c r="D642" s="10" t="str">
        <x:v>举报用户（举报用户视角）</x:v>
      </x:c>
      <x:c r="E642" s="10" t="str">
        <x:v>功能需求</x:v>
      </x:c>
      <x:c r="F642" s="10" t="str">
        <x:v>P2</x:v>
      </x:c>
      <x:c r="G642" s="9" t="str">
        <x:v>验证账号举报原因单选</x:v>
      </x:c>
      <x:c r="H642" s="9" t="str">
        <x:v>账号举报原因选中态</x:v>
      </x:c>
      <x:c r="I642" s="9" t="str">
        <x:v>1. 执行角色为举报用户；当前处于举报用户页面
2. 当前举报目标为账号B</x:v>
      </x:c>
      <x:c r="J642" s="9" t="str">
        <x:v>1. 选择色情低俗
2. 选择其他</x:v>
      </x:c>
      <x:c r="K642" s="9" t="str">
        <x:v>仅其他被选中</x:v>
      </x:c>
      <x:c r="L642" s="10" t="str"/>
      <x:c r="M642" s="10" t="str">
        <x:v>未测</x:v>
      </x:c>
      <x:c r="N642" s="10" t="str"/>
      <x:c r="O642" s="9" t="str">
        <x:v>1. 来源（当前证据）：liveshow-proto/MainBasis/统一需求文档.md；位置：行790、行789
2. 规则：BR-321989a9998206c8
3. 未动态验证</x:v>
      </x:c>
    </x:row>
    <x:row r="643" ht="85" customHeight="1">
      <x:c r="A643" s="10" t="n">
        <x:v>642</x:v>
      </x:c>
      <x:c r="B643" s="10" t="str">
        <x:v>USER-03-0003</x:v>
      </x:c>
      <x:c r="C643" s="10" t="str">
        <x:v>直播</x:v>
      </x:c>
      <x:c r="D643" s="10" t="str">
        <x:v>举报用户（举报用户视角）</x:v>
      </x:c>
      <x:c r="E643" s="10" t="str">
        <x:v>功能需求</x:v>
      </x:c>
      <x:c r="F643" s="10" t="str">
        <x:v>P2</x:v>
      </x:c>
      <x:c r="G643" s="9" t="str">
        <x:v>验证账号举报说明可空</x:v>
      </x:c>
      <x:c r="H643" s="9" t="str">
        <x:v>账号举报空说明提交</x:v>
      </x:c>
      <x:c r="I643" s="9" t="str">
        <x:v>1. 执行角色为举报用户；当前处于举报用户页面
2. 当前举报目标为账号B</x:v>
      </x:c>
      <x:c r="J643" s="9" t="str">
        <x:v>1. 选择其他
2. 清空补充说明
3. 点击提交</x:v>
      </x:c>
      <x:c r="K643" s="9" t="str">
        <x:v>提交账号举报并返回来源页</x:v>
      </x:c>
      <x:c r="L643" s="10" t="str"/>
      <x:c r="M643" s="10" t="str">
        <x:v>未测</x:v>
      </x:c>
      <x:c r="N643" s="10" t="str"/>
      <x:c r="O643" s="9" t="str">
        <x:v>1. 来源（当前证据）：liveshow-proto/MainBasis/统一需求文档.md；位置：行791、行794、行789
2. 规则：BR-b0cc784811296779
3. 未动态验证</x:v>
      </x:c>
    </x:row>
    <x:row r="644" ht="85" customHeight="1">
      <x:c r="A644" s="10" t="n">
        <x:v>643</x:v>
      </x:c>
      <x:c r="B644" s="10" t="str">
        <x:v>USER-03-0004</x:v>
      </x:c>
      <x:c r="C644" s="10" t="str">
        <x:v>直播</x:v>
      </x:c>
      <x:c r="D644" s="10" t="str">
        <x:v>举报用户（举报用户视角）</x:v>
      </x:c>
      <x:c r="E644" s="10" t="str">
        <x:v>逻辑校验</x:v>
      </x:c>
      <x:c r="F644" s="10" t="str">
        <x:v>P2</x:v>
      </x:c>
      <x:c r="G644" s="9" t="str">
        <x:v>验证账号举报说明200字符</x:v>
      </x:c>
      <x:c r="H644" s="9" t="str">
        <x:v>举报说明长度上限</x:v>
      </x:c>
      <x:c r="I644" s="9" t="str">
        <x:v>1. 执行角色为举报用户；当前处于举报用户页面
2. 当前举报目标为账号B</x:v>
      </x:c>
      <x:c r="J644" s="9" t="str">
        <x:v>1. 选择其他
2. 输入200个“测”作为说明
3. 点击提交</x:v>
      </x:c>
      <x:c r="K644" s="9" t="str">
        <x:v>允许提交200字符说明</x:v>
      </x:c>
      <x:c r="L644" s="10" t="str"/>
      <x:c r="M644" s="10" t="str">
        <x:v>未测</x:v>
      </x:c>
      <x:c r="N644" s="10" t="str"/>
      <x:c r="O644" s="9" t="str">
        <x:v>1. 来源（当前证据）：liveshow-proto/MainBasis/统一需求文档.md；位置：行791、行794、行789
2. 规则：BR-2aa2bb55ab4cb444
3. 未动态验证</x:v>
      </x:c>
    </x:row>
    <x:row r="645" ht="85" customHeight="1">
      <x:c r="A645" s="10" t="n">
        <x:v>644</x:v>
      </x:c>
      <x:c r="B645" s="10" t="str">
        <x:v>USER-03-0005</x:v>
      </x:c>
      <x:c r="C645" s="10" t="str">
        <x:v>直播</x:v>
      </x:c>
      <x:c r="D645" s="10" t="str">
        <x:v>举报用户（举报用户视角）</x:v>
      </x:c>
      <x:c r="E645" s="10" t="str">
        <x:v>逻辑校验</x:v>
      </x:c>
      <x:c r="F645" s="10" t="str">
        <x:v>P2</x:v>
      </x:c>
      <x:c r="G645" s="9" t="str">
        <x:v>验证账号举报说明超长</x:v>
      </x:c>
      <x:c r="H645" s="9" t="str">
        <x:v>入口可用性</x:v>
      </x:c>
      <x:c r="I645" s="9" t="str">
        <x:v>1. 执行角色为举报用户；当前处于举报用户页面
2. 当前举报目标为账号B</x:v>
      </x:c>
      <x:c r="J645" s="9" t="str">
        <x:v>1. 输入201个“测”作为说明</x:v>
      </x:c>
      <x:c r="K645" s="9" t="str">
        <x:v>不能提交超过200字符的说明</x:v>
      </x:c>
      <x:c r="L645" s="10" t="str"/>
      <x:c r="M645" s="10" t="str">
        <x:v>未测</x:v>
      </x:c>
      <x:c r="N645" s="10" t="str"/>
      <x:c r="O645" s="9" t="str">
        <x:v>1. 来源（当前证据）：liveshow-proto/MainBasis/统一需求文档.md；位置：行791、行789
2. 规则：BR-9704110752f31541
3. 未动态验证</x:v>
      </x:c>
    </x:row>
    <x:row r="646" ht="85" customHeight="1">
      <x:c r="A646" s="10" t="n">
        <x:v>645</x:v>
      </x:c>
      <x:c r="B646" s="10" t="str">
        <x:v>USER-05-0124</x:v>
      </x:c>
      <x:c r="C646" s="10" t="str">
        <x:v>我的</x:v>
      </x:c>
      <x:c r="D646" s="10" t="str">
        <x:v>黑名单管理（已登录普通用户视角）</x:v>
      </x:c>
      <x:c r="E646" s="10" t="str">
        <x:v>功能需求</x:v>
      </x:c>
      <x:c r="F646" s="10" t="str">
        <x:v>P1</x:v>
      </x:c>
      <x:c r="G646" s="9" t="str">
        <x:v>验证黑名单仅主动拉黑：主动拉黑对象</x:v>
      </x:c>
      <x:c r="H646" s="9" t="str">
        <x:v>主动拉黑对象</x:v>
      </x:c>
      <x:c r="I646" s="9" t="str">
        <x:v>1. 执行角色为已登录普通用户；当前处于黑名单管理页面
2. 当前A主动拉黑B；C仅单向拉黑A</x:v>
      </x:c>
      <x:c r="J646" s="9" t="str">
        <x:v>1. 查看黑名单</x:v>
      </x:c>
      <x:c r="K646" s="9" t="str">
        <x:v>B在黑名单中</x:v>
      </x:c>
      <x:c r="L646" s="10" t="str"/>
      <x:c r="M646" s="10" t="str">
        <x:v>未测</x:v>
      </x:c>
      <x:c r="N646" s="10" t="str"/>
      <x:c r="O646" s="9" t="str">
        <x:v>1. 来源（当前证据）：liveshow-proto/MainBasis/统一需求文档.md；位置：行953、行942
2. 规则：BR-71ec0b7c8ba256a9
3. 未动态验证</x:v>
      </x:c>
    </x:row>
    <x:row r="647" ht="85" customHeight="1">
      <x:c r="A647" s="10" t="n">
        <x:v>646</x:v>
      </x:c>
      <x:c r="B647" s="10" t="str">
        <x:v>USER-05-0125</x:v>
      </x:c>
      <x:c r="C647" s="10" t="str">
        <x:v>我的</x:v>
      </x:c>
      <x:c r="D647" s="10" t="str">
        <x:v>黑名单管理（已登录普通用户视角）</x:v>
      </x:c>
      <x:c r="E647" s="10" t="str">
        <x:v>功能需求</x:v>
      </x:c>
      <x:c r="F647" s="10" t="str">
        <x:v>P1</x:v>
      </x:c>
      <x:c r="G647" s="9" t="str">
        <x:v>验证黑名单仅主动拉黑：被动拉黑不纳入</x:v>
      </x:c>
      <x:c r="H647" s="9" t="str">
        <x:v>被动拉黑不纳入</x:v>
      </x:c>
      <x:c r="I647" s="9" t="str">
        <x:v>1. 执行角色为已登录普通用户；当前处于黑名单管理页面
2. 当前A主动拉黑B；C仅单向拉黑A</x:v>
      </x:c>
      <x:c r="J647" s="9" t="str">
        <x:v>1. 查看黑名单</x:v>
      </x:c>
      <x:c r="K647" s="9" t="str">
        <x:v>C不在当前黑名单中</x:v>
      </x:c>
      <x:c r="L647" s="10" t="str"/>
      <x:c r="M647" s="10" t="str">
        <x:v>未测</x:v>
      </x:c>
      <x:c r="N647" s="10" t="str"/>
      <x:c r="O647" s="9" t="str">
        <x:v>1. 来源（当前证据）：liveshow-proto/MainBasis/统一需求文档.md；位置：行953、行942
2. 规则：BR-7ca5f3e32c80ca6d
3. 未动态验证</x:v>
      </x:c>
    </x:row>
    <x:row r="648" ht="85" customHeight="1">
      <x:c r="A648" s="10" t="n">
        <x:v>647</x:v>
      </x:c>
      <x:c r="B648" s="10" t="str">
        <x:v>USER-05-0126</x:v>
      </x:c>
      <x:c r="C648" s="10" t="str">
        <x:v>我的</x:v>
      </x:c>
      <x:c r="D648" s="10" t="str">
        <x:v>黑名单管理（已登录普通用户视角）</x:v>
      </x:c>
      <x:c r="E648" s="10" t="str">
        <x:v>功能需求</x:v>
      </x:c>
      <x:c r="F648" s="10" t="str">
        <x:v>P1</x:v>
      </x:c>
      <x:c r="G648" s="9" t="str">
        <x:v>验证黑名单时间倒序</x:v>
      </x:c>
      <x:c r="H648" s="9" t="str">
        <x:v>拉黑记录排序</x:v>
      </x:c>
      <x:c r="I648" s="9" t="str">
        <x:v>1. 执行角色为已登录普通用户；当前处于黑名单管理页面
2. 先拉黑A后拉黑B</x:v>
      </x:c>
      <x:c r="J648" s="9" t="str">
        <x:v>1. 查看黑名单顺序</x:v>
      </x:c>
      <x:c r="K648" s="9" t="str">
        <x:v>B在A之前</x:v>
      </x:c>
      <x:c r="L648" s="10" t="str"/>
      <x:c r="M648" s="10" t="str">
        <x:v>未测</x:v>
      </x:c>
      <x:c r="N648" s="10" t="str"/>
      <x:c r="O648" s="9" t="str">
        <x:v>1. 来源（当前证据）：liveshow-proto/MainBasis/统一需求文档.md；位置：行954、行942
2. 规则：BR-3a072c40964d9826
3. 未动态验证</x:v>
      </x:c>
    </x:row>
    <x:row r="649" ht="85" customHeight="1">
      <x:c r="A649" s="10" t="n">
        <x:v>648</x:v>
      </x:c>
      <x:c r="B649" s="10" t="str">
        <x:v>USER-05-0127</x:v>
      </x:c>
      <x:c r="C649" s="10" t="str">
        <x:v>我的</x:v>
      </x:c>
      <x:c r="D649" s="10" t="str">
        <x:v>黑名单管理（已登录普通用户视角）</x:v>
      </x:c>
      <x:c r="E649" s="10" t="str">
        <x:v>功能需求</x:v>
      </x:c>
      <x:c r="F649" s="10" t="str">
        <x:v>P1</x:v>
      </x:c>
      <x:c r="G649" s="9" t="str">
        <x:v>验证取消拉黑确认</x:v>
      </x:c>
      <x:c r="H649" s="9" t="str">
        <x:v>取消拉黑确认弹窗</x:v>
      </x:c>
      <x:c r="I649" s="9" t="str">
        <x:v>1. 执行角色为已登录普通用户；当前处于黑名单管理页面
2. 列表有B</x:v>
      </x:c>
      <x:c r="J649" s="9" t="str">
        <x:v>1. 点击B的取消拉黑</x:v>
      </x:c>
      <x:c r="K649" s="9" t="str">
        <x:v>显示二次确认</x:v>
      </x:c>
      <x:c r="L649" s="10" t="str"/>
      <x:c r="M649" s="10" t="str">
        <x:v>未测</x:v>
      </x:c>
      <x:c r="N649" s="10" t="str"/>
      <x:c r="O649" s="9" t="str">
        <x:v>1. 来源（当前证据）：liveshow-proto/MainBasis/统一需求文档.md；位置：行956、行942
2. 规则：BR-0fe42f44d8b90f33
3. 未动态验证</x:v>
      </x:c>
    </x:row>
    <x:row r="650" ht="85" customHeight="1">
      <x:c r="A650" s="10" t="n">
        <x:v>649</x:v>
      </x:c>
      <x:c r="B650" s="10" t="str">
        <x:v>USER-05-0128</x:v>
      </x:c>
      <x:c r="C650" s="10" t="str">
        <x:v>我的</x:v>
      </x:c>
      <x:c r="D650" s="10" t="str">
        <x:v>黑名单管理（已登录普通用户视角）</x:v>
      </x:c>
      <x:c r="E650" s="10" t="str">
        <x:v>功能需求</x:v>
      </x:c>
      <x:c r="F650" s="10" t="str">
        <x:v>P1</x:v>
      </x:c>
      <x:c r="G650" s="9" t="str">
        <x:v>验证取消拉黑成功移除</x:v>
      </x:c>
      <x:c r="H650" s="9" t="str">
        <x:v>账号关系</x:v>
      </x:c>
      <x:c r="I650" s="9" t="str">
        <x:v>1. 执行角色为已登录普通用户；当前处于黑名单管理页面
2. 列表有B且请求成功</x:v>
      </x:c>
      <x:c r="J650" s="9" t="str">
        <x:v>1. 点击B的取消拉黑
2. 点击确认</x:v>
      </x:c>
      <x:c r="K650" s="9" t="str">
        <x:v>B从当前黑名单移除</x:v>
      </x:c>
      <x:c r="L650" s="10" t="str"/>
      <x:c r="M650" s="10" t="str">
        <x:v>未测</x:v>
      </x:c>
      <x:c r="N650" s="10" t="str"/>
      <x:c r="O650" s="9" t="str">
        <x:v>1. 来源（当前证据）：liveshow-proto/MainBasis/统一需求文档.md；位置：行956、行942
2. 规则：BR-d5de30b1dc38b037
3. 未动态验证</x:v>
      </x:c>
    </x:row>
    <x:row r="651" ht="145" customHeight="1">
      <x:c r="A651" s="10" t="n">
        <x:v>650</x:v>
      </x:c>
      <x:c r="B651" s="10" t="str">
        <x:v>USER-05-0129</x:v>
      </x:c>
      <x:c r="C651" s="10" t="str">
        <x:v>我的</x:v>
      </x:c>
      <x:c r="D651" s="10" t="str">
        <x:v>黑名单管理（已登录普通用户视角）</x:v>
      </x:c>
      <x:c r="E651" s="10" t="str">
        <x:v>异常用例</x:v>
      </x:c>
      <x:c r="F651" s="10" t="str">
        <x:v>P1</x:v>
      </x:c>
      <x:c r="G651" s="9" t="str">
        <x:v>验证取消拉黑失败保持</x:v>
      </x:c>
      <x:c r="H651" s="9" t="str">
        <x:v>取消拉黑失败反馈</x:v>
      </x:c>
      <x:c r="I651" s="9" t="str">
        <x:v>1. 执行角色为已登录普通用户；当前处于黑名单管理页面
2. 列表有B；请求返回失败
3. 环境准备要求（尚未具备）：需测试服务对指定双方账号的本次取消拉黑返回失败，保留原拉黑关系</x:v>
      </x:c>
      <x:c r="J651" s="9" t="str">
        <x:v>1. 点击B的取消拉黑
2. 点击确认</x:v>
      </x:c>
      <x:c r="K651" s="9" t="str">
        <x:v>B仍在黑名单且提示“请求失败”</x:v>
      </x:c>
      <x:c r="L651" s="10" t="str"/>
      <x:c r="M651" s="10" t="str">
        <x:v>未测</x:v>
      </x:c>
      <x:c r="N651" s="10" t="str"/>
      <x:c r="O651" s="9" t="str">
        <x:v>1. 来源（当前证据）：liveshow-proto/MainBasis/统一需求文档.md；位置：行956、行942
2. 规则：BR-719ced9c5f8e97cc
3. 未动态验证
4. 环境待准备：取消拉黑请求；时点：确认取消目标账号拉黑时；恢复：本条结束后撤销故障设置，恢复真实请求处理；使用新测试对象复跑正常路径，避免污染后续用例</x:v>
      </x:c>
    </x:row>
    <x:row r="652" ht="85" customHeight="1">
      <x:c r="A652" s="10" t="n">
        <x:v>651</x:v>
      </x:c>
      <x:c r="B652" s="10" t="str">
        <x:v>USER-05-0130</x:v>
      </x:c>
      <x:c r="C652" s="10" t="str">
        <x:v>我的</x:v>
      </x:c>
      <x:c r="D652" s="10" t="str">
        <x:v>黑名单管理（已登录普通用户视角）</x:v>
      </x:c>
      <x:c r="E652" s="10" t="str">
        <x:v>功能需求</x:v>
      </x:c>
      <x:c r="F652" s="10" t="str">
        <x:v>P2</x:v>
      </x:c>
      <x:c r="G652" s="9" t="str">
        <x:v>验证双方拉黑分别取消</x:v>
      </x:c>
      <x:c r="H652" s="9" t="str">
        <x:v>账号关系</x:v>
      </x:c>
      <x:c r="I652" s="9" t="str">
        <x:v>1. 执行角色为已登录普通用户；当前处于黑名单管理页面
2. A与B互相拉黑；当前为A</x:v>
      </x:c>
      <x:c r="J652" s="9" t="str">
        <x:v>1. 取消对B的拉黑并确认
2. 查看对B的私信权限</x:v>
      </x:c>
      <x:c r="K652" s="9" t="str">
        <x:v>B的反向拉黑仍生效，不能向B私信</x:v>
      </x:c>
      <x:c r="L652" s="10" t="str"/>
      <x:c r="M652" s="10" t="str">
        <x:v>未测</x:v>
      </x:c>
      <x:c r="N652" s="10" t="str"/>
      <x:c r="O652" s="9" t="str">
        <x:v>1. 来源（当前证据）：liveshow-proto/MainBasis/统一需求文档.md；位置：行945、行942
2. 规则：BR-4db6f8925606422a
3. 未动态验证</x:v>
      </x:c>
    </x:row>
    <x:row r="653" ht="85" customHeight="1">
      <x:c r="A653" s="10" t="n">
        <x:v>652</x:v>
      </x:c>
      <x:c r="B653" s="10" t="str">
        <x:v>USER-07-0001</x:v>
      </x:c>
      <x:c r="C653" s="10" t="str">
        <x:v>主播中心</x:v>
      </x:c>
      <x:c r="D653" s="10" t="str">
        <x:v>主播中心（已认证主播视角）</x:v>
      </x:c>
      <x:c r="E653" s="10" t="str">
        <x:v>功能需求</x:v>
      </x:c>
      <x:c r="F653" s="10" t="str">
        <x:v>P1</x:v>
      </x:c>
      <x:c r="G653" s="9" t="str">
        <x:v>验证主播中心本人资料：主播ID</x:v>
      </x:c>
      <x:c r="H653" s="9" t="str">
        <x:v>主播ID</x:v>
      </x:c>
      <x:c r="I653" s="9" t="str">
        <x:v>1. 执行角色为已认证主播；当前处于主播中心页面
2. 当前主播ID、昵称、头像已准备为已知测试值</x:v>
      </x:c>
      <x:c r="J653" s="9" t="str">
        <x:v>1. 查看主播中心资料</x:v>
      </x:c>
      <x:c r="K653" s="9" t="str">
        <x:v>ID为当前主播账号ID</x:v>
      </x:c>
      <x:c r="L653" s="10" t="str"/>
      <x:c r="M653" s="10" t="str">
        <x:v>未测</x:v>
      </x:c>
      <x:c r="N653" s="10" t="str"/>
      <x:c r="O653" s="9" t="str">
        <x:v>1. 来源（当前证据）：liveshow-proto/MainBasis/统一需求文档.md；位置：行1124、行1126、行1122
2. 规则：BR-76cde927957ffb92
3. 未动态验证</x:v>
      </x:c>
    </x:row>
    <x:row r="654" ht="85" customHeight="1">
      <x:c r="A654" s="10" t="n">
        <x:v>653</x:v>
      </x:c>
      <x:c r="B654" s="10" t="str">
        <x:v>USER-07-0002</x:v>
      </x:c>
      <x:c r="C654" s="10" t="str">
        <x:v>主播中心</x:v>
      </x:c>
      <x:c r="D654" s="10" t="str">
        <x:v>主播中心（已认证主播视角）</x:v>
      </x:c>
      <x:c r="E654" s="10" t="str">
        <x:v>功能需求</x:v>
      </x:c>
      <x:c r="F654" s="10" t="str">
        <x:v>P2</x:v>
      </x:c>
      <x:c r="G654" s="9" t="str">
        <x:v>验证主播中心本人资料：主播昵称</x:v>
      </x:c>
      <x:c r="H654" s="9" t="str">
        <x:v>主播昵称</x:v>
      </x:c>
      <x:c r="I654" s="9" t="str">
        <x:v>1. 执行角色为已认证主播；当前处于主播中心页面
2. 当前主播ID、昵称、头像已准备为已知测试值</x:v>
      </x:c>
      <x:c r="J654" s="9" t="str">
        <x:v>1. 查看主播中心资料</x:v>
      </x:c>
      <x:c r="K654" s="9" t="str">
        <x:v>昵称为当前主播账号昵称</x:v>
      </x:c>
      <x:c r="L654" s="10" t="str"/>
      <x:c r="M654" s="10" t="str">
        <x:v>未测</x:v>
      </x:c>
      <x:c r="N654" s="10" t="str"/>
      <x:c r="O654" s="9" t="str">
        <x:v>1. 来源（当前证据）：liveshow-proto/MainBasis/统一需求文档.md；位置：行1124、行1126、行1122
2. 规则：BR-ff02eeb7fc4b6b11
3. 未动态验证</x:v>
      </x:c>
    </x:row>
    <x:row r="655" ht="85" customHeight="1">
      <x:c r="A655" s="10" t="n">
        <x:v>654</x:v>
      </x:c>
      <x:c r="B655" s="10" t="str">
        <x:v>USER-07-0003</x:v>
      </x:c>
      <x:c r="C655" s="10" t="str">
        <x:v>主播中心</x:v>
      </x:c>
      <x:c r="D655" s="10" t="str">
        <x:v>主播中心（已认证主播视角）</x:v>
      </x:c>
      <x:c r="E655" s="10" t="str">
        <x:v>功能需求</x:v>
      </x:c>
      <x:c r="F655" s="10" t="str">
        <x:v>P2</x:v>
      </x:c>
      <x:c r="G655" s="9" t="str">
        <x:v>验证主播中心本人资料：主播头像</x:v>
      </x:c>
      <x:c r="H655" s="9" t="str">
        <x:v>主播头像</x:v>
      </x:c>
      <x:c r="I655" s="9" t="str">
        <x:v>1. 执行角色为已认证主播；当前处于主播中心页面
2. 当前主播ID、昵称、头像已准备为已知测试值</x:v>
      </x:c>
      <x:c r="J655" s="9" t="str">
        <x:v>1. 查看主播中心资料</x:v>
      </x:c>
      <x:c r="K655" s="9" t="str">
        <x:v>头像为当前主播账号头像</x:v>
      </x:c>
      <x:c r="L655" s="10" t="str"/>
      <x:c r="M655" s="10" t="str">
        <x:v>未测</x:v>
      </x:c>
      <x:c r="N655" s="10" t="str"/>
      <x:c r="O655" s="9" t="str">
        <x:v>1. 来源（当前证据）：liveshow-proto/MainBasis/统一需求文档.md；位置：行1124、行1126、行1122
2. 规则：BR-98ff006da57f32b7
3. 未动态验证</x:v>
      </x:c>
    </x:row>
    <x:row r="656" ht="85" customHeight="1">
      <x:c r="A656" s="10" t="n">
        <x:v>655</x:v>
      </x:c>
      <x:c r="B656" s="10" t="str">
        <x:v>USER-07-0004</x:v>
      </x:c>
      <x:c r="C656" s="10" t="str">
        <x:v>主播中心</x:v>
      </x:c>
      <x:c r="D656" s="10" t="str">
        <x:v>主播中心（已认证主播视角）</x:v>
      </x:c>
      <x:c r="E656" s="10" t="str">
        <x:v>功能需求</x:v>
      </x:c>
      <x:c r="F656" s="10" t="str">
        <x:v>P2</x:v>
      </x:c>
      <x:c r="G656" s="9" t="str">
        <x:v>验证主播等级非财富等级</x:v>
      </x:c>
      <x:c r="H656" s="9" t="str">
        <x:v>主播等级来源</x:v>
      </x:c>
      <x:c r="I656" s="9" t="str">
        <x:v>1. 执行角色为已认证主播；当前处于主播中心页面
2. 当前主播等级10、财富等级5</x:v>
      </x:c>
      <x:c r="J656" s="9" t="str">
        <x:v>1. 查看昵称旁等级</x:v>
      </x:c>
      <x:c r="K656" s="9" t="str">
        <x:v>展示主播等级Lv.10</x:v>
      </x:c>
      <x:c r="L656" s="10" t="str"/>
      <x:c r="M656" s="10" t="str">
        <x:v>未测</x:v>
      </x:c>
      <x:c r="N656" s="10" t="str"/>
      <x:c r="O656" s="9" t="str">
        <x:v>1. 来源（当前证据）：liveshow-proto/MainBasis/统一需求文档.md；位置：行1125、行1122
2. 规则：BR-28e8efeb5609f7bf
3. 未动态验证</x:v>
      </x:c>
    </x:row>
    <x:row r="657" ht="85" customHeight="1">
      <x:c r="A657" s="10" t="n">
        <x:v>656</x:v>
      </x:c>
      <x:c r="B657" s="10" t="str">
        <x:v>USER-07-0005</x:v>
      </x:c>
      <x:c r="C657" s="10" t="str">
        <x:v>主播中心</x:v>
      </x:c>
      <x:c r="D657" s="10" t="str">
        <x:v>主播中心（已认证主播视角）</x:v>
      </x:c>
      <x:c r="E657" s="10" t="str">
        <x:v>功能需求</x:v>
      </x:c>
      <x:c r="F657" s="10" t="str">
        <x:v>P2</x:v>
      </x:c>
      <x:c r="G657" s="9" t="str">
        <x:v>验证默认今日统计</x:v>
      </x:c>
      <x:c r="H657" s="9" t="str">
        <x:v>数据中心初始周期</x:v>
      </x:c>
      <x:c r="I657" s="9" t="str">
        <x:v>1. 执行角色为已认证主播；当前处于主播中心页面</x:v>
      </x:c>
      <x:c r="J657" s="9" t="str">
        <x:v>1. 查看统计周期</x:v>
      </x:c>
      <x:c r="K657" s="9" t="str">
        <x:v>默认今日</x:v>
      </x:c>
      <x:c r="L657" s="10" t="str"/>
      <x:c r="M657" s="10" t="str">
        <x:v>未测</x:v>
      </x:c>
      <x:c r="N657" s="10" t="str"/>
      <x:c r="O657" s="9" t="str">
        <x:v>1. 来源（当前证据）：liveshow-proto/MainBasis/统一需求文档.md；位置：行1131、行1122
2. 规则：BR-e5c720894fcd73b6
3. 未动态验证</x:v>
      </x:c>
    </x:row>
    <x:row r="658" ht="85" customHeight="1">
      <x:c r="A658" s="10" t="n">
        <x:v>657</x:v>
      </x:c>
      <x:c r="B658" s="10" t="str">
        <x:v>USER-07-0006</x:v>
      </x:c>
      <x:c r="C658" s="10" t="str">
        <x:v>主播中心</x:v>
      </x:c>
      <x:c r="D658" s="10" t="str">
        <x:v>主播中心（已认证主播视角）</x:v>
      </x:c>
      <x:c r="E658" s="10" t="str">
        <x:v>功能需求</x:v>
      </x:c>
      <x:c r="F658" s="10" t="str">
        <x:v>P1</x:v>
      </x:c>
      <x:c r="G658" s="9" t="str">
        <x:v>验证切换本月指标</x:v>
      </x:c>
      <x:c r="H658" s="9" t="str">
        <x:v>本月统计切换范围</x:v>
      </x:c>
      <x:c r="I658" s="9" t="str">
        <x:v>1. 执行角色为已认证主播；当前处于主播中心页面
2. 今日与本月有不同统计数据</x:v>
      </x:c>
      <x:c r="J658" s="9" t="str">
        <x:v>1. 点击本月</x:v>
      </x:c>
      <x:c r="K658" s="9" t="str">
        <x:v>四项周期指标切换为本月数据</x:v>
      </x:c>
      <x:c r="L658" s="10" t="str"/>
      <x:c r="M658" s="10" t="str">
        <x:v>未测</x:v>
      </x:c>
      <x:c r="N658" s="10" t="str"/>
      <x:c r="O658" s="9" t="str">
        <x:v>1. 来源（当前证据）：liveshow-proto/MainBasis/统一需求文档.md；位置：行1142、行1122
2. 规则：BR-ce66296f353e3635
3. 未动态验证</x:v>
      </x:c>
    </x:row>
    <x:row r="659" ht="85" customHeight="1">
      <x:c r="A659" s="10" t="n">
        <x:v>658</x:v>
      </x:c>
      <x:c r="B659" s="10" t="str">
        <x:v>USER-07-0007</x:v>
      </x:c>
      <x:c r="C659" s="10" t="str">
        <x:v>主播中心</x:v>
      </x:c>
      <x:c r="D659" s="10" t="str">
        <x:v>主播中心（已认证主播视角）</x:v>
      </x:c>
      <x:c r="E659" s="10" t="str">
        <x:v>功能需求</x:v>
      </x:c>
      <x:c r="F659" s="10" t="str">
        <x:v>P1</x:v>
      </x:c>
      <x:c r="G659" s="9" t="str">
        <x:v>验证本月隐藏当日进度</x:v>
      </x:c>
      <x:c r="H659" s="9" t="str">
        <x:v>入口可用性</x:v>
      </x:c>
      <x:c r="I659" s="9" t="str">
        <x:v>1. 执行角色为已认证主播；当前处于主播中心页面</x:v>
      </x:c>
      <x:c r="J659" s="9" t="str">
        <x:v>1. 点击本月</x:v>
      </x:c>
      <x:c r="K659" s="9" t="str">
        <x:v>隐藏当日有效天进度</x:v>
      </x:c>
      <x:c r="L659" s="10" t="str"/>
      <x:c r="M659" s="10" t="str">
        <x:v>未测</x:v>
      </x:c>
      <x:c r="N659" s="10" t="str"/>
      <x:c r="O659" s="9" t="str">
        <x:v>1. 来源（当前证据）：liveshow-proto/MainBasis/统一需求文档.md；位置：行1142、行1122
2. 规则：BR-47e0d027c722782e
3. 未动态验证</x:v>
      </x:c>
    </x:row>
    <x:row r="660" ht="85" customHeight="1">
      <x:c r="A660" s="10" t="n">
        <x:v>659</x:v>
      </x:c>
      <x:c r="B660" s="10" t="str">
        <x:v>USER-07-0008</x:v>
      </x:c>
      <x:c r="C660" s="10" t="str">
        <x:v>主播中心</x:v>
      </x:c>
      <x:c r="D660" s="10" t="str">
        <x:v>主播中心（已认证主播视角）</x:v>
      </x:c>
      <x:c r="E660" s="10" t="str">
        <x:v>功能需求</x:v>
      </x:c>
      <x:c r="F660" s="10" t="str">
        <x:v>P1</x:v>
      </x:c>
      <x:c r="G660" s="9" t="str">
        <x:v>验证累计收益不随周期变化</x:v>
      </x:c>
      <x:c r="H660" s="9" t="str">
        <x:v>资产数值</x:v>
      </x:c>
      <x:c r="I660" s="9" t="str">
        <x:v>1. 执行角色为已认证主播；当前处于主播中心页面
2. 历史累计收益1000金币</x:v>
      </x:c>
      <x:c r="J660" s="9" t="str">
        <x:v>1. 查看并记录顶部累计收益
2. 切换本月</x:v>
      </x:c>
      <x:c r="K660" s="9" t="str">
        <x:v>顶部累计收益仍为1000金币</x:v>
      </x:c>
      <x:c r="L660" s="10" t="str"/>
      <x:c r="M660" s="10" t="str">
        <x:v>未测</x:v>
      </x:c>
      <x:c r="N660" s="10" t="str"/>
      <x:c r="O660" s="9" t="str">
        <x:v>1. 来源（当前证据）：liveshow-proto/MainBasis/统一需求文档.md；位置：行1128、行1122
2. 规则：BR-16e21b54930a26ff
3. 未动态验证</x:v>
      </x:c>
    </x:row>
    <x:row r="661" ht="85" customHeight="1">
      <x:c r="A661" s="10" t="n">
        <x:v>660</x:v>
      </x:c>
      <x:c r="B661" s="10" t="str">
        <x:v>USER-07-0009</x:v>
      </x:c>
      <x:c r="C661" s="10" t="str">
        <x:v>主播中心</x:v>
      </x:c>
      <x:c r="D661" s="10" t="str">
        <x:v>主播中心（已认证主播视角）</x:v>
      </x:c>
      <x:c r="E661" s="10" t="str">
        <x:v>功能需求</x:v>
      </x:c>
      <x:c r="F661" s="10" t="str">
        <x:v>P1</x:v>
      </x:c>
      <x:c r="G661" s="9" t="str">
        <x:v>验证当前粉丝非团成员</x:v>
      </x:c>
      <x:c r="H661" s="9" t="str">
        <x:v>主播粉丝人数口径</x:v>
      </x:c>
      <x:c r="I661" s="9" t="str">
        <x:v>1. 执行角色为已认证主播；当前处于主播中心页面
2. 当前被3人关注，粉丝团有2名成员</x:v>
      </x:c>
      <x:c r="J661" s="9" t="str">
        <x:v>1. 查看粉丝数量</x:v>
      </x:c>
      <x:c r="K661" s="9" t="str">
        <x:v>粉丝为3人</x:v>
      </x:c>
      <x:c r="L661" s="10" t="str"/>
      <x:c r="M661" s="10" t="str">
        <x:v>未测</x:v>
      </x:c>
      <x:c r="N661" s="10" t="str"/>
      <x:c r="O661" s="9" t="str">
        <x:v>1. 来源（当前证据）：liveshow-proto/MainBasis/统一需求文档.md；位置：行1129、行1122
2. 规则：BR-8c08623b6990f6f8
3. 未动态验证</x:v>
      </x:c>
    </x:row>
    <x:row r="662" ht="85" customHeight="1">
      <x:c r="A662" s="10" t="n">
        <x:v>661</x:v>
      </x:c>
      <x:c r="B662" s="10" t="str">
        <x:v>USER-07-0010</x:v>
      </x:c>
      <x:c r="C662" s="10" t="str">
        <x:v>主播中心</x:v>
      </x:c>
      <x:c r="D662" s="10" t="str">
        <x:v>主播中心（已认证主播视角）</x:v>
      </x:c>
      <x:c r="E662" s="10" t="str">
        <x:v>功能需求</x:v>
      </x:c>
      <x:c r="F662" s="10" t="str">
        <x:v>P1</x:v>
      </x:c>
      <x:c r="G662" s="9" t="str">
        <x:v>验证观众周期内去重</x:v>
      </x:c>
      <x:c r="H662" s="9" t="str">
        <x:v>周期观众去重人数</x:v>
      </x:c>
      <x:c r="I662" s="9" t="str">
        <x:v>1. 执行角色为已认证主播；当前处于主播中心页面
2. 同一观众A今天进入两场，每场进入两次；无其他观众</x:v>
      </x:c>
      <x:c r="J662" s="9" t="str">
        <x:v>1. 查看今日观众人数</x:v>
      </x:c>
      <x:c r="K662" s="9" t="str">
        <x:v>观众人数为1</x:v>
      </x:c>
      <x:c r="L662" s="10" t="str"/>
      <x:c r="M662" s="10" t="str">
        <x:v>未测</x:v>
      </x:c>
      <x:c r="N662" s="10" t="str"/>
      <x:c r="O662" s="9" t="str">
        <x:v>1. 来源（当前证据）：liveshow-proto/MainBasis/统一需求文档.md；位置：行1135、行1122
2. 规则：BR-6258a2aa6989925b
3. 未动态验证</x:v>
      </x:c>
    </x:row>
    <x:row r="663" ht="85" customHeight="1">
      <x:c r="A663" s="10" t="n">
        <x:v>662</x:v>
      </x:c>
      <x:c r="B663" s="10" t="str">
        <x:v>USER-07-0011</x:v>
      </x:c>
      <x:c r="C663" s="10" t="str">
        <x:v>主播中心</x:v>
      </x:c>
      <x:c r="D663" s="10" t="str">
        <x:v>主播中心（已认证主播视角）</x:v>
      </x:c>
      <x:c r="E663" s="10" t="str">
        <x:v>功能需求</x:v>
      </x:c>
      <x:c r="F663" s="10" t="str">
        <x:v>P1</x:v>
      </x:c>
      <x:c r="G663" s="9" t="str">
        <x:v>验证新增粉丝不扣取关</x:v>
      </x:c>
      <x:c r="H663" s="9" t="str">
        <x:v>新增粉丝统计口径</x:v>
      </x:c>
      <x:c r="I663" s="9" t="str">
        <x:v>1. 执行角色为已认证主播；当前处于主播中心页面
2. 本日新关注5人、取关2人</x:v>
      </x:c>
      <x:c r="J663" s="9" t="str">
        <x:v>1. 查看今日涨粉</x:v>
      </x:c>
      <x:c r="K663" s="9" t="str">
        <x:v>涨粉为5人</x:v>
      </x:c>
      <x:c r="L663" s="10" t="str"/>
      <x:c r="M663" s="10" t="str">
        <x:v>未测</x:v>
      </x:c>
      <x:c r="N663" s="10" t="str"/>
      <x:c r="O663" s="9" t="str">
        <x:v>1. 来源（当前证据）：liveshow-proto/MainBasis/统一需求文档.md；位置：行1136、行1122
2. 规则：BR-5f31fc113e487b31
3. 未动态验证</x:v>
      </x:c>
    </x:row>
    <x:row r="664" ht="85" customHeight="1">
      <x:c r="A664" s="10" t="n">
        <x:v>663</x:v>
      </x:c>
      <x:c r="B664" s="10" t="str">
        <x:v>USER-07-0012</x:v>
      </x:c>
      <x:c r="C664" s="10" t="str">
        <x:v>主播中心</x:v>
      </x:c>
      <x:c r="D664" s="10" t="str">
        <x:v>主播中心（已认证主播视角）</x:v>
      </x:c>
      <x:c r="E664" s="10" t="str">
        <x:v>功能需求</x:v>
      </x:c>
      <x:c r="F664" s="10" t="str">
        <x:v>P1</x:v>
      </x:c>
      <x:c r="G664" s="9" t="str">
        <x:v>验证未满三小时无达标标记</x:v>
      </x:c>
      <x:c r="H664" s="9" t="str">
        <x:v>未达标时长标记</x:v>
      </x:c>
      <x:c r="I664" s="9" t="str">
        <x:v>1. 执行角色为已认证主播；当前处于主播中心页面
2. 当日累计有效直播2小时59分钟</x:v>
      </x:c>
      <x:c r="J664" s="9" t="str">
        <x:v>1. 查看当日有效天</x:v>
      </x:c>
      <x:c r="K664" s="9" t="str">
        <x:v>不显示达标标记</x:v>
      </x:c>
      <x:c r="L664" s="10" t="str"/>
      <x:c r="M664" s="10" t="str">
        <x:v>未测</x:v>
      </x:c>
      <x:c r="N664" s="10" t="str"/>
      <x:c r="O664" s="9" t="str">
        <x:v>1. 来源（当前证据）：liveshow-proto/MainBasis/统一需求文档.md；位置：行1138、行1122
2. 规则：BR-e8372ccada7bd3bf
3. 未动态验证</x:v>
      </x:c>
    </x:row>
    <x:row r="665" ht="85" customHeight="1">
      <x:c r="A665" s="10" t="n">
        <x:v>664</x:v>
      </x:c>
      <x:c r="B665" s="10" t="str">
        <x:v>USER-07-0013</x:v>
      </x:c>
      <x:c r="C665" s="10" t="str">
        <x:v>主播中心</x:v>
      </x:c>
      <x:c r="D665" s="10" t="str">
        <x:v>主播中心（已认证主播视角）</x:v>
      </x:c>
      <x:c r="E665" s="10" t="str">
        <x:v>逻辑校验</x:v>
      </x:c>
      <x:c r="F665" s="10" t="str">
        <x:v>P1</x:v>
      </x:c>
      <x:c r="G665" s="9" t="str">
        <x:v>验证三小时有效天达标</x:v>
      </x:c>
      <x:c r="H665" s="9" t="str">
        <x:v>有效天达标标记</x:v>
      </x:c>
      <x:c r="I665" s="9" t="str">
        <x:v>1. 执行角色为已认证主播；当前处于主播中心页面
2. 当日累计有效直播恰好3小时</x:v>
      </x:c>
      <x:c r="J665" s="9" t="str">
        <x:v>1. 查看当日有效天</x:v>
      </x:c>
      <x:c r="K665" s="9" t="str">
        <x:v>显示达标标记</x:v>
      </x:c>
      <x:c r="L665" s="10" t="str"/>
      <x:c r="M665" s="10" t="str">
        <x:v>未测</x:v>
      </x:c>
      <x:c r="N665" s="10" t="str"/>
      <x:c r="O665" s="9" t="str">
        <x:v>1. 来源（当前证据）：liveshow-proto/MainBasis/统一需求文档.md；位置：行1137、行1138、行1122
2. 规则：BR-3aeafade29f84abf
3. 未动态验证</x:v>
      </x:c>
    </x:row>
    <x:row r="666" ht="85" customHeight="1">
      <x:c r="A666" s="10" t="n">
        <x:v>665</x:v>
      </x:c>
      <x:c r="B666" s="10" t="str">
        <x:v>USER-07-0014</x:v>
      </x:c>
      <x:c r="C666" s="10" t="str">
        <x:v>主播中心</x:v>
      </x:c>
      <x:c r="D666" s="10" t="str">
        <x:v>主播中心（已认证主播视角）</x:v>
      </x:c>
      <x:c r="E666" s="10" t="str">
        <x:v>功能需求</x:v>
      </x:c>
      <x:c r="F666" s="10" t="str">
        <x:v>P1</x:v>
      </x:c>
      <x:c r="G666" s="9" t="str">
        <x:v>验证四小时进度上限</x:v>
      </x:c>
      <x:c r="H666" s="9" t="str">
        <x:v>时长进度显示上限</x:v>
      </x:c>
      <x:c r="I666" s="9" t="str">
        <x:v>1. 执行角色为已认证主播；当前处于主播中心页面
2. 当日有效直播4小时</x:v>
      </x:c>
      <x:c r="J666" s="9" t="str">
        <x:v>1. 查看进度条</x:v>
      </x:c>
      <x:c r="K666" s="9" t="str">
        <x:v>进度条最多100%</x:v>
      </x:c>
      <x:c r="L666" s="10" t="str"/>
      <x:c r="M666" s="10" t="str">
        <x:v>未测</x:v>
      </x:c>
      <x:c r="N666" s="10" t="str"/>
      <x:c r="O666" s="9" t="str">
        <x:v>1. 来源（当前证据）：liveshow-proto/MainBasis/统一需求文档.md；位置：行1137、行1122
2. 规则：BR-20ed29717a66a452
3. 未动态验证</x:v>
      </x:c>
    </x:row>
    <x:row r="667" ht="85" customHeight="1">
      <x:c r="A667" s="10" t="n">
        <x:v>666</x:v>
      </x:c>
      <x:c r="B667" s="10" t="str">
        <x:v>USER-07-0015</x:v>
      </x:c>
      <x:c r="C667" s="10" t="str">
        <x:v>主播中心</x:v>
      </x:c>
      <x:c r="D667" s="10" t="str">
        <x:v>主播中心（已认证主播视角）</x:v>
      </x:c>
      <x:c r="E667" s="10" t="str">
        <x:v>功能需求</x:v>
      </x:c>
      <x:c r="F667" s="10" t="str">
        <x:v>P1</x:v>
      </x:c>
      <x:c r="G667" s="9" t="str">
        <x:v>验证权限关闭提示</x:v>
      </x:c>
      <x:c r="H667" s="9" t="str">
        <x:v>直播权限关闭提示</x:v>
      </x:c>
      <x:c r="I667" s="9" t="str">
        <x:v>1. 执行角色为已认证主播；当前处于主播中心页面
2. 最终直播权限已关闭</x:v>
      </x:c>
      <x:c r="J667" s="9" t="str">
        <x:v>1. 查看主播中心</x:v>
      </x:c>
      <x:c r="K667" s="9" t="str">
        <x:v>显示“直播权限已关闭，请联系公会”</x:v>
      </x:c>
      <x:c r="L667" s="10" t="str"/>
      <x:c r="M667" s="10" t="str">
        <x:v>未测</x:v>
      </x:c>
      <x:c r="N667" s="10" t="str"/>
      <x:c r="O667" s="9" t="str">
        <x:v>1. 来源（当前证据）：liveshow-proto/MainBasis/统一需求文档.md；位置：行1130、行1122
2. 规则：BR-ebe0203984753c4c
3. 未动态验证</x:v>
      </x:c>
    </x:row>
    <x:row r="668" ht="85" customHeight="1">
      <x:c r="A668" s="10" t="n">
        <x:v>667</x:v>
      </x:c>
      <x:c r="B668" s="10" t="str">
        <x:v>USER-07-0016</x:v>
      </x:c>
      <x:c r="C668" s="10" t="str">
        <x:v>主播中心</x:v>
      </x:c>
      <x:c r="D668" s="10" t="str">
        <x:v>主播中心（已认证主播视角）</x:v>
      </x:c>
      <x:c r="E668" s="10" t="str">
        <x:v>异常用例</x:v>
      </x:c>
      <x:c r="F668" s="10" t="str">
        <x:v>P1</x:v>
      </x:c>
      <x:c r="G668" s="9" t="str">
        <x:v>验证权限关闭阻止开播</x:v>
      </x:c>
      <x:c r="H668" s="9" t="str">
        <x:v>无权限开播反馈</x:v>
      </x:c>
      <x:c r="I668" s="9" t="str">
        <x:v>1. 执行角色为已认证主播；当前处于主播中心页面
2. 最终直播权限已关闭</x:v>
      </x:c>
      <x:c r="J668" s="9" t="str">
        <x:v>1. 点击开始直播</x:v>
      </x:c>
      <x:c r="K668" s="9" t="str">
        <x:v>弹窗提示“直播权限已关闭，请联系公会”</x:v>
      </x:c>
      <x:c r="L668" s="10" t="str"/>
      <x:c r="M668" s="10" t="str">
        <x:v>未测</x:v>
      </x:c>
      <x:c r="N668" s="10" t="str"/>
      <x:c r="O668" s="9" t="str">
        <x:v>1. 来源（当前证据）：liveshow-proto/MainBasis/统一需求文档.md；位置：行1143、行1122
2. 规则：BR-96c10936f076aade
3. 未动态验证</x:v>
      </x:c>
    </x:row>
    <x:row r="669" ht="85" customHeight="1">
      <x:c r="A669" s="10" t="n">
        <x:v>668</x:v>
      </x:c>
      <x:c r="B669" s="10" t="str">
        <x:v>USER-07-0017</x:v>
      </x:c>
      <x:c r="C669" s="10" t="str">
        <x:v>主播中心</x:v>
      </x:c>
      <x:c r="D669" s="10" t="str">
        <x:v>主播中心（已认证主播视角）</x:v>
      </x:c>
      <x:c r="E669" s="10" t="str">
        <x:v>功能需求</x:v>
      </x:c>
      <x:c r="F669" s="10" t="str">
        <x:v>P1</x:v>
      </x:c>
      <x:c r="G669" s="9" t="str">
        <x:v>验证知道了关闭权限弹窗</x:v>
      </x:c>
      <x:c r="H669" s="9" t="str">
        <x:v>权限提示关闭去向</x:v>
      </x:c>
      <x:c r="I669" s="9" t="str">
        <x:v>1. 执行角色为已认证主播；当前处于主播中心页面
2. 权限关闭提示弹窗已打开</x:v>
      </x:c>
      <x:c r="J669" s="9" t="str">
        <x:v>1. 点击知道了</x:v>
      </x:c>
      <x:c r="K669" s="9" t="str">
        <x:v>关闭弹窗并留在主播中心</x:v>
      </x:c>
      <x:c r="L669" s="10" t="str"/>
      <x:c r="M669" s="10" t="str">
        <x:v>未测</x:v>
      </x:c>
      <x:c r="N669" s="10" t="str"/>
      <x:c r="O669" s="9" t="str">
        <x:v>1. 来源（当前证据）：liveshow-proto/MainBasis/统一需求文档.md；位置：行1143、行1122
2. 规则：BR-4e605d61ab4290db
3. 未动态验证</x:v>
      </x:c>
    </x:row>
    <x:row r="670" ht="85" customHeight="1">
      <x:c r="A670" s="10" t="n">
        <x:v>669</x:v>
      </x:c>
      <x:c r="B670" s="10" t="str">
        <x:v>USER-07-0018</x:v>
      </x:c>
      <x:c r="C670" s="10" t="str">
        <x:v>主播中心</x:v>
      </x:c>
      <x:c r="D670" s="10" t="str">
        <x:v>主播中心（已认证主播视角）</x:v>
      </x:c>
      <x:c r="E670" s="10" t="str">
        <x:v>业务流程</x:v>
      </x:c>
      <x:c r="F670" s="10" t="str">
        <x:v>P1</x:v>
      </x:c>
      <x:c r="G670" s="9" t="str">
        <x:v>验证有效权限进入开播设置</x:v>
      </x:c>
      <x:c r="H670" s="9" t="str">
        <x:v>开播设置页面去向</x:v>
      </x:c>
      <x:c r="I670" s="9" t="str">
        <x:v>1. 执行角色为已认证主播；当前处于主播中心页面
2. 账号可用、公会有效、认证通过且最终直播权限开启</x:v>
      </x:c>
      <x:c r="J670" s="9" t="str">
        <x:v>1. 点击开始直播</x:v>
      </x:c>
      <x:c r="K670" s="9" t="str">
        <x:v>进入开播设置</x:v>
      </x:c>
      <x:c r="L670" s="10" t="str"/>
      <x:c r="M670" s="10" t="str">
        <x:v>未测</x:v>
      </x:c>
      <x:c r="N670" s="10" t="str"/>
      <x:c r="O670" s="9" t="str">
        <x:v>1. 来源（当前证据）：liveshow-proto/MainBasis/统一需求文档.md；位置：行1140、行1143、行1122
2. 规则：BR-13502882e71b473e
3. 未动态验证</x:v>
      </x:c>
    </x:row>
    <x:row r="671" ht="85" customHeight="1">
      <x:c r="A671" s="10" t="n">
        <x:v>670</x:v>
      </x:c>
      <x:c r="B671" s="10" t="str">
        <x:v>USER-07-0019</x:v>
      </x:c>
      <x:c r="C671" s="10" t="str">
        <x:v>主播中心</x:v>
      </x:c>
      <x:c r="D671" s="10" t="str">
        <x:v>主播中心（已认证主播视角）</x:v>
      </x:c>
      <x:c r="E671" s="10" t="str">
        <x:v>功能需求</x:v>
      </x:c>
      <x:c r="F671" s="10" t="str">
        <x:v>P2</x:v>
      </x:c>
      <x:c r="G671" s="9" t="str">
        <x:v>验证公会通知零角标</x:v>
      </x:c>
      <x:c r="H671" s="9" t="str">
        <x:v>入口可用性</x:v>
      </x:c>
      <x:c r="I671" s="9" t="str">
        <x:v>1. 执行角色为已认证主播；当前处于主播中心页面
2. 当前没有未读公会通知</x:v>
      </x:c>
      <x:c r="J671" s="9" t="str">
        <x:v>1. 查看公会通知入口</x:v>
      </x:c>
      <x:c r="K671" s="9" t="str">
        <x:v>隐藏未读角标</x:v>
      </x:c>
      <x:c r="L671" s="10" t="str"/>
      <x:c r="M671" s="10" t="str">
        <x:v>未测</x:v>
      </x:c>
      <x:c r="N671" s="10" t="str"/>
      <x:c r="O671" s="9" t="str">
        <x:v>1. 来源（当前证据）：liveshow-proto/MainBasis/统一需求文档.md；位置：行1145、行1122
2. 规则：BR-3f6e190c875c75dc
3. 未动态验证</x:v>
      </x:c>
    </x:row>
    <x:row r="672" ht="85" customHeight="1">
      <x:c r="A672" s="10" t="n">
        <x:v>671</x:v>
      </x:c>
      <x:c r="B672" s="10" t="str">
        <x:v>USER-07-0020</x:v>
      </x:c>
      <x:c r="C672" s="10" t="str">
        <x:v>主播中心</x:v>
      </x:c>
      <x:c r="D672" s="10" t="str">
        <x:v>主播中心（已认证主播视角）</x:v>
      </x:c>
      <x:c r="E672" s="10" t="str">
        <x:v>功能需求</x:v>
      </x:c>
      <x:c r="F672" s="10" t="str">
        <x:v>P2</x:v>
      </x:c>
      <x:c r="G672" s="9" t="str">
        <x:v>验证公会通知未读角标</x:v>
      </x:c>
      <x:c r="H672" s="9" t="str">
        <x:v>公会通知未读数</x:v>
      </x:c>
      <x:c r="I672" s="9" t="str">
        <x:v>1. 执行角色为已认证主播；当前处于主播中心页面
2. 当前有3条未读公会通知</x:v>
      </x:c>
      <x:c r="J672" s="9" t="str">
        <x:v>1. 查看公会通知入口</x:v>
      </x:c>
      <x:c r="K672" s="9" t="str">
        <x:v>显示角标3</x:v>
      </x:c>
      <x:c r="L672" s="10" t="str"/>
      <x:c r="M672" s="10" t="str">
        <x:v>未测</x:v>
      </x:c>
      <x:c r="N672" s="10" t="str"/>
      <x:c r="O672" s="9" t="str">
        <x:v>1. 来源（当前证据）：liveshow-proto/MainBasis/统一需求文档.md；位置：行1145、行1122
2. 规则：BR-5c4a980420fe56b4
3. 未动态验证</x:v>
      </x:c>
    </x:row>
    <x:row r="673" ht="85" customHeight="1">
      <x:c r="A673" s="10" t="n">
        <x:v>672</x:v>
      </x:c>
      <x:c r="B673" s="10" t="str">
        <x:v>USER-07-0021</x:v>
      </x:c>
      <x:c r="C673" s="10" t="str">
        <x:v>主播中心</x:v>
      </x:c>
      <x:c r="D673" s="10" t="str">
        <x:v>主播中心（已认证主播视角）</x:v>
      </x:c>
      <x:c r="E673" s="10" t="str">
        <x:v>功能需求</x:v>
      </x:c>
      <x:c r="F673" s="10" t="str">
        <x:v>P2</x:v>
      </x:c>
      <x:c r="G673" s="9" t="str">
        <x:v>验证主播中心数据中心入口</x:v>
      </x:c>
      <x:c r="H673" s="9" t="str">
        <x:v>直播数据页面去向</x:v>
      </x:c>
      <x:c r="I673" s="9" t="str">
        <x:v>1. 执行角色为已认证主播；当前处于主播中心页面</x:v>
      </x:c>
      <x:c r="J673" s="9" t="str">
        <x:v>1. 点击数据中心</x:v>
      </x:c>
      <x:c r="K673" s="9" t="str">
        <x:v>进入直播数据页面</x:v>
      </x:c>
      <x:c r="L673" s="10" t="str"/>
      <x:c r="M673" s="10" t="str">
        <x:v>未测</x:v>
      </x:c>
      <x:c r="N673" s="10" t="str"/>
      <x:c r="O673" s="9" t="str">
        <x:v>1. 来源（当前证据）：liveshow-proto/MainBasis/统一需求文档.md；位置：行1139、行1122
2. 规则：BR-9bffa8179fc29093
3. 未动态验证</x:v>
      </x:c>
    </x:row>
    <x:row r="674" ht="85" customHeight="1">
      <x:c r="A674" s="10" t="n">
        <x:v>673</x:v>
      </x:c>
      <x:c r="B674" s="10" t="str">
        <x:v>USER-07-0022</x:v>
      </x:c>
      <x:c r="C674" s="10" t="str">
        <x:v>主播中心</x:v>
      </x:c>
      <x:c r="D674" s="10" t="str">
        <x:v>主播中心（已认证主播视角）</x:v>
      </x:c>
      <x:c r="E674" s="10" t="str">
        <x:v>功能需求</x:v>
      </x:c>
      <x:c r="F674" s="10" t="str">
        <x:v>P2</x:v>
      </x:c>
      <x:c r="G674" s="9" t="str">
        <x:v>验证主播中心粉丝列表入口</x:v>
      </x:c>
      <x:c r="H674" s="9" t="str">
        <x:v>主播粉丝页面去向</x:v>
      </x:c>
      <x:c r="I674" s="9" t="str">
        <x:v>1. 执行角色为已认证主播；当前处于主播中心页面</x:v>
      </x:c>
      <x:c r="J674" s="9" t="str">
        <x:v>1. 点击粉丝列表</x:v>
      </x:c>
      <x:c r="K674" s="9" t="str">
        <x:v>进入粉丝列表页面</x:v>
      </x:c>
      <x:c r="L674" s="10" t="str"/>
      <x:c r="M674" s="10" t="str">
        <x:v>未测</x:v>
      </x:c>
      <x:c r="N674" s="10" t="str"/>
      <x:c r="O674" s="9" t="str">
        <x:v>1. 来源（当前证据）：liveshow-proto/MainBasis/统一需求文档.md；位置：行1144、行1122
2. 规则：BR-90065f8acaa032d9
3. 未动态验证</x:v>
      </x:c>
    </x:row>
    <x:row r="675" ht="85" customHeight="1">
      <x:c r="A675" s="10" t="n">
        <x:v>674</x:v>
      </x:c>
      <x:c r="B675" s="10" t="str">
        <x:v>USER-07-0023</x:v>
      </x:c>
      <x:c r="C675" s="10" t="str">
        <x:v>主播中心</x:v>
      </x:c>
      <x:c r="D675" s="10" t="str">
        <x:v>主播中心（已认证主播视角）</x:v>
      </x:c>
      <x:c r="E675" s="10" t="str">
        <x:v>功能需求</x:v>
      </x:c>
      <x:c r="F675" s="10" t="str">
        <x:v>P2</x:v>
      </x:c>
      <x:c r="G675" s="9" t="str">
        <x:v>验证主播中心粉丝团管理入口</x:v>
      </x:c>
      <x:c r="H675" s="9" t="str">
        <x:v>主播团管理页面去向</x:v>
      </x:c>
      <x:c r="I675" s="9" t="str">
        <x:v>1. 执行角色为已认证主播；当前处于主播中心页面</x:v>
      </x:c>
      <x:c r="J675" s="9" t="str">
        <x:v>1. 点击粉丝团管理</x:v>
      </x:c>
      <x:c r="K675" s="9" t="str">
        <x:v>进入粉丝团页面</x:v>
      </x:c>
      <x:c r="L675" s="10" t="str"/>
      <x:c r="M675" s="10" t="str">
        <x:v>未测</x:v>
      </x:c>
      <x:c r="N675" s="10" t="str"/>
      <x:c r="O675" s="9" t="str">
        <x:v>1. 来源（当前证据）：liveshow-proto/MainBasis/统一需求文档.md；位置：行1144、行1122
2. 规则：BR-c8bfce88ba9d2716
3. 未动态验证</x:v>
      </x:c>
    </x:row>
    <x:row r="676" ht="85" customHeight="1">
      <x:c r="A676" s="10" t="n">
        <x:v>675</x:v>
      </x:c>
      <x:c r="B676" s="10" t="str">
        <x:v>USER-07-0024</x:v>
      </x:c>
      <x:c r="C676" s="10" t="str">
        <x:v>主播中心</x:v>
      </x:c>
      <x:c r="D676" s="10" t="str">
        <x:v>主播中心（已认证主播视角）</x:v>
      </x:c>
      <x:c r="E676" s="10" t="str">
        <x:v>功能需求</x:v>
      </x:c>
      <x:c r="F676" s="10" t="str">
        <x:v>P2</x:v>
      </x:c>
      <x:c r="G676" s="9" t="str">
        <x:v>验证主播中心房管管理入口</x:v>
      </x:c>
      <x:c r="H676" s="9" t="str">
        <x:v>房管管理页面去向</x:v>
      </x:c>
      <x:c r="I676" s="9" t="str">
        <x:v>1. 执行角色为已认证主播；当前处于主播中心页面</x:v>
      </x:c>
      <x:c r="J676" s="9" t="str">
        <x:v>1. 点击房管管理</x:v>
      </x:c>
      <x:c r="K676" s="9" t="str">
        <x:v>进入房管管理页面</x:v>
      </x:c>
      <x:c r="L676" s="10" t="str"/>
      <x:c r="M676" s="10" t="str">
        <x:v>未测</x:v>
      </x:c>
      <x:c r="N676" s="10" t="str"/>
      <x:c r="O676" s="9" t="str">
        <x:v>1. 来源（当前证据）：liveshow-proto/MainBasis/统一需求文档.md；位置：行1144、行1122
2. 规则：BR-03d953a5cb04a917
3. 未动态验证</x:v>
      </x:c>
    </x:row>
    <x:row r="677" ht="85" customHeight="1">
      <x:c r="A677" s="10" t="n">
        <x:v>676</x:v>
      </x:c>
      <x:c r="B677" s="10" t="str">
        <x:v>USER-07-0025</x:v>
      </x:c>
      <x:c r="C677" s="10" t="str">
        <x:v>主播中心</x:v>
      </x:c>
      <x:c r="D677" s="10" t="str">
        <x:v>主播中心（已认证主播视角）</x:v>
      </x:c>
      <x:c r="E677" s="10" t="str">
        <x:v>功能需求</x:v>
      </x:c>
      <x:c r="F677" s="10" t="str">
        <x:v>P2</x:v>
      </x:c>
      <x:c r="G677" s="9" t="str">
        <x:v>验证主播中心分成记录入口</x:v>
      </x:c>
      <x:c r="H677" s="9" t="str">
        <x:v>分成记录页面去向</x:v>
      </x:c>
      <x:c r="I677" s="9" t="str">
        <x:v>1. 执行角色为已认证主播；当前处于主播中心页面</x:v>
      </x:c>
      <x:c r="J677" s="9" t="str">
        <x:v>1. 点击分成记录</x:v>
      </x:c>
      <x:c r="K677" s="9" t="str">
        <x:v>进入分成记录页面</x:v>
      </x:c>
      <x:c r="L677" s="10" t="str"/>
      <x:c r="M677" s="10" t="str">
        <x:v>未测</x:v>
      </x:c>
      <x:c r="N677" s="10" t="str"/>
      <x:c r="O677" s="9" t="str">
        <x:v>1. 来源（当前证据）：liveshow-proto/MainBasis/统一需求文档.md；位置：行1144、行1122
2. 规则：BR-c8b165f70ad2d580
3. 未动态验证</x:v>
      </x:c>
    </x:row>
    <x:row r="678" ht="85" customHeight="1">
      <x:c r="A678" s="10" t="n">
        <x:v>677</x:v>
      </x:c>
      <x:c r="B678" s="10" t="str">
        <x:v>USER-07-0026</x:v>
      </x:c>
      <x:c r="C678" s="10" t="str">
        <x:v>主播中心</x:v>
      </x:c>
      <x:c r="D678" s="10" t="str">
        <x:v>主播中心（已认证主播视角）</x:v>
      </x:c>
      <x:c r="E678" s="10" t="str">
        <x:v>功能需求</x:v>
      </x:c>
      <x:c r="F678" s="10" t="str">
        <x:v>P2</x:v>
      </x:c>
      <x:c r="G678" s="9" t="str">
        <x:v>验证主播中心公会名称入口</x:v>
      </x:c>
      <x:c r="H678" s="9" t="str">
        <x:v>主播公会页面去向</x:v>
      </x:c>
      <x:c r="I678" s="9" t="str">
        <x:v>1. 执行角色为已认证主播；当前处于主播中心页面</x:v>
      </x:c>
      <x:c r="J678" s="9" t="str">
        <x:v>1. 点击公会名称</x:v>
      </x:c>
      <x:c r="K678" s="9" t="str">
        <x:v>进入我的公会页面</x:v>
      </x:c>
      <x:c r="L678" s="10" t="str"/>
      <x:c r="M678" s="10" t="str">
        <x:v>未测</x:v>
      </x:c>
      <x:c r="N678" s="10" t="str"/>
      <x:c r="O678" s="9" t="str">
        <x:v>1. 来源（当前证据）：liveshow-proto/MainBasis/统一需求文档.md；位置：行1127、行1122
2. 规则：BR-62f9ac1d8599e235
3. 未动态验证</x:v>
      </x:c>
    </x:row>
    <x:row r="679" ht="85" customHeight="1">
      <x:c r="A679" s="10" t="n">
        <x:v>678</x:v>
      </x:c>
      <x:c r="B679" s="10" t="str">
        <x:v>USER-07-0027</x:v>
      </x:c>
      <x:c r="C679" s="10" t="str">
        <x:v>主播中心</x:v>
      </x:c>
      <x:c r="D679" s="10" t="str">
        <x:v>主播中心（已认证主播视角）</x:v>
      </x:c>
      <x:c r="E679" s="10" t="str">
        <x:v>功能需求</x:v>
      </x:c>
      <x:c r="F679" s="10" t="str">
        <x:v>P2</x:v>
      </x:c>
      <x:c r="G679" s="9" t="str">
        <x:v>验证主播中心公会通知入口</x:v>
      </x:c>
      <x:c r="H679" s="9" t="str">
        <x:v>公会通知页面去向</x:v>
      </x:c>
      <x:c r="I679" s="9" t="str">
        <x:v>1. 执行角色为已认证主播；当前处于主播中心页面</x:v>
      </x:c>
      <x:c r="J679" s="9" t="str">
        <x:v>1. 点击公会通知</x:v>
      </x:c>
      <x:c r="K679" s="9" t="str">
        <x:v>进入公会通知页面</x:v>
      </x:c>
      <x:c r="L679" s="10" t="str"/>
      <x:c r="M679" s="10" t="str">
        <x:v>未测</x:v>
      </x:c>
      <x:c r="N679" s="10" t="str"/>
      <x:c r="O679" s="9" t="str">
        <x:v>1. 来源（当前证据）：liveshow-proto/MainBasis/统一需求文档.md；位置：行1145、行1122
2. 规则：BR-7f3858a26d12f8c8
3. 未动态验证</x:v>
      </x:c>
    </x:row>
    <x:row r="680" ht="85" customHeight="1">
      <x:c r="A680" s="10" t="n">
        <x:v>679</x:v>
      </x:c>
      <x:c r="B680" s="10" t="str">
        <x:v>USER-07-0028</x:v>
      </x:c>
      <x:c r="C680" s="10" t="str">
        <x:v>主播中心</x:v>
      </x:c>
      <x:c r="D680" s="10" t="str">
        <x:v>主播中心（已认证主播视角）</x:v>
      </x:c>
      <x:c r="E680" s="10" t="str">
        <x:v>功能需求</x:v>
      </x:c>
      <x:c r="F680" s="10" t="str">
        <x:v>P2</x:v>
      </x:c>
      <x:c r="G680" s="9" t="str">
        <x:v>验证主播中心直播记录入口</x:v>
      </x:c>
      <x:c r="H680" s="9" t="str">
        <x:v>直播历史页面去向</x:v>
      </x:c>
      <x:c r="I680" s="9" t="str">
        <x:v>1. 执行角色为已认证主播；当前处于主播中心页面</x:v>
      </x:c>
      <x:c r="J680" s="9" t="str">
        <x:v>1. 点击直播记录</x:v>
      </x:c>
      <x:c r="K680" s="9" t="str">
        <x:v>进入直播记录页面</x:v>
      </x:c>
      <x:c r="L680" s="10" t="str"/>
      <x:c r="M680" s="10" t="str">
        <x:v>未测</x:v>
      </x:c>
      <x:c r="N680" s="10" t="str"/>
      <x:c r="O680" s="9" t="str">
        <x:v>1. 来源（当前证据）：liveshow-proto/MainBasis/统一需求文档.md；位置：行1145、行1122
2. 规则：BR-eb2a4e5d66fba744
3. 未动态验证</x:v>
      </x:c>
    </x:row>
    <x:row r="681" ht="85" customHeight="1">
      <x:c r="A681" s="10" t="n">
        <x:v>680</x:v>
      </x:c>
      <x:c r="B681" s="10" t="str">
        <x:v>USER-07-0029</x:v>
      </x:c>
      <x:c r="C681" s="10" t="str">
        <x:v>主播中心</x:v>
      </x:c>
      <x:c r="D681" s="10" t="str">
        <x:v>房管管理（已认证主播视角）</x:v>
      </x:c>
      <x:c r="E681" s="10" t="str">
        <x:v>功能需求</x:v>
      </x:c>
      <x:c r="F681" s="10" t="str">
        <x:v>P1</x:v>
      </x:c>
      <x:c r="G681" s="9" t="str">
        <x:v>验证房管本人有效授权</x:v>
      </x:c>
      <x:c r="H681" s="9" t="str">
        <x:v>房管授权列表范围</x:v>
      </x:c>
      <x:c r="I681" s="9" t="str">
        <x:v>1. 执行角色为已认证主播；当前处于房管管理页面
2. 本主播及其他主播均有不同房管</x:v>
      </x:c>
      <x:c r="J681" s="9" t="str">
        <x:v>1. 查看房管列表</x:v>
      </x:c>
      <x:c r="K681" s="9" t="str">
        <x:v>只展示本主播仍有效的授权</x:v>
      </x:c>
      <x:c r="L681" s="10" t="str"/>
      <x:c r="M681" s="10" t="str">
        <x:v>未测</x:v>
      </x:c>
      <x:c r="N681" s="10" t="str"/>
      <x:c r="O681" s="9" t="str">
        <x:v>1. 来源（当前证据）：liveshow-proto/MainBasis/统一需求文档.md；位置：行1156、行1148
2. 规则：BR-f0d8b40b6235ceec
3. 未动态验证</x:v>
      </x:c>
    </x:row>
    <x:row r="682" ht="85" customHeight="1">
      <x:c r="A682" s="10" t="n">
        <x:v>681</x:v>
      </x:c>
      <x:c r="B682" s="10" t="str">
        <x:v>USER-07-0030</x:v>
      </x:c>
      <x:c r="C682" s="10" t="str">
        <x:v>主播中心</x:v>
      </x:c>
      <x:c r="D682" s="10" t="str">
        <x:v>房管管理（已认证主播视角）</x:v>
      </x:c>
      <x:c r="E682" s="10" t="str">
        <x:v>业务流程</x:v>
      </x:c>
      <x:c r="F682" s="10" t="str">
        <x:v>P1</x:v>
      </x:c>
      <x:c r="G682" s="9" t="str">
        <x:v>验证第三名房管可添加</x:v>
      </x:c>
      <x:c r="H682" s="9" t="str">
        <x:v>房管人数上限</x:v>
      </x:c>
      <x:c r="I682" s="9" t="str">
        <x:v>1. 执行角色为已认证主播；当前处于房管管理页面
2. 当前有2名房管；目标无拉黑且不是现有房管</x:v>
      </x:c>
      <x:c r="J682" s="9" t="str">
        <x:v>1. 输入目标用户ID搜索
2. 点击添加该用户为房管</x:v>
      </x:c>
      <x:c r="K682" s="9" t="str">
        <x:v>房管数量变为3</x:v>
      </x:c>
      <x:c r="L682" s="10" t="str"/>
      <x:c r="M682" s="10" t="str">
        <x:v>未测</x:v>
      </x:c>
      <x:c r="N682" s="10" t="str"/>
      <x:c r="O682" s="9" t="str">
        <x:v>1. 来源（当前证据）：liveshow-proto/MainBasis/统一需求文档.md；位置：行1151、行1157、行1148
2. 规则：BR-31c038b0e0adef95
3. 未动态验证</x:v>
      </x:c>
    </x:row>
    <x:row r="683" ht="85" customHeight="1">
      <x:c r="A683" s="10" t="n">
        <x:v>682</x:v>
      </x:c>
      <x:c r="B683" s="10" t="str">
        <x:v>USER-07-0031</x:v>
      </x:c>
      <x:c r="C683" s="10" t="str">
        <x:v>主播中心</x:v>
      </x:c>
      <x:c r="D683" s="10" t="str">
        <x:v>房管管理（已认证主播视角）</x:v>
      </x:c>
      <x:c r="E683" s="10" t="str">
        <x:v>功能需求</x:v>
      </x:c>
      <x:c r="F683" s="10" t="str">
        <x:v>P1</x:v>
      </x:c>
      <x:c r="G683" s="9" t="str">
        <x:v>验证三人上限保留添加入口</x:v>
      </x:c>
      <x:c r="H683" s="9" t="str">
        <x:v>满额房管添加入口</x:v>
      </x:c>
      <x:c r="I683" s="9" t="str">
        <x:v>1. 执行角色为已认证主播；当前处于房管管理页面
2. 当前已有3名房管</x:v>
      </x:c>
      <x:c r="J683" s="9" t="str">
        <x:v>1. 查看添加入口</x:v>
      </x:c>
      <x:c r="K683" s="9" t="str">
        <x:v>添加入口仍显示</x:v>
      </x:c>
      <x:c r="L683" s="10" t="str"/>
      <x:c r="M683" s="10" t="str">
        <x:v>未测</x:v>
      </x:c>
      <x:c r="N683" s="10" t="str"/>
      <x:c r="O683" s="9" t="str">
        <x:v>1. 来源（当前证据）：liveshow-proto/MainBasis/统一需求文档.md；位置：行1157、行1148
2. 规则：BR-f3edf55832df9e6e
3. 未动态验证</x:v>
      </x:c>
    </x:row>
    <x:row r="684" ht="85" customHeight="1">
      <x:c r="A684" s="10" t="n">
        <x:v>683</x:v>
      </x:c>
      <x:c r="B684" s="10" t="str">
        <x:v>USER-07-0032</x:v>
      </x:c>
      <x:c r="C684" s="10" t="str">
        <x:v>主播中心</x:v>
      </x:c>
      <x:c r="D684" s="10" t="str">
        <x:v>房管管理（已认证主播视角）</x:v>
      </x:c>
      <x:c r="E684" s="10" t="str">
        <x:v>异常用例</x:v>
      </x:c>
      <x:c r="F684" s="10" t="str">
        <x:v>P1</x:v>
      </x:c>
      <x:c r="G684" s="9" t="str">
        <x:v>验证第四名房管禁止添加</x:v>
      </x:c>
      <x:c r="H684" s="9" t="str">
        <x:v>房管名额上限提示</x:v>
      </x:c>
      <x:c r="I684" s="9" t="str">
        <x:v>1. 执行角色为已认证主播；当前处于房管管理页面
2. 当前已有3名房管</x:v>
      </x:c>
      <x:c r="J684" s="9" t="str">
        <x:v>1. 点击添加房管</x:v>
      </x:c>
      <x:c r="K684" s="9" t="str">
        <x:v>提示“已达3人上限”且不执行添加</x:v>
      </x:c>
      <x:c r="L684" s="10" t="str"/>
      <x:c r="M684" s="10" t="str">
        <x:v>未测</x:v>
      </x:c>
      <x:c r="N684" s="10" t="str"/>
      <x:c r="O684" s="9" t="str">
        <x:v>1. 来源（当前证据）：liveshow-proto/MainBasis/统一需求文档.md；位置：行1157、行1148
2. 规则：BR-f0c7d834bb4a7b5f
3. 未动态验证</x:v>
      </x:c>
    </x:row>
    <x:row r="685" ht="85" customHeight="1">
      <x:c r="A685" s="10" t="n">
        <x:v>684</x:v>
      </x:c>
      <x:c r="B685" s="10" t="str">
        <x:v>USER-07-0033</x:v>
      </x:c>
      <x:c r="C685" s="10" t="str">
        <x:v>主播中心</x:v>
      </x:c>
      <x:c r="D685" s="10" t="str">
        <x:v>房管管理（已认证主播视角）</x:v>
      </x:c>
      <x:c r="E685" s="10" t="str">
        <x:v>功能需求</x:v>
      </x:c>
      <x:c r="F685" s="10" t="str">
        <x:v>P1</x:v>
      </x:c>
      <x:c r="G685" s="9" t="str">
        <x:v>验证房管搜索排除现有房管</x:v>
      </x:c>
      <x:c r="H685" s="9" t="str">
        <x:v>房管搜索对象过滤</x:v>
      </x:c>
      <x:c r="I685" s="9" t="str">
        <x:v>1. 执行角色为已认证主播；当前处于房管管理页面
2. 目标A已是本主播房管</x:v>
      </x:c>
      <x:c r="J685" s="9" t="str">
        <x:v>1. 输入A的用户ID搜索</x:v>
      </x:c>
      <x:c r="K685" s="9" t="str">
        <x:v>搜索结果不返回A</x:v>
      </x:c>
      <x:c r="L685" s="10" t="str"/>
      <x:c r="M685" s="10" t="str">
        <x:v>未测</x:v>
      </x:c>
      <x:c r="N685" s="10" t="str"/>
      <x:c r="O685" s="9" t="str">
        <x:v>1. 来源（当前证据）：liveshow-proto/MainBasis/统一需求文档.md；位置：行1157、行1148
2. 规则：BR-2bb62f2e4f8a5361
3. 未动态验证</x:v>
      </x:c>
    </x:row>
    <x:row r="686" ht="85" customHeight="1">
      <x:c r="A686" s="10" t="n">
        <x:v>685</x:v>
      </x:c>
      <x:c r="B686" s="10" t="str">
        <x:v>USER-07-0034</x:v>
      </x:c>
      <x:c r="C686" s="10" t="str">
        <x:v>主播中心</x:v>
      </x:c>
      <x:c r="D686" s="10" t="str">
        <x:v>房管管理（已认证主播视角）</x:v>
      </x:c>
      <x:c r="E686" s="10" t="str">
        <x:v>功能需求</x:v>
      </x:c>
      <x:c r="F686" s="10" t="str">
        <x:v>P1</x:v>
      </x:c>
      <x:c r="G686" s="9" t="str">
        <x:v>验证房管搜索排除拉黑账号</x:v>
      </x:c>
      <x:c r="H686" s="9" t="str">
        <x:v>房管搜索对象过滤</x:v>
      </x:c>
      <x:c r="I686" s="9" t="str">
        <x:v>1. 执行角色为已认证主播；当前处于房管管理页面
2. 目标A与主播有任一方向账号拉黑关系</x:v>
      </x:c>
      <x:c r="J686" s="9" t="str">
        <x:v>1. 输入A的用户ID搜索</x:v>
      </x:c>
      <x:c r="K686" s="9" t="str">
        <x:v>搜索结果不返回A</x:v>
      </x:c>
      <x:c r="L686" s="10" t="str"/>
      <x:c r="M686" s="10" t="str">
        <x:v>未测</x:v>
      </x:c>
      <x:c r="N686" s="10" t="str"/>
      <x:c r="O686" s="9" t="str">
        <x:v>1. 来源（当前证据）：liveshow-proto/MainBasis/统一需求文档.md；位置：行1152、行1157、行1148
2. 规则：BR-ae213d7cfbcba5d8
3. 未动态验证</x:v>
      </x:c>
    </x:row>
    <x:row r="687" ht="85" customHeight="1">
      <x:c r="A687" s="10" t="n">
        <x:v>686</x:v>
      </x:c>
      <x:c r="B687" s="10" t="str">
        <x:v>USER-07-0035</x:v>
      </x:c>
      <x:c r="C687" s="10" t="str">
        <x:v>主播中心</x:v>
      </x:c>
      <x:c r="D687" s="10" t="str">
        <x:v>房管管理（已认证主播视角）</x:v>
      </x:c>
      <x:c r="E687" s="10" t="str">
        <x:v>功能需求</x:v>
      </x:c>
      <x:c r="F687" s="10" t="str">
        <x:v>P1</x:v>
      </x:c>
      <x:c r="G687" s="9" t="str">
        <x:v>验证取消房管二次确认</x:v>
      </x:c>
      <x:c r="H687" s="9" t="str">
        <x:v>房管撤销确认弹窗</x:v>
      </x:c>
      <x:c r="I687" s="9" t="str">
        <x:v>1. 执行角色为已认证主播；当前处于房管管理页面
2. 当前有房管A</x:v>
      </x:c>
      <x:c r="J687" s="9" t="str">
        <x:v>1. 点击取消A的房管授权</x:v>
      </x:c>
      <x:c r="K687" s="9" t="str">
        <x:v>显示二次确认</x:v>
      </x:c>
      <x:c r="L687" s="10" t="str"/>
      <x:c r="M687" s="10" t="str">
        <x:v>未测</x:v>
      </x:c>
      <x:c r="N687" s="10" t="str"/>
      <x:c r="O687" s="9" t="str">
        <x:v>1. 来源（当前证据）：liveshow-proto/MainBasis/统一需求文档.md；位置：行1157、行1148
2. 规则：BR-8acc543683d686c6
3. 未动态验证</x:v>
      </x:c>
    </x:row>
    <x:row r="688" ht="85" customHeight="1">
      <x:c r="A688" s="10" t="n">
        <x:v>687</x:v>
      </x:c>
      <x:c r="B688" s="10" t="str">
        <x:v>USER-07-0036</x:v>
      </x:c>
      <x:c r="C688" s="10" t="str">
        <x:v>主播中心</x:v>
      </x:c>
      <x:c r="D688" s="10" t="str">
        <x:v>房管管理（已认证主播视角）</x:v>
      </x:c>
      <x:c r="E688" s="10" t="str">
        <x:v>功能需求</x:v>
      </x:c>
      <x:c r="F688" s="10" t="str">
        <x:v>P1</x:v>
      </x:c>
      <x:c r="G688" s="9" t="str">
        <x:v>验证取消房管生效</x:v>
      </x:c>
      <x:c r="H688" s="9" t="str">
        <x:v>房管授权撤销</x:v>
      </x:c>
      <x:c r="I688" s="9" t="str">
        <x:v>1. 执行角色为已认证主播；当前处于房管管理页面
2. 当前有房管A</x:v>
      </x:c>
      <x:c r="J688" s="9" t="str">
        <x:v>1. 点击取消A的房管授权
2. 点击确认</x:v>
      </x:c>
      <x:c r="K688" s="9" t="str">
        <x:v>A的权限立即撤销并移出列表</x:v>
      </x:c>
      <x:c r="L688" s="10" t="str"/>
      <x:c r="M688" s="10" t="str">
        <x:v>未测</x:v>
      </x:c>
      <x:c r="N688" s="10" t="str"/>
      <x:c r="O688" s="9" t="str">
        <x:v>1. 来源（当前证据）：liveshow-proto/MainBasis/统一需求文档.md；位置：行1157、行1148
2. 规则：BR-a2c8fd5a7e6fb327
3. 未动态验证</x:v>
      </x:c>
    </x:row>
    <x:row r="689" ht="85" customHeight="1">
      <x:c r="A689" s="10" t="n">
        <x:v>688</x:v>
      </x:c>
      <x:c r="B689" s="10" t="str">
        <x:v>USER-07-0037</x:v>
      </x:c>
      <x:c r="C689" s="10" t="str">
        <x:v>主播中心</x:v>
      </x:c>
      <x:c r="D689" s="10" t="str">
        <x:v>房管管理（已认证主播视角）</x:v>
      </x:c>
      <x:c r="E689" s="10" t="str">
        <x:v>功能需求</x:v>
      </x:c>
      <x:c r="F689" s="10" t="str">
        <x:v>P1</x:v>
      </x:c>
      <x:c r="G689" s="9" t="str">
        <x:v>验证跨场次保留房管</x:v>
      </x:c>
      <x:c r="H689" s="9" t="str">
        <x:v>数据保持</x:v>
      </x:c>
      <x:c r="I689" s="9" t="str">
        <x:v>1. 执行角色为已认证主播；当前处于房管管理页面
2. 上一场结束且新的场次已开播；未解除房管授权</x:v>
      </x:c>
      <x:c r="J689" s="9" t="str">
        <x:v>1. 查看房管列表</x:v>
      </x:c>
      <x:c r="K689" s="9" t="str">
        <x:v>原房管授权仍保留</x:v>
      </x:c>
      <x:c r="L689" s="10" t="str"/>
      <x:c r="M689" s="10" t="str">
        <x:v>未测</x:v>
      </x:c>
      <x:c r="N689" s="10" t="str"/>
      <x:c r="O689" s="9" t="str">
        <x:v>1. 来源（当前证据）：liveshow-proto/MainBasis/统一需求文档.md；位置：行1154、行1148
2. 规则：BR-1957529db0fe23af
3. 未动态验证</x:v>
      </x:c>
    </x:row>
    <x:row r="690" ht="85" customHeight="1">
      <x:c r="A690" s="10" t="n">
        <x:v>689</x:v>
      </x:c>
      <x:c r="B690" s="10" t="str">
        <x:v>USER-07-0038</x:v>
      </x:c>
      <x:c r="C690" s="10" t="str">
        <x:v>主播中心</x:v>
      </x:c>
      <x:c r="D690" s="10" t="str">
        <x:v>房管管理（已认证主播视角）</x:v>
      </x:c>
      <x:c r="E690" s="10" t="str">
        <x:v>功能需求</x:v>
      </x:c>
      <x:c r="F690" s="10" t="str">
        <x:v>P1</x:v>
      </x:c>
      <x:c r="G690" s="9" t="str">
        <x:v>验证拉黑自动解除房管：自动撤权对象</x:v>
      </x:c>
      <x:c r="H690" s="9" t="str">
        <x:v>自动撤权对象</x:v>
      </x:c>
      <x:c r="I690" s="9" t="str">
        <x:v>1. 执行角色为已认证主播；当前处于房管管理页面
2. 房管A与主播刚产生账号拉黑关系</x:v>
      </x:c>
      <x:c r="J690" s="9" t="str">
        <x:v>1. 刷新房管列表</x:v>
      </x:c>
      <x:c r="K690" s="9" t="str">
        <x:v>房管A移出列表</x:v>
      </x:c>
      <x:c r="L690" s="10" t="str"/>
      <x:c r="M690" s="10" t="str">
        <x:v>未测</x:v>
      </x:c>
      <x:c r="N690" s="10" t="str"/>
      <x:c r="O690" s="9" t="str">
        <x:v>1. 来源（当前证据）：liveshow-proto/MainBasis/统一需求文档.md；位置：行1153、行1157、行1148
2. 规则：BR-7a2d05da12373d60
3. 未动态验证</x:v>
      </x:c>
    </x:row>
    <x:row r="691" ht="85" customHeight="1">
      <x:c r="A691" s="10" t="n">
        <x:v>690</x:v>
      </x:c>
      <x:c r="B691" s="10" t="str">
        <x:v>USER-07-0039</x:v>
      </x:c>
      <x:c r="C691" s="10" t="str">
        <x:v>主播中心</x:v>
      </x:c>
      <x:c r="D691" s="10" t="str">
        <x:v>房管管理（已认证主播视角）</x:v>
      </x:c>
      <x:c r="E691" s="10" t="str">
        <x:v>功能需求</x:v>
      </x:c>
      <x:c r="F691" s="10" t="str">
        <x:v>P1</x:v>
      </x:c>
      <x:c r="G691" s="9" t="str">
        <x:v>验证拉黑自动解除房管：有效授权计数</x:v>
      </x:c>
      <x:c r="H691" s="9" t="str">
        <x:v>有效授权计数</x:v>
      </x:c>
      <x:c r="I691" s="9" t="str">
        <x:v>1. 执行角色为已认证主播；当前处于房管管理页面
2. 房管A与主播刚产生账号拉黑关系</x:v>
      </x:c>
      <x:c r="J691" s="9" t="str">
        <x:v>1. 刷新房管列表</x:v>
      </x:c>
      <x:c r="K691" s="9" t="str">
        <x:v>房管人数减少1</x:v>
      </x:c>
      <x:c r="L691" s="10" t="str"/>
      <x:c r="M691" s="10" t="str">
        <x:v>未测</x:v>
      </x:c>
      <x:c r="N691" s="10" t="str"/>
      <x:c r="O691" s="9" t="str">
        <x:v>1. 来源（当前证据）：liveshow-proto/MainBasis/统一需求文档.md；位置：行1153、行1157、行1148
2. 规则：BR-525d43a1ece2adda
3. 未动态验证</x:v>
      </x:c>
    </x:row>
    <x:row r="692" ht="85" customHeight="1">
      <x:c r="A692" s="10" t="n">
        <x:v>691</x:v>
      </x:c>
      <x:c r="B692" s="10" t="str">
        <x:v>USER-07-0040</x:v>
      </x:c>
      <x:c r="C692" s="10" t="str">
        <x:v>主播中心</x:v>
      </x:c>
      <x:c r="D692" s="10" t="str">
        <x:v>房管管理（已认证主播视角）</x:v>
      </x:c>
      <x:c r="E692" s="10" t="str">
        <x:v>功能需求</x:v>
      </x:c>
      <x:c r="F692" s="10" t="str">
        <x:v>P1</x:v>
      </x:c>
      <x:c r="G692" s="9" t="str">
        <x:v>验证解除拉黑不恢复房管</x:v>
      </x:c>
      <x:c r="H692" s="9" t="str">
        <x:v>拉黑解除后房管授权</x:v>
      </x:c>
      <x:c r="I692" s="9" t="str">
        <x:v>1. 执行角色为已认证主播；当前处于房管管理页面
2. A原房管因拉黑已解除；之后已取消拉黑</x:v>
      </x:c>
      <x:c r="J692" s="9" t="str">
        <x:v>1. 查看房管列表</x:v>
      </x:c>
      <x:c r="K692" s="9" t="str">
        <x:v>A不会自动恢复房管</x:v>
      </x:c>
      <x:c r="L692" s="10" t="str"/>
      <x:c r="M692" s="10" t="str">
        <x:v>未测</x:v>
      </x:c>
      <x:c r="N692" s="10" t="str"/>
      <x:c r="O692" s="9" t="str">
        <x:v>1. 来源（当前证据）：liveshow-proto/MainBasis/统一需求文档.md；位置：行1153、行1681、行951、行1148
2. 规则：BR-1240f3b0cf23ac20
3. 未动态验证</x:v>
      </x:c>
    </x:row>
    <x:row r="693" ht="85" customHeight="1">
      <x:c r="A693" s="10" t="n">
        <x:v>692</x:v>
      </x:c>
      <x:c r="B693" s="10" t="str">
        <x:v>USER-07-0041</x:v>
      </x:c>
      <x:c r="C693" s="10" t="str">
        <x:v>主播中心</x:v>
      </x:c>
      <x:c r="D693" s="10" t="str">
        <x:v>公会通知（已加入公会主播视角）</x:v>
      </x:c>
      <x:c r="E693" s="10" t="str">
        <x:v>功能需求</x:v>
      </x:c>
      <x:c r="F693" s="10" t="str">
        <x:v>P1</x:v>
      </x:c>
      <x:c r="G693" s="9" t="str">
        <x:v>验证有效公会通知范围</x:v>
      </x:c>
      <x:c r="H693" s="9" t="str">
        <x:v>公会通知接收范围</x:v>
      </x:c>
      <x:c r="I693" s="9" t="str">
        <x:v>1. 执行角色为已加入公会主播；当前处于公会通知页面
2. 当前公会向本主播发送A；其他公会或其他主播有通知B</x:v>
      </x:c>
      <x:c r="J693" s="9" t="str">
        <x:v>1. 查看通知列表</x:v>
      </x:c>
      <x:c r="K693" s="9" t="str">
        <x:v>只展示本主播收到的当前公会有效通知A</x:v>
      </x:c>
      <x:c r="L693" s="10" t="str"/>
      <x:c r="M693" s="10" t="str">
        <x:v>未测</x:v>
      </x:c>
      <x:c r="N693" s="10" t="str"/>
      <x:c r="O693" s="9" t="str">
        <x:v>1. 来源（当前证据）：liveshow-proto/MainBasis/统一需求文档.md；位置：行1165、行1160
2. 规则：BR-39c3bd8764881fe8
3. 未动态验证</x:v>
      </x:c>
    </x:row>
    <x:row r="694" ht="85" customHeight="1">
      <x:c r="A694" s="10" t="n">
        <x:v>693</x:v>
      </x:c>
      <x:c r="B694" s="10" t="str">
        <x:v>USER-07-0042</x:v>
      </x:c>
      <x:c r="C694" s="10" t="str">
        <x:v>主播中心</x:v>
      </x:c>
      <x:c r="D694" s="10" t="str">
        <x:v>公会通知（已加入公会主播视角）</x:v>
      </x:c>
      <x:c r="E694" s="10" t="str">
        <x:v>功能需求</x:v>
      </x:c>
      <x:c r="F694" s="10" t="str">
        <x:v>P2</x:v>
      </x:c>
      <x:c r="G694" s="9" t="str">
        <x:v>验证公会图文通知：公会通知标题</x:v>
      </x:c>
      <x:c r="H694" s="9" t="str">
        <x:v>公会通知标题</x:v>
      </x:c>
      <x:c r="I694" s="9" t="str">
        <x:v>1. 执行角色为已加入公会主播；当前处于公会通知页面
2. 收到图片加文字通知</x:v>
      </x:c>
      <x:c r="J694" s="9" t="str">
        <x:v>1. 查看该通知</x:v>
      </x:c>
      <x:c r="K694" s="9" t="str">
        <x:v>展示当前通知标题</x:v>
      </x:c>
      <x:c r="L694" s="10" t="str"/>
      <x:c r="M694" s="10" t="str">
        <x:v>未测</x:v>
      </x:c>
      <x:c r="N694" s="10" t="str"/>
      <x:c r="O694" s="9" t="str">
        <x:v>1. 来源（当前证据）：liveshow-proto/MainBasis/统一需求文档.md；位置：行1162、行1163、行1160
2. 规则：BR-cb4c2d069bdee008
3. 未动态验证</x:v>
      </x:c>
    </x:row>
    <x:row r="695" ht="85" customHeight="1">
      <x:c r="A695" s="10" t="n">
        <x:v>694</x:v>
      </x:c>
      <x:c r="B695" s="10" t="str">
        <x:v>USER-07-0043</x:v>
      </x:c>
      <x:c r="C695" s="10" t="str">
        <x:v>主播中心</x:v>
      </x:c>
      <x:c r="D695" s="10" t="str">
        <x:v>公会通知（已加入公会主播视角）</x:v>
      </x:c>
      <x:c r="E695" s="10" t="str">
        <x:v>功能需求</x:v>
      </x:c>
      <x:c r="F695" s="10" t="str">
        <x:v>P2</x:v>
      </x:c>
      <x:c r="G695" s="9" t="str">
        <x:v>验证公会图文通知：公会通知正文</x:v>
      </x:c>
      <x:c r="H695" s="9" t="str">
        <x:v>公会通知正文</x:v>
      </x:c>
      <x:c r="I695" s="9" t="str">
        <x:v>1. 执行角色为已加入公会主播；当前处于公会通知页面
2. 收到图片加文字通知</x:v>
      </x:c>
      <x:c r="J695" s="9" t="str">
        <x:v>1. 查看该通知</x:v>
      </x:c>
      <x:c r="K695" s="9" t="str">
        <x:v>展示当前通知文字内容</x:v>
      </x:c>
      <x:c r="L695" s="10" t="str"/>
      <x:c r="M695" s="10" t="str">
        <x:v>未测</x:v>
      </x:c>
      <x:c r="N695" s="10" t="str"/>
      <x:c r="O695" s="9" t="str">
        <x:v>1. 来源（当前证据）：liveshow-proto/MainBasis/统一需求文档.md；位置：行1162、行1163、行1160
2. 规则：BR-f9d6e31952dbea63
3. 未动态验证</x:v>
      </x:c>
    </x:row>
    <x:row r="696" ht="85" customHeight="1">
      <x:c r="A696" s="10" t="n">
        <x:v>695</x:v>
      </x:c>
      <x:c r="B696" s="10" t="str">
        <x:v>USER-07-0044</x:v>
      </x:c>
      <x:c r="C696" s="10" t="str">
        <x:v>主播中心</x:v>
      </x:c>
      <x:c r="D696" s="10" t="str">
        <x:v>公会通知（已加入公会主播视角）</x:v>
      </x:c>
      <x:c r="E696" s="10" t="str">
        <x:v>功能需求</x:v>
      </x:c>
      <x:c r="F696" s="10" t="str">
        <x:v>P2</x:v>
      </x:c>
      <x:c r="G696" s="9" t="str">
        <x:v>验证公会图文通知：公会通知图片</x:v>
      </x:c>
      <x:c r="H696" s="9" t="str">
        <x:v>公会通知图片</x:v>
      </x:c>
      <x:c r="I696" s="9" t="str">
        <x:v>1. 执行角色为已加入公会主播；当前处于公会通知页面
2. 收到图片加文字通知</x:v>
      </x:c>
      <x:c r="J696" s="9" t="str">
        <x:v>1. 查看该通知</x:v>
      </x:c>
      <x:c r="K696" s="9" t="str">
        <x:v>展示当前通知图片</x:v>
      </x:c>
      <x:c r="L696" s="10" t="str"/>
      <x:c r="M696" s="10" t="str">
        <x:v>未测</x:v>
      </x:c>
      <x:c r="N696" s="10" t="str"/>
      <x:c r="O696" s="9" t="str">
        <x:v>1. 来源（当前证据）：liveshow-proto/MainBasis/统一需求文档.md；位置：行1162、行1163、行1160
2. 规则：BR-85d9019ba5ec69c2
3. 未动态验证</x:v>
      </x:c>
    </x:row>
    <x:row r="697" ht="85" customHeight="1">
      <x:c r="A697" s="10" t="n">
        <x:v>696</x:v>
      </x:c>
      <x:c r="B697" s="10" t="str">
        <x:v>USER-07-0045</x:v>
      </x:c>
      <x:c r="C697" s="10" t="str">
        <x:v>主播中心</x:v>
      </x:c>
      <x:c r="D697" s="10" t="str">
        <x:v>公会通知（已加入公会主播视角）</x:v>
      </x:c>
      <x:c r="E697" s="10" t="str">
        <x:v>功能需求</x:v>
      </x:c>
      <x:c r="F697" s="10" t="str">
        <x:v>P2</x:v>
      </x:c>
      <x:c r="G697" s="9" t="str">
        <x:v>验证长通知卡片展开</x:v>
      </x:c>
      <x:c r="H697" s="9" t="str">
        <x:v>通知卡片内容展开</x:v>
      </x:c>
      <x:c r="I697" s="9" t="str">
        <x:v>1. 执行角色为已加入公会主播；当前处于公会通知页面
2. 存在折叠的长通知</x:v>
      </x:c>
      <x:c r="J697" s="9" t="str">
        <x:v>1. 点击展开</x:v>
      </x:c>
      <x:c r="K697" s="9" t="str">
        <x:v>在当前卡片展开内容，不进入详情页</x:v>
      </x:c>
      <x:c r="L697" s="10" t="str"/>
      <x:c r="M697" s="10" t="str">
        <x:v>未测</x:v>
      </x:c>
      <x:c r="N697" s="10" t="str"/>
      <x:c r="O697" s="9" t="str">
        <x:v>1. 来源（当前证据）：liveshow-proto/MainBasis/统一需求文档.md；位置：行1167、行1160
2. 规则：BR-f70c75d61ed1f61c
3. 未动态验证</x:v>
      </x:c>
    </x:row>
    <x:row r="698" ht="85" customHeight="1">
      <x:c r="A698" s="10" t="n">
        <x:v>697</x:v>
      </x:c>
      <x:c r="B698" s="10" t="str">
        <x:v>USER-07-0046</x:v>
      </x:c>
      <x:c r="C698" s="10" t="str">
        <x:v>主播中心</x:v>
      </x:c>
      <x:c r="D698" s="10" t="str">
        <x:v>公会通知（已加入公会主播视角）</x:v>
      </x:c>
      <x:c r="E698" s="10" t="str">
        <x:v>功能需求</x:v>
      </x:c>
      <x:c r="F698" s="10" t="str">
        <x:v>P1</x:v>
      </x:c>
      <x:c r="G698" s="9" t="str">
        <x:v>验证通知已读更新</x:v>
      </x:c>
      <x:c r="H698" s="9" t="str">
        <x:v>公会通知已读状态</x:v>
      </x:c>
      <x:c r="I698" s="9" t="str">
        <x:v>1. 执行角色为已加入公会主播；当前处于公会通知页面
2. 当前有未读公会通知</x:v>
      </x:c>
      <x:c r="J698" s="9" t="str">
        <x:v>1. 进入列表查看通知</x:v>
      </x:c>
      <x:c r="K698" s="9" t="str">
        <x:v>已查看通知的未读状态和数量更新</x:v>
      </x:c>
      <x:c r="L698" s="10" t="str"/>
      <x:c r="M698" s="10" t="str">
        <x:v>未测</x:v>
      </x:c>
      <x:c r="N698" s="10" t="str"/>
      <x:c r="O698" s="9" t="str">
        <x:v>1. 来源（当前证据）：liveshow-proto/MainBasis/统一需求文档.md；位置：行1167、行1160
2. 规则：BR-7bf423e22868a349
3. 未动态验证</x:v>
      </x:c>
    </x:row>
    <x:row r="699" ht="85" customHeight="1">
      <x:c r="A699" s="10" t="n">
        <x:v>698</x:v>
      </x:c>
      <x:c r="B699" s="10" t="str">
        <x:v>USER-07-0047</x:v>
      </x:c>
      <x:c r="C699" s="10" t="str">
        <x:v>主播中心</x:v>
      </x:c>
      <x:c r="D699" s="10" t="str">
        <x:v>公会通知（已加入公会主播视角）</x:v>
      </x:c>
      <x:c r="E699" s="10" t="str">
        <x:v>功能需求</x:v>
      </x:c>
      <x:c r="F699" s="10" t="str">
        <x:v>P2</x:v>
      </x:c>
      <x:c r="G699" s="9" t="str">
        <x:v>验证不展示通知发布时间</x:v>
      </x:c>
      <x:c r="H699" s="9" t="str">
        <x:v>通知发布时间隐藏</x:v>
      </x:c>
      <x:c r="I699" s="9" t="str">
        <x:v>1. 执行角色为已加入公会主播；当前处于公会通知页面</x:v>
      </x:c>
      <x:c r="J699" s="9" t="str">
        <x:v>1. 查看通知卡片</x:v>
      </x:c>
      <x:c r="K699" s="9" t="str">
        <x:v>卡片不显示发布时间</x:v>
      </x:c>
      <x:c r="L699" s="10" t="str"/>
      <x:c r="M699" s="10" t="str">
        <x:v>未测</x:v>
      </x:c>
      <x:c r="N699" s="10" t="str"/>
      <x:c r="O699" s="9" t="str">
        <x:v>1. 来源（当前证据）：liveshow-proto/MainBasis/统一需求文档.md；位置：行1166、行1160
2. 规则：BR-f5618e08bf5bdcda
3. 未动态验证</x:v>
      </x:c>
    </x:row>
    <x:row r="700" ht="85" customHeight="1">
      <x:c r="A700" s="10" t="n">
        <x:v>699</x:v>
      </x:c>
      <x:c r="B700" s="10" t="str">
        <x:v>USER-05-0131</x:v>
      </x:c>
      <x:c r="C700" s="10" t="str">
        <x:v>我的</x:v>
      </x:c>
      <x:c r="D700" s="10" t="str">
        <x:v>申请成为主播（无主播身份的普通用户视角）</x:v>
      </x:c>
      <x:c r="E700" s="10" t="str">
        <x:v>功能需求</x:v>
      </x:c>
      <x:c r="F700" s="10" t="str">
        <x:v>P2</x:v>
      </x:c>
      <x:c r="G700" s="9" t="str">
        <x:v>验证申请流程时间线</x:v>
      </x:c>
      <x:c r="H700" s="9" t="str">
        <x:v>排列次序</x:v>
      </x:c>
      <x:c r="I700" s="9" t="str">
        <x:v>1. 执行角色为无主播身份的普通用户；当前处于申请成为主播页面</x:v>
      </x:c>
      <x:c r="J700" s="9" t="str">
        <x:v>1. 查看申请步骤</x:v>
      </x:c>
      <x:c r="K700" s="9" t="str">
        <x:v>顺序为申请加入、公会审核、平台审核、成为主播</x:v>
      </x:c>
      <x:c r="L700" s="10" t="str"/>
      <x:c r="M700" s="10" t="str">
        <x:v>未测</x:v>
      </x:c>
      <x:c r="N700" s="10" t="str"/>
      <x:c r="O700" s="9" t="str">
        <x:v>1. 来源（当前证据）：liveshow-proto/MainBasis/统一需求文档.md；位置：行1173、行1170
2. 规则：BR-b66bf0b1c917a259
3. 未动态验证</x:v>
      </x:c>
    </x:row>
    <x:row r="701" ht="85" customHeight="1">
      <x:c r="A701" s="10" t="n">
        <x:v>700</x:v>
      </x:c>
      <x:c r="B701" s="10" t="str">
        <x:v>USER-05-0132</x:v>
      </x:c>
      <x:c r="C701" s="10" t="str">
        <x:v>我的</x:v>
      </x:c>
      <x:c r="D701" s="10" t="str">
        <x:v>申请成为主播（无主播身份的普通用户视角）</x:v>
      </x:c>
      <x:c r="E701" s="10" t="str">
        <x:v>功能需求</x:v>
      </x:c>
      <x:c r="F701" s="10" t="str">
        <x:v>P1</x:v>
      </x:c>
      <x:c r="G701" s="9" t="str">
        <x:v>验证未申请去加入</x:v>
      </x:c>
      <x:c r="H701" s="9" t="str">
        <x:v>首次入会申请去向</x:v>
      </x:c>
      <x:c r="I701" s="9" t="str">
        <x:v>1. 执行角色为无主播身份的普通用户；当前处于申请成为主播页面
2. 尚未提交入会申请</x:v>
      </x:c>
      <x:c r="J701" s="9" t="str">
        <x:v>1. 点击去加入</x:v>
      </x:c>
      <x:c r="K701" s="9" t="str">
        <x:v>进入公会选择页</x:v>
      </x:c>
      <x:c r="L701" s="10" t="str"/>
      <x:c r="M701" s="10" t="str">
        <x:v>未测</x:v>
      </x:c>
      <x:c r="N701" s="10" t="str"/>
      <x:c r="O701" s="9" t="str">
        <x:v>1. 来源（当前证据）：liveshow-proto/MainBasis/统一需求文档.md；位置：行1176、行1184、行1170
2. 规则：BR-09c40f5ccb909b6e
3. 未动态验证</x:v>
      </x:c>
    </x:row>
    <x:row r="702" ht="85" customHeight="1">
      <x:c r="A702" s="10" t="n">
        <x:v>701</x:v>
      </x:c>
      <x:c r="B702" s="10" t="str">
        <x:v>USER-05-0133</x:v>
      </x:c>
      <x:c r="C702" s="10" t="str">
        <x:v>我的</x:v>
      </x:c>
      <x:c r="D702" s="10" t="str">
        <x:v>申请成为主播（无主播身份的普通用户视角）</x:v>
      </x:c>
      <x:c r="E702" s="10" t="str">
        <x:v>功能需求</x:v>
      </x:c>
      <x:c r="F702" s="10" t="str">
        <x:v>P1</x:v>
      </x:c>
      <x:c r="G702" s="9" t="str">
        <x:v>验证提交后资料可展开</x:v>
      </x:c>
      <x:c r="H702" s="9" t="str">
        <x:v>入会资料展开位置</x:v>
      </x:c>
      <x:c r="I702" s="9" t="str">
        <x:v>1. 执行角色为无主播身份的普通用户；当前处于申请成为主播页面
2. 已提交申请</x:v>
      </x:c>
      <x:c r="J702" s="9" t="str">
        <x:v>1. 点击申请资料</x:v>
      </x:c>
      <x:c r="K702" s="9" t="str">
        <x:v>在当前步骤展开申请资料</x:v>
      </x:c>
      <x:c r="L702" s="10" t="str"/>
      <x:c r="M702" s="10" t="str">
        <x:v>未测</x:v>
      </x:c>
      <x:c r="N702" s="10" t="str"/>
      <x:c r="O702" s="9" t="str">
        <x:v>1. 来源（当前证据）：liveshow-proto/MainBasis/统一需求文档.md；位置：行1184、行1170
2. 规则：BR-e9af3d82d83f05fb
3. 未动态验证</x:v>
      </x:c>
    </x:row>
    <x:row r="703" ht="85" customHeight="1">
      <x:c r="A703" s="10" t="n">
        <x:v>702</x:v>
      </x:c>
      <x:c r="B703" s="10" t="str">
        <x:v>USER-05-0134</x:v>
      </x:c>
      <x:c r="C703" s="10" t="str">
        <x:v>我的</x:v>
      </x:c>
      <x:c r="D703" s="10" t="str">
        <x:v>申请成为主播（无主播身份的普通用户视角）</x:v>
      </x:c>
      <x:c r="E703" s="10" t="str">
        <x:v>功能需求</x:v>
      </x:c>
      <x:c r="F703" s="10" t="str">
        <x:v>P1</x:v>
      </x:c>
      <x:c r="G703" s="9" t="str">
        <x:v>验证公会审核中不能开播</x:v>
      </x:c>
      <x:c r="H703" s="9" t="str">
        <x:v>直播资格限制</x:v>
      </x:c>
      <x:c r="I703" s="9" t="str">
        <x:v>1. 执行角色为无主播身份的普通用户；当前处于申请成为主播页面
2. 当前在公会初审中</x:v>
      </x:c>
      <x:c r="J703" s="9" t="str">
        <x:v>1. 查看申请状态</x:v>
      </x:c>
      <x:c r="K703" s="9" t="str">
        <x:v>仍未获得直播资格</x:v>
      </x:c>
      <x:c r="L703" s="10" t="str"/>
      <x:c r="M703" s="10" t="str">
        <x:v>未测</x:v>
      </x:c>
      <x:c r="N703" s="10" t="str"/>
      <x:c r="O703" s="9" t="str">
        <x:v>1. 来源（当前证据）：liveshow-proto/MainBasis/统一需求文档.md；位置：行1179、行1170
2. 规则：BR-6468b6e26b7238ec
3. 未动态验证</x:v>
      </x:c>
    </x:row>
    <x:row r="704" ht="85" customHeight="1">
      <x:c r="A704" s="10" t="n">
        <x:v>703</x:v>
      </x:c>
      <x:c r="B704" s="10" t="str">
        <x:v>USER-05-0135</x:v>
      </x:c>
      <x:c r="C704" s="10" t="str">
        <x:v>我的</x:v>
      </x:c>
      <x:c r="D704" s="10" t="str">
        <x:v>申请成为主播（无主播身份的普通用户视角）</x:v>
      </x:c>
      <x:c r="E704" s="10" t="str">
        <x:v>功能需求</x:v>
      </x:c>
      <x:c r="F704" s="10" t="str">
        <x:v>P1</x:v>
      </x:c>
      <x:c r="G704" s="9" t="str">
        <x:v>验证公会通过自动进入终审：初审节点</x:v>
      </x:c>
      <x:c r="H704" s="9" t="str">
        <x:v>初审节点</x:v>
      </x:c>
      <x:c r="I704" s="9" t="str">
        <x:v>1. 执行角色为无主播身份的普通用户；当前处于申请成为主播页面
2. 公会已通过、平台未处理</x:v>
      </x:c>
      <x:c r="J704" s="9" t="str">
        <x:v>1. 刷新申请页</x:v>
      </x:c>
      <x:c r="K704" s="9" t="str">
        <x:v>公会审核节点为已通过</x:v>
      </x:c>
      <x:c r="L704" s="10" t="str"/>
      <x:c r="M704" s="10" t="str">
        <x:v>未测</x:v>
      </x:c>
      <x:c r="N704" s="10" t="str"/>
      <x:c r="O704" s="9" t="str">
        <x:v>1. 来源（当前证据）：liveshow-proto/MainBasis/统一需求文档.md；位置：行1178、行1181、行1170
2. 规则：BR-0c0aae80f34282d5
3. 未动态验证</x:v>
      </x:c>
    </x:row>
    <x:row r="705" ht="85" customHeight="1">
      <x:c r="A705" s="10" t="n">
        <x:v>704</x:v>
      </x:c>
      <x:c r="B705" s="10" t="str">
        <x:v>USER-05-0136</x:v>
      </x:c>
      <x:c r="C705" s="10" t="str">
        <x:v>我的</x:v>
      </x:c>
      <x:c r="D705" s="10" t="str">
        <x:v>申请成为主播（无主播身份的普通用户视角）</x:v>
      </x:c>
      <x:c r="E705" s="10" t="str">
        <x:v>功能需求</x:v>
      </x:c>
      <x:c r="F705" s="10" t="str">
        <x:v>P1</x:v>
      </x:c>
      <x:c r="G705" s="9" t="str">
        <x:v>验证公会通过自动进入终审：终审节点</x:v>
      </x:c>
      <x:c r="H705" s="9" t="str">
        <x:v>终审节点</x:v>
      </x:c>
      <x:c r="I705" s="9" t="str">
        <x:v>1. 执行角色为无主播身份的普通用户；当前处于申请成为主播页面
2. 公会已通过、平台未处理</x:v>
      </x:c>
      <x:c r="J705" s="9" t="str">
        <x:v>1. 刷新申请页</x:v>
      </x:c>
      <x:c r="K705" s="9" t="str">
        <x:v>平台审核节点为审核中</x:v>
      </x:c>
      <x:c r="L705" s="10" t="str"/>
      <x:c r="M705" s="10" t="str">
        <x:v>未测</x:v>
      </x:c>
      <x:c r="N705" s="10" t="str"/>
      <x:c r="O705" s="9" t="str">
        <x:v>1. 来源（当前证据）：liveshow-proto/MainBasis/统一需求文档.md；位置：行1178、行1181、行1170
2. 规则：BR-5811bf0050b7ba29
3. 未动态验证</x:v>
      </x:c>
    </x:row>
    <x:row r="706" ht="85" customHeight="1">
      <x:c r="A706" s="10" t="n">
        <x:v>705</x:v>
      </x:c>
      <x:c r="B706" s="10" t="str">
        <x:v>USER-05-0137</x:v>
      </x:c>
      <x:c r="C706" s="10" t="str">
        <x:v>我的</x:v>
      </x:c>
      <x:c r="D706" s="10" t="str">
        <x:v>申请成为主播（无主播身份的普通用户视角）</x:v>
      </x:c>
      <x:c r="E706" s="10" t="str">
        <x:v>功能需求</x:v>
      </x:c>
      <x:c r="F706" s="10" t="str">
        <x:v>P1</x:v>
      </x:c>
      <x:c r="G706" s="9" t="str">
        <x:v>验证平台审核中不能开播</x:v>
      </x:c>
      <x:c r="H706" s="9" t="str">
        <x:v>审核中操作限制</x:v>
      </x:c>
      <x:c r="I706" s="9" t="str">
        <x:v>1. 执行角色为无主播身份的普通用户；当前处于申请成为主播页面
2. 当前在平台终审中</x:v>
      </x:c>
      <x:c r="J706" s="9" t="str">
        <x:v>1. 查看可用操作</x:v>
      </x:c>
      <x:c r="K706" s="9" t="str">
        <x:v>不能重复提交或开播</x:v>
      </x:c>
      <x:c r="L706" s="10" t="str"/>
      <x:c r="M706" s="10" t="str">
        <x:v>未测</x:v>
      </x:c>
      <x:c r="N706" s="10" t="str"/>
      <x:c r="O706" s="9" t="str">
        <x:v>1. 来源（当前证据）：liveshow-proto/MainBasis/统一需求文档.md；位置：行1181、行1170
2. 规则：BR-02ce912f52efd77b
3. 未动态验证</x:v>
      </x:c>
    </x:row>
    <x:row r="707" ht="130" customHeight="1">
      <x:c r="A707" s="10" t="n">
        <x:v>706</x:v>
      </x:c>
      <x:c r="B707" s="10" t="str">
        <x:v>USER-05-0138</x:v>
      </x:c>
      <x:c r="C707" s="10" t="str">
        <x:v>我的</x:v>
      </x:c>
      <x:c r="D707" s="10" t="str">
        <x:v>申请成为主播（无主播身份的普通用户视角）</x:v>
      </x:c>
      <x:c r="E707" s="10" t="str">
        <x:v>功能需求</x:v>
      </x:c>
      <x:c r="F707" s="10" t="str">
        <x:v>P1</x:v>
      </x:c>
      <x:c r="G707" s="9" t="str">
        <x:v>验证公会驳回不启动平台审核</x:v>
      </x:c>
      <x:c r="H707" s="9" t="str">
        <x:v>申请处理</x:v>
      </x:c>
      <x:c r="I707" s="9" t="str">
        <x:v>1. 执行角色为无主播身份的普通用户；当前处于申请成为主播页面
2. 公会已驳回申请</x:v>
      </x:c>
      <x:c r="J707" s="9" t="str">
        <x:v>1. 查看平台审核节点</x:v>
      </x:c>
      <x:c r="K707" s="9" t="str">
        <x:v>平台审核尚未开始</x:v>
      </x:c>
      <x:c r="L707" s="10" t="str">
        <x:v>FLOW-B8276CAE</x:v>
      </x:c>
      <x:c r="M707" s="10" t="str">
        <x:v>未测</x:v>
      </x:c>
      <x:c r="N707" s="10" t="str"/>
      <x:c r="O707" s="9" t="str">
        <x:v>1. 来源（当前证据）：liveshow-proto/MainBasis/统一需求文档.md；位置：行1180、行1170
2. 规则：BR-3fcba6a0f28d617f
3. 未动态验证
4. 状态转换：ST-USER-010；共同业务对象：入会申请；当前阶段：公会驳回申请后的用户App观察</x:v>
      </x:c>
    </x:row>
    <x:row r="708" ht="130" customHeight="1">
      <x:c r="A708" s="10" t="n">
        <x:v>707</x:v>
      </x:c>
      <x:c r="B708" s="10" t="str">
        <x:v>USER-05-0139</x:v>
      </x:c>
      <x:c r="C708" s="10" t="str">
        <x:v>我的</x:v>
      </x:c>
      <x:c r="D708" s="10" t="str">
        <x:v>申请成为主播（无主播身份的普通用户视角）</x:v>
      </x:c>
      <x:c r="E708" s="10" t="str">
        <x:v>功能需求</x:v>
      </x:c>
      <x:c r="F708" s="10" t="str">
        <x:v>P1</x:v>
      </x:c>
      <x:c r="G708" s="9" t="str">
        <x:v>验证公会驳回重新申请</x:v>
      </x:c>
      <x:c r="H708" s="9" t="str">
        <x:v>驳回后重申去向</x:v>
      </x:c>
      <x:c r="I708" s="9" t="str">
        <x:v>1. 执行角色为无主播身份的普通用户；当前处于申请成为主播页面
2. 公会已驳回申请</x:v>
      </x:c>
      <x:c r="J708" s="9" t="str">
        <x:v>1. 点击重新申请</x:v>
      </x:c>
      <x:c r="K708" s="9" t="str">
        <x:v>进入公会选择页</x:v>
      </x:c>
      <x:c r="L708" s="10" t="str">
        <x:v>FLOW-B8276CAE</x:v>
      </x:c>
      <x:c r="M708" s="10" t="str">
        <x:v>未测</x:v>
      </x:c>
      <x:c r="N708" s="10" t="str"/>
      <x:c r="O708" s="9" t="str">
        <x:v>1. 来源（当前证据）：liveshow-proto/MainBasis/统一需求文档.md；位置：行1180、行1184、行1170
2. 规则：BR-66d8450ab3ac2bb0
3. 未动态验证
4. 状态转换：ST-USER-010；共同业务对象：入会申请；当前阶段：公会驳回申请后的用户App观察</x:v>
      </x:c>
    </x:row>
    <x:row r="709" ht="130" customHeight="1">
      <x:c r="A709" s="10" t="n">
        <x:v>708</x:v>
      </x:c>
      <x:c r="B709" s="10" t="str">
        <x:v>USER-05-0140</x:v>
      </x:c>
      <x:c r="C709" s="10" t="str">
        <x:v>我的</x:v>
      </x:c>
      <x:c r="D709" s="10" t="str">
        <x:v>申请成为主播（无主播身份的普通用户视角）</x:v>
      </x:c>
      <x:c r="E709" s="10" t="str">
        <x:v>业务流程</x:v>
      </x:c>
      <x:c r="F709" s="10" t="str">
        <x:v>P1</x:v>
      </x:c>
      <x:c r="G709" s="9" t="str">
        <x:v>验证平台驳回重新初审</x:v>
      </x:c>
      <x:c r="H709" s="9" t="str">
        <x:v>重申审核起始节点</x:v>
      </x:c>
      <x:c r="I709" s="9" t="str">
        <x:v>1. 执行角色为无主播身份的普通用户；当前处于申请成为主播页面
2. 平台已驳回；重新申请所需完整材料已备好</x:v>
      </x:c>
      <x:c r="J709" s="9" t="str">
        <x:v>1. 点击重新申请
2. 选择公会并提交新申请</x:v>
      </x:c>
      <x:c r="K709" s="9" t="str">
        <x:v>新申请从公会初审开始，不沿用旧公会通过结果</x:v>
      </x:c>
      <x:c r="L709" s="10" t="str">
        <x:v>FLOW-B8276CAE</x:v>
      </x:c>
      <x:c r="M709" s="10" t="str">
        <x:v>未测</x:v>
      </x:c>
      <x:c r="N709" s="10" t="str"/>
      <x:c r="O709" s="9" t="str">
        <x:v>1. 来源（当前证据）：liveshow-proto/MainBasis/统一需求文档.md；位置：行1182、行1170
2. 规则：BR-16de33e9b8dec497
3. 未动态验证
4. 状态转换：ST-USER-011；共同业务对象：入会申请；当前阶段：平台驳回申请后的用户App观察</x:v>
      </x:c>
    </x:row>
    <x:row r="710" ht="130" customHeight="1">
      <x:c r="A710" s="10" t="n">
        <x:v>709</x:v>
      </x:c>
      <x:c r="B710" s="10" t="str">
        <x:v>USER-05-0141</x:v>
      </x:c>
      <x:c r="C710" s="10" t="str">
        <x:v>我的</x:v>
      </x:c>
      <x:c r="D710" s="10" t="str">
        <x:v>申请成为主播（无主播身份的普通用户视角）</x:v>
      </x:c>
      <x:c r="E710" s="10" t="str">
        <x:v>功能需求</x:v>
      </x:c>
      <x:c r="F710" s="10" t="str">
        <x:v>P2</x:v>
      </x:c>
      <x:c r="G710" s="9" t="str">
        <x:v>验证平台通过最终节点</x:v>
      </x:c>
      <x:c r="H710" s="9" t="str">
        <x:v>入口可用性</x:v>
      </x:c>
      <x:c r="I710" s="9" t="str">
        <x:v>1. 执行角色为无主播身份的普通用户；当前处于申请成为主播页面
2. 平台已通过当前入会申请</x:v>
      </x:c>
      <x:c r="J710" s="9" t="str">
        <x:v>1. 刷新申请时间线</x:v>
      </x:c>
      <x:c r="K710" s="9" t="str">
        <x:v>成为主播节点完成且不展示操作按钮</x:v>
      </x:c>
      <x:c r="L710" s="10" t="str">
        <x:v>FLOW-B8276CAE</x:v>
      </x:c>
      <x:c r="M710" s="10" t="str">
        <x:v>未测</x:v>
      </x:c>
      <x:c r="N710" s="10" t="str"/>
      <x:c r="O710" s="9" t="str">
        <x:v>1. 来源（当前证据）：liveshow-proto/MainBasis/统一需求文档.md；位置：行1183、行1170
2. 规则：BR-12bf623607a464d2
3. 未动态验证
4. 状态转换：ST-USER-009；共同业务对象：入会申请；当前阶段：平台通过申请后的用户App观察</x:v>
      </x:c>
    </x:row>
    <x:row r="711" ht="85" customHeight="1">
      <x:c r="A711" s="10" t="n">
        <x:v>710</x:v>
      </x:c>
      <x:c r="B711" s="10" t="str">
        <x:v>USER-07-0048</x:v>
      </x:c>
      <x:c r="C711" s="10" t="str">
        <x:v>主播中心</x:v>
      </x:c>
      <x:c r="D711" s="10" t="str">
        <x:v>开播设置（具备开播资格的主播视角）</x:v>
      </x:c>
      <x:c r="E711" s="10" t="str">
        <x:v>功能需求</x:v>
      </x:c>
      <x:c r="F711" s="10" t="str">
        <x:v>P2</x:v>
      </x:c>
      <x:c r="G711" s="9" t="str">
        <x:v>验证封面使用系统选择器</x:v>
      </x:c>
      <x:c r="H711" s="9" t="str">
        <x:v>系统封面选择入口</x:v>
      </x:c>
      <x:c r="I711" s="9" t="str">
        <x:v>1. 执行角色为具备开播资格的主播；当前处于开播设置页面</x:v>
      </x:c>
      <x:c r="J711" s="9" t="str">
        <x:v>1. 点击修改封面</x:v>
      </x:c>
      <x:c r="K711" s="9" t="str">
        <x:v>直接打开系统照片选择器</x:v>
      </x:c>
      <x:c r="L711" s="10" t="str"/>
      <x:c r="M711" s="10" t="str">
        <x:v>未测</x:v>
      </x:c>
      <x:c r="N711" s="10" t="str"/>
      <x:c r="O711" s="9" t="str">
        <x:v>1. 来源（当前证据）：liveshow-proto/MainBasis/统一需求文档.md；位置：行1201、行1209、行1187
2. 规则：BR-cd03be39e3f509fd
3. 未动态验证</x:v>
      </x:c>
    </x:row>
    <x:row r="712" ht="85" customHeight="1">
      <x:c r="A712" s="10" t="n">
        <x:v>711</x:v>
      </x:c>
      <x:c r="B712" s="10" t="str">
        <x:v>USER-07-0049</x:v>
      </x:c>
      <x:c r="C712" s="10" t="str">
        <x:v>主播中心</x:v>
      </x:c>
      <x:c r="D712" s="10" t="str">
        <x:v>开播设置（具备开播资格的主播视角）</x:v>
      </x:c>
      <x:c r="E712" s="10" t="str">
        <x:v>功能需求</x:v>
      </x:c>
      <x:c r="F712" s="10" t="str">
        <x:v>P2</x:v>
      </x:c>
      <x:c r="G712" s="9" t="str">
        <x:v>验证取消选图保留封面</x:v>
      </x:c>
      <x:c r="H712" s="9" t="str">
        <x:v>取消选图原封面保留</x:v>
      </x:c>
      <x:c r="I712" s="9" t="str">
        <x:v>1. 执行角色为具备开播资格的主播；当前处于开播设置页面
2. 已有封面A</x:v>
      </x:c>
      <x:c r="J712" s="9" t="str">
        <x:v>1. 点击修改封面
2. 取消选择</x:v>
      </x:c>
      <x:c r="K712" s="9" t="str">
        <x:v>封面仍为A</x:v>
      </x:c>
      <x:c r="L712" s="10" t="str"/>
      <x:c r="M712" s="10" t="str">
        <x:v>未测</x:v>
      </x:c>
      <x:c r="N712" s="10" t="str"/>
      <x:c r="O712" s="9" t="str">
        <x:v>1. 来源（当前证据）：liveshow-proto/MainBasis/统一需求文档.md；位置：行1209、行1187
2. 规则：BR-4973d15ba157924f
3. 未动态验证</x:v>
      </x:c>
    </x:row>
    <x:row r="713" ht="85" customHeight="1">
      <x:c r="A713" s="10" t="n">
        <x:v>712</x:v>
      </x:c>
      <x:c r="B713" s="10" t="str">
        <x:v>USER-07-0050</x:v>
      </x:c>
      <x:c r="C713" s="10" t="str">
        <x:v>主播中心</x:v>
      </x:c>
      <x:c r="D713" s="10" t="str">
        <x:v>开播设置（具备开播资格的主播视角）</x:v>
      </x:c>
      <x:c r="E713" s="10" t="str">
        <x:v>逻辑校验</x:v>
      </x:c>
      <x:c r="F713" s="10" t="str">
        <x:v>P2</x:v>
      </x:c>
      <x:c r="G713" s="9" t="str">
        <x:v>验证主题四十字符</x:v>
      </x:c>
      <x:c r="H713" s="9" t="str">
        <x:v>数据保持</x:v>
      </x:c>
      <x:c r="I713" s="9" t="str">
        <x:v>1. 执行角色为具备开播资格的主播；当前处于开播设置页面</x:v>
      </x:c>
      <x:c r="J713" s="9" t="str">
        <x:v>1. 输入40个“测”作为直播主题</x:v>
      </x:c>
      <x:c r="K713" s="9" t="str">
        <x:v>允许保留40字符主题</x:v>
      </x:c>
      <x:c r="L713" s="10" t="str"/>
      <x:c r="M713" s="10" t="str">
        <x:v>未测</x:v>
      </x:c>
      <x:c r="N713" s="10" t="str"/>
      <x:c r="O713" s="9" t="str">
        <x:v>1. 来源（当前证据）：liveshow-proto/MainBasis/统一需求文档.md；位置：行1190、行1187
2. 规则：BR-9b383a34b562ea7b
3. 未动态验证</x:v>
      </x:c>
    </x:row>
    <x:row r="714" ht="85" customHeight="1">
      <x:c r="A714" s="10" t="n">
        <x:v>713</x:v>
      </x:c>
      <x:c r="B714" s="10" t="str">
        <x:v>USER-07-0051</x:v>
      </x:c>
      <x:c r="C714" s="10" t="str">
        <x:v>主播中心</x:v>
      </x:c>
      <x:c r="D714" s="10" t="str">
        <x:v>开播设置（具备开播资格的主播视角）</x:v>
      </x:c>
      <x:c r="E714" s="10" t="str">
        <x:v>逻辑校验</x:v>
      </x:c>
      <x:c r="F714" s="10" t="str">
        <x:v>P2</x:v>
      </x:c>
      <x:c r="G714" s="9" t="str">
        <x:v>验证主题超过四十字符</x:v>
      </x:c>
      <x:c r="H714" s="9" t="str">
        <x:v>入口可用性</x:v>
      </x:c>
      <x:c r="I714" s="9" t="str">
        <x:v>1. 执行角色为具备开播资格的主播；当前处于开播设置页面</x:v>
      </x:c>
      <x:c r="J714" s="9" t="str">
        <x:v>1. 输入41个“测”作为直播主题</x:v>
      </x:c>
      <x:c r="K714" s="9" t="str">
        <x:v>不能提交超过40字符主题</x:v>
      </x:c>
      <x:c r="L714" s="10" t="str"/>
      <x:c r="M714" s="10" t="str">
        <x:v>未测</x:v>
      </x:c>
      <x:c r="N714" s="10" t="str"/>
      <x:c r="O714" s="9" t="str">
        <x:v>1. 来源（当前证据）：liveshow-proto/MainBasis/统一需求文档.md；位置：行1190、行1187
2. 规则：BR-907fdb15ca728205
3. 未动态验证</x:v>
      </x:c>
    </x:row>
    <x:row r="715" ht="85" customHeight="1">
      <x:c r="A715" s="10" t="n">
        <x:v>714</x:v>
      </x:c>
      <x:c r="B715" s="10" t="str">
        <x:v>USER-07-0052</x:v>
      </x:c>
      <x:c r="C715" s="10" t="str">
        <x:v>主播中心</x:v>
      </x:c>
      <x:c r="D715" s="10" t="str">
        <x:v>开播设置（具备开播资格的主播视角）</x:v>
      </x:c>
      <x:c r="E715" s="10" t="str">
        <x:v>功能需求</x:v>
      </x:c>
      <x:c r="F715" s="10" t="str">
        <x:v>P2</x:v>
      </x:c>
      <x:c r="G715" s="9" t="str">
        <x:v>验证分类选择范围</x:v>
      </x:c>
      <x:c r="H715" s="9" t="str">
        <x:v>可选开播分类范围</x:v>
      </x:c>
      <x:c r="I715" s="9" t="str">
        <x:v>1. 执行角色为具备开播资格的主播；当前处于开播设置页面
2. 平台启用A、停用B</x:v>
      </x:c>
      <x:c r="J715" s="9" t="str">
        <x:v>1. 点击选类型</x:v>
      </x:c>
      <x:c r="K715" s="9" t="str">
        <x:v>只提供当前启用分类A</x:v>
      </x:c>
      <x:c r="L715" s="10" t="str"/>
      <x:c r="M715" s="10" t="str">
        <x:v>未测</x:v>
      </x:c>
      <x:c r="N715" s="10" t="str"/>
      <x:c r="O715" s="9" t="str">
        <x:v>1. 来源（当前证据）：liveshow-proto/MainBasis/统一需求文档.md；位置：行1978、行1980、行1187
2. 规则：BR-c8b068d3f5c9b8c8
3. 未动态验证</x:v>
      </x:c>
    </x:row>
    <x:row r="716" ht="85" customHeight="1">
      <x:c r="A716" s="10" t="n">
        <x:v>715</x:v>
      </x:c>
      <x:c r="B716" s="10" t="str">
        <x:v>USER-07-0053</x:v>
      </x:c>
      <x:c r="C716" s="10" t="str">
        <x:v>主播中心</x:v>
      </x:c>
      <x:c r="D716" s="10" t="str">
        <x:v>开播设置（具备开播资格的主播视角）</x:v>
      </x:c>
      <x:c r="E716" s="10" t="str">
        <x:v>功能需求</x:v>
      </x:c>
      <x:c r="F716" s="10" t="str">
        <x:v>P2</x:v>
      </x:c>
      <x:c r="G716" s="9" t="str">
        <x:v>验证选择分类回填：分类回填</x:v>
      </x:c>
      <x:c r="H716" s="9" t="str">
        <x:v>分类回填</x:v>
      </x:c>
      <x:c r="I716" s="9" t="str">
        <x:v>1. 执行角色为具备开播资格的主播；当前处于开播设置页面
2. 平台启用分类A</x:v>
      </x:c>
      <x:c r="J716" s="9" t="str">
        <x:v>1. 点击选类型
2. 选择A</x:v>
      </x:c>
      <x:c r="K716" s="9" t="str">
        <x:v>选定分类为A</x:v>
      </x:c>
      <x:c r="L716" s="10" t="str"/>
      <x:c r="M716" s="10" t="str">
        <x:v>未测</x:v>
      </x:c>
      <x:c r="N716" s="10" t="str"/>
      <x:c r="O716" s="9" t="str">
        <x:v>1. 来源（当前证据）：liveshow-proto/MainBasis/统一需求文档.md；位置：行1981、行1187
2. 规则：BR-23a137a79bc56ba0
3. 未动态验证</x:v>
      </x:c>
    </x:row>
    <x:row r="717" ht="85" customHeight="1">
      <x:c r="A717" s="10" t="n">
        <x:v>716</x:v>
      </x:c>
      <x:c r="B717" s="10" t="str">
        <x:v>USER-07-0054</x:v>
      </x:c>
      <x:c r="C717" s="10" t="str">
        <x:v>主播中心</x:v>
      </x:c>
      <x:c r="D717" s="10" t="str">
        <x:v>开播设置（具备开播资格的主播视角）</x:v>
      </x:c>
      <x:c r="E717" s="10" t="str">
        <x:v>功能需求</x:v>
      </x:c>
      <x:c r="F717" s="10" t="str">
        <x:v>P2</x:v>
      </x:c>
      <x:c r="G717" s="9" t="str">
        <x:v>验证选择分类回填：分类视图关闭</x:v>
      </x:c>
      <x:c r="H717" s="9" t="str">
        <x:v>分类视图关闭</x:v>
      </x:c>
      <x:c r="I717" s="9" t="str">
        <x:v>1. 执行角色为具备开播资格的主播；当前处于开播设置页面
2. 平台启用分类A</x:v>
      </x:c>
      <x:c r="J717" s="9" t="str">
        <x:v>1. 点击选类型
2. 选择A</x:v>
      </x:c>
      <x:c r="K717" s="9" t="str">
        <x:v>分类选择视图关闭</x:v>
      </x:c>
      <x:c r="L717" s="10" t="str"/>
      <x:c r="M717" s="10" t="str">
        <x:v>未测</x:v>
      </x:c>
      <x:c r="N717" s="10" t="str"/>
      <x:c r="O717" s="9" t="str">
        <x:v>1. 来源（当前证据）：liveshow-proto/MainBasis/统一需求文档.md；位置：行1981、行1187
2. 规则：BR-b8113a78cf4dcf3e
3. 未动态验证</x:v>
      </x:c>
    </x:row>
    <x:row r="718" ht="85" customHeight="1">
      <x:c r="A718" s="10" t="n">
        <x:v>717</x:v>
      </x:c>
      <x:c r="B718" s="10" t="str">
        <x:v>USER-07-0055</x:v>
      </x:c>
      <x:c r="C718" s="10" t="str">
        <x:v>主播中心</x:v>
      </x:c>
      <x:c r="D718" s="10" t="str">
        <x:v>开播设置（具备开播资格的主播视角）</x:v>
      </x:c>
      <x:c r="E718" s="10" t="str">
        <x:v>功能需求</x:v>
      </x:c>
      <x:c r="F718" s="10" t="str">
        <x:v>P2</x:v>
      </x:c>
      <x:c r="G718" s="9" t="str">
        <x:v>验证关闭分类保留旧值</x:v>
      </x:c>
      <x:c r="H718" s="9" t="str">
        <x:v>分类取消保留值</x:v>
      </x:c>
      <x:c r="I718" s="9" t="str">
        <x:v>1. 执行角色为具备开播资格的主播；当前处于开播设置页面
2. 当前分类A</x:v>
      </x:c>
      <x:c r="J718" s="9" t="str">
        <x:v>1. 打开分类选择
2. 关闭视图且不选择</x:v>
      </x:c>
      <x:c r="K718" s="9" t="str">
        <x:v>分类仍为A</x:v>
      </x:c>
      <x:c r="L718" s="10" t="str"/>
      <x:c r="M718" s="10" t="str">
        <x:v>未测</x:v>
      </x:c>
      <x:c r="N718" s="10" t="str"/>
      <x:c r="O718" s="9" t="str">
        <x:v>1. 来源（当前证据）：liveshow-proto/MainBasis/统一需求文档.md；位置：行1981、行1187
2. 规则：BR-1de6b7c5484a959f
3. 未动态验证</x:v>
      </x:c>
    </x:row>
    <x:row r="719" ht="85" customHeight="1">
      <x:c r="A719" s="10" t="n">
        <x:v>718</x:v>
      </x:c>
      <x:c r="B719" s="10" t="str">
        <x:v>USER-07-0056</x:v>
      </x:c>
      <x:c r="C719" s="10" t="str">
        <x:v>主播中心</x:v>
      </x:c>
      <x:c r="D719" s="10" t="str">
        <x:v>开播设置（具备开播资格的主播视角）</x:v>
      </x:c>
      <x:c r="E719" s="10" t="str">
        <x:v>功能需求</x:v>
      </x:c>
      <x:c r="F719" s="10" t="str">
        <x:v>P1</x:v>
      </x:c>
      <x:c r="G719" s="9" t="str">
        <x:v>验证普通房取消密码及票价必填</x:v>
      </x:c>
      <x:c r="H719" s="9" t="str">
        <x:v>普通房配置必填条件</x:v>
      </x:c>
      <x:c r="I719" s="9" t="str">
        <x:v>1. 执行角色为具备开播资格的主播；当前处于开播设置页面
2. 当前正在配置密码房且密码为空</x:v>
      </x:c>
      <x:c r="J719" s="9" t="str">
        <x:v>1. 选择普通房
2. 点击确认</x:v>
      </x:c>
      <x:c r="K719" s="9" t="str">
        <x:v>保存普通房且不要求密码或门票价格</x:v>
      </x:c>
      <x:c r="L719" s="10" t="str"/>
      <x:c r="M719" s="10" t="str">
        <x:v>未测</x:v>
      </x:c>
      <x:c r="N719" s="10" t="str"/>
      <x:c r="O719" s="9" t="str">
        <x:v>1. 来源（当前证据）：liveshow-proto/MainBasis/统一需求文档.md；位置：行1990、行1187
2. 规则：BR-de7b7ed9971f4c4b
3. 未动态验证</x:v>
      </x:c>
    </x:row>
    <x:row r="720" ht="85" customHeight="1">
      <x:c r="A720" s="10" t="n">
        <x:v>719</x:v>
      </x:c>
      <x:c r="B720" s="10" t="str">
        <x:v>USER-07-0057</x:v>
      </x:c>
      <x:c r="C720" s="10" t="str">
        <x:v>主播中心</x:v>
      </x:c>
      <x:c r="D720" s="10" t="str">
        <x:v>开播设置（具备开播资格的主播视角）</x:v>
      </x:c>
      <x:c r="E720" s="10" t="str">
        <x:v>功能需求</x:v>
      </x:c>
      <x:c r="F720" s="10" t="str">
        <x:v>P1</x:v>
      </x:c>
      <x:c r="G720" s="9" t="str">
        <x:v>验证门票房平台关闭不可选择</x:v>
      </x:c>
      <x:c r="H720" s="9" t="str">
        <x:v>入口可用性</x:v>
      </x:c>
      <x:c r="I720" s="9" t="str">
        <x:v>1. 执行角色为具备开播资格的主播；当前处于开播设置页面
2. 平台门票房功能开关关闭</x:v>
      </x:c>
      <x:c r="J720" s="9" t="str">
        <x:v>1. 打开房型选择</x:v>
      </x:c>
      <x:c r="K720" s="9" t="str">
        <x:v>门票房不可选择</x:v>
      </x:c>
      <x:c r="L720" s="10" t="str"/>
      <x:c r="M720" s="10" t="str">
        <x:v>未测</x:v>
      </x:c>
      <x:c r="N720" s="10" t="str"/>
      <x:c r="O720" s="9" t="str">
        <x:v>1. 来源（当前证据）：liveshow-proto/MainBasis/统一需求文档.md；位置：行1996、行1187
2. 规则：BR-c4f21258ef49f487
3. 未动态验证</x:v>
      </x:c>
    </x:row>
    <x:row r="721" ht="85" customHeight="1">
      <x:c r="A721" s="10" t="n">
        <x:v>720</x:v>
      </x:c>
      <x:c r="B721" s="10" t="str">
        <x:v>USER-07-0058</x:v>
      </x:c>
      <x:c r="C721" s="10" t="str">
        <x:v>主播中心</x:v>
      </x:c>
      <x:c r="D721" s="10" t="str">
        <x:v>开播设置（具备开播资格的主播视角）</x:v>
      </x:c>
      <x:c r="E721" s="10" t="str">
        <x:v>功能需求</x:v>
      </x:c>
      <x:c r="F721" s="10" t="str">
        <x:v>P1</x:v>
      </x:c>
      <x:c r="G721" s="9" t="str">
        <x:v>验证密码房平台关闭不可选择</x:v>
      </x:c>
      <x:c r="H721" s="9" t="str">
        <x:v>密码房可选状态</x:v>
      </x:c>
      <x:c r="I721" s="9" t="str">
        <x:v>1. 执行角色为具备开播资格的主播；当前处于开播设置页面
2. 平台密码房功能开关关闭</x:v>
      </x:c>
      <x:c r="J721" s="9" t="str">
        <x:v>1. 打开房型选择</x:v>
      </x:c>
      <x:c r="K721" s="9" t="str">
        <x:v>密码房不可选择</x:v>
      </x:c>
      <x:c r="L721" s="10" t="str"/>
      <x:c r="M721" s="10" t="str">
        <x:v>未测</x:v>
      </x:c>
      <x:c r="N721" s="10" t="str"/>
      <x:c r="O721" s="9" t="str">
        <x:v>1. 来源（当前证据）：liveshow-proto/MainBasis/统一需求文档.md；位置：行2007、行1187
2. 规则：BR-4adc7e46c6c862f3
3. 未动态验证</x:v>
      </x:c>
    </x:row>
    <x:row r="722" ht="85" customHeight="1">
      <x:c r="A722" s="10" t="n">
        <x:v>721</x:v>
      </x:c>
      <x:c r="B722" s="10" t="str">
        <x:v>USER-07-0059</x:v>
      </x:c>
      <x:c r="C722" s="10" t="str">
        <x:v>主播中心</x:v>
      </x:c>
      <x:c r="D722" s="10" t="str">
        <x:v>开播设置（具备开播资格的主播视角）</x:v>
      </x:c>
      <x:c r="E722" s="10" t="str">
        <x:v>功能需求</x:v>
      </x:c>
      <x:c r="F722" s="10" t="str">
        <x:v>P1</x:v>
      </x:c>
      <x:c r="G722" s="9" t="str">
        <x:v>验证门票价格全部平铺</x:v>
      </x:c>
      <x:c r="H722" s="9" t="str">
        <x:v>门票档位列表范围</x:v>
      </x:c>
      <x:c r="I722" s="9" t="str">
        <x:v>1. 执行角色为具备开播资格的主播；当前处于开播设置页面
2. 平台有多个启用票价档位</x:v>
      </x:c>
      <x:c r="J722" s="9" t="str">
        <x:v>1. 选择门票房</x:v>
      </x:c>
      <x:c r="K722" s="9" t="str">
        <x:v>平铺展示全部启用档位并按后台排序</x:v>
      </x:c>
      <x:c r="L722" s="10" t="str"/>
      <x:c r="M722" s="10" t="str">
        <x:v>未测</x:v>
      </x:c>
      <x:c r="N722" s="10" t="str"/>
      <x:c r="O722" s="9" t="str">
        <x:v>1. 来源（当前证据）：liveshow-proto/MainBasis/统一需求文档.md；位置：行1995、行1187
2. 规则：BR-8fe26453bb15763d
3. 未动态验证</x:v>
      </x:c>
    </x:row>
    <x:row r="723" ht="85" customHeight="1">
      <x:c r="A723" s="10" t="n">
        <x:v>722</x:v>
      </x:c>
      <x:c r="B723" s="10" t="str">
        <x:v>USER-07-0060</x:v>
      </x:c>
      <x:c r="C723" s="10" t="str">
        <x:v>主播中心</x:v>
      </x:c>
      <x:c r="D723" s="10" t="str">
        <x:v>开播设置（具备开播资格的主播视角）</x:v>
      </x:c>
      <x:c r="E723" s="10" t="str">
        <x:v>功能需求</x:v>
      </x:c>
      <x:c r="F723" s="10" t="str">
        <x:v>P1</x:v>
      </x:c>
      <x:c r="G723" s="9" t="str">
        <x:v>验证门票价格单选</x:v>
      </x:c>
      <x:c r="H723" s="9" t="str">
        <x:v>门票档位单选</x:v>
      </x:c>
      <x:c r="I723" s="9" t="str">
        <x:v>1. 执行角色为具备开播资格的主播；当前处于开播设置页面
2. 有50及100金币档位</x:v>
      </x:c>
      <x:c r="J723" s="9" t="str">
        <x:v>1. 选择50金币档位
2. 选择100金币档位</x:v>
      </x:c>
      <x:c r="K723" s="9" t="str">
        <x:v>仅100金币档位被选中</x:v>
      </x:c>
      <x:c r="L723" s="10" t="str"/>
      <x:c r="M723" s="10" t="str">
        <x:v>未测</x:v>
      </x:c>
      <x:c r="N723" s="10" t="str"/>
      <x:c r="O723" s="9" t="str">
        <x:v>1. 来源（当前证据）：liveshow-proto/MainBasis/统一需求文档.md；位置：行1193、行1187
2. 规则：BR-4d7b8859be0fb641
3. 未动态验证</x:v>
      </x:c>
    </x:row>
    <x:row r="724" ht="85" customHeight="1">
      <x:c r="A724" s="10" t="n">
        <x:v>723</x:v>
      </x:c>
      <x:c r="B724" s="10" t="str">
        <x:v>USER-07-0061</x:v>
      </x:c>
      <x:c r="C724" s="10" t="str">
        <x:v>主播中心</x:v>
      </x:c>
      <x:c r="D724" s="10" t="str">
        <x:v>开播设置（具备开播资格的主播视角）</x:v>
      </x:c>
      <x:c r="E724" s="10" t="str">
        <x:v>功能需求</x:v>
      </x:c>
      <x:c r="F724" s="10" t="str">
        <x:v>P1</x:v>
      </x:c>
      <x:c r="G724" s="9" t="str">
        <x:v>验证未选门票不保存</x:v>
      </x:c>
      <x:c r="H724" s="9" t="str">
        <x:v>无效门票档位提示</x:v>
      </x:c>
      <x:c r="I724" s="9" t="str">
        <x:v>1. 执行角色为具备开播资格的主播；当前处于开播设置页面
2. 当前门票房未选择价格</x:v>
      </x:c>
      <x:c r="J724" s="9" t="str">
        <x:v>1. 点击确认</x:v>
      </x:c>
      <x:c r="K724" s="9" t="str">
        <x:v>提示“请选择有效的门票价格”</x:v>
      </x:c>
      <x:c r="L724" s="10" t="str"/>
      <x:c r="M724" s="10" t="str">
        <x:v>未测</x:v>
      </x:c>
      <x:c r="N724" s="10" t="str"/>
      <x:c r="O724" s="9" t="str">
        <x:v>1. 来源（当前证据）：liveshow-proto/MainBasis/统一需求文档.md；位置：行1205、行1187
2. 规则：BR-88df224030a701c8
3. 未动态验证</x:v>
      </x:c>
    </x:row>
    <x:row r="725" ht="85" customHeight="1">
      <x:c r="A725" s="10" t="n">
        <x:v>724</x:v>
      </x:c>
      <x:c r="B725" s="10" t="str">
        <x:v>USER-07-0062</x:v>
      </x:c>
      <x:c r="C725" s="10" t="str">
        <x:v>主播中心</x:v>
      </x:c>
      <x:c r="D725" s="10" t="str">
        <x:v>开播设置（具备开播资格的主播视角）</x:v>
      </x:c>
      <x:c r="E725" s="10" t="str">
        <x:v>异常用例</x:v>
      </x:c>
      <x:c r="F725" s="10" t="str">
        <x:v>P1</x:v>
      </x:c>
      <x:c r="G725" s="9" t="str">
        <x:v>验证门票档位停用再次校验：无效档位拒绝保存</x:v>
      </x:c>
      <x:c r="H725" s="9" t="str">
        <x:v>无效档位拒绝保存</x:v>
      </x:c>
      <x:c r="I725" s="9" t="str">
        <x:v>1. 执行角色为具备开播资格的主播；当前处于开播设置页面
2. 已选档位A但提交前后台已停用A</x:v>
      </x:c>
      <x:c r="J725" s="9" t="str">
        <x:v>1. 点击确认</x:v>
      </x:c>
      <x:c r="K725" s="9" t="str">
        <x:v>门票配置未保存</x:v>
      </x:c>
      <x:c r="L725" s="10" t="str"/>
      <x:c r="M725" s="10" t="str">
        <x:v>未测</x:v>
      </x:c>
      <x:c r="N725" s="10" t="str"/>
      <x:c r="O725" s="9" t="str">
        <x:v>1. 来源（当前证据）：liveshow-proto/MainBasis/统一需求文档.md；位置：行1999、行1187
2. 规则：BR-9ebffceecd829a5c
3. 未动态验证</x:v>
      </x:c>
    </x:row>
    <x:row r="726" ht="85" customHeight="1">
      <x:c r="A726" s="10" t="n">
        <x:v>725</x:v>
      </x:c>
      <x:c r="B726" s="10" t="str">
        <x:v>USER-07-0063</x:v>
      </x:c>
      <x:c r="C726" s="10" t="str">
        <x:v>主播中心</x:v>
      </x:c>
      <x:c r="D726" s="10" t="str">
        <x:v>开播设置（具备开播资格的主播视角）</x:v>
      </x:c>
      <x:c r="E726" s="10" t="str">
        <x:v>异常用例</x:v>
      </x:c>
      <x:c r="F726" s="10" t="str">
        <x:v>P1</x:v>
      </x:c>
      <x:c r="G726" s="9" t="str">
        <x:v>验证门票档位停用再次校验：无效档位提示</x:v>
      </x:c>
      <x:c r="H726" s="9" t="str">
        <x:v>无效档位提示</x:v>
      </x:c>
      <x:c r="I726" s="9" t="str">
        <x:v>1. 执行角色为具备开播资格的主播；当前处于开播设置页面
2. 已选档位A但提交前后台已停用A</x:v>
      </x:c>
      <x:c r="J726" s="9" t="str">
        <x:v>1. 点击确认</x:v>
      </x:c>
      <x:c r="K726" s="9" t="str">
        <x:v>提示“请选择有效的门票价格”</x:v>
      </x:c>
      <x:c r="L726" s="10" t="str"/>
      <x:c r="M726" s="10" t="str">
        <x:v>未测</x:v>
      </x:c>
      <x:c r="N726" s="10" t="str"/>
      <x:c r="O726" s="9" t="str">
        <x:v>1. 来源（当前证据）：liveshow-proto/MainBasis/统一需求文档.md；位置：行1999、行1187
2. 规则：BR-03b9896baee3eebc
3. 未动态验证</x:v>
      </x:c>
    </x:row>
    <x:row r="727" ht="85" customHeight="1">
      <x:c r="A727" s="10" t="n">
        <x:v>726</x:v>
      </x:c>
      <x:c r="B727" s="10" t="str">
        <x:v>USER-07-0064</x:v>
      </x:c>
      <x:c r="C727" s="10" t="str">
        <x:v>主播中心</x:v>
      </x:c>
      <x:c r="D727" s="10" t="str">
        <x:v>开播设置（具备开播资格的主播视角）</x:v>
      </x:c>
      <x:c r="E727" s="10" t="str">
        <x:v>功能需求</x:v>
      </x:c>
      <x:c r="F727" s="10" t="str">
        <x:v>P1</x:v>
      </x:c>
      <x:c r="G727" s="9" t="str">
        <x:v>验证首次密码房访问默认：广场默认开关</x:v>
      </x:c>
      <x:c r="H727" s="9" t="str">
        <x:v>广场默认开关</x:v>
      </x:c>
      <x:c r="I727" s="9" t="str">
        <x:v>1. 执行角色为具备开播资格的主播；当前处于开播设置页面
2. 该主播没有历史确认配置</x:v>
      </x:c>
      <x:c r="J727" s="9" t="str">
        <x:v>1. 选择密码房</x:v>
      </x:c>
      <x:c r="K727" s="9" t="str">
        <x:v>广场展示默认开启</x:v>
      </x:c>
      <x:c r="L727" s="10" t="str"/>
      <x:c r="M727" s="10" t="str">
        <x:v>未测</x:v>
      </x:c>
      <x:c r="N727" s="10" t="str"/>
      <x:c r="O727" s="9" t="str">
        <x:v>1. 来源（当前证据）：liveshow-proto/MainBasis/统一需求文档.md；位置：行1195、行1196、行1187
2. 规则：BR-ed9c25736f2e5d04
3. 未动态验证</x:v>
      </x:c>
    </x:row>
    <x:row r="728" ht="85" customHeight="1">
      <x:c r="A728" s="10" t="n">
        <x:v>727</x:v>
      </x:c>
      <x:c r="B728" s="10" t="str">
        <x:v>USER-07-0065</x:v>
      </x:c>
      <x:c r="C728" s="10" t="str">
        <x:v>主播中心</x:v>
      </x:c>
      <x:c r="D728" s="10" t="str">
        <x:v>开播设置（具备开播资格的主播视角）</x:v>
      </x:c>
      <x:c r="E728" s="10" t="str">
        <x:v>功能需求</x:v>
      </x:c>
      <x:c r="F728" s="10" t="str">
        <x:v>P1</x:v>
      </x:c>
      <x:c r="G728" s="9" t="str">
        <x:v>验证首次密码房访问默认：成员默认开关</x:v>
      </x:c>
      <x:c r="H728" s="9" t="str">
        <x:v>成员默认开关</x:v>
      </x:c>
      <x:c r="I728" s="9" t="str">
        <x:v>1. 执行角色为具备开播资格的主播；当前处于开播设置页面
2. 该主播没有历史确认配置</x:v>
      </x:c>
      <x:c r="J728" s="9" t="str">
        <x:v>1. 选择密码房</x:v>
      </x:c>
      <x:c r="K728" s="9" t="str">
        <x:v>成员限制默认关闭</x:v>
      </x:c>
      <x:c r="L728" s="10" t="str"/>
      <x:c r="M728" s="10" t="str">
        <x:v>未测</x:v>
      </x:c>
      <x:c r="N728" s="10" t="str"/>
      <x:c r="O728" s="9" t="str">
        <x:v>1. 来源（当前证据）：liveshow-proto/MainBasis/统一需求文档.md；位置：行1195、行1196、行1187
2. 规则：BR-52a6129531184dd3
3. 未动态验证</x:v>
      </x:c>
    </x:row>
    <x:row r="729" ht="85" customHeight="1">
      <x:c r="A729" s="10" t="n">
        <x:v>728</x:v>
      </x:c>
      <x:c r="B729" s="10" t="str">
        <x:v>USER-07-0066</x:v>
      </x:c>
      <x:c r="C729" s="10" t="str">
        <x:v>主播中心</x:v>
      </x:c>
      <x:c r="D729" s="10" t="str">
        <x:v>开播设置（具备开播资格的主播视角）</x:v>
      </x:c>
      <x:c r="E729" s="10" t="str">
        <x:v>功能需求</x:v>
      </x:c>
      <x:c r="F729" s="10" t="str">
        <x:v>P1</x:v>
      </x:c>
      <x:c r="G729" s="9" t="str">
        <x:v>验证未建粉丝团不能限制成员</x:v>
      </x:c>
      <x:c r="H729" s="9" t="str">
        <x:v>成员限制开关资格</x:v>
      </x:c>
      <x:c r="I729" s="9" t="str">
        <x:v>1. 执行角色为具备开播资格的主播；当前处于开播设置页面
2. 主播尚未创建粉丝团</x:v>
      </x:c>
      <x:c r="J729" s="9" t="str">
        <x:v>1. 选择密码房
2. 尝试开启仅粉丝团成员可进入</x:v>
      </x:c>
      <x:c r="K729" s="9" t="str">
        <x:v>不能开启成员限制</x:v>
      </x:c>
      <x:c r="L729" s="10" t="str"/>
      <x:c r="M729" s="10" t="str">
        <x:v>未测</x:v>
      </x:c>
      <x:c r="N729" s="10" t="str"/>
      <x:c r="O729" s="9" t="str">
        <x:v>1. 来源（当前证据）：liveshow-proto/MainBasis/统一需求文档.md；位置：行1203、行1187
2. 规则：BR-450413444f71599e
3. 未动态验证</x:v>
      </x:c>
    </x:row>
    <x:row r="730" ht="85" customHeight="1">
      <x:c r="A730" s="10" t="n">
        <x:v>729</x:v>
      </x:c>
      <x:c r="B730" s="10" t="str">
        <x:v>USER-07-0067</x:v>
      </x:c>
      <x:c r="C730" s="10" t="str">
        <x:v>主播中心</x:v>
      </x:c>
      <x:c r="D730" s="10" t="str">
        <x:v>开播设置（具备开播资格的主播视角）</x:v>
      </x:c>
      <x:c r="E730" s="10" t="str">
        <x:v>功能需求</x:v>
      </x:c>
      <x:c r="F730" s="10" t="str">
        <x:v>P1</x:v>
      </x:c>
      <x:c r="G730" s="9" t="str">
        <x:v>验证访问开关保存下次默认</x:v>
      </x:c>
      <x:c r="H730" s="9" t="str">
        <x:v>访问开关默认值保持</x:v>
      </x:c>
      <x:c r="I730" s="9" t="str">
        <x:v>1. 执行角色为具备开播资格的主播；当前处于开播设置页面
2. 当前密码有效且已创建粉丝团</x:v>
      </x:c>
      <x:c r="J730" s="9" t="str">
        <x:v>1. 关闭广场展示
2. 启用成员限制
3. 点击确认
4. 重新打开房型设置</x:v>
      </x:c>
      <x:c r="K730" s="9" t="str">
        <x:v>两个开关保持刚确认的值</x:v>
      </x:c>
      <x:c r="L730" s="10" t="str"/>
      <x:c r="M730" s="10" t="str">
        <x:v>未测</x:v>
      </x:c>
      <x:c r="N730" s="10" t="str"/>
      <x:c r="O730" s="9" t="str">
        <x:v>1. 来源（当前证据）：liveshow-proto/MainBasis/统一需求文档.md；位置：行1204、行1210、行1187
2. 规则：BR-3a1a88e3ac13f4f6
3. 未动态验证</x:v>
      </x:c>
    </x:row>
    <x:row r="731" ht="85" customHeight="1">
      <x:c r="A731" s="10" t="n">
        <x:v>730</x:v>
      </x:c>
      <x:c r="B731" s="10" t="str">
        <x:v>USER-07-0068</x:v>
      </x:c>
      <x:c r="C731" s="10" t="str">
        <x:v>主播中心</x:v>
      </x:c>
      <x:c r="D731" s="10" t="str">
        <x:v>开播设置（具备开播资格的主播视角）</x:v>
      </x:c>
      <x:c r="E731" s="10" t="str">
        <x:v>功能需求</x:v>
      </x:c>
      <x:c r="F731" s="10" t="str">
        <x:v>P1</x:v>
      </x:c>
      <x:c r="G731" s="9" t="str">
        <x:v>验证关闭抽屉不保存访问开关</x:v>
      </x:c>
      <x:c r="H731" s="9" t="str">
        <x:v>广场开关取消保留</x:v>
      </x:c>
      <x:c r="I731" s="9" t="str">
        <x:v>1. 执行角色为具备开播资格的主播；当前处于开播设置页面
2. 已保存广场展示开启</x:v>
      </x:c>
      <x:c r="J731" s="9" t="str">
        <x:v>1. 打开房型设置
2. 关闭广场展示
3. 关闭抽屉
4. 重新打开房型设置</x:v>
      </x:c>
      <x:c r="K731" s="9" t="str">
        <x:v>广场展示仍开启</x:v>
      </x:c>
      <x:c r="L731" s="10" t="str"/>
      <x:c r="M731" s="10" t="str">
        <x:v>未测</x:v>
      </x:c>
      <x:c r="N731" s="10" t="str"/>
      <x:c r="O731" s="9" t="str">
        <x:v>1. 来源（当前证据）：liveshow-proto/MainBasis/统一需求文档.md；位置：行1210、行1187
2. 规则：BR-a322aa94b81aabc9
3. 未动态验证</x:v>
      </x:c>
    </x:row>
    <x:row r="732" ht="85" customHeight="1">
      <x:c r="A732" s="10" t="n">
        <x:v>731</x:v>
      </x:c>
      <x:c r="B732" s="10" t="str">
        <x:v>USER-07-0069</x:v>
      </x:c>
      <x:c r="C732" s="10" t="str">
        <x:v>主播中心</x:v>
      </x:c>
      <x:c r="D732" s="10" t="str">
        <x:v>开播设置（具备开播资格的主播视角）</x:v>
      </x:c>
      <x:c r="E732" s="10" t="str">
        <x:v>功能需求</x:v>
      </x:c>
      <x:c r="F732" s="10" t="str">
        <x:v>P2</x:v>
      </x:c>
      <x:c r="G732" s="9" t="str">
        <x:v>验证美颜美型参数独立</x:v>
      </x:c>
      <x:c r="H732" s="9" t="str">
        <x:v>美颜美型参数隔离</x:v>
      </x:c>
      <x:c r="I732" s="9" t="str">
        <x:v>1. 执行角色为具备开播资格的主播；当前处于开播设置页面
2. 当前美颜参数50、美型参数50</x:v>
      </x:c>
      <x:c r="J732" s="9" t="str">
        <x:v>1. 修改美颜参数为60
2. 切换美型</x:v>
      </x:c>
      <x:c r="K732" s="9" t="str">
        <x:v>美型参数仍为50</x:v>
      </x:c>
      <x:c r="L732" s="10" t="str"/>
      <x:c r="M732" s="10" t="str">
        <x:v>未测</x:v>
      </x:c>
      <x:c r="N732" s="10" t="str"/>
      <x:c r="O732" s="9" t="str">
        <x:v>1. 来源（当前证据）：liveshow-proto/MainBasis/统一需求文档.md；位置：行2018、行1187
2. 规则：BR-a2f0357040061ea0
3. 未动态验证</x:v>
      </x:c>
    </x:row>
    <x:row r="733" ht="85" customHeight="1">
      <x:c r="A733" s="10" t="n">
        <x:v>732</x:v>
      </x:c>
      <x:c r="B733" s="10" t="str">
        <x:v>USER-07-0070</x:v>
      </x:c>
      <x:c r="C733" s="10" t="str">
        <x:v>主播中心</x:v>
      </x:c>
      <x:c r="D733" s="10" t="str">
        <x:v>开播设置（具备开播资格的主播视角）</x:v>
      </x:c>
      <x:c r="E733" s="10" t="str">
        <x:v>功能需求</x:v>
      </x:c>
      <x:c r="F733" s="10" t="str">
        <x:v>P2</x:v>
      </x:c>
      <x:c r="G733" s="9" t="str">
        <x:v>验证恢复默认美颜</x:v>
      </x:c>
      <x:c r="H733" s="9" t="str">
        <x:v>美颜参数重置</x:v>
      </x:c>
      <x:c r="I733" s="9" t="str">
        <x:v>1. 执行角色为具备开播资格的主播；当前处于开播设置页面
2. 多项参数已改动并选中一项</x:v>
      </x:c>
      <x:c r="J733" s="9" t="str">
        <x:v>1. 点击恢复默认</x:v>
      </x:c>
      <x:c r="K733" s="9" t="str">
        <x:v>清除选中项且全部参数回到50</x:v>
      </x:c>
      <x:c r="L733" s="10" t="str"/>
      <x:c r="M733" s="10" t="str">
        <x:v>未测</x:v>
      </x:c>
      <x:c r="N733" s="10" t="str"/>
      <x:c r="O733" s="9" t="str">
        <x:v>1. 来源（当前证据）：liveshow-proto/MainBasis/统一需求文档.md；位置：行1206、行2022、行1187
2. 规则：BR-be38a1d4e094d096
3. 未动态验证</x:v>
      </x:c>
    </x:row>
    <x:row r="734" ht="85" customHeight="1">
      <x:c r="A734" s="10" t="n">
        <x:v>733</x:v>
      </x:c>
      <x:c r="B734" s="10" t="str">
        <x:v>USER-07-0071</x:v>
      </x:c>
      <x:c r="C734" s="10" t="str">
        <x:v>主播中心</x:v>
      </x:c>
      <x:c r="D734" s="10" t="str">
        <x:v>开播设置（具备开播资格的主播视角）</x:v>
      </x:c>
      <x:c r="E734" s="10" t="str">
        <x:v>业务流程</x:v>
      </x:c>
      <x:c r="F734" s="10" t="str">
        <x:v>P0</x:v>
      </x:c>
      <x:c r="G734" s="9" t="str">
        <x:v>验证已授权开始直播：新场次创建</x:v>
      </x:c>
      <x:c r="H734" s="9" t="str">
        <x:v>新场次创建</x:v>
      </x:c>
      <x:c r="I734" s="9" t="str">
        <x:v>1. 执行角色为具备开播资格的主播；当前处于开播设置页面
2. 必要场次字段有效；相机和麦克风已授权</x:v>
      </x:c>
      <x:c r="J734" s="9" t="str">
        <x:v>1. 点击开始直播</x:v>
      </x:c>
      <x:c r="K734" s="9" t="str">
        <x:v>创建新的直播场次</x:v>
      </x:c>
      <x:c r="L734" s="10" t="str"/>
      <x:c r="M734" s="10" t="str">
        <x:v>未测</x:v>
      </x:c>
      <x:c r="N734" s="10" t="str"/>
      <x:c r="O734" s="9" t="str">
        <x:v>1. 来源（当前证据）：liveshow-proto/MainBasis/统一需求文档.md；位置：行1207、行1187
2. 规则：BR-3dfaa232ce116a15
3. 未动态验证</x:v>
      </x:c>
    </x:row>
    <x:row r="735" ht="85" customHeight="1">
      <x:c r="A735" s="10" t="n">
        <x:v>734</x:v>
      </x:c>
      <x:c r="B735" s="10" t="str">
        <x:v>USER-07-0072</x:v>
      </x:c>
      <x:c r="C735" s="10" t="str">
        <x:v>主播中心</x:v>
      </x:c>
      <x:c r="D735" s="10" t="str">
        <x:v>开播设置（具备开播资格的主播视角）</x:v>
      </x:c>
      <x:c r="E735" s="10" t="str">
        <x:v>业务流程</x:v>
      </x:c>
      <x:c r="F735" s="10" t="str">
        <x:v>P1</x:v>
      </x:c>
      <x:c r="G735" s="9" t="str">
        <x:v>验证已授权开始直播：开播倒计时</x:v>
      </x:c>
      <x:c r="H735" s="9" t="str">
        <x:v>开播倒计时</x:v>
      </x:c>
      <x:c r="I735" s="9" t="str">
        <x:v>1. 执行角色为具备开播资格的主播；当前处于开播设置页面
2. 必要场次字段有效；相机和麦克风已授权</x:v>
      </x:c>
      <x:c r="J735" s="9" t="str">
        <x:v>1. 点击开始直播</x:v>
      </x:c>
      <x:c r="K735" s="9" t="str">
        <x:v>显示3秒开播倒计时</x:v>
      </x:c>
      <x:c r="L735" s="10" t="str"/>
      <x:c r="M735" s="10" t="str">
        <x:v>未测</x:v>
      </x:c>
      <x:c r="N735" s="10" t="str"/>
      <x:c r="O735" s="9" t="str">
        <x:v>1. 来源（当前证据）：liveshow-proto/MainBasis/统一需求文档.md；位置：行1207、行1187
2. 规则：BR-2e4a034c4600ca22
3. 未动态验证</x:v>
      </x:c>
    </x:row>
    <x:row r="736" ht="85" customHeight="1">
      <x:c r="A736" s="10" t="n">
        <x:v>735</x:v>
      </x:c>
      <x:c r="B736" s="10" t="str">
        <x:v>USER-07-0073</x:v>
      </x:c>
      <x:c r="C736" s="10" t="str">
        <x:v>主播中心</x:v>
      </x:c>
      <x:c r="D736" s="10" t="str">
        <x:v>开播设置（具备开播资格的主播视角）</x:v>
      </x:c>
      <x:c r="E736" s="10" t="str">
        <x:v>功能需求</x:v>
      </x:c>
      <x:c r="F736" s="10" t="str">
        <x:v>P1</x:v>
      </x:c>
      <x:c r="G736" s="9" t="str">
        <x:v>验证开播倒计时结束</x:v>
      </x:c>
      <x:c r="H736" s="9" t="str">
        <x:v>开播倒计时完成去向</x:v>
      </x:c>
      <x:c r="I736" s="9" t="str">
        <x:v>1. 执行角色为具备开播资格的主播；当前处于开播设置页面
2. 已创建新场次且开播倒计时开始</x:v>
      </x:c>
      <x:c r="J736" s="9" t="str">
        <x:v>1. 查看3秒倒计时至结束</x:v>
      </x:c>
      <x:c r="K736" s="9" t="str">
        <x:v>进入直播间主播视角</x:v>
      </x:c>
      <x:c r="L736" s="10" t="str"/>
      <x:c r="M736" s="10" t="str">
        <x:v>未测</x:v>
      </x:c>
      <x:c r="N736" s="10" t="str"/>
      <x:c r="O736" s="9" t="str">
        <x:v>1. 来源（当前证据）：liveshow-proto/MainBasis/统一需求文档.md；位置：行1207、行1187
2. 规则：BR-7cc5decd223405b2
3. 未动态验证</x:v>
      </x:c>
    </x:row>
    <x:row r="737" ht="85" customHeight="1">
      <x:c r="A737" s="10" t="n">
        <x:v>736</x:v>
      </x:c>
      <x:c r="B737" s="10" t="str">
        <x:v>USER-07-0074</x:v>
      </x:c>
      <x:c r="C737" s="10" t="str">
        <x:v>主播中心</x:v>
      </x:c>
      <x:c r="D737" s="10" t="str">
        <x:v>开播设置（具备开播资格的主播视角）</x:v>
      </x:c>
      <x:c r="E737" s="10" t="str">
        <x:v>功能需求</x:v>
      </x:c>
      <x:c r="F737" s="10" t="str">
        <x:v>P1</x:v>
      </x:c>
      <x:c r="G737" s="9" t="str">
        <x:v>验证首次开播直接权限弹窗</x:v>
      </x:c>
      <x:c r="H737" s="9" t="str">
        <x:v>开播系统权限申请</x:v>
      </x:c>
      <x:c r="I737" s="9" t="str">
        <x:v>1. 执行角色为具备开播资格的主播；当前处于开播设置页面
2. 必要字段有效；相机麦克风尚未申请权限</x:v>
      </x:c>
      <x:c r="J737" s="9" t="str">
        <x:v>1. 点击开始直播</x:v>
      </x:c>
      <x:c r="K737" s="9" t="str">
        <x:v>直接调用系统权限弹窗，不加产品说明弹窗</x:v>
      </x:c>
      <x:c r="L737" s="10" t="str"/>
      <x:c r="M737" s="10" t="str">
        <x:v>未测</x:v>
      </x:c>
      <x:c r="N737" s="10" t="str"/>
      <x:c r="O737" s="9" t="str">
        <x:v>1. 来源（当前证据）：liveshow-proto/MainBasis/统一需求文档.md；位置：行1200、行1207、行1187
2. 规则：BR-2968a6736bd06d86
3. 未动态验证</x:v>
      </x:c>
    </x:row>
    <x:row r="738" ht="85" customHeight="1">
      <x:c r="A738" s="10" t="n">
        <x:v>737</x:v>
      </x:c>
      <x:c r="B738" s="10" t="str">
        <x:v>USER-07-0075</x:v>
      </x:c>
      <x:c r="C738" s="10" t="str">
        <x:v>主播中心</x:v>
      </x:c>
      <x:c r="D738" s="10" t="str">
        <x:v>开播设置（具备开播资格的主播视角）</x:v>
      </x:c>
      <x:c r="E738" s="10" t="str">
        <x:v>逻辑校验</x:v>
      </x:c>
      <x:c r="F738" s="10" t="str">
        <x:v>P1</x:v>
      </x:c>
      <x:c r="G738" s="9" t="str">
        <x:v>验证密码房3位边界：过短密码拒绝保存</x:v>
      </x:c>
      <x:c r="H738" s="9" t="str">
        <x:v>过短密码拒绝保存</x:v>
      </x:c>
      <x:c r="I738" s="9" t="str">
        <x:v>1. 执行角色为具备开播资格的主播；当前处于开播设置页面
2. 当前配置密码房</x:v>
      </x:c>
      <x:c r="J738" s="9" t="str">
        <x:v>1. 输入3个数字8作为密码
2. 点击确认</x:v>
      </x:c>
      <x:c r="K738" s="9" t="str">
        <x:v>密码房配置未保存</x:v>
      </x:c>
      <x:c r="L738" s="10" t="str"/>
      <x:c r="M738" s="10" t="str">
        <x:v>未测</x:v>
      </x:c>
      <x:c r="N738" s="10" t="str"/>
      <x:c r="O738" s="9" t="str">
        <x:v>1. 来源（当前证据）：liveshow-proto/MainBasis/统一需求文档.md；位置：行1194、行2012、行1187
2. 规则：BR-3a594c013e84d1ff
3. 未动态验证</x:v>
      </x:c>
    </x:row>
    <x:row r="739" ht="85" customHeight="1">
      <x:c r="A739" s="10" t="n">
        <x:v>738</x:v>
      </x:c>
      <x:c r="B739" s="10" t="str">
        <x:v>USER-07-0076</x:v>
      </x:c>
      <x:c r="C739" s="10" t="str">
        <x:v>主播中心</x:v>
      </x:c>
      <x:c r="D739" s="10" t="str">
        <x:v>开播设置（具备开播资格的主播视角）</x:v>
      </x:c>
      <x:c r="E739" s="10" t="str">
        <x:v>逻辑校验</x:v>
      </x:c>
      <x:c r="F739" s="10" t="str">
        <x:v>P1</x:v>
      </x:c>
      <x:c r="G739" s="9" t="str">
        <x:v>验证密码房3位边界：过短密码提示</x:v>
      </x:c>
      <x:c r="H739" s="9" t="str">
        <x:v>过短密码提示</x:v>
      </x:c>
      <x:c r="I739" s="9" t="str">
        <x:v>1. 执行角色为具备开播资格的主播；当前处于开播设置页面
2. 当前配置密码房</x:v>
      </x:c>
      <x:c r="J739" s="9" t="str">
        <x:v>1. 输入3个数字8作为密码
2. 点击确认</x:v>
      </x:c>
      <x:c r="K739" s="9" t="str">
        <x:v>提示“密码必须是4-12个数字”</x:v>
      </x:c>
      <x:c r="L739" s="10" t="str"/>
      <x:c r="M739" s="10" t="str">
        <x:v>未测</x:v>
      </x:c>
      <x:c r="N739" s="10" t="str"/>
      <x:c r="O739" s="9" t="str">
        <x:v>1. 来源（当前证据）：liveshow-proto/MainBasis/统一需求文档.md；位置：行1194、行2012、行1187
2. 规则：BR-bfbee79c745b09d3
3. 未动态验证</x:v>
      </x:c>
    </x:row>
    <x:row r="740" ht="85" customHeight="1">
      <x:c r="A740" s="10" t="n">
        <x:v>739</x:v>
      </x:c>
      <x:c r="B740" s="10" t="str">
        <x:v>USER-07-0077</x:v>
      </x:c>
      <x:c r="C740" s="10" t="str">
        <x:v>主播中心</x:v>
      </x:c>
      <x:c r="D740" s="10" t="str">
        <x:v>开播设置（具备开播资格的主播视角）</x:v>
      </x:c>
      <x:c r="E740" s="10" t="str">
        <x:v>逻辑校验</x:v>
      </x:c>
      <x:c r="F740" s="10" t="str">
        <x:v>P1</x:v>
      </x:c>
      <x:c r="G740" s="9" t="str">
        <x:v>验证密码房4位边界</x:v>
      </x:c>
      <x:c r="H740" s="9" t="str">
        <x:v>凭证格式</x:v>
      </x:c>
      <x:c r="I740" s="9" t="str">
        <x:v>1. 执行角色为具备开播资格的主播；当前处于开播设置页面
2. 当前配置密码房</x:v>
      </x:c>
      <x:c r="J740" s="9" t="str">
        <x:v>1. 输入4个数字8作为密码
2. 点击确认</x:v>
      </x:c>
      <x:c r="K740" s="9" t="str">
        <x:v>保存有效密码房配置</x:v>
      </x:c>
      <x:c r="L740" s="10" t="str"/>
      <x:c r="M740" s="10" t="str">
        <x:v>未测</x:v>
      </x:c>
      <x:c r="N740" s="10" t="str"/>
      <x:c r="O740" s="9" t="str">
        <x:v>1. 来源（当前证据）：liveshow-proto/MainBasis/统一需求文档.md；位置：行1194、行2012、行1187
2. 规则：BR-bb65a20131bb7551
3. 未动态验证</x:v>
      </x:c>
    </x:row>
    <x:row r="741" ht="85" customHeight="1">
      <x:c r="A741" s="10" t="n">
        <x:v>740</x:v>
      </x:c>
      <x:c r="B741" s="10" t="str">
        <x:v>USER-07-0078</x:v>
      </x:c>
      <x:c r="C741" s="10" t="str">
        <x:v>主播中心</x:v>
      </x:c>
      <x:c r="D741" s="10" t="str">
        <x:v>开播设置（具备开播资格的主播视角）</x:v>
      </x:c>
      <x:c r="E741" s="10" t="str">
        <x:v>逻辑校验</x:v>
      </x:c>
      <x:c r="F741" s="10" t="str">
        <x:v>P1</x:v>
      </x:c>
      <x:c r="G741" s="9" t="str">
        <x:v>验证密码房12位边界</x:v>
      </x:c>
      <x:c r="H741" s="9" t="str">
        <x:v>凭证格式</x:v>
      </x:c>
      <x:c r="I741" s="9" t="str">
        <x:v>1. 执行角色为具备开播资格的主播；当前处于开播设置页面
2. 当前配置密码房</x:v>
      </x:c>
      <x:c r="J741" s="9" t="str">
        <x:v>1. 输入12个数字8作为密码
2. 点击确认</x:v>
      </x:c>
      <x:c r="K741" s="9" t="str">
        <x:v>保存有效密码房配置</x:v>
      </x:c>
      <x:c r="L741" s="10" t="str"/>
      <x:c r="M741" s="10" t="str">
        <x:v>未测</x:v>
      </x:c>
      <x:c r="N741" s="10" t="str"/>
      <x:c r="O741" s="9" t="str">
        <x:v>1. 来源（当前证据）：liveshow-proto/MainBasis/统一需求文档.md；位置：行1194、行2012、行1187
2. 规则：BR-162841b6d16674dc
3. 未动态验证</x:v>
      </x:c>
    </x:row>
    <x:row r="742" ht="85" customHeight="1">
      <x:c r="A742" s="10" t="n">
        <x:v>741</x:v>
      </x:c>
      <x:c r="B742" s="10" t="str">
        <x:v>USER-07-0079</x:v>
      </x:c>
      <x:c r="C742" s="10" t="str">
        <x:v>主播中心</x:v>
      </x:c>
      <x:c r="D742" s="10" t="str">
        <x:v>开播设置（具备开播资格的主播视角）</x:v>
      </x:c>
      <x:c r="E742" s="10" t="str">
        <x:v>逻辑校验</x:v>
      </x:c>
      <x:c r="F742" s="10" t="str">
        <x:v>P1</x:v>
      </x:c>
      <x:c r="G742" s="9" t="str">
        <x:v>验证密码房13位边界：过长密码拒绝保存</x:v>
      </x:c>
      <x:c r="H742" s="9" t="str">
        <x:v>过长密码拒绝保存</x:v>
      </x:c>
      <x:c r="I742" s="9" t="str">
        <x:v>1. 执行角色为具备开播资格的主播；当前处于开播设置页面
2. 当前配置密码房</x:v>
      </x:c>
      <x:c r="J742" s="9" t="str">
        <x:v>1. 输入13个数字8作为密码
2. 点击确认</x:v>
      </x:c>
      <x:c r="K742" s="9" t="str">
        <x:v>密码房配置未保存</x:v>
      </x:c>
      <x:c r="L742" s="10" t="str"/>
      <x:c r="M742" s="10" t="str">
        <x:v>未测</x:v>
      </x:c>
      <x:c r="N742" s="10" t="str"/>
      <x:c r="O742" s="9" t="str">
        <x:v>1. 来源（当前证据）：liveshow-proto/MainBasis/统一需求文档.md；位置：行1194、行2012、行1187
2. 规则：BR-7bdb9b5f68a3303a
3. 未动态验证</x:v>
      </x:c>
    </x:row>
    <x:row r="743" ht="85" customHeight="1">
      <x:c r="A743" s="10" t="n">
        <x:v>742</x:v>
      </x:c>
      <x:c r="B743" s="10" t="str">
        <x:v>USER-07-0080</x:v>
      </x:c>
      <x:c r="C743" s="10" t="str">
        <x:v>主播中心</x:v>
      </x:c>
      <x:c r="D743" s="10" t="str">
        <x:v>开播设置（具备开播资格的主播视角）</x:v>
      </x:c>
      <x:c r="E743" s="10" t="str">
        <x:v>逻辑校验</x:v>
      </x:c>
      <x:c r="F743" s="10" t="str">
        <x:v>P1</x:v>
      </x:c>
      <x:c r="G743" s="9" t="str">
        <x:v>验证密码房13位边界：过长密码提示</x:v>
      </x:c>
      <x:c r="H743" s="9" t="str">
        <x:v>过长密码提示</x:v>
      </x:c>
      <x:c r="I743" s="9" t="str">
        <x:v>1. 执行角色为具备开播资格的主播；当前处于开播设置页面
2. 当前配置密码房</x:v>
      </x:c>
      <x:c r="J743" s="9" t="str">
        <x:v>1. 输入13个数字8作为密码
2. 点击确认</x:v>
      </x:c>
      <x:c r="K743" s="9" t="str">
        <x:v>提示“密码必须是4-12个数字”</x:v>
      </x:c>
      <x:c r="L743" s="10" t="str"/>
      <x:c r="M743" s="10" t="str">
        <x:v>未测</x:v>
      </x:c>
      <x:c r="N743" s="10" t="str"/>
      <x:c r="O743" s="9" t="str">
        <x:v>1. 来源（当前证据）：liveshow-proto/MainBasis/统一需求文档.md；位置：行1194、行2012、行1187
2. 规则：BR-4857f364fd8e5ae6
3. 未动态验证</x:v>
      </x:c>
    </x:row>
    <x:row r="744" ht="85" customHeight="1">
      <x:c r="A744" s="10" t="n">
        <x:v>743</x:v>
      </x:c>
      <x:c r="B744" s="10" t="str">
        <x:v>USER-07-0081</x:v>
      </x:c>
      <x:c r="C744" s="10" t="str">
        <x:v>主播中心</x:v>
      </x:c>
      <x:c r="D744" s="10" t="str">
        <x:v>开播设置（具备开播资格的主播视角）</x:v>
      </x:c>
      <x:c r="E744" s="10" t="str">
        <x:v>异常用例</x:v>
      </x:c>
      <x:c r="F744" s="10" t="str">
        <x:v>P1</x:v>
      </x:c>
      <x:c r="G744" s="9" t="str">
        <x:v>验证密码房非法值12a4：非数字输入保留</x:v>
      </x:c>
      <x:c r="H744" s="9" t="str">
        <x:v>非数字输入保留</x:v>
      </x:c>
      <x:c r="I744" s="9" t="str">
        <x:v>1. 执行角色为具备开播资格的主播；当前处于开播设置页面
2. 当前配置密码房</x:v>
      </x:c>
      <x:c r="J744" s="9" t="str">
        <x:v>1. 输入密码“12a4”
2. 点击确认</x:v>
      </x:c>
      <x:c r="K744" s="9" t="str">
        <x:v>密码输入仍为12a4</x:v>
      </x:c>
      <x:c r="L744" s="10" t="str"/>
      <x:c r="M744" s="10" t="str">
        <x:v>未测</x:v>
      </x:c>
      <x:c r="N744" s="10" t="str"/>
      <x:c r="O744" s="9" t="str">
        <x:v>1. 来源（当前证据）：liveshow-proto/MainBasis/统一需求文档.md；位置：行2012、行1187
2. 规则：BR-5b351bd313cdb4a7
3. 未动态验证</x:v>
      </x:c>
    </x:row>
    <x:row r="745" ht="85" customHeight="1">
      <x:c r="A745" s="10" t="n">
        <x:v>744</x:v>
      </x:c>
      <x:c r="B745" s="10" t="str">
        <x:v>USER-07-0082</x:v>
      </x:c>
      <x:c r="C745" s="10" t="str">
        <x:v>主播中心</x:v>
      </x:c>
      <x:c r="D745" s="10" t="str">
        <x:v>开播设置（具备开播资格的主播视角）</x:v>
      </x:c>
      <x:c r="E745" s="10" t="str">
        <x:v>异常用例</x:v>
      </x:c>
      <x:c r="F745" s="10" t="str">
        <x:v>P1</x:v>
      </x:c>
      <x:c r="G745" s="9" t="str">
        <x:v>验证密码房非法值12a4：非数字密码提示</x:v>
      </x:c>
      <x:c r="H745" s="9" t="str">
        <x:v>非数字密码提示</x:v>
      </x:c>
      <x:c r="I745" s="9" t="str">
        <x:v>1. 执行角色为具备开播资格的主播；当前处于开播设置页面
2. 当前配置密码房</x:v>
      </x:c>
      <x:c r="J745" s="9" t="str">
        <x:v>1. 输入密码“12a4”
2. 点击确认</x:v>
      </x:c>
      <x:c r="K745" s="9" t="str">
        <x:v>提示“密码必须是4-12个数字”</x:v>
      </x:c>
      <x:c r="L745" s="10" t="str"/>
      <x:c r="M745" s="10" t="str">
        <x:v>未测</x:v>
      </x:c>
      <x:c r="N745" s="10" t="str"/>
      <x:c r="O745" s="9" t="str">
        <x:v>1. 来源（当前证据）：liveshow-proto/MainBasis/统一需求文档.md；位置：行2012、行1187
2. 规则：BR-4e7b71aaa558c25a
3. 未动态验证</x:v>
      </x:c>
    </x:row>
    <x:row r="746" ht="85" customHeight="1">
      <x:c r="A746" s="10" t="n">
        <x:v>745</x:v>
      </x:c>
      <x:c r="B746" s="10" t="str">
        <x:v>USER-07-0083</x:v>
      </x:c>
      <x:c r="C746" s="10" t="str">
        <x:v>主播中心</x:v>
      </x:c>
      <x:c r="D746" s="10" t="str">
        <x:v>开播设置（具备开播资格的主播视角）</x:v>
      </x:c>
      <x:c r="E746" s="10" t="str">
        <x:v>异常用例</x:v>
      </x:c>
      <x:c r="F746" s="10" t="str">
        <x:v>P1</x:v>
      </x:c>
      <x:c r="G746" s="9" t="str">
        <x:v>验证密码房非法值空：空密码不保存</x:v>
      </x:c>
      <x:c r="H746" s="9" t="str">
        <x:v>空密码不保存</x:v>
      </x:c>
      <x:c r="I746" s="9" t="str">
        <x:v>1. 执行角色为具备开播资格的主播；当前处于开播设置页面
2. 当前配置密码房</x:v>
      </x:c>
      <x:c r="J746" s="9" t="str">
        <x:v>1. 输入密码“”
2. 点击确认</x:v>
      </x:c>
      <x:c r="K746" s="9" t="str">
        <x:v>密码房配置未保存</x:v>
      </x:c>
      <x:c r="L746" s="10" t="str"/>
      <x:c r="M746" s="10" t="str">
        <x:v>未测</x:v>
      </x:c>
      <x:c r="N746" s="10" t="str"/>
      <x:c r="O746" s="9" t="str">
        <x:v>1. 来源（当前证据）：liveshow-proto/MainBasis/统一需求文档.md；位置：行2012、行1187
2. 规则：BR-237d809db45bd87f
3. 未动态验证</x:v>
      </x:c>
    </x:row>
    <x:row r="747" ht="85" customHeight="1">
      <x:c r="A747" s="10" t="n">
        <x:v>746</x:v>
      </x:c>
      <x:c r="B747" s="10" t="str">
        <x:v>USER-07-0084</x:v>
      </x:c>
      <x:c r="C747" s="10" t="str">
        <x:v>主播中心</x:v>
      </x:c>
      <x:c r="D747" s="10" t="str">
        <x:v>开播设置（具备开播资格的主播视角）</x:v>
      </x:c>
      <x:c r="E747" s="10" t="str">
        <x:v>异常用例</x:v>
      </x:c>
      <x:c r="F747" s="10" t="str">
        <x:v>P1</x:v>
      </x:c>
      <x:c r="G747" s="9" t="str">
        <x:v>验证密码房非法值空：空密码提示</x:v>
      </x:c>
      <x:c r="H747" s="9" t="str">
        <x:v>空密码提示</x:v>
      </x:c>
      <x:c r="I747" s="9" t="str">
        <x:v>1. 执行角色为具备开播资格的主播；当前处于开播设置页面
2. 当前配置密码房</x:v>
      </x:c>
      <x:c r="J747" s="9" t="str">
        <x:v>1. 输入密码“”
2. 点击确认</x:v>
      </x:c>
      <x:c r="K747" s="9" t="str">
        <x:v>提示“密码必须是4-12个数字”</x:v>
      </x:c>
      <x:c r="L747" s="10" t="str"/>
      <x:c r="M747" s="10" t="str">
        <x:v>未测</x:v>
      </x:c>
      <x:c r="N747" s="10" t="str"/>
      <x:c r="O747" s="9" t="str">
        <x:v>1. 来源（当前证据）：liveshow-proto/MainBasis/统一需求文档.md；位置：行2012、行1187
2. 规则：BR-9876ce3d1a1ecee5
3. 未动态验证</x:v>
      </x:c>
    </x:row>
    <x:row r="748" ht="85" customHeight="1">
      <x:c r="A748" s="10" t="n">
        <x:v>747</x:v>
      </x:c>
      <x:c r="B748" s="10" t="str">
        <x:v>USER-07-0085</x:v>
      </x:c>
      <x:c r="C748" s="10" t="str">
        <x:v>主播中心</x:v>
      </x:c>
      <x:c r="D748" s="10" t="str">
        <x:v>开播设置（具备开播资格的主播视角）</x:v>
      </x:c>
      <x:c r="E748" s="10" t="str">
        <x:v>异常用例</x:v>
      </x:c>
      <x:c r="F748" s="10" t="str">
        <x:v>P1</x:v>
      </x:c>
      <x:c r="G748" s="9" t="str">
        <x:v>验证密码房非法值12 4：空格输入保留</x:v>
      </x:c>
      <x:c r="H748" s="9" t="str">
        <x:v>空格输入保留</x:v>
      </x:c>
      <x:c r="I748" s="9" t="str">
        <x:v>1. 执行角色为具备开播资格的主播；当前处于开播设置页面
2. 当前配置密码房</x:v>
      </x:c>
      <x:c r="J748" s="9" t="str">
        <x:v>1. 输入密码“12 4”
2. 点击确认</x:v>
      </x:c>
      <x:c r="K748" s="9" t="str">
        <x:v>密码输入仍为12 4</x:v>
      </x:c>
      <x:c r="L748" s="10" t="str"/>
      <x:c r="M748" s="10" t="str">
        <x:v>未测</x:v>
      </x:c>
      <x:c r="N748" s="10" t="str"/>
      <x:c r="O748" s="9" t="str">
        <x:v>1. 来源（当前证据）：liveshow-proto/MainBasis/统一需求文档.md；位置：行2012、行1187
2. 规则：BR-5de5f437feee96a6
3. 未动态验证</x:v>
      </x:c>
    </x:row>
    <x:row r="749" ht="85" customHeight="1">
      <x:c r="A749" s="10" t="n">
        <x:v>748</x:v>
      </x:c>
      <x:c r="B749" s="10" t="str">
        <x:v>USER-07-0086</x:v>
      </x:c>
      <x:c r="C749" s="10" t="str">
        <x:v>主播中心</x:v>
      </x:c>
      <x:c r="D749" s="10" t="str">
        <x:v>开播设置（具备开播资格的主播视角）</x:v>
      </x:c>
      <x:c r="E749" s="10" t="str">
        <x:v>异常用例</x:v>
      </x:c>
      <x:c r="F749" s="10" t="str">
        <x:v>P1</x:v>
      </x:c>
      <x:c r="G749" s="9" t="str">
        <x:v>验证密码房非法值12 4：含空格密码提示</x:v>
      </x:c>
      <x:c r="H749" s="9" t="str">
        <x:v>含空格密码提示</x:v>
      </x:c>
      <x:c r="I749" s="9" t="str">
        <x:v>1. 执行角色为具备开播资格的主播；当前处于开播设置页面
2. 当前配置密码房</x:v>
      </x:c>
      <x:c r="J749" s="9" t="str">
        <x:v>1. 输入密码“12 4”
2. 点击确认</x:v>
      </x:c>
      <x:c r="K749" s="9" t="str">
        <x:v>提示“密码必须是4-12个数字”</x:v>
      </x:c>
      <x:c r="L749" s="10" t="str"/>
      <x:c r="M749" s="10" t="str">
        <x:v>未测</x:v>
      </x:c>
      <x:c r="N749" s="10" t="str"/>
      <x:c r="O749" s="9" t="str">
        <x:v>1. 来源（当前证据）：liveshow-proto/MainBasis/统一需求文档.md；位置：行2012、行1187
2. 规则：BR-67af733d09b6d396
3. 未动态验证</x:v>
      </x:c>
    </x:row>
    <x:row r="750" ht="85" customHeight="1">
      <x:c r="A750" s="10" t="n">
        <x:v>749</x:v>
      </x:c>
      <x:c r="B750" s="10" t="str">
        <x:v>USER-07-0087</x:v>
      </x:c>
      <x:c r="C750" s="10" t="str">
        <x:v>主播中心</x:v>
      </x:c>
      <x:c r="D750" s="10" t="str">
        <x:v>开播设置（具备开播资格的主播视角）</x:v>
      </x:c>
      <x:c r="E750" s="10" t="str">
        <x:v>异常用例</x:v>
      </x:c>
      <x:c r="F750" s="10" t="str">
        <x:v>P1</x:v>
      </x:c>
      <x:c r="G750" s="9" t="str">
        <x:v>验证相机拒绝拦截开播：相机拒绝页面保持</x:v>
      </x:c>
      <x:c r="H750" s="9" t="str">
        <x:v>相机拒绝页面保持</x:v>
      </x:c>
      <x:c r="I750" s="9" t="str">
        <x:v>1. 执行角色为具备开播资格的主播；当前处于开播设置页面
2. 必要场次字段有效；相机权限被拒绝</x:v>
      </x:c>
      <x:c r="J750" s="9" t="str">
        <x:v>1. 点击开始直播</x:v>
      </x:c>
      <x:c r="K750" s="9" t="str">
        <x:v>停留开播设置页</x:v>
      </x:c>
      <x:c r="L750" s="10" t="str"/>
      <x:c r="M750" s="10" t="str">
        <x:v>未测</x:v>
      </x:c>
      <x:c r="N750" s="10" t="str"/>
      <x:c r="O750" s="9" t="str">
        <x:v>1. 来源（当前证据）：liveshow-proto/MainBasis/统一需求文档.md；位置：行1208、行1187
2. 规则：BR-07e45cfb43ea37bf
3. 未动态验证</x:v>
      </x:c>
    </x:row>
    <x:row r="751" ht="85" customHeight="1">
      <x:c r="A751" s="10" t="n">
        <x:v>750</x:v>
      </x:c>
      <x:c r="B751" s="10" t="str">
        <x:v>USER-07-0088</x:v>
      </x:c>
      <x:c r="C751" s="10" t="str">
        <x:v>主播中心</x:v>
      </x:c>
      <x:c r="D751" s="10" t="str">
        <x:v>开播设置（具备开播资格的主播视角）</x:v>
      </x:c>
      <x:c r="E751" s="10" t="str">
        <x:v>异常用例</x:v>
      </x:c>
      <x:c r="F751" s="10" t="str">
        <x:v>P1</x:v>
      </x:c>
      <x:c r="G751" s="9" t="str">
        <x:v>验证相机拒绝拦截开播：相机拒绝提示</x:v>
      </x:c>
      <x:c r="H751" s="9" t="str">
        <x:v>相机拒绝提示</x:v>
      </x:c>
      <x:c r="I751" s="9" t="str">
        <x:v>1. 执行角色为具备开播资格的主播；当前处于开播设置页面
2. 必要场次字段有效；相机权限被拒绝</x:v>
      </x:c>
      <x:c r="J751" s="9" t="str">
        <x:v>1. 点击开始直播</x:v>
      </x:c>
      <x:c r="K751" s="9" t="str">
        <x:v>提示“权限未开启，请前往系统设置”</x:v>
      </x:c>
      <x:c r="L751" s="10" t="str"/>
      <x:c r="M751" s="10" t="str">
        <x:v>未测</x:v>
      </x:c>
      <x:c r="N751" s="10" t="str"/>
      <x:c r="O751" s="9" t="str">
        <x:v>1. 来源（当前证据）：liveshow-proto/MainBasis/统一需求文档.md；位置：行1208、行1187
2. 规则：BR-3ac80873704e0143
3. 未动态验证</x:v>
      </x:c>
    </x:row>
    <x:row r="752" ht="85" customHeight="1">
      <x:c r="A752" s="10" t="n">
        <x:v>751</x:v>
      </x:c>
      <x:c r="B752" s="10" t="str">
        <x:v>USER-07-0089</x:v>
      </x:c>
      <x:c r="C752" s="10" t="str">
        <x:v>主播中心</x:v>
      </x:c>
      <x:c r="D752" s="10" t="str">
        <x:v>开播设置（具备开播资格的主播视角）</x:v>
      </x:c>
      <x:c r="E752" s="10" t="str">
        <x:v>异常用例</x:v>
      </x:c>
      <x:c r="F752" s="10" t="str">
        <x:v>P1</x:v>
      </x:c>
      <x:c r="G752" s="9" t="str">
        <x:v>验证麦克风拒绝拦截开播：麦克风拒绝页面保持</x:v>
      </x:c>
      <x:c r="H752" s="9" t="str">
        <x:v>麦克风拒绝页面保持</x:v>
      </x:c>
      <x:c r="I752" s="9" t="str">
        <x:v>1. 执行角色为具备开播资格的主播；当前处于开播设置页面
2. 必要场次字段有效；麦克风权限被拒绝</x:v>
      </x:c>
      <x:c r="J752" s="9" t="str">
        <x:v>1. 点击开始直播</x:v>
      </x:c>
      <x:c r="K752" s="9" t="str">
        <x:v>停留开播设置页</x:v>
      </x:c>
      <x:c r="L752" s="10" t="str"/>
      <x:c r="M752" s="10" t="str">
        <x:v>未测</x:v>
      </x:c>
      <x:c r="N752" s="10" t="str"/>
      <x:c r="O752" s="9" t="str">
        <x:v>1. 来源（当前证据）：liveshow-proto/MainBasis/统一需求文档.md；位置：行1208、行1187
2. 规则：BR-d07a9db524ba613e
3. 未动态验证</x:v>
      </x:c>
    </x:row>
    <x:row r="753" ht="85" customHeight="1">
      <x:c r="A753" s="10" t="n">
        <x:v>752</x:v>
      </x:c>
      <x:c r="B753" s="10" t="str">
        <x:v>USER-07-0090</x:v>
      </x:c>
      <x:c r="C753" s="10" t="str">
        <x:v>主播中心</x:v>
      </x:c>
      <x:c r="D753" s="10" t="str">
        <x:v>开播设置（具备开播资格的主播视角）</x:v>
      </x:c>
      <x:c r="E753" s="10" t="str">
        <x:v>异常用例</x:v>
      </x:c>
      <x:c r="F753" s="10" t="str">
        <x:v>P1</x:v>
      </x:c>
      <x:c r="G753" s="9" t="str">
        <x:v>验证麦克风拒绝拦截开播：麦克风拒绝提示</x:v>
      </x:c>
      <x:c r="H753" s="9" t="str">
        <x:v>麦克风拒绝提示</x:v>
      </x:c>
      <x:c r="I753" s="9" t="str">
        <x:v>1. 执行角色为具备开播资格的主播；当前处于开播设置页面
2. 必要场次字段有效；麦克风权限被拒绝</x:v>
      </x:c>
      <x:c r="J753" s="9" t="str">
        <x:v>1. 点击开始直播</x:v>
      </x:c>
      <x:c r="K753" s="9" t="str">
        <x:v>提示“权限未开启，请前往系统设置”</x:v>
      </x:c>
      <x:c r="L753" s="10" t="str"/>
      <x:c r="M753" s="10" t="str">
        <x:v>未测</x:v>
      </x:c>
      <x:c r="N753" s="10" t="str"/>
      <x:c r="O753" s="9" t="str">
        <x:v>1. 来源（当前证据）：liveshow-proto/MainBasis/统一需求文档.md；位置：行1208、行1187
2. 规则：BR-1c9b5e1ccc9c788b
3. 未动态验证</x:v>
      </x:c>
    </x:row>
    <x:row r="754" ht="85" customHeight="1">
      <x:c r="A754" s="10" t="n">
        <x:v>753</x:v>
      </x:c>
      <x:c r="B754" s="10" t="str">
        <x:v>USER-07-0091</x:v>
      </x:c>
      <x:c r="C754" s="10" t="str">
        <x:v>主播中心</x:v>
      </x:c>
      <x:c r="D754" s="10" t="str">
        <x:v>开播设置（具备开播资格的主播视角）</x:v>
      </x:c>
      <x:c r="E754" s="10" t="str">
        <x:v>逻辑校验</x:v>
      </x:c>
      <x:c r="F754" s="10" t="str">
        <x:v>P2</x:v>
      </x:c>
      <x:c r="G754" s="9" t="str">
        <x:v>验证美颜强度0边界</x:v>
      </x:c>
      <x:c r="H754" s="9" t="str">
        <x:v>美颜参数下界</x:v>
      </x:c>
      <x:c r="I754" s="9" t="str">
        <x:v>1. 执行角色为具备开播资格的主播；当前处于开播设置页面</x:v>
      </x:c>
      <x:c r="J754" s="9" t="str">
        <x:v>1. 打开美颜设置
2. 选择一个项目
3. 修改强度为0</x:v>
      </x:c>
      <x:c r="K754" s="9" t="str">
        <x:v>当前项目强度为0</x:v>
      </x:c>
      <x:c r="L754" s="10" t="str"/>
      <x:c r="M754" s="10" t="str">
        <x:v>未测</x:v>
      </x:c>
      <x:c r="N754" s="10" t="str"/>
      <x:c r="O754" s="9" t="str">
        <x:v>1. 来源（当前证据）：liveshow-proto/MainBasis/统一需求文档.md；位置：行2020、行2022、行1187
2. 规则：BR-2f2a41b30ebe2d13
3. 未动态验证</x:v>
      </x:c>
    </x:row>
    <x:row r="755" ht="85" customHeight="1">
      <x:c r="A755" s="10" t="n">
        <x:v>754</x:v>
      </x:c>
      <x:c r="B755" s="10" t="str">
        <x:v>USER-07-0092</x:v>
      </x:c>
      <x:c r="C755" s="10" t="str">
        <x:v>主播中心</x:v>
      </x:c>
      <x:c r="D755" s="10" t="str">
        <x:v>开播设置（具备开播资格的主播视角）</x:v>
      </x:c>
      <x:c r="E755" s="10" t="str">
        <x:v>逻辑校验</x:v>
      </x:c>
      <x:c r="F755" s="10" t="str">
        <x:v>P2</x:v>
      </x:c>
      <x:c r="G755" s="9" t="str">
        <x:v>验证美颜强度100边界</x:v>
      </x:c>
      <x:c r="H755" s="9" t="str">
        <x:v>美颜参数上界</x:v>
      </x:c>
      <x:c r="I755" s="9" t="str">
        <x:v>1. 执行角色为具备开播资格的主播；当前处于开播设置页面</x:v>
      </x:c>
      <x:c r="J755" s="9" t="str">
        <x:v>1. 打开美颜设置
2. 选择一个项目
3. 修改强度为100</x:v>
      </x:c>
      <x:c r="K755" s="9" t="str">
        <x:v>当前项目强度为100</x:v>
      </x:c>
      <x:c r="L755" s="10" t="str"/>
      <x:c r="M755" s="10" t="str">
        <x:v>未测</x:v>
      </x:c>
      <x:c r="N755" s="10" t="str"/>
      <x:c r="O755" s="9" t="str">
        <x:v>1. 来源（当前证据）：liveshow-proto/MainBasis/统一需求文档.md；位置：行2020、行2022、行1187
2. 规则：BR-56702b21f767534a
3. 未动态验证</x:v>
      </x:c>
    </x:row>
    <x:row r="756" ht="85" customHeight="1">
      <x:c r="A756" s="10" t="n">
        <x:v>755</x:v>
      </x:c>
      <x:c r="B756" s="10" t="str">
        <x:v>USER-07-0093</x:v>
      </x:c>
      <x:c r="C756" s="10" t="str">
        <x:v>主播中心</x:v>
      </x:c>
      <x:c r="D756" s="10" t="str">
        <x:v>粉丝列表（已认证主播视角）</x:v>
      </x:c>
      <x:c r="E756" s="10" t="str">
        <x:v>功能需求</x:v>
      </x:c>
      <x:c r="F756" s="10" t="str">
        <x:v>P1</x:v>
      </x:c>
      <x:c r="G756" s="9" t="str">
        <x:v>验证主播粉丝列表范围</x:v>
      </x:c>
      <x:c r="H756" s="9" t="str">
        <x:v>主播有效粉丝范围</x:v>
      </x:c>
      <x:c r="I756" s="9" t="str">
        <x:v>1. 执行角色为已认证主播；当前处于粉丝列表页面
2. A仍关注主播；B已取消关注</x:v>
      </x:c>
      <x:c r="J756" s="9" t="str">
        <x:v>1. 查看粉丝列表</x:v>
      </x:c>
      <x:c r="K756" s="9" t="str">
        <x:v>只展示A</x:v>
      </x:c>
      <x:c r="L756" s="10" t="str"/>
      <x:c r="M756" s="10" t="str">
        <x:v>未测</x:v>
      </x:c>
      <x:c r="N756" s="10" t="str"/>
      <x:c r="O756" s="9" t="str">
        <x:v>1. 来源（当前证据）：liveshow-proto/MainBasis/统一需求文档.md；位置：行1215、行1218、行1213
2. 规则：BR-d49d19cdad1f5235
3. 未动态验证</x:v>
      </x:c>
    </x:row>
    <x:row r="757" ht="85" customHeight="1">
      <x:c r="A757" s="10" t="n">
        <x:v>756</x:v>
      </x:c>
      <x:c r="B757" s="10" t="str">
        <x:v>USER-07-0094</x:v>
      </x:c>
      <x:c r="C757" s="10" t="str">
        <x:v>主播中心</x:v>
      </x:c>
      <x:c r="D757" s="10" t="str">
        <x:v>粉丝列表（已认证主播视角）</x:v>
      </x:c>
      <x:c r="E757" s="10" t="str">
        <x:v>功能需求</x:v>
      </x:c>
      <x:c r="F757" s="10" t="str">
        <x:v>P2</x:v>
      </x:c>
      <x:c r="G757" s="9" t="str">
        <x:v>验证过期装扮移除</x:v>
      </x:c>
      <x:c r="H757" s="9" t="str">
        <x:v>过期粉丝装扮隐藏</x:v>
      </x:c>
      <x:c r="I757" s="9" t="str">
        <x:v>1. 执行角色为已认证主播；当前处于粉丝列表页面
2. 粉丝A此前展示的装扮已到期</x:v>
      </x:c>
      <x:c r="J757" s="9" t="str">
        <x:v>1. 刷新粉丝列表</x:v>
      </x:c>
      <x:c r="K757" s="9" t="str">
        <x:v>A不再显示该过期装扮</x:v>
      </x:c>
      <x:c r="L757" s="10" t="str"/>
      <x:c r="M757" s="10" t="str">
        <x:v>未测</x:v>
      </x:c>
      <x:c r="N757" s="10" t="str"/>
      <x:c r="O757" s="9" t="str">
        <x:v>1. 来源（当前证据）：liveshow-proto/MainBasis/统一需求文档.md；位置：行1217、行1213
2. 规则：BR-3fc9a234386e57ad
3. 未动态验证</x:v>
      </x:c>
    </x:row>
    <x:row r="758" ht="85" customHeight="1">
      <x:c r="A758" s="10" t="n">
        <x:v>757</x:v>
      </x:c>
      <x:c r="B758" s="10" t="str">
        <x:v>USER-07-0095</x:v>
      </x:c>
      <x:c r="C758" s="10" t="str">
        <x:v>主播中心</x:v>
      </x:c>
      <x:c r="D758" s="10" t="str">
        <x:v>粉丝列表（已认证主播视角）</x:v>
      </x:c>
      <x:c r="E758" s="10" t="str">
        <x:v>功能需求</x:v>
      </x:c>
      <x:c r="F758" s="10" t="str">
        <x:v>P2</x:v>
      </x:c>
      <x:c r="G758" s="9" t="str">
        <x:v>验证粉丝主页入口</x:v>
      </x:c>
      <x:c r="H758" s="9" t="str">
        <x:v>主播粉丝主页去向</x:v>
      </x:c>
      <x:c r="I758" s="9" t="str">
        <x:v>1. 执行角色为已认证主播；当前处于粉丝列表页面
2. 列表存在粉丝A</x:v>
      </x:c>
      <x:c r="J758" s="9" t="str">
        <x:v>1. 点击A</x:v>
      </x:c>
      <x:c r="K758" s="9" t="str">
        <x:v>进入A用户主页</x:v>
      </x:c>
      <x:c r="L758" s="10" t="str"/>
      <x:c r="M758" s="10" t="str">
        <x:v>未测</x:v>
      </x:c>
      <x:c r="N758" s="10" t="str"/>
      <x:c r="O758" s="9" t="str">
        <x:v>1. 来源（当前证据）：liveshow-proto/MainBasis/统一需求文档.md；位置：行1220、行1213
2. 规则：BR-49df90d3ac0a6d09
3. 未动态验证</x:v>
      </x:c>
    </x:row>
    <x:row r="759" ht="85" customHeight="1">
      <x:c r="A759" s="10" t="n">
        <x:v>758</x:v>
      </x:c>
      <x:c r="B759" s="10" t="str">
        <x:v>USER-07-0096</x:v>
      </x:c>
      <x:c r="C759" s="10" t="str">
        <x:v>主播中心</x:v>
      </x:c>
      <x:c r="D759" s="10" t="str">
        <x:v>粉丝团（所属粉丝团主播视角）</x:v>
      </x:c>
      <x:c r="E759" s="10" t="str">
        <x:v>功能需求</x:v>
      </x:c>
      <x:c r="F759" s="10" t="str">
        <x:v>P1</x:v>
      </x:c>
      <x:c r="G759" s="9" t="str">
        <x:v>验证粉丝团有效成员范围</x:v>
      </x:c>
      <x:c r="H759" s="9" t="str">
        <x:v>账号关系</x:v>
      </x:c>
      <x:c r="I759" s="9" t="str">
        <x:v>1. 执行角色为所属粉丝团主播；当前处于粉丝团页面
2. A有效在团、B已退出</x:v>
      </x:c>
      <x:c r="J759" s="9" t="str">
        <x:v>1. 查看成员列表</x:v>
      </x:c>
      <x:c r="K759" s="9" t="str">
        <x:v>只展示A</x:v>
      </x:c>
      <x:c r="L759" s="10" t="str"/>
      <x:c r="M759" s="10" t="str">
        <x:v>未测</x:v>
      </x:c>
      <x:c r="N759" s="10" t="str"/>
      <x:c r="O759" s="9" t="str">
        <x:v>1. 来源（当前证据）：liveshow-proto/MainBasis/统一需求文档.md；位置：行1230、行1223
2. 规则：BR-7f999b1e2fb0b691
3. 未动态验证</x:v>
      </x:c>
    </x:row>
    <x:row r="760" ht="85" customHeight="1">
      <x:c r="A760" s="10" t="n">
        <x:v>759</x:v>
      </x:c>
      <x:c r="B760" s="10" t="str">
        <x:v>USER-07-0097</x:v>
      </x:c>
      <x:c r="C760" s="10" t="str">
        <x:v>主播中心</x:v>
      </x:c>
      <x:c r="D760" s="10" t="str">
        <x:v>粉丝团（所属粉丝团主播视角）</x:v>
      </x:c>
      <x:c r="E760" s="10" t="str">
        <x:v>功能需求</x:v>
      </x:c>
      <x:c r="F760" s="10" t="str">
        <x:v>P2</x:v>
      </x:c>
      <x:c r="G760" s="9" t="str">
        <x:v>验证默认累计贡献排序</x:v>
      </x:c>
      <x:c r="H760" s="9" t="str">
        <x:v>排列次序</x:v>
      </x:c>
      <x:c r="I760" s="9" t="str">
        <x:v>1. 执行角色为所属粉丝团主播；当前处于粉丝团页面
2. A历史贡献100、B200；A本月高于B</x:v>
      </x:c>
      <x:c r="J760" s="9" t="str">
        <x:v>1. 查看默认成员顺序</x:v>
      </x:c>
      <x:c r="K760" s="9" t="str">
        <x:v>B排在A之前</x:v>
      </x:c>
      <x:c r="L760" s="10" t="str"/>
      <x:c r="M760" s="10" t="str">
        <x:v>未测</x:v>
      </x:c>
      <x:c r="N760" s="10" t="str"/>
      <x:c r="O760" s="9" t="str">
        <x:v>1. 来源（当前证据）：liveshow-proto/MainBasis/统一需求文档.md；位置：行1231、行1223
2. 规则：BR-26d6e94a4d179722
3. 未动态验证</x:v>
      </x:c>
    </x:row>
    <x:row r="761" ht="85" customHeight="1">
      <x:c r="A761" s="10" t="n">
        <x:v>760</x:v>
      </x:c>
      <x:c r="B761" s="10" t="str">
        <x:v>USER-07-0098</x:v>
      </x:c>
      <x:c r="C761" s="10" t="str">
        <x:v>主播中心</x:v>
      </x:c>
      <x:c r="D761" s="10" t="str">
        <x:v>粉丝团（所属粉丝团主播视角）</x:v>
      </x:c>
      <x:c r="E761" s="10" t="str">
        <x:v>功能需求</x:v>
      </x:c>
      <x:c r="F761" s="10" t="str">
        <x:v>P2</x:v>
      </x:c>
      <x:c r="G761" s="9" t="str">
        <x:v>验证本月贡献排序</x:v>
      </x:c>
      <x:c r="H761" s="9" t="str">
        <x:v>排列次序</x:v>
      </x:c>
      <x:c r="I761" s="9" t="str">
        <x:v>1. 执行角色为所属粉丝团主播；当前处于粉丝团页面
2. A本月贡献200、B100</x:v>
      </x:c>
      <x:c r="J761" s="9" t="str">
        <x:v>1. 点击本月最多</x:v>
      </x:c>
      <x:c r="K761" s="9" t="str">
        <x:v>A排在B之前</x:v>
      </x:c>
      <x:c r="L761" s="10" t="str"/>
      <x:c r="M761" s="10" t="str">
        <x:v>未测</x:v>
      </x:c>
      <x:c r="N761" s="10" t="str"/>
      <x:c r="O761" s="9" t="str">
        <x:v>1. 来源（当前证据）：liveshow-proto/MainBasis/统一需求文档.md；位置：行1232、行1223
2. 规则：BR-b36b0b7a47d88c1e
3. 未动态验证</x:v>
      </x:c>
    </x:row>
    <x:row r="762" ht="85" customHeight="1">
      <x:c r="A762" s="10" t="n">
        <x:v>761</x:v>
      </x:c>
      <x:c r="B762" s="10" t="str">
        <x:v>USER-07-0099</x:v>
      </x:c>
      <x:c r="C762" s="10" t="str">
        <x:v>主播中心</x:v>
      </x:c>
      <x:c r="D762" s="10" t="str">
        <x:v>粉丝团（所属粉丝团主播视角）</x:v>
      </x:c>
      <x:c r="E762" s="10" t="str">
        <x:v>功能需求</x:v>
      </x:c>
      <x:c r="F762" s="10" t="str">
        <x:v>P2</x:v>
      </x:c>
      <x:c r="G762" s="9" t="str">
        <x:v>验证最新加入排序</x:v>
      </x:c>
      <x:c r="H762" s="9" t="str">
        <x:v>排列次序</x:v>
      </x:c>
      <x:c r="I762" s="9" t="str">
        <x:v>1. 执行角色为所属粉丝团主播；当前处于粉丝团页面
2. A入团9月14日，B9月15日</x:v>
      </x:c>
      <x:c r="J762" s="9" t="str">
        <x:v>1. 点击最新加入</x:v>
      </x:c>
      <x:c r="K762" s="9" t="str">
        <x:v>B排在A之前</x:v>
      </x:c>
      <x:c r="L762" s="10" t="str"/>
      <x:c r="M762" s="10" t="str">
        <x:v>未测</x:v>
      </x:c>
      <x:c r="N762" s="10" t="str"/>
      <x:c r="O762" s="9" t="str">
        <x:v>1. 来源（当前证据）：liveshow-proto/MainBasis/统一需求文档.md；位置：行1232、行1223
2. 规则：BR-2810c72f3e9a78dd
3. 未动态验证</x:v>
      </x:c>
    </x:row>
    <x:row r="763" ht="85" customHeight="1">
      <x:c r="A763" s="10" t="n">
        <x:v>762</x:v>
      </x:c>
      <x:c r="B763" s="10" t="str">
        <x:v>USER-07-0100</x:v>
      </x:c>
      <x:c r="C763" s="10" t="str">
        <x:v>主播中心</x:v>
      </x:c>
      <x:c r="D763" s="10" t="str">
        <x:v>粉丝团（所属粉丝团主播视角）</x:v>
      </x:c>
      <x:c r="E763" s="10" t="str">
        <x:v>功能需求</x:v>
      </x:c>
      <x:c r="F763" s="10" t="str">
        <x:v>P2</x:v>
      </x:c>
      <x:c r="G763" s="9" t="str">
        <x:v>验证成员信息：成员头像</x:v>
      </x:c>
      <x:c r="H763" s="9" t="str">
        <x:v>成员头像</x:v>
      </x:c>
      <x:c r="I763" s="9" t="str">
        <x:v>1. 执行角色为所属粉丝团主播；当前处于粉丝团页面
2. 成员A有已知等级、亲密度和加入时间</x:v>
      </x:c>
      <x:c r="J763" s="9" t="str">
        <x:v>1. 查看A成员行</x:v>
      </x:c>
      <x:c r="K763" s="9" t="str">
        <x:v>头像对应成员A</x:v>
      </x:c>
      <x:c r="L763" s="10" t="str"/>
      <x:c r="M763" s="10" t="str">
        <x:v>未测</x:v>
      </x:c>
      <x:c r="N763" s="10" t="str"/>
      <x:c r="O763" s="9" t="str">
        <x:v>1. 来源（当前证据）：liveshow-proto/MainBasis/统一需求文档.md；位置：行1225、行1223
2. 规则：BR-966cdd0ddfd98d61
3. 未动态验证</x:v>
      </x:c>
    </x:row>
    <x:row r="764" ht="85" customHeight="1">
      <x:c r="A764" s="10" t="n">
        <x:v>763</x:v>
      </x:c>
      <x:c r="B764" s="10" t="str">
        <x:v>USER-07-0101</x:v>
      </x:c>
      <x:c r="C764" s="10" t="str">
        <x:v>主播中心</x:v>
      </x:c>
      <x:c r="D764" s="10" t="str">
        <x:v>粉丝团（所属粉丝团主播视角）</x:v>
      </x:c>
      <x:c r="E764" s="10" t="str">
        <x:v>功能需求</x:v>
      </x:c>
      <x:c r="F764" s="10" t="str">
        <x:v>P2</x:v>
      </x:c>
      <x:c r="G764" s="9" t="str">
        <x:v>验证成员信息：成员昵称</x:v>
      </x:c>
      <x:c r="H764" s="9" t="str">
        <x:v>成员昵称</x:v>
      </x:c>
      <x:c r="I764" s="9" t="str">
        <x:v>1. 执行角色为所属粉丝团主播；当前处于粉丝团页面
2. 成员A有已知等级、亲密度和加入时间</x:v>
      </x:c>
      <x:c r="J764" s="9" t="str">
        <x:v>1. 查看A成员行</x:v>
      </x:c>
      <x:c r="K764" s="9" t="str">
        <x:v>昵称对应成员A</x:v>
      </x:c>
      <x:c r="L764" s="10" t="str"/>
      <x:c r="M764" s="10" t="str">
        <x:v>未测</x:v>
      </x:c>
      <x:c r="N764" s="10" t="str"/>
      <x:c r="O764" s="9" t="str">
        <x:v>1. 来源（当前证据）：liveshow-proto/MainBasis/统一需求文档.md；位置：行1225、行1223
2. 规则：BR-429753642164018b
3. 未动态验证</x:v>
      </x:c>
    </x:row>
    <x:row r="765" ht="85" customHeight="1">
      <x:c r="A765" s="10" t="n">
        <x:v>764</x:v>
      </x:c>
      <x:c r="B765" s="10" t="str">
        <x:v>USER-07-0102</x:v>
      </x:c>
      <x:c r="C765" s="10" t="str">
        <x:v>主播中心</x:v>
      </x:c>
      <x:c r="D765" s="10" t="str">
        <x:v>粉丝团（所属粉丝团主播视角）</x:v>
      </x:c>
      <x:c r="E765" s="10" t="str">
        <x:v>功能需求</x:v>
      </x:c>
      <x:c r="F765" s="10" t="str">
        <x:v>P1</x:v>
      </x:c>
      <x:c r="G765" s="9" t="str">
        <x:v>验证成员信息：成员粉丝等级</x:v>
      </x:c>
      <x:c r="H765" s="9" t="str">
        <x:v>成员粉丝等级</x:v>
      </x:c>
      <x:c r="I765" s="9" t="str">
        <x:v>1. 执行角色为所属粉丝团主播；当前处于粉丝团页面
2. 成员A有已知等级、亲密度和加入时间</x:v>
      </x:c>
      <x:c r="J765" s="9" t="str">
        <x:v>1. 查看A成员行</x:v>
      </x:c>
      <x:c r="K765" s="9" t="str">
        <x:v>显示A当前粉丝等级</x:v>
      </x:c>
      <x:c r="L765" s="10" t="str"/>
      <x:c r="M765" s="10" t="str">
        <x:v>未测</x:v>
      </x:c>
      <x:c r="N765" s="10" t="str"/>
      <x:c r="O765" s="9" t="str">
        <x:v>1. 来源（当前证据）：liveshow-proto/MainBasis/统一需求文档.md；位置：行1225、行1223
2. 规则：BR-2e8da39cf9611b91
3. 未动态验证</x:v>
      </x:c>
    </x:row>
    <x:row r="766" ht="85" customHeight="1">
      <x:c r="A766" s="10" t="n">
        <x:v>765</x:v>
      </x:c>
      <x:c r="B766" s="10" t="str">
        <x:v>USER-07-0103</x:v>
      </x:c>
      <x:c r="C766" s="10" t="str">
        <x:v>主播中心</x:v>
      </x:c>
      <x:c r="D766" s="10" t="str">
        <x:v>粉丝团（所属粉丝团主播视角）</x:v>
      </x:c>
      <x:c r="E766" s="10" t="str">
        <x:v>功能需求</x:v>
      </x:c>
      <x:c r="F766" s="10" t="str">
        <x:v>P1</x:v>
      </x:c>
      <x:c r="G766" s="9" t="str">
        <x:v>验证成员信息：成员亲密度</x:v>
      </x:c>
      <x:c r="H766" s="9" t="str">
        <x:v>成员亲密度</x:v>
      </x:c>
      <x:c r="I766" s="9" t="str">
        <x:v>1. 执行角色为所属粉丝团主播；当前处于粉丝团页面
2. 成员A有已知等级、亲密度和加入时间</x:v>
      </x:c>
      <x:c r="J766" s="9" t="str">
        <x:v>1. 查看A成员行</x:v>
      </x:c>
      <x:c r="K766" s="9" t="str">
        <x:v>显示A当前亲密度</x:v>
      </x:c>
      <x:c r="L766" s="10" t="str"/>
      <x:c r="M766" s="10" t="str">
        <x:v>未测</x:v>
      </x:c>
      <x:c r="N766" s="10" t="str"/>
      <x:c r="O766" s="9" t="str">
        <x:v>1. 来源（当前证据）：liveshow-proto/MainBasis/统一需求文档.md；位置：行1225、行1223
2. 规则：BR-861fa6afa1871f5e
3. 未动态验证</x:v>
      </x:c>
    </x:row>
    <x:row r="767" ht="85" customHeight="1">
      <x:c r="A767" s="10" t="n">
        <x:v>766</x:v>
      </x:c>
      <x:c r="B767" s="10" t="str">
        <x:v>USER-07-0104</x:v>
      </x:c>
      <x:c r="C767" s="10" t="str">
        <x:v>主播中心</x:v>
      </x:c>
      <x:c r="D767" s="10" t="str">
        <x:v>粉丝团（所属粉丝团主播视角）</x:v>
      </x:c>
      <x:c r="E767" s="10" t="str">
        <x:v>功能需求</x:v>
      </x:c>
      <x:c r="F767" s="10" t="str">
        <x:v>P1</x:v>
      </x:c>
      <x:c r="G767" s="9" t="str">
        <x:v>验证成员信息：成员加入时间</x:v>
      </x:c>
      <x:c r="H767" s="9" t="str">
        <x:v>成员加入时间</x:v>
      </x:c>
      <x:c r="I767" s="9" t="str">
        <x:v>1. 执行角色为所属粉丝团主播；当前处于粉丝团页面
2. 成员A有已知等级、亲密度和加入时间</x:v>
      </x:c>
      <x:c r="J767" s="9" t="str">
        <x:v>1. 查看A成员行</x:v>
      </x:c>
      <x:c r="K767" s="9" t="str">
        <x:v>显示A本次加入时间</x:v>
      </x:c>
      <x:c r="L767" s="10" t="str"/>
      <x:c r="M767" s="10" t="str">
        <x:v>未测</x:v>
      </x:c>
      <x:c r="N767" s="10" t="str"/>
      <x:c r="O767" s="9" t="str">
        <x:v>1. 来源（当前证据）：liveshow-proto/MainBasis/统一需求文档.md；位置：行1225、行1223
2. 规则：BR-8b5bf9f8a80fd8db
3. 未动态验证</x:v>
      </x:c>
    </x:row>
    <x:row r="768" ht="85" customHeight="1">
      <x:c r="A768" s="10" t="n">
        <x:v>767</x:v>
      </x:c>
      <x:c r="B768" s="10" t="str">
        <x:v>USER-07-0105</x:v>
      </x:c>
      <x:c r="C768" s="10" t="str">
        <x:v>主播中心</x:v>
      </x:c>
      <x:c r="D768" s="10" t="str">
        <x:v>粉丝团（所属粉丝团主播视角）</x:v>
      </x:c>
      <x:c r="E768" s="10" t="str">
        <x:v>功能需求</x:v>
      </x:c>
      <x:c r="F768" s="10" t="str">
        <x:v>P2</x:v>
      </x:c>
      <x:c r="G768" s="9" t="str">
        <x:v>验证禁言二次确认：禁言确认对象</x:v>
      </x:c>
      <x:c r="H768" s="9" t="str">
        <x:v>禁言确认对象</x:v>
      </x:c>
      <x:c r="I768" s="9" t="str">
        <x:v>1. 执行角色为所属粉丝团主播；当前处于粉丝团页面
2. 当前成员A未被禁言</x:v>
      </x:c>
      <x:c r="J768" s="9" t="str">
        <x:v>1. 点击A单人禁言</x:v>
      </x:c>
      <x:c r="K768" s="9" t="str">
        <x:v>确认对象昵称为A</x:v>
      </x:c>
      <x:c r="L768" s="10" t="str"/>
      <x:c r="M768" s="10" t="str">
        <x:v>未测</x:v>
      </x:c>
      <x:c r="N768" s="10" t="str"/>
      <x:c r="O768" s="9" t="str">
        <x:v>1. 来源（当前证据）：liveshow-proto/MainBasis/统一需求文档.md；位置：行1233、行1601、行1602、行1223
2. 规则：BR-21fd78ed328f2b47
3. 未动态验证</x:v>
      </x:c>
    </x:row>
    <x:row r="769" ht="85" customHeight="1">
      <x:c r="A769" s="10" t="n">
        <x:v>768</x:v>
      </x:c>
      <x:c r="B769" s="10" t="str">
        <x:v>USER-07-0106</x:v>
      </x:c>
      <x:c r="C769" s="10" t="str">
        <x:v>主播中心</x:v>
      </x:c>
      <x:c r="D769" s="10" t="str">
        <x:v>粉丝团（所属粉丝团主播视角）</x:v>
      </x:c>
      <x:c r="E769" s="10" t="str">
        <x:v>功能需求</x:v>
      </x:c>
      <x:c r="F769" s="10" t="str">
        <x:v>P2</x:v>
      </x:c>
      <x:c r="G769" s="9" t="str">
        <x:v>验证禁言二次确认：取消禁言入口</x:v>
      </x:c>
      <x:c r="H769" s="9" t="str">
        <x:v>取消禁言入口</x:v>
      </x:c>
      <x:c r="I769" s="9" t="str">
        <x:v>1. 执行角色为所属粉丝团主播；当前处于粉丝团页面
2. 当前成员A未被禁言</x:v>
      </x:c>
      <x:c r="J769" s="9" t="str">
        <x:v>1. 点击A单人禁言</x:v>
      </x:c>
      <x:c r="K769" s="9" t="str">
        <x:v>提供取消按钮</x:v>
      </x:c>
      <x:c r="L769" s="10" t="str"/>
      <x:c r="M769" s="10" t="str">
        <x:v>未测</x:v>
      </x:c>
      <x:c r="N769" s="10" t="str"/>
      <x:c r="O769" s="9" t="str">
        <x:v>1. 来源（当前证据）：liveshow-proto/MainBasis/统一需求文档.md；位置：行1233、行1601、行1602、行1223
2. 规则：BR-668430c33a625ca6
3. 未动态验证</x:v>
      </x:c>
    </x:row>
    <x:row r="770" ht="85" customHeight="1">
      <x:c r="A770" s="10" t="n">
        <x:v>769</x:v>
      </x:c>
      <x:c r="B770" s="10" t="str">
        <x:v>USER-07-0107</x:v>
      </x:c>
      <x:c r="C770" s="10" t="str">
        <x:v>主播中心</x:v>
      </x:c>
      <x:c r="D770" s="10" t="str">
        <x:v>粉丝团（所属粉丝团主播视角）</x:v>
      </x:c>
      <x:c r="E770" s="10" t="str">
        <x:v>功能需求</x:v>
      </x:c>
      <x:c r="F770" s="10" t="str">
        <x:v>P2</x:v>
      </x:c>
      <x:c r="G770" s="9" t="str">
        <x:v>验证禁言二次确认：确认禁言入口</x:v>
      </x:c>
      <x:c r="H770" s="9" t="str">
        <x:v>确认禁言入口</x:v>
      </x:c>
      <x:c r="I770" s="9" t="str">
        <x:v>1. 执行角色为所属粉丝团主播；当前处于粉丝团页面
2. 当前成员A未被禁言</x:v>
      </x:c>
      <x:c r="J770" s="9" t="str">
        <x:v>1. 点击A单人禁言</x:v>
      </x:c>
      <x:c r="K770" s="9" t="str">
        <x:v>提供确认禁言按钮</x:v>
      </x:c>
      <x:c r="L770" s="10" t="str"/>
      <x:c r="M770" s="10" t="str">
        <x:v>未测</x:v>
      </x:c>
      <x:c r="N770" s="10" t="str"/>
      <x:c r="O770" s="9" t="str">
        <x:v>1. 来源（当前证据）：liveshow-proto/MainBasis/统一需求文档.md；位置：行1233、行1601、行1602、行1223
2. 规则：BR-036f3aa0a60e1a55
3. 未动态验证</x:v>
      </x:c>
    </x:row>
    <x:row r="771" ht="85" customHeight="1">
      <x:c r="A771" s="10" t="n">
        <x:v>770</x:v>
      </x:c>
      <x:c r="B771" s="10" t="str">
        <x:v>USER-07-0108</x:v>
      </x:c>
      <x:c r="C771" s="10" t="str">
        <x:v>主播中心</x:v>
      </x:c>
      <x:c r="D771" s="10" t="str">
        <x:v>粉丝团（所属粉丝团主播视角）</x:v>
      </x:c>
      <x:c r="E771" s="10" t="str">
        <x:v>功能需求</x:v>
      </x:c>
      <x:c r="F771" s="10" t="str">
        <x:v>P1</x:v>
      </x:c>
      <x:c r="G771" s="9" t="str">
        <x:v>验证取消禁言不改变状态</x:v>
      </x:c>
      <x:c r="H771" s="9" t="str">
        <x:v>取消禁言状态保持</x:v>
      </x:c>
      <x:c r="I771" s="9" t="str">
        <x:v>1. 执行角色为所属粉丝团主播；当前处于粉丝团页面
2. 对A的禁言确认已打开</x:v>
      </x:c>
      <x:c r="J771" s="9" t="str">
        <x:v>1. 点击取消</x:v>
      </x:c>
      <x:c r="K771" s="9" t="str">
        <x:v>A保持原发言状态</x:v>
      </x:c>
      <x:c r="L771" s="10" t="str"/>
      <x:c r="M771" s="10" t="str">
        <x:v>未测</x:v>
      </x:c>
      <x:c r="N771" s="10" t="str"/>
      <x:c r="O771" s="9" t="str">
        <x:v>1. 来源（当前证据）：liveshow-proto/MainBasis/统一需求文档.md；位置：行1604、行1223
2. 规则：BR-185b2f47ce058092
3. 未动态验证</x:v>
      </x:c>
    </x:row>
    <x:row r="772" ht="85" customHeight="1">
      <x:c r="A772" s="10" t="n">
        <x:v>771</x:v>
      </x:c>
      <x:c r="B772" s="10" t="str">
        <x:v>USER-07-0109</x:v>
      </x:c>
      <x:c r="C772" s="10" t="str">
        <x:v>主播中心</x:v>
      </x:c>
      <x:c r="D772" s="10" t="str">
        <x:v>粉丝团（所属粉丝团主播视角）</x:v>
      </x:c>
      <x:c r="E772" s="10" t="str">
        <x:v>功能需求</x:v>
      </x:c>
      <x:c r="F772" s="10" t="str">
        <x:v>P1</x:v>
      </x:c>
      <x:c r="G772" s="9" t="str">
        <x:v>验证确认单人禁言</x:v>
      </x:c>
      <x:c r="H772" s="9" t="str">
        <x:v>群成员禁言状态</x:v>
      </x:c>
      <x:c r="I772" s="9" t="str">
        <x:v>1. 执行角色为所属粉丝团主播；当前处于粉丝团页面
2. A为可发言的有效成员</x:v>
      </x:c>
      <x:c r="J772" s="9" t="str">
        <x:v>1. 点击A单人禁言
2. 点击确认禁言</x:v>
      </x:c>
      <x:c r="K772" s="9" t="str">
        <x:v>A被禁止在当前粉丝群发言</x:v>
      </x:c>
      <x:c r="L772" s="10" t="str"/>
      <x:c r="M772" s="10" t="str">
        <x:v>未测</x:v>
      </x:c>
      <x:c r="N772" s="10" t="str"/>
      <x:c r="O772" s="9" t="str">
        <x:v>1. 来源（当前证据）：liveshow-proto/MainBasis/统一需求文档.md；位置：行1604、行1223
2. 规则：BR-6b04575720bcd484
3. 未动态验证</x:v>
      </x:c>
    </x:row>
    <x:row r="773" ht="145" customHeight="1">
      <x:c r="A773" s="10" t="n">
        <x:v>772</x:v>
      </x:c>
      <x:c r="B773" s="10" t="str">
        <x:v>USER-07-0110</x:v>
      </x:c>
      <x:c r="C773" s="10" t="str">
        <x:v>主播中心</x:v>
      </x:c>
      <x:c r="D773" s="10" t="str">
        <x:v>粉丝团（所属粉丝团主播视角）</x:v>
      </x:c>
      <x:c r="E773" s="10" t="str">
        <x:v>异常用例</x:v>
      </x:c>
      <x:c r="F773" s="10" t="str">
        <x:v>P1</x:v>
      </x:c>
      <x:c r="G773" s="9" t="str">
        <x:v>验证禁言失败不改变状态</x:v>
      </x:c>
      <x:c r="H773" s="9" t="str">
        <x:v>群禁言失败状态保持</x:v>
      </x:c>
      <x:c r="I773" s="9" t="str">
        <x:v>1. 执行角色为所属粉丝团主播；当前处于粉丝团页面
2. A可发言；禁言请求返回失败
3. 环境准备要求（尚未具备）：需测试服务仅拒绝本次群禁言请求，目标原发言状态保持可发言</x:v>
      </x:c>
      <x:c r="J773" s="9" t="str">
        <x:v>1. 点击A单人禁言
2. 点击确认禁言</x:v>
      </x:c>
      <x:c r="K773" s="9" t="str">
        <x:v>A保持可发言状态</x:v>
      </x:c>
      <x:c r="L773" s="10" t="str"/>
      <x:c r="M773" s="10" t="str">
        <x:v>未测</x:v>
      </x:c>
      <x:c r="N773" s="10" t="str"/>
      <x:c r="O773" s="9" t="str">
        <x:v>1. 来源（当前证据）：liveshow-proto/MainBasis/统一需求文档.md；位置：行1604、行1223
2. 规则：BR-813620ddb93d5145
3. 未动态验证
4. 环境待准备：粉丝群禁言请求；时点：确认禁言指定成员时；恢复：本条结束后撤销故障设置，恢复真实请求处理；使用新测试对象复跑正常路径，避免污染后续用例</x:v>
      </x:c>
    </x:row>
    <x:row r="774" ht="85" customHeight="1">
      <x:c r="A774" s="10" t="n">
        <x:v>773</x:v>
      </x:c>
      <x:c r="B774" s="10" t="str">
        <x:v>USER-07-0111</x:v>
      </x:c>
      <x:c r="C774" s="10" t="str">
        <x:v>主播中心</x:v>
      </x:c>
      <x:c r="D774" s="10" t="str">
        <x:v>粉丝团（所属粉丝团主播视角）</x:v>
      </x:c>
      <x:c r="E774" s="10" t="str">
        <x:v>功能需求</x:v>
      </x:c>
      <x:c r="F774" s="10" t="str">
        <x:v>P2</x:v>
      </x:c>
      <x:c r="G774" s="9" t="str">
        <x:v>验证左滑显示移除</x:v>
      </x:c>
      <x:c r="H774" s="9" t="str">
        <x:v>成员移除入口</x:v>
      </x:c>
      <x:c r="I774" s="9" t="str">
        <x:v>1. 执行角色为所属粉丝团主播；当前处于粉丝团页面
2. 成员A当前有效在团</x:v>
      </x:c>
      <x:c r="J774" s="9" t="str">
        <x:v>1. 向左滑动A成员行</x:v>
      </x:c>
      <x:c r="K774" s="9" t="str">
        <x:v>显示移除操作</x:v>
      </x:c>
      <x:c r="L774" s="10" t="str"/>
      <x:c r="M774" s="10" t="str">
        <x:v>未测</x:v>
      </x:c>
      <x:c r="N774" s="10" t="str"/>
      <x:c r="O774" s="9" t="str">
        <x:v>1. 来源（当前证据）：liveshow-proto/MainBasis/统一需求文档.md；位置：行1233、行1223
2. 规则：BR-bf314b1094dbfc2d
3. 未动态验证</x:v>
      </x:c>
    </x:row>
    <x:row r="775" ht="85" customHeight="1">
      <x:c r="A775" s="10" t="n">
        <x:v>774</x:v>
      </x:c>
      <x:c r="B775" s="10" t="str">
        <x:v>USER-07-0112</x:v>
      </x:c>
      <x:c r="C775" s="10" t="str">
        <x:v>主播中心</x:v>
      </x:c>
      <x:c r="D775" s="10" t="str">
        <x:v>粉丝团（所属粉丝团主播视角）</x:v>
      </x:c>
      <x:c r="E775" s="10" t="str">
        <x:v>功能需求</x:v>
      </x:c>
      <x:c r="F775" s="10" t="str">
        <x:v>P1</x:v>
      </x:c>
      <x:c r="G775" s="9" t="str">
        <x:v>验证确认移除成员</x:v>
      </x:c>
      <x:c r="H775" s="9" t="str">
        <x:v>粉丝团成员移除</x:v>
      </x:c>
      <x:c r="I775" s="9" t="str">
        <x:v>1. 执行角色为所属粉丝团主播；当前处于粉丝团页面
2. 成员数3；成员A有效在团</x:v>
      </x:c>
      <x:c r="J775" s="9" t="str">
        <x:v>1. 向左滑动A成员行
2. 点击移除
3. 点击确认移除</x:v>
      </x:c>
      <x:c r="K775" s="9" t="str">
        <x:v>A被移出且成员数变为2</x:v>
      </x:c>
      <x:c r="L775" s="10" t="str"/>
      <x:c r="M775" s="10" t="str">
        <x:v>未测</x:v>
      </x:c>
      <x:c r="N775" s="10" t="str"/>
      <x:c r="O775" s="9" t="str">
        <x:v>1. 来源（当前证据）：liveshow-proto/MainBasis/统一需求文档.md；位置：行1229、行1233、行1223
2. 规则：BR-ca46c96ab13c9459
3. 未动态验证</x:v>
      </x:c>
    </x:row>
    <x:row r="776" ht="85" customHeight="1">
      <x:c r="A776" s="10" t="n">
        <x:v>775</x:v>
      </x:c>
      <x:c r="B776" s="10" t="str">
        <x:v>USER-07-0113</x:v>
      </x:c>
      <x:c r="C776" s="10" t="str">
        <x:v>主播中心</x:v>
      </x:c>
      <x:c r="D776" s="10" t="str">
        <x:v>粉丝团（所属粉丝团主播视角）</x:v>
      </x:c>
      <x:c r="E776" s="10" t="str">
        <x:v>功能需求</x:v>
      </x:c>
      <x:c r="F776" s="10" t="str">
        <x:v>P2</x:v>
      </x:c>
      <x:c r="G776" s="9" t="str">
        <x:v>验证粉丝团设置入口</x:v>
      </x:c>
      <x:c r="H776" s="9" t="str">
        <x:v>粉丝团设置去向</x:v>
      </x:c>
      <x:c r="I776" s="9" t="str">
        <x:v>1. 执行角色为所属粉丝团主播；当前处于粉丝团页面</x:v>
      </x:c>
      <x:c r="J776" s="9" t="str">
        <x:v>1. 点击粉丝团设置</x:v>
      </x:c>
      <x:c r="K776" s="9" t="str">
        <x:v>进入当前团设置页</x:v>
      </x:c>
      <x:c r="L776" s="10" t="str"/>
      <x:c r="M776" s="10" t="str">
        <x:v>未测</x:v>
      </x:c>
      <x:c r="N776" s="10" t="str"/>
      <x:c r="O776" s="9" t="str">
        <x:v>1. 来源（当前证据）：liveshow-proto/MainBasis/统一需求文档.md；位置：行1234、行1223
2. 规则：BR-3b277b5484070949
3. 未动态验证</x:v>
      </x:c>
    </x:row>
    <x:row r="777" ht="85" customHeight="1">
      <x:c r="A777" s="10" t="n">
        <x:v>776</x:v>
      </x:c>
      <x:c r="B777" s="10" t="str">
        <x:v>USER-07-0114</x:v>
      </x:c>
      <x:c r="C777" s="10" t="str">
        <x:v>主播中心</x:v>
      </x:c>
      <x:c r="D777" s="10" t="str">
        <x:v>粉丝团设置（所属粉丝团主播视角）</x:v>
      </x:c>
      <x:c r="E777" s="10" t="str">
        <x:v>功能需求</x:v>
      </x:c>
      <x:c r="F777" s="10" t="str">
        <x:v>P2</x:v>
      </x:c>
      <x:c r="G777" s="9" t="str">
        <x:v>验证空团名不可保存</x:v>
      </x:c>
      <x:c r="H777" s="9" t="str">
        <x:v>入口可用性</x:v>
      </x:c>
      <x:c r="I777" s="9" t="str">
        <x:v>1. 执行角色为所属粉丝团主播；当前处于粉丝团设置页面</x:v>
      </x:c>
      <x:c r="J777" s="9" t="str">
        <x:v>1. 清空粉丝团名称
2. 查看保存按钮</x:v>
      </x:c>
      <x:c r="K777" s="9" t="str">
        <x:v>保存按钮不可用</x:v>
      </x:c>
      <x:c r="L777" s="10" t="str"/>
      <x:c r="M777" s="10" t="str">
        <x:v>未测</x:v>
      </x:c>
      <x:c r="N777" s="10" t="str"/>
      <x:c r="O777" s="9" t="str">
        <x:v>1. 来源（当前证据）：liveshow-proto/MainBasis/统一需求文档.md；位置：行1239、行1244、行1237
2. 规则：BR-168359dc93dda99c
3. 未动态验证</x:v>
      </x:c>
    </x:row>
    <x:row r="778" ht="85" customHeight="1">
      <x:c r="A778" s="10" t="n">
        <x:v>777</x:v>
      </x:c>
      <x:c r="B778" s="10" t="str">
        <x:v>USER-07-0115</x:v>
      </x:c>
      <x:c r="C778" s="10" t="str">
        <x:v>主播中心</x:v>
      </x:c>
      <x:c r="D778" s="10" t="str">
        <x:v>粉丝团设置（所属粉丝团主播视角）</x:v>
      </x:c>
      <x:c r="E778" s="10" t="str">
        <x:v>功能需求</x:v>
      </x:c>
      <x:c r="F778" s="10" t="str">
        <x:v>P2</x:v>
      </x:c>
      <x:c r="G778" s="9" t="str">
        <x:v>验证二十字团名边界</x:v>
      </x:c>
      <x:c r="H778" s="9" t="str">
        <x:v>数据保持</x:v>
      </x:c>
      <x:c r="I778" s="9" t="str">
        <x:v>1. 执行角色为所属粉丝团主播；当前处于粉丝团设置页面
2. 贡献门槛为有效值0</x:v>
      </x:c>
      <x:c r="J778" s="9" t="str">
        <x:v>1. 输入20个“测”作为团名
2. 点击保存</x:v>
      </x:c>
      <x:c r="K778" s="9" t="str">
        <x:v>允许保存20字符团名</x:v>
      </x:c>
      <x:c r="L778" s="10" t="str"/>
      <x:c r="M778" s="10" t="str">
        <x:v>未测</x:v>
      </x:c>
      <x:c r="N778" s="10" t="str"/>
      <x:c r="O778" s="9" t="str">
        <x:v>1. 来源（当前证据）：liveshow-proto/MainBasis/统一需求文档.md；位置：行1239、行1245、行1237
2. 规则：BR-7706d2d56bef198a
3. 未动态验证</x:v>
      </x:c>
    </x:row>
    <x:row r="779" ht="85" customHeight="1">
      <x:c r="A779" s="10" t="n">
        <x:v>778</x:v>
      </x:c>
      <x:c r="B779" s="10" t="str">
        <x:v>USER-07-0116</x:v>
      </x:c>
      <x:c r="C779" s="10" t="str">
        <x:v>主播中心</x:v>
      </x:c>
      <x:c r="D779" s="10" t="str">
        <x:v>粉丝团设置（所属粉丝团主播视角）</x:v>
      </x:c>
      <x:c r="E779" s="10" t="str">
        <x:v>功能需求</x:v>
      </x:c>
      <x:c r="F779" s="10" t="str">
        <x:v>P2</x:v>
      </x:c>
      <x:c r="G779" s="9" t="str">
        <x:v>验证团名超长限制</x:v>
      </x:c>
      <x:c r="H779" s="9" t="str">
        <x:v>入口可用性</x:v>
      </x:c>
      <x:c r="I779" s="9" t="str">
        <x:v>1. 执行角色为所属粉丝团主播；当前处于粉丝团设置页面</x:v>
      </x:c>
      <x:c r="J779" s="9" t="str">
        <x:v>1. 输入21个“测”作为团名</x:v>
      </x:c>
      <x:c r="K779" s="9" t="str">
        <x:v>不能保存超过20字符团名</x:v>
      </x:c>
      <x:c r="L779" s="10" t="str"/>
      <x:c r="M779" s="10" t="str">
        <x:v>未测</x:v>
      </x:c>
      <x:c r="N779" s="10" t="str"/>
      <x:c r="O779" s="9" t="str">
        <x:v>1. 来源（当前证据）：liveshow-proto/MainBasis/统一需求文档.md；位置：行1239、行1237
2. 规则：BR-a986d66cf7af315a
3. 未动态验证</x:v>
      </x:c>
    </x:row>
    <x:row r="780" ht="85" customHeight="1">
      <x:c r="A780" s="10" t="n">
        <x:v>779</x:v>
      </x:c>
      <x:c r="B780" s="10" t="str">
        <x:v>USER-07-0117</x:v>
      </x:c>
      <x:c r="C780" s="10" t="str">
        <x:v>主播中心</x:v>
      </x:c>
      <x:c r="D780" s="10" t="str">
        <x:v>粉丝团设置（所属粉丝团主播视角）</x:v>
      </x:c>
      <x:c r="E780" s="10" t="str">
        <x:v>功能需求</x:v>
      </x:c>
      <x:c r="F780" s="10" t="str">
        <x:v>P1</x:v>
      </x:c>
      <x:c r="G780" s="9" t="str">
        <x:v>验证贡献零门槛</x:v>
      </x:c>
      <x:c r="H780" s="9" t="str">
        <x:v>数据保持</x:v>
      </x:c>
      <x:c r="I780" s="9" t="str">
        <x:v>1. 执行角色为所属粉丝团主播；当前处于粉丝团设置页面
2. 团名有效</x:v>
      </x:c>
      <x:c r="J780" s="9" t="str">
        <x:v>1. 输入累计贡献0
2. 点击保存</x:v>
      </x:c>
      <x:c r="K780" s="9" t="str">
        <x:v>保存零贡献门槛</x:v>
      </x:c>
      <x:c r="L780" s="10" t="str"/>
      <x:c r="M780" s="10" t="str">
        <x:v>未测</x:v>
      </x:c>
      <x:c r="N780" s="10" t="str"/>
      <x:c r="O780" s="9" t="str">
        <x:v>1. 来源（当前证据）：liveshow-proto/MainBasis/统一需求文档.md；位置：行1241、行1245、行1237
2. 规则：BR-37d6a1bcdf07ca53
3. 未动态验证</x:v>
      </x:c>
    </x:row>
    <x:row r="781" ht="85" customHeight="1">
      <x:c r="A781" s="10" t="n">
        <x:v>780</x:v>
      </x:c>
      <x:c r="B781" s="10" t="str">
        <x:v>USER-07-0118</x:v>
      </x:c>
      <x:c r="C781" s="10" t="str">
        <x:v>主播中心</x:v>
      </x:c>
      <x:c r="D781" s="10" t="str">
        <x:v>粉丝团设置（所属粉丝团主播视角）</x:v>
      </x:c>
      <x:c r="E781" s="10" t="str">
        <x:v>功能需求</x:v>
      </x:c>
      <x:c r="F781" s="10" t="str">
        <x:v>P1</x:v>
      </x:c>
      <x:c r="G781" s="9" t="str">
        <x:v>验证贡献负数无效</x:v>
      </x:c>
      <x:c r="H781" s="9" t="str">
        <x:v>入口可用性</x:v>
      </x:c>
      <x:c r="I781" s="9" t="str">
        <x:v>1. 执行角色为所属粉丝团主播；当前处于粉丝团设置页面
2. 团名有效</x:v>
      </x:c>
      <x:c r="J781" s="9" t="str">
        <x:v>1. 输入累计贡献-1
2. 查看保存按钮</x:v>
      </x:c>
      <x:c r="K781" s="9" t="str">
        <x:v>保存按钮不可用</x:v>
      </x:c>
      <x:c r="L781" s="10" t="str"/>
      <x:c r="M781" s="10" t="str">
        <x:v>未测</x:v>
      </x:c>
      <x:c r="N781" s="10" t="str"/>
      <x:c r="O781" s="9" t="str">
        <x:v>1. 来源（当前证据）：liveshow-proto/MainBasis/统一需求文档.md；位置：行1241、行1244、行1237
2. 规则：BR-84cc544d5be49a9f
3. 未动态验证</x:v>
      </x:c>
    </x:row>
    <x:row r="782" ht="85" customHeight="1">
      <x:c r="A782" s="10" t="n">
        <x:v>781</x:v>
      </x:c>
      <x:c r="B782" s="10" t="str">
        <x:v>USER-07-0119</x:v>
      </x:c>
      <x:c r="C782" s="10" t="str">
        <x:v>主播中心</x:v>
      </x:c>
      <x:c r="D782" s="10" t="str">
        <x:v>粉丝团设置（所属粉丝团主播视角）</x:v>
      </x:c>
      <x:c r="E782" s="10" t="str">
        <x:v>功能需求</x:v>
      </x:c>
      <x:c r="F782" s="10" t="str">
        <x:v>P1</x:v>
      </x:c>
      <x:c r="G782" s="9" t="str">
        <x:v>验证贡献小数无效</x:v>
      </x:c>
      <x:c r="H782" s="9" t="str">
        <x:v>入口可用性</x:v>
      </x:c>
      <x:c r="I782" s="9" t="str">
        <x:v>1. 执行角色为所属粉丝团主播；当前处于粉丝团设置页面
2. 团名有效</x:v>
      </x:c>
      <x:c r="J782" s="9" t="str">
        <x:v>1. 输入累计贡献1.5
2. 查看保存按钮</x:v>
      </x:c>
      <x:c r="K782" s="9" t="str">
        <x:v>保存按钮不可用</x:v>
      </x:c>
      <x:c r="L782" s="10" t="str"/>
      <x:c r="M782" s="10" t="str">
        <x:v>未测</x:v>
      </x:c>
      <x:c r="N782" s="10" t="str"/>
      <x:c r="O782" s="9" t="str">
        <x:v>1. 来源（当前证据）：liveshow-proto/MainBasis/统一需求文档.md；位置：行1241、行1244、行1237
2. 规则：BR-2ae817b3555af7ab
3. 未动态验证</x:v>
      </x:c>
    </x:row>
    <x:row r="783" ht="85" customHeight="1">
      <x:c r="A783" s="10" t="n">
        <x:v>782</x:v>
      </x:c>
      <x:c r="B783" s="10" t="str">
        <x:v>USER-07-0120</x:v>
      </x:c>
      <x:c r="C783" s="10" t="str">
        <x:v>主播中心</x:v>
      </x:c>
      <x:c r="D783" s="10" t="str">
        <x:v>粉丝团设置（所属粉丝团主播视角）</x:v>
      </x:c>
      <x:c r="E783" s="10" t="str">
        <x:v>功能需求</x:v>
      </x:c>
      <x:c r="F783" s="10" t="str">
        <x:v>P1</x:v>
      </x:c>
      <x:c r="G783" s="9" t="str">
        <x:v>验证提高条件不移除现有成员</x:v>
      </x:c>
      <x:c r="H783" s="9" t="str">
        <x:v>数据保持</x:v>
      </x:c>
      <x:c r="I783" s="9" t="str">
        <x:v>1. 执行角色为所属粉丝团主播；当前处于粉丝团设置页面
2. A已入团且历史贡献10；当前门槛0</x:v>
      </x:c>
      <x:c r="J783" s="9" t="str">
        <x:v>1. 修改贡献门槛为100
2. 点击保存
3. 返回成员列表</x:v>
      </x:c>
      <x:c r="K783" s="9" t="str">
        <x:v>A仍保留团籍</x:v>
      </x:c>
      <x:c r="L783" s="10" t="str"/>
      <x:c r="M783" s="10" t="str">
        <x:v>未测</x:v>
      </x:c>
      <x:c r="N783" s="10" t="str"/>
      <x:c r="O783" s="9" t="str">
        <x:v>1. 来源（当前证据）：liveshow-proto/MainBasis/统一需求文档.md；位置：行1242、行1237
2. 规则：BR-cd98b8a981321042
3. 未动态验证</x:v>
      </x:c>
    </x:row>
    <x:row r="784" ht="85" customHeight="1">
      <x:c r="A784" s="10" t="n">
        <x:v>783</x:v>
      </x:c>
      <x:c r="B784" s="10" t="str">
        <x:v>USER-07-0121</x:v>
      </x:c>
      <x:c r="C784" s="10" t="str">
        <x:v>主播中心</x:v>
      </x:c>
      <x:c r="D784" s="10" t="str">
        <x:v>直播数据（已认证主播视角）</x:v>
      </x:c>
      <x:c r="E784" s="10" t="str">
        <x:v>功能需求</x:v>
      </x:c>
      <x:c r="F784" s="10" t="str">
        <x:v>P1</x:v>
      </x:c>
      <x:c r="G784" s="9" t="str">
        <x:v>验证数据范围仅当前主播</x:v>
      </x:c>
      <x:c r="H784" s="9" t="str">
        <x:v>统计账号数据隔离</x:v>
      </x:c>
      <x:c r="I784" s="9" t="str">
        <x:v>1. 执行角色为已认证主播；当前处于直播数据页面
2. A和B在所选日期均有直播；当前为A</x:v>
      </x:c>
      <x:c r="J784" s="9" t="str">
        <x:v>1. 查看直播数据</x:v>
      </x:c>
      <x:c r="K784" s="9" t="str">
        <x:v>仅统计主播A该范围数据</x:v>
      </x:c>
      <x:c r="L784" s="10" t="str"/>
      <x:c r="M784" s="10" t="str">
        <x:v>未测</x:v>
      </x:c>
      <x:c r="N784" s="10" t="str"/>
      <x:c r="O784" s="9" t="str">
        <x:v>1. 来源（当前证据）：liveshow-proto/MainBasis/统一需求文档.md；位置：行1256、行1248
2. 规则：BR-80b99f67a260e7b2
3. 未动态验证</x:v>
      </x:c>
    </x:row>
    <x:row r="785" ht="85" customHeight="1">
      <x:c r="A785" s="10" t="n">
        <x:v>784</x:v>
      </x:c>
      <x:c r="B785" s="10" t="str">
        <x:v>USER-07-0122</x:v>
      </x:c>
      <x:c r="C785" s="10" t="str">
        <x:v>主播中心</x:v>
      </x:c>
      <x:c r="D785" s="10" t="str">
        <x:v>直播数据（已认证主播视角）</x:v>
      </x:c>
      <x:c r="E785" s="10" t="str">
        <x:v>逻辑校验</x:v>
      </x:c>
      <x:c r="F785" s="10" t="str">
        <x:v>P0</x:v>
      </x:c>
      <x:c r="G785" s="9" t="str">
        <x:v>验证普通礼物收益一比一</x:v>
      </x:c>
      <x:c r="H785" s="9" t="str">
        <x:v>资产数值</x:v>
      </x:c>
      <x:c r="I785" s="9" t="str">
        <x:v>1. 执行角色为已认证主播；当前处于直播数据页面
2. 所选范围仅成功普通礼物100金币</x:v>
      </x:c>
      <x:c r="J785" s="9" t="str">
        <x:v>1. 查看收益</x:v>
      </x:c>
      <x:c r="K785" s="9" t="str">
        <x:v>收益为100金币</x:v>
      </x:c>
      <x:c r="L785" s="10" t="str"/>
      <x:c r="M785" s="10" t="str">
        <x:v>未测</x:v>
      </x:c>
      <x:c r="N785" s="10" t="str"/>
      <x:c r="O785" s="9" t="str">
        <x:v>1. 来源（当前证据）：liveshow-proto/MainBasis/统一需求文档.md；位置：行1250、行508、行1248
2. 规则：BR-92caad94321d1574
3. 未动态验证</x:v>
      </x:c>
    </x:row>
    <x:row r="786" ht="85" customHeight="1">
      <x:c r="A786" s="10" t="n">
        <x:v>785</x:v>
      </x:c>
      <x:c r="B786" s="10" t="str">
        <x:v>USER-07-0123</x:v>
      </x:c>
      <x:c r="C786" s="10" t="str">
        <x:v>主播中心</x:v>
      </x:c>
      <x:c r="D786" s="10" t="str">
        <x:v>直播数据（已认证主播视角）</x:v>
      </x:c>
      <x:c r="E786" s="10" t="str">
        <x:v>逻辑校验</x:v>
      </x:c>
      <x:c r="F786" s="10" t="str">
        <x:v>P1</x:v>
      </x:c>
      <x:c r="G786" s="9" t="str">
        <x:v>验证定制礼物收益一比一</x:v>
      </x:c>
      <x:c r="H786" s="9" t="str">
        <x:v>资产数值</x:v>
      </x:c>
      <x:c r="I786" s="9" t="str">
        <x:v>1. 执行角色为已认证主播；当前处于直播数据页面
2. 所选范围仅成功定制礼物100金币</x:v>
      </x:c>
      <x:c r="J786" s="9" t="str">
        <x:v>1. 查看收益</x:v>
      </x:c>
      <x:c r="K786" s="9" t="str">
        <x:v>收益为100金币</x:v>
      </x:c>
      <x:c r="L786" s="10" t="str"/>
      <x:c r="M786" s="10" t="str">
        <x:v>未测</x:v>
      </x:c>
      <x:c r="N786" s="10" t="str"/>
      <x:c r="O786" s="9" t="str">
        <x:v>1. 来源（当前证据）：liveshow-proto/MainBasis/统一需求文档.md；位置：行1250、行508、行1248
2. 规则：BR-ba210a92e5df95bd
3. 未动态验证</x:v>
      </x:c>
    </x:row>
    <x:row r="787" ht="85" customHeight="1">
      <x:c r="A787" s="10" t="n">
        <x:v>786</x:v>
      </x:c>
      <x:c r="B787" s="10" t="str">
        <x:v>USER-07-0124</x:v>
      </x:c>
      <x:c r="C787" s="10" t="str">
        <x:v>主播中心</x:v>
      </x:c>
      <x:c r="D787" s="10" t="str">
        <x:v>直播数据（已认证主播视角）</x:v>
      </x:c>
      <x:c r="E787" s="10" t="str">
        <x:v>逻辑校验</x:v>
      </x:c>
      <x:c r="F787" s="10" t="str">
        <x:v>P1</x:v>
      </x:c>
      <x:c r="G787" s="9" t="str">
        <x:v>验证门票收益一比一</x:v>
      </x:c>
      <x:c r="H787" s="9" t="str">
        <x:v>资产数值</x:v>
      </x:c>
      <x:c r="I787" s="9" t="str">
        <x:v>1. 执行角色为已认证主播；当前处于直播数据页面
2. 所选范围仅成功门票50金币</x:v>
      </x:c>
      <x:c r="J787" s="9" t="str">
        <x:v>1. 查看收益</x:v>
      </x:c>
      <x:c r="K787" s="9" t="str">
        <x:v>收益为50金币</x:v>
      </x:c>
      <x:c r="L787" s="10" t="str"/>
      <x:c r="M787" s="10" t="str">
        <x:v>未测</x:v>
      </x:c>
      <x:c r="N787" s="10" t="str"/>
      <x:c r="O787" s="9" t="str">
        <x:v>1. 来源（当前证据）：liveshow-proto/MainBasis/统一需求文档.md；位置：行1250、行508、行1248
2. 规则：BR-d4a1661eb1f33f30
3. 未动态验证</x:v>
      </x:c>
    </x:row>
    <x:row r="788" ht="85" customHeight="1">
      <x:c r="A788" s="10" t="n">
        <x:v>787</x:v>
      </x:c>
      <x:c r="B788" s="10" t="str">
        <x:v>USER-07-0125</x:v>
      </x:c>
      <x:c r="C788" s="10" t="str">
        <x:v>主播中心</x:v>
      </x:c>
      <x:c r="D788" s="10" t="str">
        <x:v>直播数据（已认证主播视角）</x:v>
      </x:c>
      <x:c r="E788" s="10" t="str">
        <x:v>逻辑校验</x:v>
      </x:c>
      <x:c r="F788" s="10" t="str">
        <x:v>P1</x:v>
      </x:c>
      <x:c r="G788" s="9" t="str">
        <x:v>验证幸运礼物收益默认比例</x:v>
      </x:c>
      <x:c r="H788" s="9" t="str">
        <x:v>资产数值</x:v>
      </x:c>
      <x:c r="I788" s="9" t="str">
        <x:v>1. 执行角色为已认证主播；当前处于直播数据页面
2. 所选范围仅幸运礼物送出价值1000金币；比例1%；送礼者已获返奖</x:v>
      </x:c>
      <x:c r="J788" s="9" t="str">
        <x:v>1. 查看收益</x:v>
      </x:c>
      <x:c r="K788" s="9" t="str">
        <x:v>收益为10金币（计算结果 = 10 金币）</x:v>
      </x:c>
      <x:c r="L788" s="10" t="str"/>
      <x:c r="M788" s="10" t="str">
        <x:v>未测</x:v>
      </x:c>
      <x:c r="N788" s="10" t="str"/>
      <x:c r="O788" s="9" t="str">
        <x:v>1. 来源（当前证据）：liveshow-proto/MainBasis/统一需求文档.md；位置：行1250、行508、行1248
2. 规则：BR-77730882ac4dd0ce
3. 未动态验证</x:v>
      </x:c>
    </x:row>
    <x:row r="789" ht="85" customHeight="1">
      <x:c r="A789" s="10" t="n">
        <x:v>788</x:v>
      </x:c>
      <x:c r="B789" s="10" t="str">
        <x:v>USER-07-0126</x:v>
      </x:c>
      <x:c r="C789" s="10" t="str">
        <x:v>主播中心</x:v>
      </x:c>
      <x:c r="D789" s="10" t="str">
        <x:v>直播数据（已认证主播视角）</x:v>
      </x:c>
      <x:c r="E789" s="10" t="str">
        <x:v>逻辑校验</x:v>
      </x:c>
      <x:c r="F789" s="10" t="str">
        <x:v>P1</x:v>
      </x:c>
      <x:c r="G789" s="9" t="str">
        <x:v>验证虚拟金币不形成主播收益</x:v>
      </x:c>
      <x:c r="H789" s="9" t="str">
        <x:v>资产数值</x:v>
      </x:c>
      <x:c r="I789" s="9" t="str">
        <x:v>1. 执行角色为已认证主播；当前处于直播数据页面
2. 所选范围仅运营账号赠送1000虚拟金币礼物</x:v>
      </x:c>
      <x:c r="J789" s="9" t="str">
        <x:v>1. 查看收益</x:v>
      </x:c>
      <x:c r="K789" s="9" t="str">
        <x:v>收益为0金币</x:v>
      </x:c>
      <x:c r="L789" s="10" t="str"/>
      <x:c r="M789" s="10" t="str">
        <x:v>未测</x:v>
      </x:c>
      <x:c r="N789" s="10" t="str"/>
      <x:c r="O789" s="9" t="str">
        <x:v>1. 来源（当前证据）：liveshow-proto/MainBasis/统一需求文档.md；位置：行1250、行510、行1248
2. 规则：BR-0637eaae706ce9df
3. 未动态验证</x:v>
      </x:c>
    </x:row>
    <x:row r="790" ht="85" customHeight="1">
      <x:c r="A790" s="10" t="n">
        <x:v>789</x:v>
      </x:c>
      <x:c r="B790" s="10" t="str">
        <x:v>USER-07-0127</x:v>
      </x:c>
      <x:c r="C790" s="10" t="str">
        <x:v>主播中心</x:v>
      </x:c>
      <x:c r="D790" s="10" t="str">
        <x:v>直播数据（已认证主播视角）</x:v>
      </x:c>
      <x:c r="E790" s="10" t="str">
        <x:v>功能需求</x:v>
      </x:c>
      <x:c r="F790" s="10" t="str">
        <x:v>P1</x:v>
      </x:c>
      <x:c r="G790" s="9" t="str">
        <x:v>验证失败或撤销不形成收益</x:v>
      </x:c>
      <x:c r="H790" s="9" t="str">
        <x:v>资产数值</x:v>
      </x:c>
      <x:c r="I790" s="9" t="str">
        <x:v>1. 执行角色为已认证主播；当前处于直播数据页面
2. 所选范围仅失败及已撤销礼物订单</x:v>
      </x:c>
      <x:c r="J790" s="9" t="str">
        <x:v>1. 查看收益</x:v>
      </x:c>
      <x:c r="K790" s="9" t="str">
        <x:v>收益为0金币</x:v>
      </x:c>
      <x:c r="L790" s="10" t="str"/>
      <x:c r="M790" s="10" t="str">
        <x:v>未测</x:v>
      </x:c>
      <x:c r="N790" s="10" t="str"/>
      <x:c r="O790" s="9" t="str">
        <x:v>1. 来源（当前证据）：liveshow-proto/MainBasis/统一需求文档.md；位置：行1250、行1248
2. 规则：BR-1051b78093b3d532
3. 未动态验证</x:v>
      </x:c>
    </x:row>
    <x:row r="791" ht="85" customHeight="1">
      <x:c r="A791" s="10" t="n">
        <x:v>790</x:v>
      </x:c>
      <x:c r="B791" s="10" t="str">
        <x:v>USER-07-0128</x:v>
      </x:c>
      <x:c r="C791" s="10" t="str">
        <x:v>主播中心</x:v>
      </x:c>
      <x:c r="D791" s="10" t="str">
        <x:v>直播数据（已认证主播视角）</x:v>
      </x:c>
      <x:c r="E791" s="10" t="str">
        <x:v>功能需求</x:v>
      </x:c>
      <x:c r="F791" s="10" t="str">
        <x:v>P1</x:v>
      </x:c>
      <x:c r="G791" s="9" t="str">
        <x:v>验证充值退款不回滚主播收益</x:v>
      </x:c>
      <x:c r="H791" s="9" t="str">
        <x:v>资产数值</x:v>
      </x:c>
      <x:c r="I791" s="9" t="str">
        <x:v>1. 执行角色为已认证主播；当前处于直播数据页面
2. 原真实送礼已成功产生100金币收益；随后原充值退款</x:v>
      </x:c>
      <x:c r="J791" s="9" t="str">
        <x:v>1. 刷新直播数据</x:v>
      </x:c>
      <x:c r="K791" s="9" t="str">
        <x:v>该笔已完成送礼的100金币收益保留</x:v>
      </x:c>
      <x:c r="L791" s="10" t="str"/>
      <x:c r="M791" s="10" t="str">
        <x:v>未测</x:v>
      </x:c>
      <x:c r="N791" s="10" t="str"/>
      <x:c r="O791" s="9" t="str">
        <x:v>1. 来源（当前证据）：liveshow-proto/MainBasis/统一需求文档.md；位置：行1255、行2033、行1248
2. 规则：BR-06dd287e3a8eb216
3. 未动态验证</x:v>
      </x:c>
    </x:row>
    <x:row r="792" ht="85" customHeight="1">
      <x:c r="A792" s="10" t="n">
        <x:v>791</x:v>
      </x:c>
      <x:c r="B792" s="10" t="str">
        <x:v>USER-07-0129</x:v>
      </x:c>
      <x:c r="C792" s="10" t="str">
        <x:v>主播中心</x:v>
      </x:c>
      <x:c r="D792" s="10" t="str">
        <x:v>直播数据（已认证主播视角）</x:v>
      </x:c>
      <x:c r="E792" s="10" t="str">
        <x:v>逻辑校验</x:v>
      </x:c>
      <x:c r="F792" s="10" t="str">
        <x:v>P1</x:v>
      </x:c>
      <x:c r="G792" s="9" t="str">
        <x:v>验证单日累计三小时计一天</x:v>
      </x:c>
      <x:c r="H792" s="9" t="str">
        <x:v>三小时时长有效天数</x:v>
      </x:c>
      <x:c r="I792" s="9" t="str">
        <x:v>1. 执行角色为已认证主播；当前处于直播数据页面
2. 同一自然日两场有效直播1小时及2小时</x:v>
      </x:c>
      <x:c r="J792" s="9" t="str">
        <x:v>1. 查看有效天</x:v>
      </x:c>
      <x:c r="K792" s="9" t="str">
        <x:v>该自然日计1个有效天</x:v>
      </x:c>
      <x:c r="L792" s="10" t="str"/>
      <x:c r="M792" s="10" t="str">
        <x:v>未测</x:v>
      </x:c>
      <x:c r="N792" s="10" t="str"/>
      <x:c r="O792" s="9" t="str">
        <x:v>1. 来源（当前证据）：liveshow-proto/MainBasis/统一需求文档.md；位置：行1251、行2029、行1248
2. 规则：BR-0169694f399573d4
3. 未动态验证</x:v>
      </x:c>
    </x:row>
    <x:row r="793" ht="85" customHeight="1">
      <x:c r="A793" s="10" t="n">
        <x:v>792</x:v>
      </x:c>
      <x:c r="B793" s="10" t="str">
        <x:v>USER-07-0130</x:v>
      </x:c>
      <x:c r="C793" s="10" t="str">
        <x:v>主播中心</x:v>
      </x:c>
      <x:c r="D793" s="10" t="str">
        <x:v>直播数据（已认证主播视角）</x:v>
      </x:c>
      <x:c r="E793" s="10" t="str">
        <x:v>功能需求</x:v>
      </x:c>
      <x:c r="F793" s="10" t="str">
        <x:v>P1</x:v>
      </x:c>
      <x:c r="G793" s="9" t="str">
        <x:v>验证单日六小时仍计一天</x:v>
      </x:c>
      <x:c r="H793" s="9" t="str">
        <x:v>单日有效天去重</x:v>
      </x:c>
      <x:c r="I793" s="9" t="str">
        <x:v>1. 执行角色为已认证主播；当前处于直播数据页面
2. 同一自然日有效直播6小时</x:v>
      </x:c>
      <x:c r="J793" s="9" t="str">
        <x:v>1. 查看有效天</x:v>
      </x:c>
      <x:c r="K793" s="9" t="str">
        <x:v>该自然日仍只计1个有效天</x:v>
      </x:c>
      <x:c r="L793" s="10" t="str"/>
      <x:c r="M793" s="10" t="str">
        <x:v>未测</x:v>
      </x:c>
      <x:c r="N793" s="10" t="str"/>
      <x:c r="O793" s="9" t="str">
        <x:v>1. 来源（当前证据）：liveshow-proto/MainBasis/统一需求文档.md；位置：行1251、行1248
2. 规则：BR-8edd1896d7eb129d
3. 未动态验证</x:v>
      </x:c>
    </x:row>
    <x:row r="794" ht="85" customHeight="1">
      <x:c r="A794" s="10" t="n">
        <x:v>793</x:v>
      </x:c>
      <x:c r="B794" s="10" t="str">
        <x:v>USER-07-0131</x:v>
      </x:c>
      <x:c r="C794" s="10" t="str">
        <x:v>主播中心</x:v>
      </x:c>
      <x:c r="D794" s="10" t="str">
        <x:v>直播数据（已认证主播视角）</x:v>
      </x:c>
      <x:c r="E794" s="10" t="str">
        <x:v>功能需求</x:v>
      </x:c>
      <x:c r="F794" s="10" t="str">
        <x:v>P1</x:v>
      </x:c>
      <x:c r="G794" s="9" t="str">
        <x:v>验证未满三小时不计有效天</x:v>
      </x:c>
      <x:c r="H794" s="9" t="str">
        <x:v>不足时长有效天数</x:v>
      </x:c>
      <x:c r="I794" s="9" t="str">
        <x:v>1. 执行角色为已认证主播；当前处于直播数据页面
2. 所选日有效直播2小时59分钟</x:v>
      </x:c>
      <x:c r="J794" s="9" t="str">
        <x:v>1. 查看有效天</x:v>
      </x:c>
      <x:c r="K794" s="9" t="str">
        <x:v>有效天为0</x:v>
      </x:c>
      <x:c r="L794" s="10" t="str"/>
      <x:c r="M794" s="10" t="str">
        <x:v>未测</x:v>
      </x:c>
      <x:c r="N794" s="10" t="str"/>
      <x:c r="O794" s="9" t="str">
        <x:v>1. 来源（当前证据）：liveshow-proto/MainBasis/统一需求文档.md；位置：行1251、行1248
2. 规则：BR-0f0a3e57ff5915b6
3. 未动态验证</x:v>
      </x:c>
    </x:row>
    <x:row r="795" ht="85" customHeight="1">
      <x:c r="A795" s="10" t="n">
        <x:v>794</x:v>
      </x:c>
      <x:c r="B795" s="10" t="str">
        <x:v>USER-07-0132</x:v>
      </x:c>
      <x:c r="C795" s="10" t="str">
        <x:v>主播中心</x:v>
      </x:c>
      <x:c r="D795" s="10" t="str">
        <x:v>直播数据（已认证主播视角）</x:v>
      </x:c>
      <x:c r="E795" s="10" t="str">
        <x:v>功能需求</x:v>
      </x:c>
      <x:c r="F795" s="10" t="str">
        <x:v>P2</x:v>
      </x:c>
      <x:c r="G795" s="9" t="str">
        <x:v>验证月数据默认月份</x:v>
      </x:c>
      <x:c r="H795" s="9" t="str">
        <x:v>月度统计初始月份</x:v>
      </x:c>
      <x:c r="I795" s="9" t="str">
        <x:v>1. 执行角色为已认证主播；当前处于直播数据页面</x:v>
      </x:c>
      <x:c r="J795" s="9" t="str">
        <x:v>1. 切换月数据</x:v>
      </x:c>
      <x:c r="K795" s="9" t="str">
        <x:v>默认当前自然月</x:v>
      </x:c>
      <x:c r="L795" s="10" t="str"/>
      <x:c r="M795" s="10" t="str">
        <x:v>未测</x:v>
      </x:c>
      <x:c r="N795" s="10" t="str"/>
      <x:c r="O795" s="9" t="str">
        <x:v>1. 来源（当前证据）：liveshow-proto/MainBasis/统一需求文档.md；位置：行2027、行1248
2. 规则：BR-dca59f733908ccd5
3. 未动态验证</x:v>
      </x:c>
    </x:row>
    <x:row r="796" ht="85" customHeight="1">
      <x:c r="A796" s="10" t="n">
        <x:v>795</x:v>
      </x:c>
      <x:c r="B796" s="10" t="str">
        <x:v>USER-07-0133</x:v>
      </x:c>
      <x:c r="C796" s="10" t="str">
        <x:v>主播中心</x:v>
      </x:c>
      <x:c r="D796" s="10" t="str">
        <x:v>直播数据（已认证主播视角）</x:v>
      </x:c>
      <x:c r="E796" s="10" t="str">
        <x:v>功能需求</x:v>
      </x:c>
      <x:c r="F796" s="10" t="str">
        <x:v>P1</x:v>
      </x:c>
      <x:c r="G796" s="9" t="str">
        <x:v>验证无数据月归零</x:v>
      </x:c>
      <x:c r="H796" s="9" t="str">
        <x:v>空月统计值归零</x:v>
      </x:c>
      <x:c r="I796" s="9" t="str">
        <x:v>1. 执行角色为已认证主播；当前处于直播数据页面
2. 上一月有数据；目标历史月无数据</x:v>
      </x:c>
      <x:c r="J796" s="9" t="str">
        <x:v>1. 选择无数据月份</x:v>
      </x:c>
      <x:c r="K796" s="9" t="str">
        <x:v>全部指标显示0，不沿用上一月</x:v>
      </x:c>
      <x:c r="L796" s="10" t="str"/>
      <x:c r="M796" s="10" t="str">
        <x:v>未测</x:v>
      </x:c>
      <x:c r="N796" s="10" t="str"/>
      <x:c r="O796" s="9" t="str">
        <x:v>1. 来源（当前证据）：liveshow-proto/MainBasis/统一需求文档.md；位置：行2035、行1248
2. 规则：BR-d721c8f72a255362
3. 未动态验证</x:v>
      </x:c>
    </x:row>
    <x:row r="797" ht="85" customHeight="1">
      <x:c r="A797" s="10" t="n">
        <x:v>796</x:v>
      </x:c>
      <x:c r="B797" s="10" t="str">
        <x:v>USER-07-0134</x:v>
      </x:c>
      <x:c r="C797" s="10" t="str">
        <x:v>主播中心</x:v>
      </x:c>
      <x:c r="D797" s="10" t="str">
        <x:v>直播数据（已认证主播视角）</x:v>
      </x:c>
      <x:c r="E797" s="10" t="str">
        <x:v>功能需求</x:v>
      </x:c>
      <x:c r="F797" s="10" t="str">
        <x:v>P2</x:v>
      </x:c>
      <x:c r="G797" s="9" t="str">
        <x:v>验证直播记录继承日期范围</x:v>
      </x:c>
      <x:c r="H797" s="9" t="str">
        <x:v>数据保持</x:v>
      </x:c>
      <x:c r="I797" s="9" t="str">
        <x:v>1. 执行角色为已认证主播；当前处于直播数据页面
2. 当前数据页选定9月1日至9月15日</x:v>
      </x:c>
      <x:c r="J797" s="9" t="str">
        <x:v>1. 进入直播记录</x:v>
      </x:c>
      <x:c r="K797" s="9" t="str">
        <x:v>记录页保留当前日期范围</x:v>
      </x:c>
      <x:c r="L797" s="10" t="str"/>
      <x:c r="M797" s="10" t="str">
        <x:v>未测</x:v>
      </x:c>
      <x:c r="N797" s="10" t="str"/>
      <x:c r="O797" s="9" t="str">
        <x:v>1. 来源（当前证据）：liveshow-proto/MainBasis/统一需求文档.md；位置：行1257、行1248
2. 规则：BR-b0044b9fabc232ca
3. 未动态验证</x:v>
      </x:c>
    </x:row>
    <x:row r="798" ht="85" customHeight="1">
      <x:c r="A798" s="10" t="n">
        <x:v>797</x:v>
      </x:c>
      <x:c r="B798" s="10" t="str">
        <x:v>USER-07-0135</x:v>
      </x:c>
      <x:c r="C798" s="10" t="str">
        <x:v>主播中心</x:v>
      </x:c>
      <x:c r="D798" s="10" t="str">
        <x:v>直播记录（已认证主播视角）</x:v>
      </x:c>
      <x:c r="E798" s="10" t="str">
        <x:v>功能需求</x:v>
      </x:c>
      <x:c r="F798" s="10" t="str">
        <x:v>P2</x:v>
      </x:c>
      <x:c r="G798" s="9" t="str">
        <x:v>验证默认近七天</x:v>
      </x:c>
      <x:c r="H798" s="9" t="str">
        <x:v>直播记录初始范围</x:v>
      </x:c>
      <x:c r="I798" s="9" t="str">
        <x:v>1. 执行角色为已认证主播；当前处于直播记录页面</x:v>
      </x:c>
      <x:c r="J798" s="9" t="str">
        <x:v>1. 查看日期筛选</x:v>
      </x:c>
      <x:c r="K798" s="9" t="str">
        <x:v>默认近7天</x:v>
      </x:c>
      <x:c r="L798" s="10" t="str"/>
      <x:c r="M798" s="10" t="str">
        <x:v>未测</x:v>
      </x:c>
      <x:c r="N798" s="10" t="str"/>
      <x:c r="O798" s="9" t="str">
        <x:v>1. 来源（当前证据）：liveshow-proto/MainBasis/统一需求文档.md；位置：行1271、行1273、行1260
2. 规则：BR-e2cfc65131316cf3
3. 未动态验证</x:v>
      </x:c>
    </x:row>
    <x:row r="799" ht="85" customHeight="1">
      <x:c r="A799" s="10" t="n">
        <x:v>798</x:v>
      </x:c>
      <x:c r="B799" s="10" t="str">
        <x:v>USER-07-0136</x:v>
      </x:c>
      <x:c r="C799" s="10" t="str">
        <x:v>主播中心</x:v>
      </x:c>
      <x:c r="D799" s="10" t="str">
        <x:v>直播记录（已认证主播视角）</x:v>
      </x:c>
      <x:c r="E799" s="10" t="str">
        <x:v>功能需求</x:v>
      </x:c>
      <x:c r="F799" s="10" t="str">
        <x:v>P1</x:v>
      </x:c>
      <x:c r="G799" s="9" t="str">
        <x:v>验证直播中记录无结束时间</x:v>
      </x:c>
      <x:c r="H799" s="9" t="str">
        <x:v>在播记录结束时间</x:v>
      </x:c>
      <x:c r="I799" s="9" t="str">
        <x:v>1. 执行角色为已认证主播；当前处于直播记录页面
2. 当前有已实际开始且未结束场次</x:v>
      </x:c>
      <x:c r="J799" s="9" t="str">
        <x:v>1. 查看该场次</x:v>
      </x:c>
      <x:c r="K799" s="9" t="str">
        <x:v>结束时间为空</x:v>
      </x:c>
      <x:c r="L799" s="10" t="str"/>
      <x:c r="M799" s="10" t="str">
        <x:v>未测</x:v>
      </x:c>
      <x:c r="N799" s="10" t="str"/>
      <x:c r="O799" s="9" t="str">
        <x:v>1. 来源（当前证据）：liveshow-proto/MainBasis/统一需求文档.md；位置：行1263、行1260
2. 规则：BR-edd0798ea9ade45b
3. 未动态验证</x:v>
      </x:c>
    </x:row>
    <x:row r="800" ht="85" customHeight="1">
      <x:c r="A800" s="10" t="n">
        <x:v>799</x:v>
      </x:c>
      <x:c r="B800" s="10" t="str">
        <x:v>USER-07-0137</x:v>
      </x:c>
      <x:c r="C800" s="10" t="str">
        <x:v>主播中心</x:v>
      </x:c>
      <x:c r="D800" s="10" t="str">
        <x:v>直播记录（已认证主播视角）</x:v>
      </x:c>
      <x:c r="E800" s="10" t="str">
        <x:v>功能需求</x:v>
      </x:c>
      <x:c r="F800" s="10" t="str">
        <x:v>P1</x:v>
      </x:c>
      <x:c r="G800" s="9" t="str">
        <x:v>验证历史场次配置快照</x:v>
      </x:c>
      <x:c r="H800" s="9" t="str">
        <x:v>历史场次配置保持</x:v>
      </x:c>
      <x:c r="I800" s="9" t="str">
        <x:v>1. 执行角色为已认证主播；当前处于直播记录页面
2. 场次结束后当前标题封面分类房型已修改</x:v>
      </x:c>
      <x:c r="J800" s="9" t="str">
        <x:v>1. 查看已结束场次</x:v>
      </x:c>
      <x:c r="K800" s="9" t="str">
        <x:v>仍展示该场次开播时的配置快照</x:v>
      </x:c>
      <x:c r="L800" s="10" t="str"/>
      <x:c r="M800" s="10" t="str">
        <x:v>未测</x:v>
      </x:c>
      <x:c r="N800" s="10" t="str"/>
      <x:c r="O800" s="9" t="str">
        <x:v>1. 来源（当前证据）：liveshow-proto/MainBasis/统一需求文档.md；位置：行1262、行1266、行1260
2. 规则：BR-2da8e35ec8631abc
3. 未动态验证</x:v>
      </x:c>
    </x:row>
    <x:row r="801" ht="85" customHeight="1">
      <x:c r="A801" s="10" t="n">
        <x:v>800</x:v>
      </x:c>
      <x:c r="B801" s="10" t="str">
        <x:v>USER-07-0138</x:v>
      </x:c>
      <x:c r="C801" s="10" t="str">
        <x:v>主播中心</x:v>
      </x:c>
      <x:c r="D801" s="10" t="str">
        <x:v>直播记录（已认证主播视角）</x:v>
      </x:c>
      <x:c r="E801" s="10" t="str">
        <x:v>功能需求</x:v>
      </x:c>
      <x:c r="F801" s="10" t="str">
        <x:v>P1</x:v>
      </x:c>
      <x:c r="G801" s="9" t="str">
        <x:v>验证未实际开始不计场次</x:v>
      </x:c>
      <x:c r="H801" s="9" t="str">
        <x:v>实际开播场次数</x:v>
      </x:c>
      <x:c r="I801" s="9" t="str">
        <x:v>1. 执行角色为已认证主播；当前处于直播记录页面
2. 一条已创建但未实际开始记录及两场已实际开始记录</x:v>
      </x:c>
      <x:c r="J801" s="9" t="str">
        <x:v>1. 查看场次汇总</x:v>
      </x:c>
      <x:c r="K801" s="9" t="str">
        <x:v>只统计2场已实际开始直播</x:v>
      </x:c>
      <x:c r="L801" s="10" t="str"/>
      <x:c r="M801" s="10" t="str">
        <x:v>未测</x:v>
      </x:c>
      <x:c r="N801" s="10" t="str"/>
      <x:c r="O801" s="9" t="str">
        <x:v>1. 来源（当前证据）：liveshow-proto/MainBasis/统一需求文档.md；位置：行1268、行1260
2. 规则：BR-a4f9ed8cb420b3f1
3. 未动态验证</x:v>
      </x:c>
    </x:row>
    <x:row r="802" ht="85" customHeight="1">
      <x:c r="A802" s="10" t="n">
        <x:v>801</x:v>
      </x:c>
      <x:c r="B802" s="10" t="str">
        <x:v>USER-07-0139</x:v>
      </x:c>
      <x:c r="C802" s="10" t="str">
        <x:v>主播中心</x:v>
      </x:c>
      <x:c r="D802" s="10" t="str">
        <x:v>直播记录（已认证主播视角）</x:v>
      </x:c>
      <x:c r="E802" s="10" t="str">
        <x:v>功能需求</x:v>
      </x:c>
      <x:c r="F802" s="10" t="str">
        <x:v>P2</x:v>
      </x:c>
      <x:c r="G802" s="9" t="str">
        <x:v>验证场次按开播倒序</x:v>
      </x:c>
      <x:c r="H802" s="9" t="str">
        <x:v>排列次序</x:v>
      </x:c>
      <x:c r="I802" s="9" t="str">
        <x:v>1. 执行角色为已认证主播；当前处于直播记录页面
2. 有10:00及12:00开播记录</x:v>
      </x:c>
      <x:c r="J802" s="9" t="str">
        <x:v>1. 查看场次顺序</x:v>
      </x:c>
      <x:c r="K802" s="9" t="str">
        <x:v>12:00开播记录在前</x:v>
      </x:c>
      <x:c r="L802" s="10" t="str"/>
      <x:c r="M802" s="10" t="str">
        <x:v>未测</x:v>
      </x:c>
      <x:c r="N802" s="10" t="str"/>
      <x:c r="O802" s="9" t="str">
        <x:v>1. 来源（当前证据）：liveshow-proto/MainBasis/统一需求文档.md；位置：行1272、行1260
2. 规则：BR-8439480fc367ea59
3. 未动态验证</x:v>
      </x:c>
    </x:row>
    <x:row r="803" ht="85" customHeight="1">
      <x:c r="A803" s="10" t="n">
        <x:v>802</x:v>
      </x:c>
      <x:c r="B803" s="10" t="str">
        <x:v>USER-07-0140</x:v>
      </x:c>
      <x:c r="C803" s="10" t="str">
        <x:v>主播中心</x:v>
      </x:c>
      <x:c r="D803" s="10" t="str">
        <x:v>直播记录（已认证主播视角）</x:v>
      </x:c>
      <x:c r="E803" s="10" t="str">
        <x:v>功能需求</x:v>
      </x:c>
      <x:c r="F803" s="10" t="str">
        <x:v>P2</x:v>
      </x:c>
      <x:c r="G803" s="9" t="str">
        <x:v>验证单场数据入口</x:v>
      </x:c>
      <x:c r="H803" s="9" t="str">
        <x:v>单场数据跳转对象</x:v>
      </x:c>
      <x:c r="I803" s="9" t="str">
        <x:v>1. 执行角色为已认证主播；当前处于直播记录页面
2. 有当前主播场次A</x:v>
      </x:c>
      <x:c r="J803" s="9" t="str">
        <x:v>1. 点击场次A</x:v>
      </x:c>
      <x:c r="K803" s="9" t="str">
        <x:v>查看A的场次数据和礼物明细</x:v>
      </x:c>
      <x:c r="L803" s="10" t="str"/>
      <x:c r="M803" s="10" t="str">
        <x:v>未测</x:v>
      </x:c>
      <x:c r="N803" s="10" t="str"/>
      <x:c r="O803" s="9" t="str">
        <x:v>1. 来源（当前证据）：liveshow-proto/MainBasis/统一需求文档.md；位置：行1275、行1260
2. 规则：BR-08005f5b2c2ad425
3. 未动态验证</x:v>
      </x:c>
    </x:row>
    <x:row r="804" ht="85" customHeight="1">
      <x:c r="A804" s="10" t="n">
        <x:v>803</x:v>
      </x:c>
      <x:c r="B804" s="10" t="str">
        <x:v>USER-07-0141</x:v>
      </x:c>
      <x:c r="C804" s="10" t="str">
        <x:v>主播中心</x:v>
      </x:c>
      <x:c r="D804" s="10" t="str">
        <x:v>直播记录（已认证主播视角）</x:v>
      </x:c>
      <x:c r="E804" s="10" t="str">
        <x:v>功能需求</x:v>
      </x:c>
      <x:c r="F804" s="10" t="str">
        <x:v>P2</x:v>
      </x:c>
      <x:c r="G804" s="9" t="str">
        <x:v>验证开播日期格式</x:v>
      </x:c>
      <x:c r="H804" s="9" t="str">
        <x:v>开播时间显示格式</x:v>
      </x:c>
      <x:c r="I804" s="9" t="str">
        <x:v>1. 执行角色为已认证主播；当前处于直播记录页面
2. 服务端开播时间为2026年9月15日14:30</x:v>
      </x:c>
      <x:c r="J804" s="9" t="str">
        <x:v>1. 查看开播时间</x:v>
      </x:c>
      <x:c r="K804" s="9" t="str">
        <x:v>显示15/09/2026 14.30</x:v>
      </x:c>
      <x:c r="L804" s="10" t="str"/>
      <x:c r="M804" s="10" t="str">
        <x:v>未测</x:v>
      </x:c>
      <x:c r="N804" s="10" t="str"/>
      <x:c r="O804" s="9" t="str">
        <x:v>1. 来源（当前证据）：liveshow-proto/MainBasis/统一需求文档.md；位置：行1270、行1260
2. 规则：BR-59f1f1bc231e0235
3. 未动态验证</x:v>
      </x:c>
    </x:row>
    <x:row r="805" ht="85" customHeight="1">
      <x:c r="A805" s="10" t="n">
        <x:v>804</x:v>
      </x:c>
      <x:c r="B805" s="10" t="str">
        <x:v>USER-07-0142</x:v>
      </x:c>
      <x:c r="C805" s="10" t="str">
        <x:v>主播中心</x:v>
      </x:c>
      <x:c r="D805" s="10" t="str">
        <x:v>直播记录（已认证主播视角）</x:v>
      </x:c>
      <x:c r="E805" s="10" t="str">
        <x:v>功能需求</x:v>
      </x:c>
      <x:c r="F805" s="10" t="str">
        <x:v>P2</x:v>
      </x:c>
      <x:c r="G805" s="9" t="str">
        <x:v>验证记录筛选本周</x:v>
      </x:c>
      <x:c r="H805" s="9" t="str">
        <x:v>本周直播记录范围</x:v>
      </x:c>
      <x:c r="I805" s="9" t="str">
        <x:v>1. 执行角色为已认证主播；当前处于直播记录页面
2. 本周有已知测试直播数据</x:v>
      </x:c>
      <x:c r="J805" s="9" t="str">
        <x:v>1. 选择本周</x:v>
      </x:c>
      <x:c r="K805" s="9" t="str">
        <x:v>场次列表和汇总指标同步按所选日期更新</x:v>
      </x:c>
      <x:c r="L805" s="10" t="str"/>
      <x:c r="M805" s="10" t="str">
        <x:v>未测</x:v>
      </x:c>
      <x:c r="N805" s="10" t="str"/>
      <x:c r="O805" s="9" t="str">
        <x:v>1. 来源（当前证据）：liveshow-proto/MainBasis/统一需求文档.md；位置：行1273、行1274、行1260
2. 规则：BR-8c3e72ab934cef12
3. 未动态验证</x:v>
      </x:c>
    </x:row>
    <x:row r="806" ht="85" customHeight="1">
      <x:c r="A806" s="10" t="n">
        <x:v>805</x:v>
      </x:c>
      <x:c r="B806" s="10" t="str">
        <x:v>USER-07-0143</x:v>
      </x:c>
      <x:c r="C806" s="10" t="str">
        <x:v>主播中心</x:v>
      </x:c>
      <x:c r="D806" s="10" t="str">
        <x:v>直播记录（已认证主播视角）</x:v>
      </x:c>
      <x:c r="E806" s="10" t="str">
        <x:v>功能需求</x:v>
      </x:c>
      <x:c r="F806" s="10" t="str">
        <x:v>P2</x:v>
      </x:c>
      <x:c r="G806" s="9" t="str">
        <x:v>验证记录筛选本月</x:v>
      </x:c>
      <x:c r="H806" s="9" t="str">
        <x:v>本月直播记录范围</x:v>
      </x:c>
      <x:c r="I806" s="9" t="str">
        <x:v>1. 执行角色为已认证主播；当前处于直播记录页面
2. 本月有已知测试直播数据</x:v>
      </x:c>
      <x:c r="J806" s="9" t="str">
        <x:v>1. 选择本月</x:v>
      </x:c>
      <x:c r="K806" s="9" t="str">
        <x:v>场次列表和汇总指标同步按所选日期更新</x:v>
      </x:c>
      <x:c r="L806" s="10" t="str"/>
      <x:c r="M806" s="10" t="str">
        <x:v>未测</x:v>
      </x:c>
      <x:c r="N806" s="10" t="str"/>
      <x:c r="O806" s="9" t="str">
        <x:v>1. 来源（当前证据）：liveshow-proto/MainBasis/统一需求文档.md；位置：行1273、行1274、行1260
2. 规则：BR-377eece2ac8494b0
3. 未动态验证</x:v>
      </x:c>
    </x:row>
    <x:row r="807" ht="85" customHeight="1">
      <x:c r="A807" s="10" t="n">
        <x:v>806</x:v>
      </x:c>
      <x:c r="B807" s="10" t="str">
        <x:v>USER-07-0144</x:v>
      </x:c>
      <x:c r="C807" s="10" t="str">
        <x:v>主播中心</x:v>
      </x:c>
      <x:c r="D807" s="10" t="str">
        <x:v>直播记录（已认证主播视角）</x:v>
      </x:c>
      <x:c r="E807" s="10" t="str">
        <x:v>功能需求</x:v>
      </x:c>
      <x:c r="F807" s="10" t="str">
        <x:v>P2</x:v>
      </x:c>
      <x:c r="G807" s="9" t="str">
        <x:v>验证记录筛选上月</x:v>
      </x:c>
      <x:c r="H807" s="9" t="str">
        <x:v>上月直播记录范围</x:v>
      </x:c>
      <x:c r="I807" s="9" t="str">
        <x:v>1. 执行角色为已认证主播；当前处于直播记录页面
2. 上月有已知测试直播数据</x:v>
      </x:c>
      <x:c r="J807" s="9" t="str">
        <x:v>1. 选择上月</x:v>
      </x:c>
      <x:c r="K807" s="9" t="str">
        <x:v>场次列表和汇总指标同步按所选日期更新</x:v>
      </x:c>
      <x:c r="L807" s="10" t="str"/>
      <x:c r="M807" s="10" t="str">
        <x:v>未测</x:v>
      </x:c>
      <x:c r="N807" s="10" t="str"/>
      <x:c r="O807" s="9" t="str">
        <x:v>1. 来源（当前证据）：liveshow-proto/MainBasis/统一需求文档.md；位置：行1273、行1274、行1260
2. 规则：BR-7435036dc6b5a019
3. 未动态验证</x:v>
      </x:c>
    </x:row>
    <x:row r="808" ht="85" customHeight="1">
      <x:c r="A808" s="10" t="n">
        <x:v>807</x:v>
      </x:c>
      <x:c r="B808" s="10" t="str">
        <x:v>USER-07-0145</x:v>
      </x:c>
      <x:c r="C808" s="10" t="str">
        <x:v>主播中心</x:v>
      </x:c>
      <x:c r="D808" s="10" t="str">
        <x:v>直播记录（已认证主播视角）</x:v>
      </x:c>
      <x:c r="E808" s="10" t="str">
        <x:v>功能需求</x:v>
      </x:c>
      <x:c r="F808" s="10" t="str">
        <x:v>P2</x:v>
      </x:c>
      <x:c r="G808" s="9" t="str">
        <x:v>验证记录筛选单日</x:v>
      </x:c>
      <x:c r="H808" s="9" t="str">
        <x:v>单日直播记录范围</x:v>
      </x:c>
      <x:c r="I808" s="9" t="str">
        <x:v>1. 执行角色为已认证主播；当前处于直播记录页面
2. 单日有已知测试直播数据</x:v>
      </x:c>
      <x:c r="J808" s="9" t="str">
        <x:v>1. 选择单日</x:v>
      </x:c>
      <x:c r="K808" s="9" t="str">
        <x:v>场次列表和汇总指标同步按所选日期更新</x:v>
      </x:c>
      <x:c r="L808" s="10" t="str"/>
      <x:c r="M808" s="10" t="str">
        <x:v>未测</x:v>
      </x:c>
      <x:c r="N808" s="10" t="str"/>
      <x:c r="O808" s="9" t="str">
        <x:v>1. 来源（当前证据）：liveshow-proto/MainBasis/统一需求文档.md；位置：行1273、行1274、行1260
2. 规则：BR-3625854e0076fa07
3. 未动态验证</x:v>
      </x:c>
    </x:row>
    <x:row r="809" ht="85" customHeight="1">
      <x:c r="A809" s="10" t="n">
        <x:v>808</x:v>
      </x:c>
      <x:c r="B809" s="10" t="str">
        <x:v>USER-07-0146</x:v>
      </x:c>
      <x:c r="C809" s="10" t="str">
        <x:v>主播中心</x:v>
      </x:c>
      <x:c r="D809" s="10" t="str">
        <x:v>直播记录（已认证主播视角）</x:v>
      </x:c>
      <x:c r="E809" s="10" t="str">
        <x:v>功能需求</x:v>
      </x:c>
      <x:c r="F809" s="10" t="str">
        <x:v>P2</x:v>
      </x:c>
      <x:c r="G809" s="9" t="str">
        <x:v>验证记录筛选连续日期范围</x:v>
      </x:c>
      <x:c r="H809" s="9" t="str">
        <x:v>自选日期直播记录范围</x:v>
      </x:c>
      <x:c r="I809" s="9" t="str">
        <x:v>1. 执行角色为已认证主播；当前处于直播记录页面
2. 连续日期范围有已知测试直播数据</x:v>
      </x:c>
      <x:c r="J809" s="9" t="str">
        <x:v>1. 选择连续日期范围</x:v>
      </x:c>
      <x:c r="K809" s="9" t="str">
        <x:v>场次列表和汇总指标同步按所选日期更新</x:v>
      </x:c>
      <x:c r="L809" s="10" t="str"/>
      <x:c r="M809" s="10" t="str">
        <x:v>未测</x:v>
      </x:c>
      <x:c r="N809" s="10" t="str"/>
      <x:c r="O809" s="9" t="str">
        <x:v>1. 来源（当前证据）：liveshow-proto/MainBasis/统一需求文档.md；位置：行1273、行1274、行1260
2. 规则：BR-a5bdb490a0211678
3. 未动态验证</x:v>
      </x:c>
    </x:row>
    <x:row r="810" ht="85" customHeight="1">
      <x:c r="A810" s="10" t="n">
        <x:v>809</x:v>
      </x:c>
      <x:c r="B810" s="10" t="str">
        <x:v>USER-07-0147</x:v>
      </x:c>
      <x:c r="C810" s="10" t="str">
        <x:v>主播中心</x:v>
      </x:c>
      <x:c r="D810" s="10" t="str">
        <x:v>分成记录（已认证主播视角）</x:v>
      </x:c>
      <x:c r="E810" s="10" t="str">
        <x:v>功能需求</x:v>
      </x:c>
      <x:c r="F810" s="10" t="str">
        <x:v>P1</x:v>
      </x:c>
      <x:c r="G810" s="9" t="str">
        <x:v>验证分成仅本人上传结果</x:v>
      </x:c>
      <x:c r="H810" s="9" t="str">
        <x:v>已上传分成账号隔离</x:v>
      </x:c>
      <x:c r="I810" s="9" t="str">
        <x:v>1. 执行角色为已认证主播；当前处于分成记录页面
2. 本主播和其他主播均有已上传结果</x:v>
      </x:c>
      <x:c r="J810" s="9" t="str">
        <x:v>1. 查看分成记录</x:v>
      </x:c>
      <x:c r="K810" s="9" t="str">
        <x:v>只展示本主播已上传分成结果</x:v>
      </x:c>
      <x:c r="L810" s="10" t="str"/>
      <x:c r="M810" s="10" t="str">
        <x:v>未测</x:v>
      </x:c>
      <x:c r="N810" s="10" t="str"/>
      <x:c r="O810" s="9" t="str">
        <x:v>1. 来源（当前证据）：liveshow-proto/MainBasis/统一需求文档.md；位置：行1285、行1278
2. 规则：BR-cb575c62d2e95fd5
3. 未动态验证</x:v>
      </x:c>
    </x:row>
    <x:row r="811" ht="85" customHeight="1">
      <x:c r="A811" s="10" t="n">
        <x:v>810</x:v>
      </x:c>
      <x:c r="B811" s="10" t="str">
        <x:v>USER-07-0148</x:v>
      </x:c>
      <x:c r="C811" s="10" t="str">
        <x:v>主播中心</x:v>
      </x:c>
      <x:c r="D811" s="10" t="str">
        <x:v>分成记录（已认证主播视角）</x:v>
      </x:c>
      <x:c r="E811" s="10" t="str">
        <x:v>功能需求</x:v>
      </x:c>
      <x:c r="F811" s="10" t="str">
        <x:v>P1</x:v>
      </x:c>
      <x:c r="G811" s="9" t="str">
        <x:v>验证分成金额印尼格式</x:v>
      </x:c>
      <x:c r="H811" s="9" t="str">
        <x:v>美元分成金额格式</x:v>
      </x:c>
      <x:c r="I811" s="9" t="str">
        <x:v>1. 执行角色为已认证主播；当前处于分成记录页面
2. 财务上传本笔最终金额1234.56美元</x:v>
      </x:c>
      <x:c r="J811" s="9" t="str">
        <x:v>1. 查看分成金额</x:v>
      </x:c>
      <x:c r="K811" s="9" t="str">
        <x:v>金额以美元显示1.234,56</x:v>
      </x:c>
      <x:c r="L811" s="10" t="str"/>
      <x:c r="M811" s="10" t="str">
        <x:v>未测</x:v>
      </x:c>
      <x:c r="N811" s="10" t="str"/>
      <x:c r="O811" s="9" t="str">
        <x:v>1. 来源（当前证据）：liveshow-proto/MainBasis/统一需求文档.md；位置：行1281、行1284、行1278
2. 规则：BR-268ece8aa7c181b1
3. 未动态验证</x:v>
      </x:c>
    </x:row>
    <x:row r="812" ht="85" customHeight="1">
      <x:c r="A812" s="10" t="n">
        <x:v>811</x:v>
      </x:c>
      <x:c r="B812" s="10" t="str">
        <x:v>USER-07-0149</x:v>
      </x:c>
      <x:c r="C812" s="10" t="str">
        <x:v>主播中心</x:v>
      </x:c>
      <x:c r="D812" s="10" t="str">
        <x:v>分成记录（已认证主播视角）</x:v>
      </x:c>
      <x:c r="E812" s="10" t="str">
        <x:v>功能需求</x:v>
      </x:c>
      <x:c r="F812" s="10" t="str">
        <x:v>P2</x:v>
      </x:c>
      <x:c r="G812" s="9" t="str">
        <x:v>验证分成日期倒序</x:v>
      </x:c>
      <x:c r="H812" s="9" t="str">
        <x:v>排列次序</x:v>
      </x:c>
      <x:c r="I812" s="9" t="str">
        <x:v>1. 执行角色为已认证主播；当前处于分成记录页面
2. 分成日期9月14日及9月15日两条</x:v>
      </x:c>
      <x:c r="J812" s="9" t="str">
        <x:v>1. 查看分成记录顺序</x:v>
      </x:c>
      <x:c r="K812" s="9" t="str">
        <x:v>9月15日在前</x:v>
      </x:c>
      <x:c r="L812" s="10" t="str"/>
      <x:c r="M812" s="10" t="str">
        <x:v>未测</x:v>
      </x:c>
      <x:c r="N812" s="10" t="str"/>
      <x:c r="O812" s="9" t="str">
        <x:v>1. 来源（当前证据）：liveshow-proto/MainBasis/统一需求文档.md；位置：行1285、行1278
2. 规则：BR-2f6a8675e6690d89
3. 未动态验证</x:v>
      </x:c>
    </x:row>
    <x:row r="813" ht="85" customHeight="1">
      <x:c r="A813" s="10" t="n">
        <x:v>812</x:v>
      </x:c>
      <x:c r="B813" s="10" t="str">
        <x:v>USER-07-0150</x:v>
      </x:c>
      <x:c r="C813" s="10" t="str">
        <x:v>主播中心</x:v>
      </x:c>
      <x:c r="D813" s="10" t="str">
        <x:v>分成记录（已认证主播视角）</x:v>
      </x:c>
      <x:c r="E813" s="10" t="str">
        <x:v>功能需求</x:v>
      </x:c>
      <x:c r="F813" s="10" t="str">
        <x:v>P1</x:v>
      </x:c>
      <x:c r="G813" s="9" t="str">
        <x:v>验证无线上结算申请审批</x:v>
      </x:c>
      <x:c r="H813" s="9" t="str">
        <x:v>分成申请审批入口</x:v>
      </x:c>
      <x:c r="I813" s="9" t="str">
        <x:v>1. 执行角色为已认证主播；当前处于分成记录页面</x:v>
      </x:c>
      <x:c r="J813" s="9" t="str">
        <x:v>1. 查看分成页面操作</x:v>
      </x:c>
      <x:c r="K813" s="9" t="str">
        <x:v>只读展示上传结果，无申请或审批入口</x:v>
      </x:c>
      <x:c r="L813" s="10" t="str"/>
      <x:c r="M813" s="10" t="str">
        <x:v>未测</x:v>
      </x:c>
      <x:c r="N813" s="10" t="str"/>
      <x:c r="O813" s="9" t="str">
        <x:v>1. 来源（当前证据）：liveshow-proto/MainBasis/统一需求文档.md；位置：行1282、行509、行1278
2. 规则：BR-4f3cb703be2491de
3. 未动态验证</x:v>
      </x:c>
    </x:row>
    <x:row r="814" ht="85" customHeight="1">
      <x:c r="A814" s="10" t="n">
        <x:v>813</x:v>
      </x:c>
      <x:c r="B814" s="10" t="str">
        <x:v>USER-07-0151</x:v>
      </x:c>
      <x:c r="C814" s="10" t="str">
        <x:v>主播中心</x:v>
      </x:c>
      <x:c r="D814" s="10" t="str">
        <x:v>分成记录（已认证主播视角）</x:v>
      </x:c>
      <x:c r="E814" s="10" t="str">
        <x:v>功能需求</x:v>
      </x:c>
      <x:c r="F814" s="10" t="str">
        <x:v>P2</x:v>
      </x:c>
      <x:c r="G814" s="9" t="str">
        <x:v>验证分成返回主播中心</x:v>
      </x:c>
      <x:c r="H814" s="9" t="str">
        <x:v>主播中心返回去向</x:v>
      </x:c>
      <x:c r="I814" s="9" t="str">
        <x:v>1. 执行角色为已认证主播；当前处于分成记录页面</x:v>
      </x:c>
      <x:c r="J814" s="9" t="str">
        <x:v>1. 点击返回</x:v>
      </x:c>
      <x:c r="K814" s="9" t="str">
        <x:v>回到主播中心</x:v>
      </x:c>
      <x:c r="L814" s="10" t="str"/>
      <x:c r="M814" s="10" t="str">
        <x:v>未测</x:v>
      </x:c>
      <x:c r="N814" s="10" t="str"/>
      <x:c r="O814" s="9" t="str">
        <x:v>1. 来源（当前证据）：liveshow-proto/MainBasis/统一需求文档.md；位置：行1287、行1278
2. 规则：BR-962d5ffbe1ce735d
3. 未动态验证</x:v>
      </x:c>
    </x:row>
    <x:row r="815" ht="85" customHeight="1">
      <x:c r="A815" s="10" t="n">
        <x:v>814</x:v>
      </x:c>
      <x:c r="B815" s="10" t="str">
        <x:v>USER-03-0006</x:v>
      </x:c>
      <x:c r="C815" s="10" t="str">
        <x:v>直播</x:v>
      </x:c>
      <x:c r="D815" s="10" t="str">
        <x:v>直播间（普通房）（普通观众视角）</x:v>
      </x:c>
      <x:c r="E815" s="10" t="str">
        <x:v>功能需求</x:v>
      </x:c>
      <x:c r="F815" s="10" t="str">
        <x:v>P0</x:v>
      </x:c>
      <x:c r="G815" s="9" t="str">
        <x:v>验证普通房直接观看</x:v>
      </x:c>
      <x:c r="H815" s="9" t="str">
        <x:v>普通房准入方式</x:v>
      </x:c>
      <x:c r="I815" s="9" t="str">
        <x:v>1. 执行角色为普通观众；当前处于直播间（普通房）页面
2. 目标为正常普通房；账号无封禁、拉黑及本场踢出</x:v>
      </x:c>
      <x:c r="J815" s="9" t="str">
        <x:v>1. 进入该直播间</x:v>
      </x:c>
      <x:c r="K815" s="9" t="str">
        <x:v>直接展示直播内容，无准入弹窗</x:v>
      </x:c>
      <x:c r="L815" s="10" t="str"/>
      <x:c r="M815" s="10" t="str">
        <x:v>未测</x:v>
      </x:c>
      <x:c r="N815" s="10" t="str"/>
      <x:c r="O815" s="9" t="str">
        <x:v>1. 来源（当前证据）：liveshow-proto/MainBasis/统一需求文档.md；位置：行772、行759
2. 规则：BR-b9d05c70f664a2ce
3. 未动态验证</x:v>
      </x:c>
    </x:row>
    <x:row r="816" ht="85" customHeight="1">
      <x:c r="A816" s="10" t="n">
        <x:v>815</x:v>
      </x:c>
      <x:c r="B816" s="10" t="str">
        <x:v>USER-03-0007</x:v>
      </x:c>
      <x:c r="C816" s="10" t="str">
        <x:v>直播</x:v>
      </x:c>
      <x:c r="D816" s="10" t="str">
        <x:v>直播间（普通房）（普通观众视角）</x:v>
      </x:c>
      <x:c r="E816" s="10" t="str">
        <x:v>功能需求</x:v>
      </x:c>
      <x:c r="F816" s="10" t="str">
        <x:v>P2</x:v>
      </x:c>
      <x:c r="G816" s="9" t="str">
        <x:v>验证在线人数实时变化</x:v>
      </x:c>
      <x:c r="H816" s="9" t="str">
        <x:v>当前在线人数值</x:v>
      </x:c>
      <x:c r="I816" s="9" t="str">
        <x:v>1. 执行角色为普通观众；当前处于直播间（普通房）页面
2. 当前在线人数2；另一个不同账号观众已成功进入</x:v>
      </x:c>
      <x:c r="J816" s="9" t="str">
        <x:v>1. 查看在线人数</x:v>
      </x:c>
      <x:c r="K816" s="9" t="str">
        <x:v>在线人数为3</x:v>
      </x:c>
      <x:c r="L816" s="10" t="str"/>
      <x:c r="M816" s="10" t="str">
        <x:v>未测</x:v>
      </x:c>
      <x:c r="N816" s="10" t="str"/>
      <x:c r="O816" s="9" t="str">
        <x:v>1. 来源（当前证据）：liveshow-proto/MainBasis/统一需求文档.md；位置：行762、行759
2. 规则：BR-5c73f3540df22c3b
3. 未动态验证</x:v>
      </x:c>
    </x:row>
    <x:row r="817" ht="85" customHeight="1">
      <x:c r="A817" s="10" t="n">
        <x:v>816</x:v>
      </x:c>
      <x:c r="B817" s="10" t="str">
        <x:v>USER-03-0008</x:v>
      </x:c>
      <x:c r="C817" s="10" t="str">
        <x:v>直播</x:v>
      </x:c>
      <x:c r="D817" s="10" t="str">
        <x:v>直播间（普通房）（普通观众视角）</x:v>
      </x:c>
      <x:c r="E817" s="10" t="str">
        <x:v>功能需求</x:v>
      </x:c>
      <x:c r="F817" s="10" t="str">
        <x:v>P2</x:v>
      </x:c>
      <x:c r="G817" s="9" t="str">
        <x:v>验证本场信息</x:v>
      </x:c>
      <x:c r="H817" s="9" t="str">
        <x:v>当前直播场次资料</x:v>
      </x:c>
      <x:c r="I817" s="9" t="str">
        <x:v>1. 执行角色为普通观众；当前处于直播间（普通房）页面
2. 场次有已知主题、封面、分类及房型</x:v>
      </x:c>
      <x:c r="J817" s="9" t="str">
        <x:v>1. 查看当前直播场次信息</x:v>
      </x:c>
      <x:c r="K817" s="9" t="str">
        <x:v>展示当前场次对应信息</x:v>
      </x:c>
      <x:c r="L817" s="10" t="str"/>
      <x:c r="M817" s="10" t="str">
        <x:v>未测</x:v>
      </x:c>
      <x:c r="N817" s="10" t="str"/>
      <x:c r="O817" s="9" t="str">
        <x:v>1. 来源（当前证据）：liveshow-proto/MainBasis/统一需求文档.md；位置：行760、行759
2. 规则：BR-efcbbd1b4e068e5a
3. 未动态验证</x:v>
      </x:c>
    </x:row>
    <x:row r="818" ht="85" customHeight="1">
      <x:c r="A818" s="10" t="n">
        <x:v>817</x:v>
      </x:c>
      <x:c r="B818" s="10" t="str">
        <x:v>USER-03-0009</x:v>
      </x:c>
      <x:c r="C818" s="10" t="str">
        <x:v>直播</x:v>
      </x:c>
      <x:c r="D818" s="10" t="str">
        <x:v>直播间（普通房）（普通观众视角）</x:v>
      </x:c>
      <x:c r="E818" s="10" t="str">
        <x:v>功能需求</x:v>
      </x:c>
      <x:c r="F818" s="10" t="str">
        <x:v>P2</x:v>
      </x:c>
      <x:c r="G818" s="9" t="str">
        <x:v>验证主播资料身份：主播账号</x:v>
      </x:c>
      <x:c r="H818" s="9" t="str">
        <x:v>主播账号</x:v>
      </x:c>
      <x:c r="I818" s="9" t="str">
        <x:v>1. 执行角色为普通观众；当前处于直播间（普通房）页面
2. 主播等级和财富等级不同</x:v>
      </x:c>
      <x:c r="J818" s="9" t="str">
        <x:v>1. 打开主播资料卡</x:v>
      </x:c>
      <x:c r="K818" s="9" t="str">
        <x:v>账号对应当前场次主播</x:v>
      </x:c>
      <x:c r="L818" s="10" t="str"/>
      <x:c r="M818" s="10" t="str">
        <x:v>未测</x:v>
      </x:c>
      <x:c r="N818" s="10" t="str"/>
      <x:c r="O818" s="9" t="str">
        <x:v>1. 来源（当前证据）：liveshow-proto/MainBasis/统一需求文档.md；位置：行761、行1741、行759
2. 规则：BR-69886a787b51bc46
3. 未动态验证</x:v>
      </x:c>
    </x:row>
    <x:row r="819" ht="85" customHeight="1">
      <x:c r="A819" s="10" t="n">
        <x:v>818</x:v>
      </x:c>
      <x:c r="B819" s="10" t="str">
        <x:v>USER-03-0010</x:v>
      </x:c>
      <x:c r="C819" s="10" t="str">
        <x:v>直播</x:v>
      </x:c>
      <x:c r="D819" s="10" t="str">
        <x:v>直播间（普通房）（普通观众视角）</x:v>
      </x:c>
      <x:c r="E819" s="10" t="str">
        <x:v>功能需求</x:v>
      </x:c>
      <x:c r="F819" s="10" t="str">
        <x:v>P2</x:v>
      </x:c>
      <x:c r="G819" s="9" t="str">
        <x:v>验证主播资料身份：主播等级</x:v>
      </x:c>
      <x:c r="H819" s="9" t="str">
        <x:v>主播等级</x:v>
      </x:c>
      <x:c r="I819" s="9" t="str">
        <x:v>1. 执行角色为普通观众；当前处于直播间（普通房）页面
2. 主播等级和财富等级不同</x:v>
      </x:c>
      <x:c r="J819" s="9" t="str">
        <x:v>1. 打开主播资料卡</x:v>
      </x:c>
      <x:c r="K819" s="9" t="str">
        <x:v>显示当前主播等级</x:v>
      </x:c>
      <x:c r="L819" s="10" t="str"/>
      <x:c r="M819" s="10" t="str">
        <x:v>未测</x:v>
      </x:c>
      <x:c r="N819" s="10" t="str"/>
      <x:c r="O819" s="9" t="str">
        <x:v>1. 来源（当前证据）：liveshow-proto/MainBasis/统一需求文档.md；位置：行761、行1741、行759
2. 规则：BR-f8a13beabeabc73e
3. 未动态验证</x:v>
      </x:c>
    </x:row>
    <x:row r="820" ht="85" customHeight="1">
      <x:c r="A820" s="10" t="n">
        <x:v>819</x:v>
      </x:c>
      <x:c r="B820" s="10" t="str">
        <x:v>USER-03-0011</x:v>
      </x:c>
      <x:c r="C820" s="10" t="str">
        <x:v>直播</x:v>
      </x:c>
      <x:c r="D820" s="10" t="str">
        <x:v>直播间（普通房）（普通观众视角）</x:v>
      </x:c>
      <x:c r="E820" s="10" t="str">
        <x:v>功能需求</x:v>
      </x:c>
      <x:c r="F820" s="10" t="str">
        <x:v>P2</x:v>
      </x:c>
      <x:c r="G820" s="9" t="str">
        <x:v>验证主播资料身份：主播财富等级</x:v>
      </x:c>
      <x:c r="H820" s="9" t="str">
        <x:v>主播财富等级</x:v>
      </x:c>
      <x:c r="I820" s="9" t="str">
        <x:v>1. 执行角色为普通观众；当前处于直播间（普通房）页面
2. 主播等级和财富等级不同</x:v>
      </x:c>
      <x:c r="J820" s="9" t="str">
        <x:v>1. 打开主播资料卡</x:v>
      </x:c>
      <x:c r="K820" s="9" t="str">
        <x:v>显示当前主播财富等级</x:v>
      </x:c>
      <x:c r="L820" s="10" t="str"/>
      <x:c r="M820" s="10" t="str">
        <x:v>未测</x:v>
      </x:c>
      <x:c r="N820" s="10" t="str"/>
      <x:c r="O820" s="9" t="str">
        <x:v>1. 来源（当前证据）：liveshow-proto/MainBasis/统一需求文档.md；位置：行761、行1741、行759
2. 规则：BR-d48846300dc66a11
3. 未动态验证</x:v>
      </x:c>
    </x:row>
    <x:row r="821" ht="85" customHeight="1">
      <x:c r="A821" s="10" t="n">
        <x:v>820</x:v>
      </x:c>
      <x:c r="B821" s="10" t="str">
        <x:v>USER-03-0012</x:v>
      </x:c>
      <x:c r="C821" s="10" t="str">
        <x:v>直播</x:v>
      </x:c>
      <x:c r="D821" s="10" t="str">
        <x:v>直播间（普通房）（普通观众视角）</x:v>
      </x:c>
      <x:c r="E821" s="10" t="str">
        <x:v>功能需求</x:v>
      </x:c>
      <x:c r="F821" s="10" t="str">
        <x:v>P1</x:v>
      </x:c>
      <x:c r="G821" s="9" t="str">
        <x:v>验证门票房未购票遮挡</x:v>
      </x:c>
      <x:c r="H821" s="9" t="str">
        <x:v>未购票内容遮挡</x:v>
      </x:c>
      <x:c r="I821" s="9" t="str">
        <x:v>1. 执行角色为普通观众；当前处于直播间（普通房）页面
2. 当前无本场门票且未命中高优先级限制</x:v>
      </x:c>
      <x:c r="J821" s="9" t="str">
        <x:v>1. 进入门票直播间</x:v>
      </x:c>
      <x:c r="K821" s="9" t="str">
        <x:v>直播内容完全遮挡并展示购票弹窗</x:v>
      </x:c>
      <x:c r="L821" s="10" t="str"/>
      <x:c r="M821" s="10" t="str">
        <x:v>未测</x:v>
      </x:c>
      <x:c r="N821" s="10" t="str"/>
      <x:c r="O821" s="9" t="str">
        <x:v>1. 来源（当前证据）：liveshow-proto/MainBasis/统一需求文档.md；位置：行773、行1650、行759
2. 规则：BR-f6ece05b964e405a
3. 未动态验证</x:v>
      </x:c>
    </x:row>
    <x:row r="822" ht="85" customHeight="1">
      <x:c r="A822" s="10" t="n">
        <x:v>821</x:v>
      </x:c>
      <x:c r="B822" s="10" t="str">
        <x:v>USER-03-0013</x:v>
      </x:c>
      <x:c r="C822" s="10" t="str">
        <x:v>直播</x:v>
      </x:c>
      <x:c r="D822" s="10" t="str">
        <x:v>直播间（普通房）（普通观众视角）</x:v>
      </x:c>
      <x:c r="E822" s="10" t="str">
        <x:v>功能需求</x:v>
      </x:c>
      <x:c r="F822" s="10" t="str">
        <x:v>P1</x:v>
      </x:c>
      <x:c r="G822" s="9" t="str">
        <x:v>验证密码房未验证遮挡</x:v>
      </x:c>
      <x:c r="H822" s="9" t="str">
        <x:v>密码校验前直播遮挡</x:v>
      </x:c>
      <x:c r="I822" s="9" t="str">
        <x:v>1. 执行角色为普通观众；当前处于直播间（普通房）页面
2. 当前未验证本场密码且有其他准入资格</x:v>
      </x:c>
      <x:c r="J822" s="9" t="str">
        <x:v>1. 进入密码直播间</x:v>
      </x:c>
      <x:c r="K822" s="9" t="str">
        <x:v>直播内容完全遮挡并展示密码输入</x:v>
      </x:c>
      <x:c r="L822" s="10" t="str"/>
      <x:c r="M822" s="10" t="str">
        <x:v>未测</x:v>
      </x:c>
      <x:c r="N822" s="10" t="str"/>
      <x:c r="O822" s="9" t="str">
        <x:v>1. 来源（当前证据）：liveshow-proto/MainBasis/统一需求文档.md；位置：行773、行759
2. 规则：BR-955874aa11b9206a
3. 未动态验证</x:v>
      </x:c>
    </x:row>
    <x:row r="823" ht="85" customHeight="1">
      <x:c r="A823" s="10" t="n">
        <x:v>822</x:v>
      </x:c>
      <x:c r="B823" s="10" t="str">
        <x:v>USER-03-0014</x:v>
      </x:c>
      <x:c r="C823" s="10" t="str">
        <x:v>直播</x:v>
      </x:c>
      <x:c r="D823" s="10" t="str">
        <x:v>直播间（普通房）（普通观众视角）</x:v>
      </x:c>
      <x:c r="E823" s="10" t="str">
        <x:v>业务流程</x:v>
      </x:c>
      <x:c r="F823" s="10" t="str">
        <x:v>P0</x:v>
      </x:c>
      <x:c r="G823" s="9" t="str">
        <x:v>验证门票余额充足购买</x:v>
      </x:c>
      <x:c r="H823" s="9" t="str">
        <x:v>资产数值</x:v>
      </x:c>
      <x:c r="I823" s="9" t="str">
        <x:v>1. 执行角色为普通观众；当前处于直播间（普通房）页面
2. 本场门票50；余额100；没有本场门票</x:v>
      </x:c>
      <x:c r="J823" s="9" t="str">
        <x:v>1. 进入该门票房
2. 点击确认购买</x:v>
      </x:c>
      <x:c r="K823" s="9" t="str">
        <x:v>扣除50金币并进入本场直播</x:v>
      </x:c>
      <x:c r="L823" s="10" t="str"/>
      <x:c r="M823" s="10" t="str">
        <x:v>未测</x:v>
      </x:c>
      <x:c r="N823" s="10" t="str"/>
      <x:c r="O823" s="9" t="str">
        <x:v>1. 来源（当前证据）：liveshow-proto/MainBasis/统一需求文档.md；位置：行1650、行759
2. 规则：BR-0a7d0909b939734d
3. 未动态验证</x:v>
      </x:c>
    </x:row>
    <x:row r="824" ht="85" customHeight="1">
      <x:c r="A824" s="10" t="n">
        <x:v>823</x:v>
      </x:c>
      <x:c r="B824" s="10" t="str">
        <x:v>USER-03-0015</x:v>
      </x:c>
      <x:c r="C824" s="10" t="str">
        <x:v>直播</x:v>
      </x:c>
      <x:c r="D824" s="10" t="str">
        <x:v>直播间（普通房）（普通观众视角）</x:v>
      </x:c>
      <x:c r="E824" s="10" t="str">
        <x:v>逻辑校验</x:v>
      </x:c>
      <x:c r="F824" s="10" t="str">
        <x:v>P1</x:v>
      </x:c>
      <x:c r="G824" s="9" t="str">
        <x:v>验证门票余额相等购买</x:v>
      </x:c>
      <x:c r="H824" s="9" t="str">
        <x:v>资产数值</x:v>
      </x:c>
      <x:c r="I824" s="9" t="str">
        <x:v>1. 执行角色为普通观众；当前处于直播间（普通房）页面
2. 本场门票50；余额恰好50；无本场门票</x:v>
      </x:c>
      <x:c r="J824" s="9" t="str">
        <x:v>1. 进入该门票房
2. 点击确认购买</x:v>
      </x:c>
      <x:c r="K824" s="9" t="str">
        <x:v>购票成功且余额为0</x:v>
      </x:c>
      <x:c r="L824" s="10" t="str"/>
      <x:c r="M824" s="10" t="str">
        <x:v>未测</x:v>
      </x:c>
      <x:c r="N824" s="10" t="str"/>
      <x:c r="O824" s="9" t="str">
        <x:v>1. 来源（当前证据）：liveshow-proto/MainBasis/统一需求文档.md；位置：行1650、行759
2. 规则：BR-d3dc490d252ffffa
3. 未动态验证</x:v>
      </x:c>
    </x:row>
    <x:row r="825" ht="85" customHeight="1">
      <x:c r="A825" s="10" t="n">
        <x:v>824</x:v>
      </x:c>
      <x:c r="B825" s="10" t="str">
        <x:v>USER-03-0016</x:v>
      </x:c>
      <x:c r="C825" s="10" t="str">
        <x:v>直播</x:v>
      </x:c>
      <x:c r="D825" s="10" t="str">
        <x:v>直播间（普通房）（普通观众视角）</x:v>
      </x:c>
      <x:c r="E825" s="10" t="str">
        <x:v>异常用例</x:v>
      </x:c>
      <x:c r="F825" s="10" t="str">
        <x:v>P1</x:v>
      </x:c>
      <x:c r="G825" s="9" t="str">
        <x:v>验证门票余额不足：不足不扣款</x:v>
      </x:c>
      <x:c r="H825" s="9" t="str">
        <x:v>不足不扣款</x:v>
      </x:c>
      <x:c r="I825" s="9" t="str">
        <x:v>1. 执行角色为普通观众；当前处于直播间（普通房）页面
2. 本场门票50；余额49；无本场门票</x:v>
      </x:c>
      <x:c r="J825" s="9" t="str">
        <x:v>1. 进入该门票房
2. 点击确认购买</x:v>
      </x:c>
      <x:c r="K825" s="9" t="str">
        <x:v>真实金币余额仍为49</x:v>
      </x:c>
      <x:c r="L825" s="10" t="str"/>
      <x:c r="M825" s="10" t="str">
        <x:v>未测</x:v>
      </x:c>
      <x:c r="N825" s="10" t="str"/>
      <x:c r="O825" s="9" t="str">
        <x:v>1. 来源（当前证据）：liveshow-proto/MainBasis/统一需求文档.md；位置：行1650、行759
2. 规则：BR-125297e2a6659c4f
3. 未动态验证</x:v>
      </x:c>
    </x:row>
    <x:row r="826" ht="85" customHeight="1">
      <x:c r="A826" s="10" t="n">
        <x:v>825</x:v>
      </x:c>
      <x:c r="B826" s="10" t="str">
        <x:v>USER-03-0017</x:v>
      </x:c>
      <x:c r="C826" s="10" t="str">
        <x:v>直播</x:v>
      </x:c>
      <x:c r="D826" s="10" t="str">
        <x:v>直播间（普通房）（普通观众视角）</x:v>
      </x:c>
      <x:c r="E826" s="10" t="str">
        <x:v>异常用例</x:v>
      </x:c>
      <x:c r="F826" s="10" t="str">
        <x:v>P1</x:v>
      </x:c>
      <x:c r="G826" s="9" t="str">
        <x:v>验证门票余额不足：不足充值入口</x:v>
      </x:c>
      <x:c r="H826" s="9" t="str">
        <x:v>不足充值入口</x:v>
      </x:c>
      <x:c r="I826" s="9" t="str">
        <x:v>1. 执行角色为普通观众；当前处于直播间（普通房）页面
2. 本场门票50；余额49；无本场门票</x:v>
      </x:c>
      <x:c r="J826" s="9" t="str">
        <x:v>1. 进入该门票房
2. 点击确认购买</x:v>
      </x:c>
      <x:c r="K826" s="9" t="str">
        <x:v>打开充值入口</x:v>
      </x:c>
      <x:c r="L826" s="10" t="str"/>
      <x:c r="M826" s="10" t="str">
        <x:v>未测</x:v>
      </x:c>
      <x:c r="N826" s="10" t="str"/>
      <x:c r="O826" s="9" t="str">
        <x:v>1. 来源（当前证据）：liveshow-proto/MainBasis/统一需求文档.md；位置：行1650、行759
2. 规则：BR-4515a51994b1276e
3. 未动态验证</x:v>
      </x:c>
    </x:row>
    <x:row r="827" ht="85" customHeight="1">
      <x:c r="A827" s="10" t="n">
        <x:v>826</x:v>
      </x:c>
      <x:c r="B827" s="10" t="str">
        <x:v>USER-03-0018</x:v>
      </x:c>
      <x:c r="C827" s="10" t="str">
        <x:v>直播</x:v>
      </x:c>
      <x:c r="D827" s="10" t="str">
        <x:v>直播间（普通房）（普通观众视角）</x:v>
      </x:c>
      <x:c r="E827" s="10" t="str">
        <x:v>功能需求</x:v>
      </x:c>
      <x:c r="F827" s="10" t="str">
        <x:v>P1</x:v>
      </x:c>
      <x:c r="G827" s="9" t="str">
        <x:v>验证取消门票购买</x:v>
      </x:c>
      <x:c r="H827" s="9" t="str">
        <x:v>取消购票页面去向</x:v>
      </x:c>
      <x:c r="I827" s="9" t="str">
        <x:v>1. 执行角色为普通观众；当前处于直播间（普通房）页面
2. 从首页进入门票准入弹窗</x:v>
      </x:c>
      <x:c r="J827" s="9" t="str">
        <x:v>1. 点击取消</x:v>
      </x:c>
      <x:c r="K827" s="9" t="str">
        <x:v>回到首页</x:v>
      </x:c>
      <x:c r="L827" s="10" t="str"/>
      <x:c r="M827" s="10" t="str">
        <x:v>未测</x:v>
      </x:c>
      <x:c r="N827" s="10" t="str"/>
      <x:c r="O827" s="9" t="str">
        <x:v>1. 来源（当前证据）：liveshow-proto/MainBasis/统一需求文档.md；位置：行1650、行759
2. 规则：BR-a11de7829a6188b7
3. 未动态验证</x:v>
      </x:c>
    </x:row>
    <x:row r="828" ht="130" customHeight="1">
      <x:c r="A828" s="10" t="n">
        <x:v>827</x:v>
      </x:c>
      <x:c r="B828" s="10" t="str">
        <x:v>USER-03-0019</x:v>
      </x:c>
      <x:c r="C828" s="10" t="str">
        <x:v>直播</x:v>
      </x:c>
      <x:c r="D828" s="10" t="str">
        <x:v>直播间（普通房）（普通观众视角）</x:v>
      </x:c>
      <x:c r="E828" s="10" t="str">
        <x:v>逻辑校验</x:v>
      </x:c>
      <x:c r="F828" s="10" t="str">
        <x:v>P1</x:v>
      </x:c>
      <x:c r="G828" s="9" t="str">
        <x:v>验证同场已购票免重复收费</x:v>
      </x:c>
      <x:c r="H828" s="9" t="str">
        <x:v>资产数值</x:v>
      </x:c>
      <x:c r="I828" s="9" t="str">
        <x:v>1. 执行角色为普通观众；当前处于直播间（普通房）页面
2. 本场已成功购票；离开后余额50</x:v>
      </x:c>
      <x:c r="J828" s="9" t="str">
        <x:v>1. 重新进入同一场次</x:v>
      </x:c>
      <x:c r="K828" s="9" t="str">
        <x:v>直接入场且余额仍50</x:v>
      </x:c>
      <x:c r="L828" s="10" t="str">
        <x:v>FLOW-FBAFAB0C</x:v>
      </x:c>
      <x:c r="M828" s="10" t="str">
        <x:v>未测</x:v>
      </x:c>
      <x:c r="N828" s="10" t="str"/>
      <x:c r="O828" s="9" t="str">
        <x:v>1. 来源（当前证据）：liveshow-proto/MainBasis/统一需求文档.md；位置：行1646、行505、行759
2. 规则：BR-d09a190798fb4fc5
3. 未动态验证
4. 状态转换：ST-USER-022；共同业务对象：门票资格；当前阶段：成功购票后的用户App观察</x:v>
      </x:c>
    </x:row>
    <x:row r="829" ht="130" customHeight="1">
      <x:c r="A829" s="10" t="n">
        <x:v>828</x:v>
      </x:c>
      <x:c r="B829" s="10" t="str">
        <x:v>USER-03-0020</x:v>
      </x:c>
      <x:c r="C829" s="10" t="str">
        <x:v>直播</x:v>
      </x:c>
      <x:c r="D829" s="10" t="str">
        <x:v>直播间（普通房）（普通观众视角）</x:v>
      </x:c>
      <x:c r="E829" s="10" t="str">
        <x:v>功能需求</x:v>
      </x:c>
      <x:c r="F829" s="10" t="str">
        <x:v>P1</x:v>
      </x:c>
      <x:c r="G829" s="9" t="str">
        <x:v>验证门票被踢出不退款</x:v>
      </x:c>
      <x:c r="H829" s="9" t="str">
        <x:v>被踢门票金额保留</x:v>
      </x:c>
      <x:c r="I829" s="9" t="str">
        <x:v>1. 执行角色为普通观众；当前处于直播间（普通房）页面
2. 本场已购票且已被主播踢出</x:v>
      </x:c>
      <x:c r="J829" s="9" t="str">
        <x:v>1. 查看金币余额</x:v>
      </x:c>
      <x:c r="K829" s="9" t="str">
        <x:v>已支付门票不退回</x:v>
      </x:c>
      <x:c r="L829" s="10" t="str">
        <x:v>FLOW-FBAFAB0C</x:v>
      </x:c>
      <x:c r="M829" s="10" t="str">
        <x:v>未测</x:v>
      </x:c>
      <x:c r="N829" s="10" t="str"/>
      <x:c r="O829" s="9" t="str">
        <x:v>1. 来源（当前证据）：liveshow-proto/MainBasis/统一需求文档.md；位置：行1647、行759
2. 规则：BR-0cdae97319a0f23c
3. 未动态验证
4. 状态转换：ST-USER-023；共同业务对象：门票资格；当前阶段：主播踢出用户后的用户App观察</x:v>
      </x:c>
    </x:row>
    <x:row r="830" ht="85" customHeight="1">
      <x:c r="A830" s="10" t="n">
        <x:v>829</x:v>
      </x:c>
      <x:c r="B830" s="10" t="str">
        <x:v>USER-03-0021</x:v>
      </x:c>
      <x:c r="C830" s="10" t="str">
        <x:v>直播</x:v>
      </x:c>
      <x:c r="D830" s="10" t="str">
        <x:v>直播间（普通房）（普通观众视角）</x:v>
      </x:c>
      <x:c r="E830" s="10" t="str">
        <x:v>功能需求</x:v>
      </x:c>
      <x:c r="F830" s="10" t="str">
        <x:v>P1</x:v>
      </x:c>
      <x:c r="G830" s="9" t="str">
        <x:v>验证被踢出不能凭票重进</x:v>
      </x:c>
      <x:c r="H830" s="9" t="str">
        <x:v>被踢后的门票资格</x:v>
      </x:c>
      <x:c r="I830" s="9" t="str">
        <x:v>1. 执行角色为普通观众；当前处于直播间（普通房）页面
2. 本场已购票但已被踢出</x:v>
      </x:c>
      <x:c r="J830" s="9" t="str">
        <x:v>1. 再次进入本场</x:v>
      </x:c>
      <x:c r="K830" s="9" t="str">
        <x:v>显示访问受限，门票不赋予入场资格</x:v>
      </x:c>
      <x:c r="L830" s="10" t="str"/>
      <x:c r="M830" s="10" t="str">
        <x:v>未测</x:v>
      </x:c>
      <x:c r="N830" s="10" t="str"/>
      <x:c r="O830" s="9" t="str">
        <x:v>1. 来源（当前证据）：liveshow-proto/MainBasis/统一需求文档.md；位置：行1648、行1664、行759
2. 规则：BR-74cc844cdc85cb8a
3. 未动态验证</x:v>
      </x:c>
    </x:row>
    <x:row r="831" ht="85" customHeight="1">
      <x:c r="A831" s="10" t="n">
        <x:v>830</x:v>
      </x:c>
      <x:c r="B831" s="10" t="str">
        <x:v>USER-03-0022</x:v>
      </x:c>
      <x:c r="C831" s="10" t="str">
        <x:v>直播</x:v>
      </x:c>
      <x:c r="D831" s="10" t="str">
        <x:v>直播间（普通房）（普通观众视角）</x:v>
      </x:c>
      <x:c r="E831" s="10" t="str">
        <x:v>功能需求</x:v>
      </x:c>
      <x:c r="F831" s="10" t="str">
        <x:v>P1</x:v>
      </x:c>
      <x:c r="G831" s="9" t="str">
        <x:v>验证有票但账号拉黑禁止进入</x:v>
      </x:c>
      <x:c r="H831" s="9" t="str">
        <x:v>账号关系</x:v>
      </x:c>
      <x:c r="I831" s="9" t="str">
        <x:v>1. 执行角色为普通观众；当前处于直播间（普通房）页面
2. 有本场门票；与主播存在账号拉黑关系</x:v>
      </x:c>
      <x:c r="J831" s="9" t="str">
        <x:v>1. 进入该场次</x:v>
      </x:c>
      <x:c r="K831" s="9" t="str">
        <x:v>显示拉黑或踢出关系限制</x:v>
      </x:c>
      <x:c r="L831" s="10" t="str"/>
      <x:c r="M831" s="10" t="str">
        <x:v>未测</x:v>
      </x:c>
      <x:c r="N831" s="10" t="str"/>
      <x:c r="O831" s="9" t="str">
        <x:v>1. 来源（当前证据）：liveshow-proto/MainBasis/统一需求文档.md；位置：行1648、行1664、行759
2. 规则：BR-1cce84158f2260ab
3. 未动态验证</x:v>
      </x:c>
    </x:row>
    <x:row r="832" ht="85" customHeight="1">
      <x:c r="A832" s="10" t="n">
        <x:v>831</x:v>
      </x:c>
      <x:c r="B832" s="10" t="str">
        <x:v>USER-03-0023</x:v>
      </x:c>
      <x:c r="C832" s="10" t="str">
        <x:v>直播</x:v>
      </x:c>
      <x:c r="D832" s="10" t="str">
        <x:v>直播间（普通房）（普通观众视角）</x:v>
      </x:c>
      <x:c r="E832" s="10" t="str">
        <x:v>功能需求</x:v>
      </x:c>
      <x:c r="F832" s="10" t="str">
        <x:v>P1</x:v>
      </x:c>
      <x:c r="G832" s="9" t="str">
        <x:v>验证有效密码仍受拉黑限制：优先拦截文案</x:v>
      </x:c>
      <x:c r="H832" s="9" t="str">
        <x:v>优先拦截文案</x:v>
      </x:c>
      <x:c r="I832" s="9" t="str">
        <x:v>1. 执行角色为普通观众；当前处于直播间（普通房）页面
2. 知道本场正确密码；与主播有拉黑关系</x:v>
      </x:c>
      <x:c r="J832" s="9" t="str">
        <x:v>1. 进入该密码房</x:v>
      </x:c>
      <x:c r="K832" s="9" t="str">
        <x:v>显示访问受限提示</x:v>
      </x:c>
      <x:c r="L832" s="10" t="str"/>
      <x:c r="M832" s="10" t="str">
        <x:v>未测</x:v>
      </x:c>
      <x:c r="N832" s="10" t="str"/>
      <x:c r="O832" s="9" t="str">
        <x:v>1. 来源（当前证据）：liveshow-proto/MainBasis/统一需求文档.md；位置：行1639、行759
2. 规则：BR-4717a511768f3c72
3. 未动态验证</x:v>
      </x:c>
    </x:row>
    <x:row r="833" ht="85" customHeight="1">
      <x:c r="A833" s="10" t="n">
        <x:v>832</x:v>
      </x:c>
      <x:c r="B833" s="10" t="str">
        <x:v>USER-03-0024</x:v>
      </x:c>
      <x:c r="C833" s="10" t="str">
        <x:v>直播</x:v>
      </x:c>
      <x:c r="D833" s="10" t="str">
        <x:v>直播间（普通房）（普通观众视角）</x:v>
      </x:c>
      <x:c r="E833" s="10" t="str">
        <x:v>功能需求</x:v>
      </x:c>
      <x:c r="F833" s="10" t="str">
        <x:v>P1</x:v>
      </x:c>
      <x:c r="G833" s="9" t="str">
        <x:v>验证有效密码仍受拉黑限制：密码不绕过拉黑</x:v>
      </x:c>
      <x:c r="H833" s="9" t="str">
        <x:v>密码不绕过拉黑</x:v>
      </x:c>
      <x:c r="I833" s="9" t="str">
        <x:v>1. 执行角色为普通观众；当前处于直播间（普通房）页面
2. 知道本场正确密码；与主播有拉黑关系</x:v>
      </x:c>
      <x:c r="J833" s="9" t="str">
        <x:v>1. 进入该密码房</x:v>
      </x:c>
      <x:c r="K833" s="9" t="str">
        <x:v>不能凭密码进入该房间</x:v>
      </x:c>
      <x:c r="L833" s="10" t="str"/>
      <x:c r="M833" s="10" t="str">
        <x:v>未测</x:v>
      </x:c>
      <x:c r="N833" s="10" t="str"/>
      <x:c r="O833" s="9" t="str">
        <x:v>1. 来源（当前证据）：liveshow-proto/MainBasis/统一需求文档.md；位置：行1639、行759
2. 规则：BR-1d27db44c42be9b6
3. 未动态验证</x:v>
      </x:c>
    </x:row>
    <x:row r="834" ht="85" customHeight="1">
      <x:c r="A834" s="10" t="n">
        <x:v>833</x:v>
      </x:c>
      <x:c r="B834" s="10" t="str">
        <x:v>USER-03-0025</x:v>
      </x:c>
      <x:c r="C834" s="10" t="str">
        <x:v>直播</x:v>
      </x:c>
      <x:c r="D834" s="10" t="str">
        <x:v>直播间（普通房）（普通观众视角）</x:v>
      </x:c>
      <x:c r="E834" s="10" t="str">
        <x:v>功能需求</x:v>
      </x:c>
      <x:c r="F834" s="10" t="str">
        <x:v>P2</x:v>
      </x:c>
      <x:c r="G834" s="9" t="str">
        <x:v>验证无来源受限页返回</x:v>
      </x:c>
      <x:c r="H834" s="9" t="str">
        <x:v>受限页默认返回去向</x:v>
      </x:c>
      <x:c r="I834" s="9" t="str">
        <x:v>1. 执行角色为普通观众；当前处于直播间（普通房）页面
2. 从外部入口访问受限房间且无应用内来源</x:v>
      </x:c>
      <x:c r="J834" s="9" t="str">
        <x:v>1. 点击返回</x:v>
      </x:c>
      <x:c r="K834" s="9" t="str">
        <x:v>返回首页</x:v>
      </x:c>
      <x:c r="L834" s="10" t="str"/>
      <x:c r="M834" s="10" t="str">
        <x:v>未测</x:v>
      </x:c>
      <x:c r="N834" s="10" t="str"/>
      <x:c r="O834" s="9" t="str">
        <x:v>1. 来源（当前证据）：liveshow-proto/MainBasis/统一需求文档.md；位置：行774、行759
2. 规则：BR-6fdb85963a952544
3. 未动态验证</x:v>
      </x:c>
    </x:row>
    <x:row r="835" ht="85" customHeight="1">
      <x:c r="A835" s="10" t="n">
        <x:v>834</x:v>
      </x:c>
      <x:c r="B835" s="10" t="str">
        <x:v>USER-03-0026</x:v>
      </x:c>
      <x:c r="C835" s="10" t="str">
        <x:v>直播</x:v>
      </x:c>
      <x:c r="D835" s="10" t="str">
        <x:v>直播间（普通房）（普通观众视角）</x:v>
      </x:c>
      <x:c r="E835" s="10" t="str">
        <x:v>功能需求</x:v>
      </x:c>
      <x:c r="F835" s="10" t="str">
        <x:v>P1</x:v>
      </x:c>
      <x:c r="G835" s="9" t="str">
        <x:v>验证密码格式错误：非法输入保留</x:v>
      </x:c>
      <x:c r="H835" s="9" t="str">
        <x:v>非法输入保留</x:v>
      </x:c>
      <x:c r="I835" s="9" t="str">
        <x:v>1. 执行角色为普通观众；当前处于直播间（普通房）页面
2. 已打开本场密码弹窗</x:v>
      </x:c>
      <x:c r="J835" s="9" t="str">
        <x:v>1. 输入12a4
2. 点击确认</x:v>
      </x:c>
      <x:c r="K835" s="9" t="str">
        <x:v>密码输入仍为12a4</x:v>
      </x:c>
      <x:c r="L835" s="10" t="str"/>
      <x:c r="M835" s="10" t="str">
        <x:v>未测</x:v>
      </x:c>
      <x:c r="N835" s="10" t="str"/>
      <x:c r="O835" s="9" t="str">
        <x:v>1. 来源（当前证据）：liveshow-proto/MainBasis/统一需求文档.md；位置：行1640、行759
2. 规则：BR-e4a4120b63161ecc
3. 未动态验证</x:v>
      </x:c>
    </x:row>
    <x:row r="836" ht="85" customHeight="1">
      <x:c r="A836" s="10" t="n">
        <x:v>835</x:v>
      </x:c>
      <x:c r="B836" s="10" t="str">
        <x:v>USER-03-0027</x:v>
      </x:c>
      <x:c r="C836" s="10" t="str">
        <x:v>直播</x:v>
      </x:c>
      <x:c r="D836" s="10" t="str">
        <x:v>直播间（普通房）（普通观众视角）</x:v>
      </x:c>
      <x:c r="E836" s="10" t="str">
        <x:v>功能需求</x:v>
      </x:c>
      <x:c r="F836" s="10" t="str">
        <x:v>P1</x:v>
      </x:c>
      <x:c r="G836" s="9" t="str">
        <x:v>验证密码格式错误：非法格式提示</x:v>
      </x:c>
      <x:c r="H836" s="9" t="str">
        <x:v>非法格式提示</x:v>
      </x:c>
      <x:c r="I836" s="9" t="str">
        <x:v>1. 执行角色为普通观众；当前处于直播间（普通房）页面
2. 已打开本场密码弹窗</x:v>
      </x:c>
      <x:c r="J836" s="9" t="str">
        <x:v>1. 输入12a4
2. 点击确认</x:v>
      </x:c>
      <x:c r="K836" s="9" t="str">
        <x:v>提示“密码必须是4-12个数字”</x:v>
      </x:c>
      <x:c r="L836" s="10" t="str"/>
      <x:c r="M836" s="10" t="str">
        <x:v>未测</x:v>
      </x:c>
      <x:c r="N836" s="10" t="str"/>
      <x:c r="O836" s="9" t="str">
        <x:v>1. 来源（当前证据）：liveshow-proto/MainBasis/统一需求文档.md；位置：行1640、行759
2. 规则：BR-53e7be25b8eab386
3. 未动态验证</x:v>
      </x:c>
    </x:row>
    <x:row r="837" ht="85" customHeight="1">
      <x:c r="A837" s="10" t="n">
        <x:v>836</x:v>
      </x:c>
      <x:c r="B837" s="10" t="str">
        <x:v>USER-03-0028</x:v>
      </x:c>
      <x:c r="C837" s="10" t="str">
        <x:v>直播</x:v>
      </x:c>
      <x:c r="D837" s="10" t="str">
        <x:v>直播间（普通房）（普通观众视角）</x:v>
      </x:c>
      <x:c r="E837" s="10" t="str">
        <x:v>功能需求</x:v>
      </x:c>
      <x:c r="F837" s="10" t="str">
        <x:v>P1</x:v>
      </x:c>
      <x:c r="G837" s="9" t="str">
        <x:v>验证密码值错误：错误密码保留</x:v>
      </x:c>
      <x:c r="H837" s="9" t="str">
        <x:v>错误密码保留</x:v>
      </x:c>
      <x:c r="I837" s="9" t="str">
        <x:v>1. 执行角色为普通观众；当前处于直播间（普通房）页面
2. 当前有效密码1234</x:v>
      </x:c>
      <x:c r="J837" s="9" t="str">
        <x:v>1. 输入5678
2. 点击确认</x:v>
      </x:c>
      <x:c r="K837" s="9" t="str">
        <x:v>密码输入仍为5678</x:v>
      </x:c>
      <x:c r="L837" s="10" t="str"/>
      <x:c r="M837" s="10" t="str">
        <x:v>未测</x:v>
      </x:c>
      <x:c r="N837" s="10" t="str"/>
      <x:c r="O837" s="9" t="str">
        <x:v>1. 来源（当前证据）：liveshow-proto/MainBasis/统一需求文档.md；位置：行1640、行759
2. 规则：BR-892712de34cc06c6
3. 未动态验证</x:v>
      </x:c>
    </x:row>
    <x:row r="838" ht="85" customHeight="1">
      <x:c r="A838" s="10" t="n">
        <x:v>837</x:v>
      </x:c>
      <x:c r="B838" s="10" t="str">
        <x:v>USER-03-0029</x:v>
      </x:c>
      <x:c r="C838" s="10" t="str">
        <x:v>直播</x:v>
      </x:c>
      <x:c r="D838" s="10" t="str">
        <x:v>直播间（普通房）（普通观众视角）</x:v>
      </x:c>
      <x:c r="E838" s="10" t="str">
        <x:v>功能需求</x:v>
      </x:c>
      <x:c r="F838" s="10" t="str">
        <x:v>P1</x:v>
      </x:c>
      <x:c r="G838" s="9" t="str">
        <x:v>验证密码值错误：密码不匹配提示</x:v>
      </x:c>
      <x:c r="H838" s="9" t="str">
        <x:v>密码不匹配提示</x:v>
      </x:c>
      <x:c r="I838" s="9" t="str">
        <x:v>1. 执行角色为普通观众；当前处于直播间（普通房）页面
2. 当前有效密码1234</x:v>
      </x:c>
      <x:c r="J838" s="9" t="str">
        <x:v>1. 输入5678
2. 点击确认</x:v>
      </x:c>
      <x:c r="K838" s="9" t="str">
        <x:v>提示“密码错误，请重新输入”</x:v>
      </x:c>
      <x:c r="L838" s="10" t="str"/>
      <x:c r="M838" s="10" t="str">
        <x:v>未测</x:v>
      </x:c>
      <x:c r="N838" s="10" t="str"/>
      <x:c r="O838" s="9" t="str">
        <x:v>1. 来源（当前证据）：liveshow-proto/MainBasis/统一需求文档.md；位置：行1640、行759
2. 规则：BR-6611938fda191f97
3. 未动态验证</x:v>
      </x:c>
    </x:row>
    <x:row r="839" ht="85" customHeight="1">
      <x:c r="A839" s="10" t="n">
        <x:v>838</x:v>
      </x:c>
      <x:c r="B839" s="10" t="str">
        <x:v>USER-03-0030</x:v>
      </x:c>
      <x:c r="C839" s="10" t="str">
        <x:v>直播</x:v>
      </x:c>
      <x:c r="D839" s="10" t="str">
        <x:v>直播间（普通房）（普通观众视角）</x:v>
      </x:c>
      <x:c r="E839" s="10" t="str">
        <x:v>功能需求</x:v>
      </x:c>
      <x:c r="F839" s="10" t="str">
        <x:v>P1</x:v>
      </x:c>
      <x:c r="G839" s="9" t="str">
        <x:v>验证密码正确进入</x:v>
      </x:c>
      <x:c r="H839" s="9" t="str">
        <x:v>凭证有效性</x:v>
      </x:c>
      <x:c r="I839" s="9" t="str">
        <x:v>1. 执行角色为普通观众；当前处于直播间（普通房）页面
2. 当前有效密码1234；其他准入资格满足</x:v>
      </x:c>
      <x:c r="J839" s="9" t="str">
        <x:v>1. 输入1234
2. 点击确认</x:v>
      </x:c>
      <x:c r="K839" s="9" t="str">
        <x:v>进入本场直播间</x:v>
      </x:c>
      <x:c r="L839" s="10" t="str"/>
      <x:c r="M839" s="10" t="str">
        <x:v>未测</x:v>
      </x:c>
      <x:c r="N839" s="10" t="str"/>
      <x:c r="O839" s="9" t="str">
        <x:v>1. 来源（当前证据）：liveshow-proto/MainBasis/统一需求文档.md；位置：行1640、行759
2. 规则：BR-fdebfeb3ab597088
3. 未动态验证</x:v>
      </x:c>
    </x:row>
    <x:row r="840" ht="85" customHeight="1">
      <x:c r="A840" s="10" t="n">
        <x:v>839</x:v>
      </x:c>
      <x:c r="B840" s="10" t="str">
        <x:v>USER-03-0031</x:v>
      </x:c>
      <x:c r="C840" s="10" t="str">
        <x:v>直播</x:v>
      </x:c>
      <x:c r="D840" s="10" t="str">
        <x:v>直播间（普通房）（普通观众视角）</x:v>
      </x:c>
      <x:c r="E840" s="10" t="str">
        <x:v>功能需求</x:v>
      </x:c>
      <x:c r="F840" s="10" t="str">
        <x:v>P1</x:v>
      </x:c>
      <x:c r="G840" s="9" t="str">
        <x:v>验证密码校验取消返回</x:v>
      </x:c>
      <x:c r="H840" s="9" t="str">
        <x:v>取消密码校验页面去向</x:v>
      </x:c>
      <x:c r="I840" s="9" t="str">
        <x:v>1. 执行角色为普通观众；当前处于直播间（普通房）页面
2. 从首页进入密码弹窗</x:v>
      </x:c>
      <x:c r="J840" s="9" t="str">
        <x:v>1. 关闭密码弹窗</x:v>
      </x:c>
      <x:c r="K840" s="9" t="str">
        <x:v>返回首页</x:v>
      </x:c>
      <x:c r="L840" s="10" t="str"/>
      <x:c r="M840" s="10" t="str">
        <x:v>未测</x:v>
      </x:c>
      <x:c r="N840" s="10" t="str"/>
      <x:c r="O840" s="9" t="str">
        <x:v>1. 来源（当前证据）：liveshow-proto/MainBasis/统一需求文档.md；位置：行1640、行759
2. 规则：BR-c525969be2930490
3. 未动态验证</x:v>
      </x:c>
    </x:row>
    <x:row r="841" ht="85" customHeight="1">
      <x:c r="A841" s="10" t="n">
        <x:v>840</x:v>
      </x:c>
      <x:c r="B841" s="10" t="str">
        <x:v>USER-03-0032</x:v>
      </x:c>
      <x:c r="C841" s="10" t="str">
        <x:v>直播</x:v>
      </x:c>
      <x:c r="D841" s="10" t="str">
        <x:v>直播间（普通房）（普通观众视角）</x:v>
      </x:c>
      <x:c r="E841" s="10" t="str">
        <x:v>功能需求</x:v>
      </x:c>
      <x:c r="F841" s="10" t="str">
        <x:v>P1</x:v>
      </x:c>
      <x:c r="G841" s="9" t="str">
        <x:v>验证成员限制拦截非成员</x:v>
      </x:c>
      <x:c r="H841" s="9" t="str">
        <x:v>非成员进房提示</x:v>
      </x:c>
      <x:c r="I841" s="9" t="str">
        <x:v>1. 执行角色为普通观众；当前处于直播间（普通房）页面
2. 密码房开启成员限制；当前非该团成员</x:v>
      </x:c>
      <x:c r="J841" s="9" t="str">
        <x:v>1. 进入该房间</x:v>
      </x:c>
      <x:c r="K841" s="9" t="str">
        <x:v>提示“访问直播间需先加入主播粉丝团”</x:v>
      </x:c>
      <x:c r="L841" s="10" t="str"/>
      <x:c r="M841" s="10" t="str">
        <x:v>未测</x:v>
      </x:c>
      <x:c r="N841" s="10" t="str"/>
      <x:c r="O841" s="9" t="str">
        <x:v>1. 来源（当前证据）：liveshow-proto/MainBasis/统一需求文档.md；位置：行1658、行759
2. 规则：BR-3885fc3a2795de66
3. 未动态验证</x:v>
      </x:c>
    </x:row>
    <x:row r="842" ht="85" customHeight="1">
      <x:c r="A842" s="10" t="n">
        <x:v>841</x:v>
      </x:c>
      <x:c r="B842" s="10" t="str">
        <x:v>USER-03-0033</x:v>
      </x:c>
      <x:c r="C842" s="10" t="str">
        <x:v>直播</x:v>
      </x:c>
      <x:c r="D842" s="10" t="str">
        <x:v>直播间（普通房）（普通观众视角）</x:v>
      </x:c>
      <x:c r="E842" s="10" t="str">
        <x:v>功能需求</x:v>
      </x:c>
      <x:c r="F842" s="10" t="str">
        <x:v>P1</x:v>
      </x:c>
      <x:c r="G842" s="9" t="str">
        <x:v>验证成员限制不踢出已在线非成员</x:v>
      </x:c>
      <x:c r="H842" s="9" t="str">
        <x:v>在线非成员会话保持</x:v>
      </x:c>
      <x:c r="I842" s="9" t="str">
        <x:v>1. 执行角色为普通观众；当前处于直播间（普通房）页面
2. 当前非成员但已在房间；主播刚开启成员限制</x:v>
      </x:c>
      <x:c r="J842" s="9" t="str">
        <x:v>1. 查看当前直播画面</x:v>
      </x:c>
      <x:c r="K842" s="9" t="str">
        <x:v>当前用户不被强制退出</x:v>
      </x:c>
      <x:c r="L842" s="10" t="str"/>
      <x:c r="M842" s="10" t="str">
        <x:v>未测</x:v>
      </x:c>
      <x:c r="N842" s="10" t="str"/>
      <x:c r="O842" s="9" t="str">
        <x:v>1. 来源（当前证据）：liveshow-proto/MainBasis/统一需求文档.md；位置：行770、行1656、行759
2. 规则：BR-92a11518f8b694ff
3. 未动态验证</x:v>
      </x:c>
    </x:row>
    <x:row r="843" ht="85" customHeight="1">
      <x:c r="A843" s="10" t="n">
        <x:v>842</x:v>
      </x:c>
      <x:c r="B843" s="10" t="str">
        <x:v>USER-03-0034</x:v>
      </x:c>
      <x:c r="C843" s="10" t="str">
        <x:v>直播</x:v>
      </x:c>
      <x:c r="D843" s="10" t="str">
        <x:v>直播间（普通房）（普通观众视角）</x:v>
      </x:c>
      <x:c r="E843" s="10" t="str">
        <x:v>功能需求</x:v>
      </x:c>
      <x:c r="F843" s="10" t="str">
        <x:v>P1</x:v>
      </x:c>
      <x:c r="G843" s="9" t="str">
        <x:v>验证非成员离开后受新限制</x:v>
      </x:c>
      <x:c r="H843" s="9" t="str">
        <x:v>重进房成员资格校验</x:v>
      </x:c>
      <x:c r="I843" s="9" t="str">
        <x:v>1. 执行角色为普通观众；当前处于直播间（普通房）页面
2. 本账号非成员；主播已开启成员限制</x:v>
      </x:c>
      <x:c r="J843" s="9" t="str">
        <x:v>1. 退出房间
2. 重新进入该房间</x:v>
      </x:c>
      <x:c r="K843" s="9" t="str">
        <x:v>被成员限制拦截</x:v>
      </x:c>
      <x:c r="L843" s="10" t="str"/>
      <x:c r="M843" s="10" t="str">
        <x:v>未测</x:v>
      </x:c>
      <x:c r="N843" s="10" t="str"/>
      <x:c r="O843" s="9" t="str">
        <x:v>1. 来源（当前证据）：liveshow-proto/MainBasis/统一需求文档.md；位置：行1656、行759
2. 规则：BR-b2715cc174d7e591
3. 未动态验证</x:v>
      </x:c>
    </x:row>
    <x:row r="844" ht="85" customHeight="1">
      <x:c r="A844" s="10" t="n">
        <x:v>843</x:v>
      </x:c>
      <x:c r="B844" s="10" t="str">
        <x:v>USER-03-0035</x:v>
      </x:c>
      <x:c r="C844" s="10" t="str">
        <x:v>直播</x:v>
      </x:c>
      <x:c r="D844" s="10" t="str">
        <x:v>直播间（普通房）（普通观众视角）</x:v>
      </x:c>
      <x:c r="E844" s="10" t="str">
        <x:v>功能需求</x:v>
      </x:c>
      <x:c r="F844" s="10" t="str">
        <x:v>P1</x:v>
      </x:c>
      <x:c r="G844" s="9" t="str">
        <x:v>验证本场禁言禁止发送</x:v>
      </x:c>
      <x:c r="H844" s="9" t="str">
        <x:v>场次禁言发送限制</x:v>
      </x:c>
      <x:c r="I844" s="9" t="str">
        <x:v>1. 执行角色为普通观众；当前处于直播间（普通房）页面
2. 当前被本场禁言</x:v>
      </x:c>
      <x:c r="J844" s="9" t="str">
        <x:v>1. 尝试发送公屏文本“QA消息”</x:v>
      </x:c>
      <x:c r="K844" s="9" t="str">
        <x:v>不生成公屏消息</x:v>
      </x:c>
      <x:c r="L844" s="10" t="str"/>
      <x:c r="M844" s="10" t="str">
        <x:v>未测</x:v>
      </x:c>
      <x:c r="N844" s="10" t="str"/>
      <x:c r="O844" s="9" t="str">
        <x:v>1. 来源（当前证据）：liveshow-proto/MainBasis/统一需求文档.md；位置：行1634、行759
2. 规则：BR-a06d177434770ba8
3. 未动态验证</x:v>
      </x:c>
    </x:row>
    <x:row r="845" ht="85" customHeight="1">
      <x:c r="A845" s="10" t="n">
        <x:v>844</x:v>
      </x:c>
      <x:c r="B845" s="10" t="str">
        <x:v>USER-03-0036</x:v>
      </x:c>
      <x:c r="C845" s="10" t="str">
        <x:v>直播</x:v>
      </x:c>
      <x:c r="D845" s="10" t="str">
        <x:v>直播间（普通房）（普通观众视角）</x:v>
      </x:c>
      <x:c r="E845" s="10" t="str">
        <x:v>功能需求</x:v>
      </x:c>
      <x:c r="F845" s="10" t="str">
        <x:v>P1</x:v>
      </x:c>
      <x:c r="G845" s="9" t="str">
        <x:v>验证禁言不影响观看</x:v>
      </x:c>
      <x:c r="H845" s="9" t="str">
        <x:v>禁言用户观看权限</x:v>
      </x:c>
      <x:c r="I845" s="9" t="str">
        <x:v>1. 执行角色为普通观众；当前处于直播间（普通房）页面
2. 当前被本场禁言</x:v>
      </x:c>
      <x:c r="J845" s="9" t="str">
        <x:v>1. 查看直播画面</x:v>
      </x:c>
      <x:c r="K845" s="9" t="str">
        <x:v>仍可观看直播</x:v>
      </x:c>
      <x:c r="L845" s="10" t="str"/>
      <x:c r="M845" s="10" t="str">
        <x:v>未测</x:v>
      </x:c>
      <x:c r="N845" s="10" t="str"/>
      <x:c r="O845" s="9" t="str">
        <x:v>1. 来源（当前证据）：liveshow-proto/MainBasis/统一需求文档.md；位置：行1631、行759
2. 规则：BR-3edb26570c929578
3. 未动态验证</x:v>
      </x:c>
    </x:row>
    <x:row r="846" ht="85" customHeight="1">
      <x:c r="A846" s="10" t="n">
        <x:v>845</x:v>
      </x:c>
      <x:c r="B846" s="10" t="str">
        <x:v>USER-03-0037</x:v>
      </x:c>
      <x:c r="C846" s="10" t="str">
        <x:v>直播</x:v>
      </x:c>
      <x:c r="D846" s="10" t="str">
        <x:v>直播间（普通房）（普通观众视角）</x:v>
      </x:c>
      <x:c r="E846" s="10" t="str">
        <x:v>功能需求</x:v>
      </x:c>
      <x:c r="F846" s="10" t="str">
        <x:v>P1</x:v>
      </x:c>
      <x:c r="G846" s="9" t="str">
        <x:v>验证禁言不影响送礼</x:v>
      </x:c>
      <x:c r="H846" s="9" t="str">
        <x:v>禁言下送礼资格</x:v>
      </x:c>
      <x:c r="I846" s="9" t="str">
        <x:v>1. 执行角色为普通观众；当前处于直播间（普通房）页面
2. 当前被本场禁言；金币和送礼资格满足</x:v>
      </x:c>
      <x:c r="J846" s="9" t="str">
        <x:v>1. 选择普通礼物和数量
2. 点击赠送</x:v>
      </x:c>
      <x:c r="K846" s="9" t="str">
        <x:v>礼物可以成功送出</x:v>
      </x:c>
      <x:c r="L846" s="10" t="str"/>
      <x:c r="M846" s="10" t="str">
        <x:v>未测</x:v>
      </x:c>
      <x:c r="N846" s="10" t="str"/>
      <x:c r="O846" s="9" t="str">
        <x:v>1. 来源（当前证据）：liveshow-proto/MainBasis/统一需求文档.md；位置：行1631、行759
2. 规则：BR-66efb8e202ee0cd8
3. 未动态验证</x:v>
      </x:c>
    </x:row>
    <x:row r="847" ht="85" customHeight="1">
      <x:c r="A847" s="10" t="n">
        <x:v>846</x:v>
      </x:c>
      <x:c r="B847" s="10" t="str">
        <x:v>USER-03-0038</x:v>
      </x:c>
      <x:c r="C847" s="10" t="str">
        <x:v>直播</x:v>
      </x:c>
      <x:c r="D847" s="10" t="str">
        <x:v>直播间（普通房）（普通观众视角）</x:v>
      </x:c>
      <x:c r="E847" s="10" t="str">
        <x:v>功能需求</x:v>
      </x:c>
      <x:c r="F847" s="10" t="str">
        <x:v>P1</x:v>
      </x:c>
      <x:c r="G847" s="9" t="str">
        <x:v>验证禁言不影响私信</x:v>
      </x:c>
      <x:c r="H847" s="9" t="str">
        <x:v>禁言下私信资格</x:v>
      </x:c>
      <x:c r="I847" s="9" t="str">
        <x:v>1. 执行角色为普通观众；当前处于直播间（普通房）页面
2. 当前被本场禁言；目标为未拉黑好友</x:v>
      </x:c>
      <x:c r="J847" s="9" t="str">
        <x:v>1. 打开目标用户资料卡
2. 点击私信
3. 发送文本“QA私信”</x:v>
      </x:c>
      <x:c r="K847" s="9" t="str">
        <x:v>私信可以成功发送</x:v>
      </x:c>
      <x:c r="L847" s="10" t="str"/>
      <x:c r="M847" s="10" t="str">
        <x:v>未测</x:v>
      </x:c>
      <x:c r="N847" s="10" t="str"/>
      <x:c r="O847" s="9" t="str">
        <x:v>1. 来源（当前证据）：liveshow-proto/MainBasis/统一需求文档.md；位置：行1631、行759
2. 规则：BR-c437060afdc3e8c6
3. 未动态验证</x:v>
      </x:c>
    </x:row>
    <x:row r="848" ht="85" customHeight="1">
      <x:c r="A848" s="10" t="n">
        <x:v>847</x:v>
      </x:c>
      <x:c r="B848" s="10" t="str">
        <x:v>USER-03-0039</x:v>
      </x:c>
      <x:c r="C848" s="10" t="str">
        <x:v>直播</x:v>
      </x:c>
      <x:c r="D848" s="10" t="str">
        <x:v>直播间（普通房）（普通观众视角）</x:v>
      </x:c>
      <x:c r="E848" s="10" t="str">
        <x:v>功能需求</x:v>
      </x:c>
      <x:c r="F848" s="10" t="str">
        <x:v>P1</x:v>
      </x:c>
      <x:c r="G848" s="9" t="str">
        <x:v>验证解除禁言立即恢复</x:v>
      </x:c>
      <x:c r="H848" s="9" t="str">
        <x:v>解除禁言后公屏发送</x:v>
      </x:c>
      <x:c r="I848" s="9" t="str">
        <x:v>1. 执行角色为普通观众；当前处于直播间（普通房）页面
2. 主播已解除本账号本场禁言</x:v>
      </x:c>
      <x:c r="J848" s="9" t="str">
        <x:v>1. 输入文本“QA恢复”
2. 点击发送</x:v>
      </x:c>
      <x:c r="K848" s="9" t="str">
        <x:v>消息写入公屏</x:v>
      </x:c>
      <x:c r="L848" s="10" t="str"/>
      <x:c r="M848" s="10" t="str">
        <x:v>未测</x:v>
      </x:c>
      <x:c r="N848" s="10" t="str"/>
      <x:c r="O848" s="9" t="str">
        <x:v>1. 来源（当前证据）：liveshow-proto/MainBasis/统一需求文档.md；位置：行1632、行759
2. 规则：BR-d68450be5660efee
3. 未动态验证</x:v>
      </x:c>
    </x:row>
    <x:row r="849" ht="130" customHeight="1">
      <x:c r="A849" s="10" t="n">
        <x:v>848</x:v>
      </x:c>
      <x:c r="B849" s="10" t="str">
        <x:v>USER-03-0040</x:v>
      </x:c>
      <x:c r="C849" s="10" t="str">
        <x:v>直播</x:v>
      </x:c>
      <x:c r="D849" s="10" t="str">
        <x:v>直播间（普通房）（普通观众视角）</x:v>
      </x:c>
      <x:c r="E849" s="10" t="str">
        <x:v>功能需求</x:v>
      </x:c>
      <x:c r="F849" s="10" t="str">
        <x:v>P1</x:v>
      </x:c>
      <x:c r="G849" s="9" t="str">
        <x:v>验证新场次恢复发言</x:v>
      </x:c>
      <x:c r="H849" s="9" t="str">
        <x:v>新场次公屏发送资格</x:v>
      </x:c>
      <x:c r="I849" s="9" t="str">
        <x:v>1. 执行角色为普通观众；当前处于直播间（普通房）页面
2. 上一场被禁言且未解除；当前为同主播下一场</x:v>
      </x:c>
      <x:c r="J849" s="9" t="str">
        <x:v>1. 输入文本“QA新场”
2. 点击发送</x:v>
      </x:c>
      <x:c r="K849" s="9" t="str">
        <x:v>消息可以成功发送</x:v>
      </x:c>
      <x:c r="L849" s="10" t="str">
        <x:v>FLOW-9B4FA5F8</x:v>
      </x:c>
      <x:c r="M849" s="10" t="str">
        <x:v>未测</x:v>
      </x:c>
      <x:c r="N849" s="10" t="str"/>
      <x:c r="O849" s="9" t="str">
        <x:v>1. 来源（当前证据）：liveshow-proto/MainBasis/统一需求文档.md；位置：行1633、行759
2. 规则：BR-475d8b095675cde8
3. 未动态验证
4. 状态转换：ST-USER-029；共同业务对象：直播禁言；当前阶段：下一场重新进入后的用户App观察</x:v>
      </x:c>
    </x:row>
    <x:row r="850" ht="85" customHeight="1">
      <x:c r="A850" s="10" t="n">
        <x:v>849</x:v>
      </x:c>
      <x:c r="B850" s="10" t="str">
        <x:v>USER-03-0041</x:v>
      </x:c>
      <x:c r="C850" s="10" t="str">
        <x:v>直播</x:v>
      </x:c>
      <x:c r="D850" s="10" t="str">
        <x:v>直播间（普通房）（普通观众视角）</x:v>
      </x:c>
      <x:c r="E850" s="10" t="str">
        <x:v>功能需求</x:v>
      </x:c>
      <x:c r="F850" s="10" t="str">
        <x:v>P1</x:v>
      </x:c>
      <x:c r="G850" s="9" t="str">
        <x:v>验证被踢出新场可进入</x:v>
      </x:c>
      <x:c r="H850" s="9" t="str">
        <x:v>新场次入场资格</x:v>
      </x:c>
      <x:c r="I850" s="9" t="str">
        <x:v>1. 执行角色为普通观众；当前处于直播间（普通房）页面
2. 上一场被踢出；当前主播已开新的普通场次；无其他限制</x:v>
      </x:c>
      <x:c r="J850" s="9" t="str">
        <x:v>1. 进入新场次</x:v>
      </x:c>
      <x:c r="K850" s="9" t="str">
        <x:v>允许进入新场次</x:v>
      </x:c>
      <x:c r="L850" s="10" t="str"/>
      <x:c r="M850" s="10" t="str">
        <x:v>未测</x:v>
      </x:c>
      <x:c r="N850" s="10" t="str"/>
      <x:c r="O850" s="9" t="str">
        <x:v>1. 来源（当前证据）：liveshow-proto/MainBasis/统一需求文档.md；位置：行769、行759
2. 规则：BR-a83eaaab23b11b16
3. 未动态验证</x:v>
      </x:c>
    </x:row>
    <x:row r="851" ht="85" customHeight="1">
      <x:c r="A851" s="10" t="n">
        <x:v>850</x:v>
      </x:c>
      <x:c r="B851" s="10" t="str">
        <x:v>USER-03-0042</x:v>
      </x:c>
      <x:c r="C851" s="10" t="str">
        <x:v>直播</x:v>
      </x:c>
      <x:c r="D851" s="10" t="str">
        <x:v>直播间（普通房）（普通观众视角）</x:v>
      </x:c>
      <x:c r="E851" s="10" t="str">
        <x:v>功能需求</x:v>
      </x:c>
      <x:c r="F851" s="10" t="str">
        <x:v>P2</x:v>
      </x:c>
      <x:c r="G851" s="9" t="str">
        <x:v>验证礼物面板配置：礼物图标</x:v>
      </x:c>
      <x:c r="H851" s="9" t="str">
        <x:v>礼物图标</x:v>
      </x:c>
      <x:c r="I851" s="9" t="str">
        <x:v>1. 执行角色为普通观众；当前处于直播间（普通房）页面
2. 平台上架礼物A单价10金币</x:v>
      </x:c>
      <x:c r="J851" s="9" t="str">
        <x:v>1. 打开礼物面板</x:v>
      </x:c>
      <x:c r="K851" s="9" t="str">
        <x:v>图标为礼物A当前配置图标</x:v>
      </x:c>
      <x:c r="L851" s="10" t="str"/>
      <x:c r="M851" s="10" t="str">
        <x:v>未测</x:v>
      </x:c>
      <x:c r="N851" s="10" t="str"/>
      <x:c r="O851" s="9" t="str">
        <x:v>1. 来源（当前证据）：liveshow-proto/MainBasis/统一需求文档.md；位置：行1576、行759
2. 规则：BR-20668d67a007348e
3. 未动态验证</x:v>
      </x:c>
    </x:row>
    <x:row r="852" ht="85" customHeight="1">
      <x:c r="A852" s="10" t="n">
        <x:v>851</x:v>
      </x:c>
      <x:c r="B852" s="10" t="str">
        <x:v>USER-03-0043</x:v>
      </x:c>
      <x:c r="C852" s="10" t="str">
        <x:v>直播</x:v>
      </x:c>
      <x:c r="D852" s="10" t="str">
        <x:v>直播间（普通房）（普通观众视角）</x:v>
      </x:c>
      <x:c r="E852" s="10" t="str">
        <x:v>功能需求</x:v>
      </x:c>
      <x:c r="F852" s="10" t="str">
        <x:v>P2</x:v>
      </x:c>
      <x:c r="G852" s="9" t="str">
        <x:v>验证礼物面板配置：礼物名称</x:v>
      </x:c>
      <x:c r="H852" s="9" t="str">
        <x:v>礼物名称</x:v>
      </x:c>
      <x:c r="I852" s="9" t="str">
        <x:v>1. 执行角色为普通观众；当前处于直播间（普通房）页面
2. 平台上架礼物A单价10金币</x:v>
      </x:c>
      <x:c r="J852" s="9" t="str">
        <x:v>1. 打开礼物面板</x:v>
      </x:c>
      <x:c r="K852" s="9" t="str">
        <x:v>名称为礼物A</x:v>
      </x:c>
      <x:c r="L852" s="10" t="str"/>
      <x:c r="M852" s="10" t="str">
        <x:v>未测</x:v>
      </x:c>
      <x:c r="N852" s="10" t="str"/>
      <x:c r="O852" s="9" t="str">
        <x:v>1. 来源（当前证据）：liveshow-proto/MainBasis/统一需求文档.md；位置：行1576、行759
2. 规则：BR-257eea91d79bf912
3. 未动态验证</x:v>
      </x:c>
    </x:row>
    <x:row r="853" ht="85" customHeight="1">
      <x:c r="A853" s="10" t="n">
        <x:v>852</x:v>
      </x:c>
      <x:c r="B853" s="10" t="str">
        <x:v>USER-03-0044</x:v>
      </x:c>
      <x:c r="C853" s="10" t="str">
        <x:v>直播</x:v>
      </x:c>
      <x:c r="D853" s="10" t="str">
        <x:v>直播间（普通房）（普通观众视角）</x:v>
      </x:c>
      <x:c r="E853" s="10" t="str">
        <x:v>功能需求</x:v>
      </x:c>
      <x:c r="F853" s="10" t="str">
        <x:v>P1</x:v>
      </x:c>
      <x:c r="G853" s="9" t="str">
        <x:v>验证礼物面板配置：礼物价格</x:v>
      </x:c>
      <x:c r="H853" s="9" t="str">
        <x:v>礼物价格</x:v>
      </x:c>
      <x:c r="I853" s="9" t="str">
        <x:v>1. 执行角色为普通观众；当前处于直播间（普通房）页面
2. 平台上架礼物A单价10金币</x:v>
      </x:c>
      <x:c r="J853" s="9" t="str">
        <x:v>1. 打开礼物面板</x:v>
      </x:c>
      <x:c r="K853" s="9" t="str">
        <x:v>单价为10金币</x:v>
      </x:c>
      <x:c r="L853" s="10" t="str"/>
      <x:c r="M853" s="10" t="str">
        <x:v>未测</x:v>
      </x:c>
      <x:c r="N853" s="10" t="str"/>
      <x:c r="O853" s="9" t="str">
        <x:v>1. 来源（当前证据）：liveshow-proto/MainBasis/统一需求文档.md；位置：行1576、行759
2. 规则：BR-c407bf02ddd28c3b
3. 未动态验证</x:v>
      </x:c>
    </x:row>
    <x:row r="854" ht="85" customHeight="1">
      <x:c r="A854" s="10" t="n">
        <x:v>853</x:v>
      </x:c>
      <x:c r="B854" s="10" t="str">
        <x:v>USER-03-0045</x:v>
      </x:c>
      <x:c r="C854" s="10" t="str">
        <x:v>直播</x:v>
      </x:c>
      <x:c r="D854" s="10" t="str">
        <x:v>直播间（普通房）（普通观众视角）</x:v>
      </x:c>
      <x:c r="E854" s="10" t="str">
        <x:v>功能需求</x:v>
      </x:c>
      <x:c r="F854" s="10" t="str">
        <x:v>P1</x:v>
      </x:c>
      <x:c r="G854" s="9" t="str">
        <x:v>验证真实用户余额类型</x:v>
      </x:c>
      <x:c r="H854" s="9" t="str">
        <x:v>资产数值</x:v>
      </x:c>
      <x:c r="I854" s="9" t="str">
        <x:v>1. 执行角色为普通观众；当前处于直播间（普通房）页面
2. 真实余额100，虚拟余额不适用于本账号</x:v>
      </x:c>
      <x:c r="J854" s="9" t="str">
        <x:v>1. 打开礼物面板查看余额</x:v>
      </x:c>
      <x:c r="K854" s="9" t="str">
        <x:v>展示真实金币余额100</x:v>
      </x:c>
      <x:c r="L854" s="10" t="str"/>
      <x:c r="M854" s="10" t="str">
        <x:v>未测</x:v>
      </x:c>
      <x:c r="N854" s="10" t="str"/>
      <x:c r="O854" s="9" t="str">
        <x:v>1. 来源（当前证据）：liveshow-proto/MainBasis/统一需求文档.md；位置：行1578、行759
2. 规则：BR-a83a5033a25fa926
3. 未动态验证</x:v>
      </x:c>
    </x:row>
    <x:row r="855" ht="85" customHeight="1">
      <x:c r="A855" s="10" t="n">
        <x:v>854</x:v>
      </x:c>
      <x:c r="B855" s="10" t="str">
        <x:v>USER-03-0046</x:v>
      </x:c>
      <x:c r="C855" s="10" t="str">
        <x:v>直播</x:v>
      </x:c>
      <x:c r="D855" s="10" t="str">
        <x:v>直播间（普通房）（普通观众视角）</x:v>
      </x:c>
      <x:c r="E855" s="10" t="str">
        <x:v>功能需求</x:v>
      </x:c>
      <x:c r="F855" s="10" t="str">
        <x:v>P1</x:v>
      </x:c>
      <x:c r="G855" s="9" t="str">
        <x:v>验证礼物数量对应金额</x:v>
      </x:c>
      <x:c r="H855" s="9" t="str">
        <x:v>资产数值</x:v>
      </x:c>
      <x:c r="I855" s="9" t="str">
        <x:v>1. 执行角色为普通观众；当前处于直播间（普通房）页面
2. 礼物A单价10金币</x:v>
      </x:c>
      <x:c r="J855" s="9" t="str">
        <x:v>1. 选择礼物A
2. 选择数量10</x:v>
      </x:c>
      <x:c r="K855" s="9" t="str">
        <x:v>显示所需金币100（计算结果 = 100 金币）</x:v>
      </x:c>
      <x:c r="L855" s="10" t="str"/>
      <x:c r="M855" s="10" t="str">
        <x:v>未测</x:v>
      </x:c>
      <x:c r="N855" s="10" t="str"/>
      <x:c r="O855" s="9" t="str">
        <x:v>1. 来源（当前证据）：liveshow-proto/MainBasis/统一需求文档.md；位置：行1577、行1585、行759
2. 规则：BR-a9ee6cb4da635c05
3. 未动态验证</x:v>
      </x:c>
    </x:row>
    <x:row r="856" ht="130" customHeight="1">
      <x:c r="A856" s="10" t="n">
        <x:v>855</x:v>
      </x:c>
      <x:c r="B856" s="10" t="str">
        <x:v>USER-03-0047</x:v>
      </x:c>
      <x:c r="C856" s="10" t="str">
        <x:v>直播</x:v>
      </x:c>
      <x:c r="D856" s="10" t="str">
        <x:v>直播间（普通房）（普通观众视角）</x:v>
      </x:c>
      <x:c r="E856" s="10" t="str">
        <x:v>功能需求</x:v>
      </x:c>
      <x:c r="F856" s="10" t="str">
        <x:v>P0</x:v>
      </x:c>
      <x:c r="G856" s="9" t="str">
        <x:v>验证成功送礼扣款</x:v>
      </x:c>
      <x:c r="H856" s="9" t="str">
        <x:v>资产数值</x:v>
      </x:c>
      <x:c r="I856" s="9" t="str">
        <x:v>1. 执行角色为普通观众；当前处于直播间（普通房）页面
2. 余额100；上架普通礼物单价10</x:v>
      </x:c>
      <x:c r="J856" s="9" t="str">
        <x:v>1. 选择礼物及数量1
2. 点击赠送</x:v>
      </x:c>
      <x:c r="K856" s="9" t="str">
        <x:v>余额变为90金币（计算结果 = 90 金币）</x:v>
      </x:c>
      <x:c r="L856" s="10" t="str">
        <x:v>FLOW-7FF8ECB8</x:v>
      </x:c>
      <x:c r="M856" s="10" t="str">
        <x:v>未测</x:v>
      </x:c>
      <x:c r="N856" s="10" t="str"/>
      <x:c r="O856" s="9" t="str">
        <x:v>1. 来源（当前证据）：liveshow-proto/MainBasis/统一需求文档.md；位置：行1586、行759
2. 规则：BR-a7058e075d9b6cf2
3. 未动态验证
4. 状态转换：ST-USER-025；共同业务对象：消费订单；当前阶段：消费成功后的用户App观察</x:v>
      </x:c>
    </x:row>
    <x:row r="857" ht="85" customHeight="1">
      <x:c r="A857" s="10" t="n">
        <x:v>856</x:v>
      </x:c>
      <x:c r="B857" s="10" t="str">
        <x:v>USER-03-0048</x:v>
      </x:c>
      <x:c r="C857" s="10" t="str">
        <x:v>直播</x:v>
      </x:c>
      <x:c r="D857" s="10" t="str">
        <x:v>直播间（普通房）（普通观众视角）</x:v>
      </x:c>
      <x:c r="E857" s="10" t="str">
        <x:v>功能需求</x:v>
      </x:c>
      <x:c r="F857" s="10" t="str">
        <x:v>P2</x:v>
      </x:c>
      <x:c r="G857" s="9" t="str">
        <x:v>验证成功送礼效果</x:v>
      </x:c>
      <x:c r="H857" s="9" t="str">
        <x:v>所选礼物播放效果</x:v>
      </x:c>
      <x:c r="I857" s="9" t="str">
        <x:v>1. 执行角色为普通观众；当前处于直播间（普通房）页面
2. 余额充足；礼物A上架</x:v>
      </x:c>
      <x:c r="J857" s="9" t="str">
        <x:v>1. 选择A及数量1
2. 点击赠送</x:v>
      </x:c>
      <x:c r="K857" s="9" t="str">
        <x:v>播放该礼物效果</x:v>
      </x:c>
      <x:c r="L857" s="10" t="str"/>
      <x:c r="M857" s="10" t="str">
        <x:v>未测</x:v>
      </x:c>
      <x:c r="N857" s="10" t="str"/>
      <x:c r="O857" s="9" t="str">
        <x:v>1. 来源（当前证据）：liveshow-proto/MainBasis/统一需求文档.md；位置：行1586、行759
2. 规则：BR-9f5046920bc24970
3. 未动态验证</x:v>
      </x:c>
    </x:row>
    <x:row r="858" ht="130" customHeight="1">
      <x:c r="A858" s="10" t="n">
        <x:v>857</x:v>
      </x:c>
      <x:c r="B858" s="10" t="str">
        <x:v>USER-03-0049</x:v>
      </x:c>
      <x:c r="C858" s="10" t="str">
        <x:v>直播</x:v>
      </x:c>
      <x:c r="D858" s="10" t="str">
        <x:v>直播间（普通房）（普通观众视角）</x:v>
      </x:c>
      <x:c r="E858" s="10" t="str">
        <x:v>功能需求</x:v>
      </x:c>
      <x:c r="F858" s="10" t="str">
        <x:v>P1</x:v>
      </x:c>
      <x:c r="G858" s="9" t="str">
        <x:v>验证送礼不足不扣款：送礼不足不扣款</x:v>
      </x:c>
      <x:c r="H858" s="9" t="str">
        <x:v>送礼不足不扣款</x:v>
      </x:c>
      <x:c r="I858" s="9" t="str">
        <x:v>1. 执行角色为普通观众；当前处于直播间（普通房）页面
2. 余额9；礼物A单价10</x:v>
      </x:c>
      <x:c r="J858" s="9" t="str">
        <x:v>1. 选择A及数量1
2. 点击赠送</x:v>
      </x:c>
      <x:c r="K858" s="9" t="str">
        <x:v>余额仍为9金币</x:v>
      </x:c>
      <x:c r="L858" s="10" t="str">
        <x:v>FLOW-7FF8ECB8</x:v>
      </x:c>
      <x:c r="M858" s="10" t="str">
        <x:v>未测</x:v>
      </x:c>
      <x:c r="N858" s="10" t="str"/>
      <x:c r="O858" s="9" t="str">
        <x:v>1. 来源（当前证据）：liveshow-proto/MainBasis/统一需求文档.md；位置：行1587、行759
2. 规则：BR-2e3bdc12c5612e51
3. 未动态验证
4. 状态转换：ST-USER-026；共同业务对象：消费订单；当前阶段：尝试消费后的用户App观察</x:v>
      </x:c>
    </x:row>
    <x:row r="859" ht="130" customHeight="1">
      <x:c r="A859" s="10" t="n">
        <x:v>858</x:v>
      </x:c>
      <x:c r="B859" s="10" t="str">
        <x:v>USER-03-0050</x:v>
      </x:c>
      <x:c r="C859" s="10" t="str">
        <x:v>直播</x:v>
      </x:c>
      <x:c r="D859" s="10" t="str">
        <x:v>直播间（普通房）（普通观众视角）</x:v>
      </x:c>
      <x:c r="E859" s="10" t="str">
        <x:v>功能需求</x:v>
      </x:c>
      <x:c r="F859" s="10" t="str">
        <x:v>P1</x:v>
      </x:c>
      <x:c r="G859" s="9" t="str">
        <x:v>验证送礼不足不扣款：送礼不足充值视图</x:v>
      </x:c>
      <x:c r="H859" s="9" t="str">
        <x:v>送礼不足充值视图</x:v>
      </x:c>
      <x:c r="I859" s="9" t="str">
        <x:v>1. 执行角色为普通观众；当前处于直播间（普通房）页面
2. 余额9；礼物A单价10</x:v>
      </x:c>
      <x:c r="J859" s="9" t="str">
        <x:v>1. 选择A及数量1
2. 点击赠送</x:v>
      </x:c>
      <x:c r="K859" s="9" t="str">
        <x:v>打开充值视图</x:v>
      </x:c>
      <x:c r="L859" s="10" t="str">
        <x:v>FLOW-7FF8ECB8</x:v>
      </x:c>
      <x:c r="M859" s="10" t="str">
        <x:v>未测</x:v>
      </x:c>
      <x:c r="N859" s="10" t="str"/>
      <x:c r="O859" s="9" t="str">
        <x:v>1. 来源（当前证据）：liveshow-proto/MainBasis/统一需求文档.md；位置：行1587、行759
2. 规则：BR-75b4f0dbb395b480
3. 未动态验证
4. 状态转换：ST-USER-026；共同业务对象：消费订单；当前阶段：尝试消费后的用户App观察</x:v>
      </x:c>
    </x:row>
    <x:row r="860" ht="160" customHeight="1">
      <x:c r="A860" s="10" t="n">
        <x:v>859</x:v>
      </x:c>
      <x:c r="B860" s="10" t="str">
        <x:v>USER-03-0051</x:v>
      </x:c>
      <x:c r="C860" s="10" t="str">
        <x:v>直播</x:v>
      </x:c>
      <x:c r="D860" s="10" t="str">
        <x:v>直播间（普通房）（普通观众视角）</x:v>
      </x:c>
      <x:c r="E860" s="10" t="str">
        <x:v>异常用例</x:v>
      </x:c>
      <x:c r="F860" s="10" t="str">
        <x:v>P1</x:v>
      </x:c>
      <x:c r="G860" s="9" t="str">
        <x:v>验证送礼请求失败</x:v>
      </x:c>
      <x:c r="H860" s="9" t="str">
        <x:v>资产数值</x:v>
      </x:c>
      <x:c r="I860" s="9" t="str">
        <x:v>1. 执行角色为普通观众；当前处于直播间（普通房）页面
2. 余额100；礼物A单价10；请求返回失败
3. 环境准备要求（尚未具备）：需测试服务让指定赠送请求在扣款前返回失败；原余额、礼物配置和赠送资格维持满足条件</x:v>
      </x:c>
      <x:c r="J860" s="9" t="str">
        <x:v>1. 选择A及数量1
2. 点击赠送</x:v>
      </x:c>
      <x:c r="K860" s="9" t="str">
        <x:v>余额仍为100金币</x:v>
      </x:c>
      <x:c r="L860" s="10" t="str"/>
      <x:c r="M860" s="10" t="str">
        <x:v>未测</x:v>
      </x:c>
      <x:c r="N860" s="10" t="str"/>
      <x:c r="O860" s="9" t="str">
        <x:v>1. 来源（当前证据）：liveshow-proto/MainBasis/统一需求文档.md；位置：行1584、行759
2. 规则：BR-24647c44d15b63c3
3. 未动态验证
4. 环境待准备：真实金币礼物赠送；时点：本条礼物赠送请求提交时；恢复：本条结束后撤销故障设置，恢复真实请求处理；使用新测试对象复跑正常路径，避免污染后续用例</x:v>
      </x:c>
    </x:row>
    <x:row r="861" ht="85" customHeight="1">
      <x:c r="A861" s="10" t="n">
        <x:v>860</x:v>
      </x:c>
      <x:c r="B861" s="10" t="str">
        <x:v>USER-03-0052</x:v>
      </x:c>
      <x:c r="C861" s="10" t="str">
        <x:v>直播</x:v>
      </x:c>
      <x:c r="D861" s="10" t="str">
        <x:v>直播间（普通房）（普通观众视角）</x:v>
      </x:c>
      <x:c r="E861" s="10" t="str">
        <x:v>功能需求</x:v>
      </x:c>
      <x:c r="F861" s="10" t="str">
        <x:v>P1</x:v>
      </x:c>
      <x:c r="G861" s="9" t="str">
        <x:v>验证下架礼物禁止继续送</x:v>
      </x:c>
      <x:c r="H861" s="9" t="str">
        <x:v>入口可用性</x:v>
      </x:c>
      <x:c r="I861" s="9" t="str">
        <x:v>1. 执行角色为普通观众；当前处于直播间（普通房）页面
2. 礼物A已选中但赠送前被下架</x:v>
      </x:c>
      <x:c r="J861" s="9" t="str">
        <x:v>1. 点击赠送</x:v>
      </x:c>
      <x:c r="K861" s="9" t="str">
        <x:v>不能赠送已下架礼物A</x:v>
      </x:c>
      <x:c r="L861" s="10" t="str"/>
      <x:c r="M861" s="10" t="str">
        <x:v>未测</x:v>
      </x:c>
      <x:c r="N861" s="10" t="str"/>
      <x:c r="O861" s="9" t="str">
        <x:v>1. 来源（当前证据）：liveshow-proto/MainBasis/统一需求文档.md；位置：行1579、行759
2. 规则：BR-56b0756e43f3ad0e
3. 未动态验证</x:v>
      </x:c>
    </x:row>
    <x:row r="862" ht="85" customHeight="1">
      <x:c r="A862" s="10" t="n">
        <x:v>861</x:v>
      </x:c>
      <x:c r="B862" s="10" t="str">
        <x:v>USER-03-0053</x:v>
      </x:c>
      <x:c r="C862" s="10" t="str">
        <x:v>直播</x:v>
      </x:c>
      <x:c r="D862" s="10" t="str">
        <x:v>直播间（普通房）（普通观众视角）</x:v>
      </x:c>
      <x:c r="E862" s="10" t="str">
        <x:v>功能需求</x:v>
      </x:c>
      <x:c r="F862" s="10" t="str">
        <x:v>P1</x:v>
      </x:c>
      <x:c r="G862" s="9" t="str">
        <x:v>验证过期礼物禁止赠送</x:v>
      </x:c>
      <x:c r="H862" s="9" t="str">
        <x:v>入口可用性</x:v>
      </x:c>
      <x:c r="I862" s="9" t="str">
        <x:v>1. 执行角色为普通观众；当前处于直播间（普通房）页面
2. 限时礼物A已超过有效期</x:v>
      </x:c>
      <x:c r="J862" s="9" t="str">
        <x:v>1. 打开礼物面板</x:v>
      </x:c>
      <x:c r="K862" s="9" t="str">
        <x:v>A不可赠送</x:v>
      </x:c>
      <x:c r="L862" s="10" t="str"/>
      <x:c r="M862" s="10" t="str">
        <x:v>未测</x:v>
      </x:c>
      <x:c r="N862" s="10" t="str"/>
      <x:c r="O862" s="9" t="str">
        <x:v>1. 来源（当前证据）：liveshow-proto/MainBasis/统一需求文档.md；位置：行1579、行759
2. 规则：BR-854831b99fd9a031
3. 未动态验证</x:v>
      </x:c>
    </x:row>
    <x:row r="863" ht="85" customHeight="1">
      <x:c r="A863" s="10" t="n">
        <x:v>862</x:v>
      </x:c>
      <x:c r="B863" s="10" t="str">
        <x:v>USER-03-0054</x:v>
      </x:c>
      <x:c r="C863" s="10" t="str">
        <x:v>直播</x:v>
      </x:c>
      <x:c r="D863" s="10" t="str">
        <x:v>直播间（普通房）（普通观众视角）</x:v>
      </x:c>
      <x:c r="E863" s="10" t="str">
        <x:v>功能需求</x:v>
      </x:c>
      <x:c r="F863" s="10" t="str">
        <x:v>P1</x:v>
      </x:c>
      <x:c r="G863" s="9" t="str">
        <x:v>验证负余额禁止消费</x:v>
      </x:c>
      <x:c r="H863" s="9" t="str">
        <x:v>入口可用性</x:v>
      </x:c>
      <x:c r="I863" s="9" t="str">
        <x:v>1. 执行角色为普通观众；当前处于直播间（普通房）页面
2. 当前真实余额-1；目标礼物有效</x:v>
      </x:c>
      <x:c r="J863" s="9" t="str">
        <x:v>1. 选择礼物及数量1
2. 点击赠送</x:v>
      </x:c>
      <x:c r="K863" s="9" t="str">
        <x:v>无法继续消费且不扣款</x:v>
      </x:c>
      <x:c r="L863" s="10" t="str"/>
      <x:c r="M863" s="10" t="str">
        <x:v>未测</x:v>
      </x:c>
      <x:c r="N863" s="10" t="str"/>
      <x:c r="O863" s="9" t="str">
        <x:v>1. 来源（当前证据）：liveshow-proto/MainBasis/统一需求文档.md；位置：行506、行1587、行759
2. 规则：BR-260d2e56ce48d176
3. 未动态验证</x:v>
      </x:c>
    </x:row>
    <x:row r="864" ht="85" customHeight="1">
      <x:c r="A864" s="10" t="n">
        <x:v>863</x:v>
      </x:c>
      <x:c r="B864" s="10" t="str">
        <x:v>USER-03-0055</x:v>
      </x:c>
      <x:c r="C864" s="10" t="str">
        <x:v>直播</x:v>
      </x:c>
      <x:c r="D864" s="10" t="str">
        <x:v>直播间（普通房）（普通观众视角）</x:v>
      </x:c>
      <x:c r="E864" s="10" t="str">
        <x:v>功能需求</x:v>
      </x:c>
      <x:c r="F864" s="10" t="str">
        <x:v>P1</x:v>
      </x:c>
      <x:c r="G864" s="9" t="str">
        <x:v>验证快捷充值成功不自动送礼</x:v>
      </x:c>
      <x:c r="H864" s="9" t="str">
        <x:v>充值返回送礼视图</x:v>
      </x:c>
      <x:c r="I864" s="9" t="str">
        <x:v>1. 执行角色为普通观众；当前处于直播间（普通房）页面
2. 礼物A数量10因余额不足进入快捷充值</x:v>
      </x:c>
      <x:c r="J864" s="9" t="str">
        <x:v>1. 选择套餐
2. 完成沙箱支付</x:v>
      </x:c>
      <x:c r="K864" s="9" t="str">
        <x:v>返回礼物视图且不自动补送A</x:v>
      </x:c>
      <x:c r="L864" s="10" t="str"/>
      <x:c r="M864" s="10" t="str">
        <x:v>未测</x:v>
      </x:c>
      <x:c r="N864" s="10" t="str"/>
      <x:c r="O864" s="9" t="str">
        <x:v>1. 来源（当前证据）：liveshow-proto/MainBasis/统一需求文档.md；位置：行1595、行759
2. 规则：BR-db76aa53eb066fe7
3. 未动态验证</x:v>
      </x:c>
    </x:row>
    <x:row r="865" ht="85" customHeight="1">
      <x:c r="A865" s="10" t="n">
        <x:v>864</x:v>
      </x:c>
      <x:c r="B865" s="10" t="str">
        <x:v>USER-03-0056</x:v>
      </x:c>
      <x:c r="C865" s="10" t="str">
        <x:v>直播</x:v>
      </x:c>
      <x:c r="D865" s="10" t="str">
        <x:v>直播间（普通房）（普通观众视角）</x:v>
      </x:c>
      <x:c r="E865" s="10" t="str">
        <x:v>功能需求</x:v>
      </x:c>
      <x:c r="F865" s="10" t="str">
        <x:v>P1</x:v>
      </x:c>
      <x:c r="G865" s="9" t="str">
        <x:v>验证关闭快捷充值保留选择：关闭充值返回</x:v>
      </x:c>
      <x:c r="H865" s="9" t="str">
        <x:v>关闭充值返回</x:v>
      </x:c>
      <x:c r="I865" s="9" t="str">
        <x:v>1. 执行角色为普通观众；当前处于直播间（普通房）页面
2. 已选礼物A数量10后打开快捷充值</x:v>
      </x:c>
      <x:c r="J865" s="9" t="str">
        <x:v>1. 关闭充值视图</x:v>
      </x:c>
      <x:c r="K865" s="9" t="str">
        <x:v>返回礼物视图</x:v>
      </x:c>
      <x:c r="L865" s="10" t="str"/>
      <x:c r="M865" s="10" t="str">
        <x:v>未测</x:v>
      </x:c>
      <x:c r="N865" s="10" t="str"/>
      <x:c r="O865" s="9" t="str">
        <x:v>1. 来源（当前证据）：liveshow-proto/MainBasis/统一需求文档.md；位置：行1596、行759
2. 规则：BR-a9542498f67d2a58
3. 未动态验证</x:v>
      </x:c>
    </x:row>
    <x:row r="866" ht="85" customHeight="1">
      <x:c r="A866" s="10" t="n">
        <x:v>865</x:v>
      </x:c>
      <x:c r="B866" s="10" t="str">
        <x:v>USER-03-0057</x:v>
      </x:c>
      <x:c r="C866" s="10" t="str">
        <x:v>直播</x:v>
      </x:c>
      <x:c r="D866" s="10" t="str">
        <x:v>直播间（普通房）（普通观众视角）</x:v>
      </x:c>
      <x:c r="E866" s="10" t="str">
        <x:v>功能需求</x:v>
      </x:c>
      <x:c r="F866" s="10" t="str">
        <x:v>P1</x:v>
      </x:c>
      <x:c r="G866" s="9" t="str">
        <x:v>验证关闭快捷充值保留选择：礼物选择保留</x:v>
      </x:c>
      <x:c r="H866" s="9" t="str">
        <x:v>礼物选择保留</x:v>
      </x:c>
      <x:c r="I866" s="9" t="str">
        <x:v>1. 执行角色为普通观众；当前处于直播间（普通房）页面
2. 已选礼物A数量10后打开快捷充值</x:v>
      </x:c>
      <x:c r="J866" s="9" t="str">
        <x:v>1. 关闭充值视图</x:v>
      </x:c>
      <x:c r="K866" s="9" t="str">
        <x:v>选中礼物仍为A</x:v>
      </x:c>
      <x:c r="L866" s="10" t="str"/>
      <x:c r="M866" s="10" t="str">
        <x:v>未测</x:v>
      </x:c>
      <x:c r="N866" s="10" t="str"/>
      <x:c r="O866" s="9" t="str">
        <x:v>1. 来源（当前证据）：liveshow-proto/MainBasis/统一需求文档.md；位置：行1596、行759
2. 规则：BR-420803b0a7bfe889
3. 未动态验证</x:v>
      </x:c>
    </x:row>
    <x:row r="867" ht="85" customHeight="1">
      <x:c r="A867" s="10" t="n">
        <x:v>866</x:v>
      </x:c>
      <x:c r="B867" s="10" t="str">
        <x:v>USER-03-0058</x:v>
      </x:c>
      <x:c r="C867" s="10" t="str">
        <x:v>直播</x:v>
      </x:c>
      <x:c r="D867" s="10" t="str">
        <x:v>直播间（普通房）（普通观众视角）</x:v>
      </x:c>
      <x:c r="E867" s="10" t="str">
        <x:v>功能需求</x:v>
      </x:c>
      <x:c r="F867" s="10" t="str">
        <x:v>P1</x:v>
      </x:c>
      <x:c r="G867" s="9" t="str">
        <x:v>验证关闭快捷充值保留选择：数量选择保留</x:v>
      </x:c>
      <x:c r="H867" s="9" t="str">
        <x:v>数量选择保留</x:v>
      </x:c>
      <x:c r="I867" s="9" t="str">
        <x:v>1. 执行角色为普通观众；当前处于直播间（普通房）页面
2. 已选礼物A数量10后打开快捷充值</x:v>
      </x:c>
      <x:c r="J867" s="9" t="str">
        <x:v>1. 关闭充值视图</x:v>
      </x:c>
      <x:c r="K867" s="9" t="str">
        <x:v>赠送数量仍为10</x:v>
      </x:c>
      <x:c r="L867" s="10" t="str"/>
      <x:c r="M867" s="10" t="str">
        <x:v>未测</x:v>
      </x:c>
      <x:c r="N867" s="10" t="str"/>
      <x:c r="O867" s="9" t="str">
        <x:v>1. 来源（当前证据）：liveshow-proto/MainBasis/统一需求文档.md；位置：行1596、行759
2. 规则：BR-3a360d3b35a81650
3. 未动态验证</x:v>
      </x:c>
    </x:row>
    <x:row r="868" ht="160" customHeight="1">
      <x:c r="A868" s="10" t="n">
        <x:v>867</x:v>
      </x:c>
      <x:c r="B868" s="10" t="str">
        <x:v>USER-03-0059</x:v>
      </x:c>
      <x:c r="C868" s="10" t="str">
        <x:v>直播</x:v>
      </x:c>
      <x:c r="D868" s="10" t="str">
        <x:v>直播间（普通房）（普通观众视角）</x:v>
      </x:c>
      <x:c r="E868" s="10" t="str">
        <x:v>异常用例</x:v>
      </x:c>
      <x:c r="F868" s="10" t="str">
        <x:v>P1</x:v>
      </x:c>
      <x:c r="G868" s="9" t="str">
        <x:v>验证快捷充值失败保留选择：支付失败返回</x:v>
      </x:c>
      <x:c r="H868" s="9" t="str">
        <x:v>支付失败返回</x:v>
      </x:c>
      <x:c r="I868" s="9" t="str">
        <x:v>1. 执行角色为普通观众；当前处于直播间（普通房）页面
2. 已选礼物A数量10；沙箱支付返回失败
3. 环境准备要求（尚未具备）：需配置支付测试订单最终失败结果，并提供应用可收到的失败回调；不能用取消支付替代失败。仅使用测试环境与测试支付账户</x:v>
      </x:c>
      <x:c r="J868" s="9" t="str">
        <x:v>1. 选择套餐
2. 发起支付</x:v>
      </x:c>
      <x:c r="K868" s="9" t="str">
        <x:v>返回礼物视图</x:v>
      </x:c>
      <x:c r="L868" s="10" t="str"/>
      <x:c r="M868" s="10" t="str">
        <x:v>未测</x:v>
      </x:c>
      <x:c r="N868" s="10" t="str"/>
      <x:c r="O868" s="9" t="str">
        <x:v>1. 来源（当前证据）：liveshow-proto/MainBasis/统一需求文档.md；位置：行1596、行759
2. 规则：BR-4b874c20c1d33e75
3. 未动态验证
4. 环境待准备：测试支付订单；时点：本次支付结果回到应用时；恢复：本条结束后撤销故障设置，恢复真实请求处理；使用新测试对象复跑正常路径，避免污染后续用例</x:v>
      </x:c>
    </x:row>
    <x:row r="869" ht="160" customHeight="1">
      <x:c r="A869" s="10" t="n">
        <x:v>868</x:v>
      </x:c>
      <x:c r="B869" s="10" t="str">
        <x:v>USER-03-0060</x:v>
      </x:c>
      <x:c r="C869" s="10" t="str">
        <x:v>直播</x:v>
      </x:c>
      <x:c r="D869" s="10" t="str">
        <x:v>直播间（普通房）（普通观众视角）</x:v>
      </x:c>
      <x:c r="E869" s="10" t="str">
        <x:v>异常用例</x:v>
      </x:c>
      <x:c r="F869" s="10" t="str">
        <x:v>P1</x:v>
      </x:c>
      <x:c r="G869" s="9" t="str">
        <x:v>验证快捷充值失败保留选择：失败礼物选择保留</x:v>
      </x:c>
      <x:c r="H869" s="9" t="str">
        <x:v>失败礼物选择保留</x:v>
      </x:c>
      <x:c r="I869" s="9" t="str">
        <x:v>1. 执行角色为普通观众；当前处于直播间（普通房）页面
2. 已选礼物A数量10；沙箱支付返回失败
3. 环境准备要求（尚未具备）：需配置支付测试订单最终失败结果，并提供应用可收到的失败回调；不能用取消支付替代失败。仅使用测试环境与测试支付账户</x:v>
      </x:c>
      <x:c r="J869" s="9" t="str">
        <x:v>1. 选择套餐
2. 发起支付</x:v>
      </x:c>
      <x:c r="K869" s="9" t="str">
        <x:v>选中礼物仍为A</x:v>
      </x:c>
      <x:c r="L869" s="10" t="str"/>
      <x:c r="M869" s="10" t="str">
        <x:v>未测</x:v>
      </x:c>
      <x:c r="N869" s="10" t="str"/>
      <x:c r="O869" s="9" t="str">
        <x:v>1. 来源（当前证据）：liveshow-proto/MainBasis/统一需求文档.md；位置：行1596、行759
2. 规则：BR-26c845a3188c6cec
3. 未动态验证
4. 环境待准备：测试支付订单；时点：本次支付结果回到应用时；恢复：本条结束后撤销故障设置，恢复真实请求处理；使用新测试对象复跑正常路径，避免污染后续用例</x:v>
      </x:c>
    </x:row>
    <x:row r="870" ht="160" customHeight="1">
      <x:c r="A870" s="10" t="n">
        <x:v>869</x:v>
      </x:c>
      <x:c r="B870" s="10" t="str">
        <x:v>USER-03-0061</x:v>
      </x:c>
      <x:c r="C870" s="10" t="str">
        <x:v>直播</x:v>
      </x:c>
      <x:c r="D870" s="10" t="str">
        <x:v>直播间（普通房）（普通观众视角）</x:v>
      </x:c>
      <x:c r="E870" s="10" t="str">
        <x:v>异常用例</x:v>
      </x:c>
      <x:c r="F870" s="10" t="str">
        <x:v>P1</x:v>
      </x:c>
      <x:c r="G870" s="9" t="str">
        <x:v>验证快捷充值失败保留选择：失败数量选择保留</x:v>
      </x:c>
      <x:c r="H870" s="9" t="str">
        <x:v>失败数量选择保留</x:v>
      </x:c>
      <x:c r="I870" s="9" t="str">
        <x:v>1. 执行角色为普通观众；当前处于直播间（普通房）页面
2. 已选礼物A数量10；沙箱支付返回失败
3. 环境准备要求（尚未具备）：需配置支付测试订单最终失败结果，并提供应用可收到的失败回调；不能用取消支付替代失败。仅使用测试环境与测试支付账户</x:v>
      </x:c>
      <x:c r="J870" s="9" t="str">
        <x:v>1. 选择套餐
2. 发起支付</x:v>
      </x:c>
      <x:c r="K870" s="9" t="str">
        <x:v>赠送数量仍为10</x:v>
      </x:c>
      <x:c r="L870" s="10" t="str"/>
      <x:c r="M870" s="10" t="str">
        <x:v>未测</x:v>
      </x:c>
      <x:c r="N870" s="10" t="str"/>
      <x:c r="O870" s="9" t="str">
        <x:v>1. 来源（当前证据）：liveshow-proto/MainBasis/统一需求文档.md；位置：行1596、行759
2. 规则：BR-b4360aa31dd09de3
3. 未动态验证
4. 环境待准备：测试支付订单；时点：本次支付结果回到应用时；恢复：本条结束后撤销故障设置，恢复真实请求处理；使用新测试对象复跑正常路径，避免污染后续用例</x:v>
      </x:c>
    </x:row>
    <x:row r="871" ht="85" customHeight="1">
      <x:c r="A871" s="10" t="n">
        <x:v>870</x:v>
      </x:c>
      <x:c r="B871" s="10" t="str">
        <x:v>USER-03-0062</x:v>
      </x:c>
      <x:c r="C871" s="10" t="str">
        <x:v>直播</x:v>
      </x:c>
      <x:c r="D871" s="10" t="str">
        <x:v>直播间（普通房）（普通观众视角）</x:v>
      </x:c>
      <x:c r="E871" s="10" t="str">
        <x:v>功能需求</x:v>
      </x:c>
      <x:c r="F871" s="10" t="str">
        <x:v>P1</x:v>
      </x:c>
      <x:c r="G871" s="9" t="str">
        <x:v>验证粉丝团加入条件展示</x:v>
      </x:c>
      <x:c r="H871" s="9" t="str">
        <x:v>账号关系</x:v>
      </x:c>
      <x:c r="I871" s="9" t="str">
        <x:v>1. 执行角色为普通观众；当前处于直播间（普通房）页面
2. 主播配置需关注及贡献100</x:v>
      </x:c>
      <x:c r="J871" s="9" t="str">
        <x:v>1. 打开未加入粉丝团视图</x:v>
      </x:c>
      <x:c r="K871" s="9" t="str">
        <x:v>展示需关注及累计贡献100门槛</x:v>
      </x:c>
      <x:c r="L871" s="10" t="str"/>
      <x:c r="M871" s="10" t="str">
        <x:v>未测</x:v>
      </x:c>
      <x:c r="N871" s="10" t="str"/>
      <x:c r="O871" s="9" t="str">
        <x:v>1. 来源（当前证据）：liveshow-proto/MainBasis/统一需求文档.md；位置：行1609、行759
2. 规则：BR-2c4a1002cdc87d23
3. 未动态验证</x:v>
      </x:c>
    </x:row>
    <x:row r="872" ht="85" customHeight="1">
      <x:c r="A872" s="10" t="n">
        <x:v>871</x:v>
      </x:c>
      <x:c r="B872" s="10" t="str">
        <x:v>USER-03-0063</x:v>
      </x:c>
      <x:c r="C872" s="10" t="str">
        <x:v>直播</x:v>
      </x:c>
      <x:c r="D872" s="10" t="str">
        <x:v>直播间（普通房）（普通观众视角）</x:v>
      </x:c>
      <x:c r="E872" s="10" t="str">
        <x:v>功能需求</x:v>
      </x:c>
      <x:c r="F872" s="10" t="str">
        <x:v>P1</x:v>
      </x:c>
      <x:c r="G872" s="9" t="str">
        <x:v>验证未关注不能入团</x:v>
      </x:c>
      <x:c r="H872" s="9" t="str">
        <x:v>未关注入团拒绝提示</x:v>
      </x:c>
      <x:c r="I872" s="9" t="str">
        <x:v>1. 执行角色为普通观众；当前处于直播间（普通房）页面
2. 主播要求关注；当前未关注且其他条件满足</x:v>
      </x:c>
      <x:c r="J872" s="9" t="str">
        <x:v>1. 点击加入粉丝团</x:v>
      </x:c>
      <x:c r="K872" s="9" t="str">
        <x:v>不加入并提示“未满足进群条件”</x:v>
      </x:c>
      <x:c r="L872" s="10" t="str"/>
      <x:c r="M872" s="10" t="str">
        <x:v>未测</x:v>
      </x:c>
      <x:c r="N872" s="10" t="str"/>
      <x:c r="O872" s="9" t="str">
        <x:v>1. 来源（当前证据）：liveshow-proto/MainBasis/统一需求文档.md；位置：行1612、行1616、行759
2. 规则：BR-4ce3296dd1617ad6
3. 未动态验证</x:v>
      </x:c>
    </x:row>
    <x:row r="873" ht="85" customHeight="1">
      <x:c r="A873" s="10" t="n">
        <x:v>872</x:v>
      </x:c>
      <x:c r="B873" s="10" t="str">
        <x:v>USER-03-0064</x:v>
      </x:c>
      <x:c r="C873" s="10" t="str">
        <x:v>直播</x:v>
      </x:c>
      <x:c r="D873" s="10" t="str">
        <x:v>直播间（普通房）（普通观众视角）</x:v>
      </x:c>
      <x:c r="E873" s="10" t="str">
        <x:v>功能需求</x:v>
      </x:c>
      <x:c r="F873" s="10" t="str">
        <x:v>P1</x:v>
      </x:c>
      <x:c r="G873" s="9" t="str">
        <x:v>验证贡献未达标不能入团</x:v>
      </x:c>
      <x:c r="H873" s="9" t="str">
        <x:v>贡献不足入团拒绝提示</x:v>
      </x:c>
      <x:c r="I873" s="9" t="str">
        <x:v>1. 执行角色为普通观众；当前处于直播间（普通房）页面
2. 贡献门槛100；本账号给该主播历史有效贡献99；已关注</x:v>
      </x:c>
      <x:c r="J873" s="9" t="str">
        <x:v>1. 点击加入粉丝团</x:v>
      </x:c>
      <x:c r="K873" s="9" t="str">
        <x:v>不加入并提示“未满足进群条件”</x:v>
      </x:c>
      <x:c r="L873" s="10" t="str"/>
      <x:c r="M873" s="10" t="str">
        <x:v>未测</x:v>
      </x:c>
      <x:c r="N873" s="10" t="str"/>
      <x:c r="O873" s="9" t="str">
        <x:v>1. 来源（当前证据）：liveshow-proto/MainBasis/统一需求文档.md；位置：行1609、行1616、行759
2. 规则：BR-04eaf83ced08577e
3. 未动态验证</x:v>
      </x:c>
    </x:row>
    <x:row r="874" ht="85" customHeight="1">
      <x:c r="A874" s="10" t="n">
        <x:v>873</x:v>
      </x:c>
      <x:c r="B874" s="10" t="str">
        <x:v>USER-03-0065</x:v>
      </x:c>
      <x:c r="C874" s="10" t="str">
        <x:v>直播</x:v>
      </x:c>
      <x:c r="D874" s="10" t="str">
        <x:v>直播间（普通房）（普通观众视角）</x:v>
      </x:c>
      <x:c r="E874" s="10" t="str">
        <x:v>逻辑校验</x:v>
      </x:c>
      <x:c r="F874" s="10" t="str">
        <x:v>P1</x:v>
      </x:c>
      <x:c r="G874" s="9" t="str">
        <x:v>验证贡献恰达标可入团</x:v>
      </x:c>
      <x:c r="H874" s="9" t="str">
        <x:v>达标入团视图切换</x:v>
      </x:c>
      <x:c r="I874" s="9" t="str">
        <x:v>1. 执行角色为普通观众；当前处于直播间（普通房）页面
2. 门槛100；本账号历史贡献100；已关注且团人数小于500</x:v>
      </x:c>
      <x:c r="J874" s="9" t="str">
        <x:v>1. 点击加入粉丝团</x:v>
      </x:c>
      <x:c r="K874" s="9" t="str">
        <x:v>切换已加入视图并开放群聊入口</x:v>
      </x:c>
      <x:c r="L874" s="10" t="str"/>
      <x:c r="M874" s="10" t="str">
        <x:v>未测</x:v>
      </x:c>
      <x:c r="N874" s="10" t="str"/>
      <x:c r="O874" s="9" t="str">
        <x:v>1. 来源（当前证据）：liveshow-proto/MainBasis/统一需求文档.md；位置：行1612、行1617、行759
2. 规则：BR-c5e2e339478bf821
3. 未动态验证</x:v>
      </x:c>
    </x:row>
    <x:row r="875" ht="85" customHeight="1">
      <x:c r="A875" s="10" t="n">
        <x:v>874</x:v>
      </x:c>
      <x:c r="B875" s="10" t="str">
        <x:v>USER-03-0066</x:v>
      </x:c>
      <x:c r="C875" s="10" t="str">
        <x:v>直播</x:v>
      </x:c>
      <x:c r="D875" s="10" t="str">
        <x:v>直播间（普通房）（普通观众视角）</x:v>
      </x:c>
      <x:c r="E875" s="10" t="str">
        <x:v>功能需求</x:v>
      </x:c>
      <x:c r="F875" s="10" t="str">
        <x:v>P1</x:v>
      </x:c>
      <x:c r="G875" s="9" t="str">
        <x:v>验证五百人拒绝新成员</x:v>
      </x:c>
      <x:c r="H875" s="9" t="str">
        <x:v>入口可用性</x:v>
      </x:c>
      <x:c r="I875" s="9" t="str">
        <x:v>1. 执行角色为普通观众；当前处于直播间（普通房）页面
2. 粉丝团已有500人；本账号满足其他条件</x:v>
      </x:c>
      <x:c r="J875" s="9" t="str">
        <x:v>1. 点击加入粉丝团</x:v>
      </x:c>
      <x:c r="K875" s="9" t="str">
        <x:v>不能加入已满粉丝团</x:v>
      </x:c>
      <x:c r="L875" s="10" t="str"/>
      <x:c r="M875" s="10" t="str">
        <x:v>未测</x:v>
      </x:c>
      <x:c r="N875" s="10" t="str"/>
      <x:c r="O875" s="9" t="str">
        <x:v>1. 来源（当前证据）：liveshow-proto/MainBasis/统一需求文档.md；位置：行1613、行759
2. 规则：BR-df807ddfd6e1f1fc
3. 未动态验证</x:v>
      </x:c>
    </x:row>
    <x:row r="876" ht="85" customHeight="1">
      <x:c r="A876" s="10" t="n">
        <x:v>875</x:v>
      </x:c>
      <x:c r="B876" s="10" t="str">
        <x:v>USER-03-0067</x:v>
      </x:c>
      <x:c r="C876" s="10" t="str">
        <x:v>直播</x:v>
      </x:c>
      <x:c r="D876" s="10" t="str">
        <x:v>直播间（普通房）（普通观众视角）</x:v>
      </x:c>
      <x:c r="E876" s="10" t="str">
        <x:v>功能需求</x:v>
      </x:c>
      <x:c r="F876" s="10" t="str">
        <x:v>P1</x:v>
      </x:c>
      <x:c r="G876" s="9" t="str">
        <x:v>验证四百九十九人允许加入</x:v>
      </x:c>
      <x:c r="H876" s="9" t="str">
        <x:v>粉丝团成员容量上限</x:v>
      </x:c>
      <x:c r="I876" s="9" t="str">
        <x:v>1. 执行角色为普通观众；当前处于直播间（普通房）页面
2. 粉丝团499人；本账号满足所有加入条件</x:v>
      </x:c>
      <x:c r="J876" s="9" t="str">
        <x:v>1. 点击加入粉丝团</x:v>
      </x:c>
      <x:c r="K876" s="9" t="str">
        <x:v>成功加入成为第500名有效成员</x:v>
      </x:c>
      <x:c r="L876" s="10" t="str"/>
      <x:c r="M876" s="10" t="str">
        <x:v>未测</x:v>
      </x:c>
      <x:c r="N876" s="10" t="str"/>
      <x:c r="O876" s="9" t="str">
        <x:v>1. 来源（当前证据）：liveshow-proto/MainBasis/统一需求文档.md；位置：行1613、行1617、行759
2. 规则：BR-0087d2423a239e82
3. 未动态验证</x:v>
      </x:c>
    </x:row>
    <x:row r="877" ht="160" customHeight="1">
      <x:c r="A877" s="10" t="n">
        <x:v>876</x:v>
      </x:c>
      <x:c r="B877" s="10" t="str">
        <x:v>USER-03-0068</x:v>
      </x:c>
      <x:c r="C877" s="10" t="str">
        <x:v>直播</x:v>
      </x:c>
      <x:c r="D877" s="10" t="str">
        <x:v>直播间（普通房）（普通观众视角）</x:v>
      </x:c>
      <x:c r="E877" s="10" t="str">
        <x:v>异常用例</x:v>
      </x:c>
      <x:c r="F877" s="10" t="str">
        <x:v>P1</x:v>
      </x:c>
      <x:c r="G877" s="9" t="str">
        <x:v>验证入团请求失败不建关系</x:v>
      </x:c>
      <x:c r="H877" s="9" t="str">
        <x:v>入团失败提示</x:v>
      </x:c>
      <x:c r="I877" s="9" t="str">
        <x:v>1. 执行角色为普通观众；当前处于直播间（普通房）页面
2. 所有条件满足但加入请求返回失败
3. 环境准备要求（尚未具备）：需测试服务让指定账号本次加入请求返回失败且不建立团籍；保持关注、贡献及人数资格满足，不用资格不足代替请求失败</x:v>
      </x:c>
      <x:c r="J877" s="9" t="str">
        <x:v>1. 点击加入粉丝团</x:v>
      </x:c>
      <x:c r="K877" s="9" t="str">
        <x:v>不加入并提示“未满足进群条件”</x:v>
      </x:c>
      <x:c r="L877" s="10" t="str"/>
      <x:c r="M877" s="10" t="str">
        <x:v>未测</x:v>
      </x:c>
      <x:c r="N877" s="10" t="str"/>
      <x:c r="O877" s="9" t="str">
        <x:v>1. 来源（当前证据）：liveshow-proto/MainBasis/统一需求文档.md；位置：行1616、行759
2. 规则：BR-eaa8d2660b684722
3. 未动态验证
4. 环境待准备：加入粉丝团请求；时点：满足全部入团条件后提交加入请求时；恢复：本条结束后撤销故障设置，恢复真实请求处理；使用新测试对象复跑正常路径，避免污染后续用例</x:v>
      </x:c>
    </x:row>
    <x:row r="878" ht="130" customHeight="1">
      <x:c r="A878" s="10" t="n">
        <x:v>877</x:v>
      </x:c>
      <x:c r="B878" s="10" t="str">
        <x:v>USER-03-0069</x:v>
      </x:c>
      <x:c r="C878" s="10" t="str">
        <x:v>直播</x:v>
      </x:c>
      <x:c r="D878" s="10" t="str">
        <x:v>直播间（普通房）（普通观众视角）</x:v>
      </x:c>
      <x:c r="E878" s="10" t="str">
        <x:v>功能需求</x:v>
      </x:c>
      <x:c r="F878" s="10" t="str">
        <x:v>P1</x:v>
      </x:c>
      <x:c r="G878" s="9" t="str">
        <x:v>验证重新入团亲密度归零</x:v>
      </x:c>
      <x:c r="H878" s="9" t="str">
        <x:v>数据保持</x:v>
      </x:c>
      <x:c r="I878" s="9" t="str">
        <x:v>1. 执行角色为普通观众；当前处于直播间（普通房）页面
2. 此前主动退团；现重新满足加入条件</x:v>
      </x:c>
      <x:c r="J878" s="9" t="str">
        <x:v>1. 点击加入粉丝团
2. 查看亲密度</x:v>
      </x:c>
      <x:c r="K878" s="9" t="str">
        <x:v>亲密度从0开始，不恢复历史亲密度</x:v>
      </x:c>
      <x:c r="L878" s="10" t="str">
        <x:v>FLOW-C0A7C263</x:v>
      </x:c>
      <x:c r="M878" s="10" t="str">
        <x:v>未测</x:v>
      </x:c>
      <x:c r="N878" s="10" t="str"/>
      <x:c r="O878" s="9" t="str">
        <x:v>1. 来源（当前证据）：liveshow-proto/MainBasis/统一需求文档.md；位置：行1626、行759
2. 规则：BR-78c3f25d864c6e3a
3. 未动态验证
4. 状态转换：ST-USER-031；共同业务对象：粉丝团关系；当前阶段：重新加入后的用户App观察</x:v>
      </x:c>
    </x:row>
    <x:row r="879" ht="85" customHeight="1">
      <x:c r="A879" s="10" t="n">
        <x:v>878</x:v>
      </x:c>
      <x:c r="B879" s="10" t="str">
        <x:v>USER-03-0070</x:v>
      </x:c>
      <x:c r="C879" s="10" t="str">
        <x:v>直播</x:v>
      </x:c>
      <x:c r="D879" s="10" t="str">
        <x:v>直播间（普通房）（普通观众视角）</x:v>
      </x:c>
      <x:c r="E879" s="10" t="str">
        <x:v>功能需求</x:v>
      </x:c>
      <x:c r="F879" s="10" t="str">
        <x:v>P2</x:v>
      </x:c>
      <x:c r="G879" s="9" t="str">
        <x:v>验证已加入贡献入口</x:v>
      </x:c>
      <x:c r="H879" s="9" t="str">
        <x:v>团内贡献榜页面去向</x:v>
      </x:c>
      <x:c r="I879" s="9" t="str">
        <x:v>1. 执行角色为普通观众；当前处于直播间（普通房）页面
2. 当前有有效团籍</x:v>
      </x:c>
      <x:c r="J879" s="9" t="str">
        <x:v>1. 打开粉丝团视图
2. 点击查看贡献</x:v>
      </x:c>
      <x:c r="K879" s="9" t="str">
        <x:v>进入当前主播贡献榜</x:v>
      </x:c>
      <x:c r="L879" s="10" t="str"/>
      <x:c r="M879" s="10" t="str">
        <x:v>未测</x:v>
      </x:c>
      <x:c r="N879" s="10" t="str"/>
      <x:c r="O879" s="9" t="str">
        <x:v>1. 来源（当前证据）：liveshow-proto/MainBasis/统一需求文档.md；位置：行1627、行759
2. 规则：BR-1145c1abc7ada33b
3. 未动态验证</x:v>
      </x:c>
    </x:row>
    <x:row r="880" ht="130" customHeight="1">
      <x:c r="A880" s="10" t="n">
        <x:v>879</x:v>
      </x:c>
      <x:c r="B880" s="10" t="str">
        <x:v>USER-03-0071</x:v>
      </x:c>
      <x:c r="C880" s="10" t="str">
        <x:v>直播</x:v>
      </x:c>
      <x:c r="D880" s="10" t="str">
        <x:v>直播间（普通房）（普通观众视角）</x:v>
      </x:c>
      <x:c r="E880" s="10" t="str">
        <x:v>功能需求</x:v>
      </x:c>
      <x:c r="F880" s="10" t="str">
        <x:v>P2</x:v>
      </x:c>
      <x:c r="G880" s="9" t="str">
        <x:v>验证退出粉丝团确认</x:v>
      </x:c>
      <x:c r="H880" s="9" t="str">
        <x:v>退团确认弹窗</x:v>
      </x:c>
      <x:c r="I880" s="9" t="str">
        <x:v>1. 执行角色为普通观众；当前处于直播间（普通房）页面
2. 当前有有效团籍</x:v>
      </x:c>
      <x:c r="J880" s="9" t="str">
        <x:v>1. 点击退出粉丝团</x:v>
      </x:c>
      <x:c r="K880" s="9" t="str">
        <x:v>显示二次确认</x:v>
      </x:c>
      <x:c r="L880" s="10" t="str">
        <x:v>FLOW-C0A7C263</x:v>
      </x:c>
      <x:c r="M880" s="10" t="str">
        <x:v>未测</x:v>
      </x:c>
      <x:c r="N880" s="10" t="str"/>
      <x:c r="O880" s="9" t="str">
        <x:v>1. 来源（当前证据）：liveshow-proto/MainBasis/统一需求文档.md；位置：行1627、行759
2. 规则：BR-124d500f72da79d4
3. 未动态验证
4. 状态转换：ST-USER-030；共同业务对象：粉丝团关系；当前阶段：主动退出粉丝团后的用户App观察</x:v>
      </x:c>
    </x:row>
    <x:row r="881" ht="85" customHeight="1">
      <x:c r="A881" s="10" t="n">
        <x:v>880</x:v>
      </x:c>
      <x:c r="B881" s="10" t="str">
        <x:v>USER-03-0072</x:v>
      </x:c>
      <x:c r="C881" s="10" t="str">
        <x:v>直播</x:v>
      </x:c>
      <x:c r="D881" s="10" t="str">
        <x:v>直播间（普通房）（普通观众视角）</x:v>
      </x:c>
      <x:c r="E881" s="10" t="str">
        <x:v>功能需求</x:v>
      </x:c>
      <x:c r="F881" s="10" t="str">
        <x:v>P2</x:v>
      </x:c>
      <x:c r="G881" s="9" t="str">
        <x:v>验证在线观众仅当前在线</x:v>
      </x:c>
      <x:c r="H881" s="9" t="str">
        <x:v>在线观众列表范围</x:v>
      </x:c>
      <x:c r="I881" s="9" t="str">
        <x:v>1. 执行角色为普通观众；当前处于直播间（普通房）页面
2. A当前在线、B已离开</x:v>
      </x:c>
      <x:c r="J881" s="9" t="str">
        <x:v>1. 打开在线观众</x:v>
      </x:c>
      <x:c r="K881" s="9" t="str">
        <x:v>只显示A</x:v>
      </x:c>
      <x:c r="L881" s="10" t="str"/>
      <x:c r="M881" s="10" t="str">
        <x:v>未测</x:v>
      </x:c>
      <x:c r="N881" s="10" t="str"/>
      <x:c r="O881" s="9" t="str">
        <x:v>1. 来源（当前证据）：liveshow-proto/MainBasis/统一需求文档.md；位置：行1671、行759
2. 规则：BR-c312d3f11125d85f
3. 未动态验证</x:v>
      </x:c>
    </x:row>
    <x:row r="882" ht="85" customHeight="1">
      <x:c r="A882" s="10" t="n">
        <x:v>881</x:v>
      </x:c>
      <x:c r="B882" s="10" t="str">
        <x:v>USER-03-0073</x:v>
      </x:c>
      <x:c r="C882" s="10" t="str">
        <x:v>直播</x:v>
      </x:c>
      <x:c r="D882" s="10" t="str">
        <x:v>直播间（普通房）（普通观众视角）</x:v>
      </x:c>
      <x:c r="E882" s="10" t="str">
        <x:v>功能需求</x:v>
      </x:c>
      <x:c r="F882" s="10" t="str">
        <x:v>P1</x:v>
      </x:c>
      <x:c r="G882" s="9" t="str">
        <x:v>验证普通观众只读房管列表</x:v>
      </x:c>
      <x:c r="H882" s="9" t="str">
        <x:v>观众房管授权入口限制</x:v>
      </x:c>
      <x:c r="I882" s="9" t="str">
        <x:v>1. 执行角色为普通观众；当前处于直播间（普通房）页面</x:v>
      </x:c>
      <x:c r="J882" s="9" t="str">
        <x:v>1. 打开在线观众
2. 切换房管</x:v>
      </x:c>
      <x:c r="K882" s="9" t="str">
        <x:v>显示房管信息但不提供授权操作</x:v>
      </x:c>
      <x:c r="L882" s="10" t="str"/>
      <x:c r="M882" s="10" t="str">
        <x:v>未测</x:v>
      </x:c>
      <x:c r="N882" s="10" t="str"/>
      <x:c r="O882" s="9" t="str">
        <x:v>1. 来源（当前证据）：liveshow-proto/MainBasis/统一需求文档.md；位置：行1684、行759
2. 规则：BR-3b67bd21bf7f62b7
3. 未动态验证</x:v>
      </x:c>
    </x:row>
    <x:row r="883" ht="85" customHeight="1">
      <x:c r="A883" s="10" t="n">
        <x:v>882</x:v>
      </x:c>
      <x:c r="B883" s="10" t="str">
        <x:v>USER-03-0074</x:v>
      </x:c>
      <x:c r="C883" s="10" t="str">
        <x:v>直播</x:v>
      </x:c>
      <x:c r="D883" s="10" t="str">
        <x:v>直播间（普通房）（普通观众视角）</x:v>
      </x:c>
      <x:c r="E883" s="10" t="str">
        <x:v>功能需求</x:v>
      </x:c>
      <x:c r="F883" s="10" t="str">
        <x:v>P2</x:v>
      </x:c>
      <x:c r="G883" s="9" t="str">
        <x:v>验证资料卡举报账号</x:v>
      </x:c>
      <x:c r="H883" s="9" t="str">
        <x:v>资料卡举报目标</x:v>
      </x:c>
      <x:c r="I883" s="9" t="str">
        <x:v>1. 执行角色为普通观众；当前处于直播间（普通房）页面
2. 在线观众A可查看</x:v>
      </x:c>
      <x:c r="J883" s="9" t="str">
        <x:v>1. 打开A资料卡
2. 点击举报</x:v>
      </x:c>
      <x:c r="K883" s="9" t="str">
        <x:v>进入A账号举报流程</x:v>
      </x:c>
      <x:c r="L883" s="10" t="str"/>
      <x:c r="M883" s="10" t="str">
        <x:v>未测</x:v>
      </x:c>
      <x:c r="N883" s="10" t="str"/>
      <x:c r="O883" s="9" t="str">
        <x:v>1. 来源（当前证据）：liveshow-proto/MainBasis/统一需求文档.md；位置：行1692、行759
2. 规则：BR-2c70e1728bce0b10
3. 未动态验证</x:v>
      </x:c>
    </x:row>
    <x:row r="884" ht="85" customHeight="1">
      <x:c r="A884" s="10" t="n">
        <x:v>883</x:v>
      </x:c>
      <x:c r="B884" s="10" t="str">
        <x:v>USER-03-0075</x:v>
      </x:c>
      <x:c r="C884" s="10" t="str">
        <x:v>直播</x:v>
      </x:c>
      <x:c r="D884" s="10" t="str">
        <x:v>直播间（普通房）（普通观众视角）</x:v>
      </x:c>
      <x:c r="E884" s="10" t="str">
        <x:v>功能需求</x:v>
      </x:c>
      <x:c r="F884" s="10" t="str">
        <x:v>P2</x:v>
      </x:c>
      <x:c r="G884" s="9" t="str">
        <x:v>验证资料卡进入主页</x:v>
      </x:c>
      <x:c r="H884" s="9" t="str">
        <x:v>资料卡主页目标</x:v>
      </x:c>
      <x:c r="I884" s="9" t="str">
        <x:v>1. 执行角色为普通观众；当前处于直播间（普通房）页面
2. 在线观众A可查看</x:v>
      </x:c>
      <x:c r="J884" s="9" t="str">
        <x:v>1. 打开A资料卡
2. 点击主页</x:v>
      </x:c>
      <x:c r="K884" s="9" t="str">
        <x:v>进入A主页</x:v>
      </x:c>
      <x:c r="L884" s="10" t="str"/>
      <x:c r="M884" s="10" t="str">
        <x:v>未测</x:v>
      </x:c>
      <x:c r="N884" s="10" t="str"/>
      <x:c r="O884" s="9" t="str">
        <x:v>1. 来源（当前证据）：liveshow-proto/MainBasis/统一需求文档.md；位置：行1692、行759
2. 规则：BR-da119a48aa0ceeb7
3. 未动态验证</x:v>
      </x:c>
    </x:row>
    <x:row r="885" ht="85" customHeight="1">
      <x:c r="A885" s="10" t="n">
        <x:v>884</x:v>
      </x:c>
      <x:c r="B885" s="10" t="str">
        <x:v>USER-03-0076</x:v>
      </x:c>
      <x:c r="C885" s="10" t="str">
        <x:v>直播</x:v>
      </x:c>
      <x:c r="D885" s="10" t="str">
        <x:v>直播间（普通房）（普通观众视角）</x:v>
      </x:c>
      <x:c r="E885" s="10" t="str">
        <x:v>功能需求</x:v>
      </x:c>
      <x:c r="F885" s="10" t="str">
        <x:v>P2</x:v>
      </x:c>
      <x:c r="G885" s="9" t="str">
        <x:v>验证清屏只清当前设备</x:v>
      </x:c>
      <x:c r="H885" s="9" t="str">
        <x:v>数据保持</x:v>
      </x:c>
      <x:c r="I885" s="9" t="str">
        <x:v>1. 执行角色为普通观众；当前处于直播间（普通房）页面
2. 当前与另一设备均显示已有公屏消息</x:v>
      </x:c>
      <x:c r="J885" s="9" t="str">
        <x:v>1. 打开更多
2. 点击清屏</x:v>
      </x:c>
      <x:c r="K885" s="9" t="str">
        <x:v>仅本设备公屏显示清空</x:v>
      </x:c>
      <x:c r="L885" s="10" t="str"/>
      <x:c r="M885" s="10" t="str">
        <x:v>未测</x:v>
      </x:c>
      <x:c r="N885" s="10" t="str"/>
      <x:c r="O885" s="9" t="str">
        <x:v>1. 来源（当前证据）：liveshow-proto/MainBasis/统一需求文档.md；位置：行777、行1736、行759
2. 规则：BR-05e5e0265d105da2
3. 未动态验证</x:v>
      </x:c>
    </x:row>
    <x:row r="886" ht="85" customHeight="1">
      <x:c r="A886" s="10" t="n">
        <x:v>885</x:v>
      </x:c>
      <x:c r="B886" s="10" t="str">
        <x:v>USER-03-0077</x:v>
      </x:c>
      <x:c r="C886" s="10" t="str">
        <x:v>直播</x:v>
      </x:c>
      <x:c r="D886" s="10" t="str">
        <x:v>直播间（普通房）（普通观众视角）</x:v>
      </x:c>
      <x:c r="E886" s="10" t="str">
        <x:v>功能需求</x:v>
      </x:c>
      <x:c r="F886" s="10" t="str">
        <x:v>P2</x:v>
      </x:c>
      <x:c r="G886" s="9" t="str">
        <x:v>验证转发使用系统分享</x:v>
      </x:c>
      <x:c r="H886" s="9" t="str">
        <x:v>直播系统分享唤起</x:v>
      </x:c>
      <x:c r="I886" s="9" t="str">
        <x:v>1. 执行角色为普通观众；当前处于直播间（普通房）页面</x:v>
      </x:c>
      <x:c r="J886" s="9" t="str">
        <x:v>1. 打开更多
2. 选择转发</x:v>
      </x:c>
      <x:c r="K886" s="9" t="str">
        <x:v>调起系统分享</x:v>
      </x:c>
      <x:c r="L886" s="10" t="str"/>
      <x:c r="M886" s="10" t="str">
        <x:v>未测</x:v>
      </x:c>
      <x:c r="N886" s="10" t="str"/>
      <x:c r="O886" s="9" t="str">
        <x:v>1. 来源（当前证据）：liveshow-proto/MainBasis/统一需求文档.md；位置：行1737、行759
2. 规则：BR-4b95ff2bf39ac419
3. 未动态验证</x:v>
      </x:c>
    </x:row>
    <x:row r="887" ht="85" customHeight="1">
      <x:c r="A887" s="10" t="n">
        <x:v>886</x:v>
      </x:c>
      <x:c r="B887" s="10" t="str">
        <x:v>USER-03-0078</x:v>
      </x:c>
      <x:c r="C887" s="10" t="str">
        <x:v>直播</x:v>
      </x:c>
      <x:c r="D887" s="10" t="str">
        <x:v>直播间（普通房）（普通观众视角）</x:v>
      </x:c>
      <x:c r="E887" s="10" t="str">
        <x:v>功能需求</x:v>
      </x:c>
      <x:c r="F887" s="10" t="str">
        <x:v>P2</x:v>
      </x:c>
      <x:c r="G887" s="9" t="str">
        <x:v>验证直播举报入口</x:v>
      </x:c>
      <x:c r="H887" s="9" t="str">
        <x:v>本场直播举报去向</x:v>
      </x:c>
      <x:c r="I887" s="9" t="str">
        <x:v>1. 执行角色为普通观众；当前处于直播间（普通房）页面
2. 当前场次正在直播</x:v>
      </x:c>
      <x:c r="J887" s="9" t="str">
        <x:v>1. 打开更多
2. 选择举报</x:v>
      </x:c>
      <x:c r="K887" s="9" t="str">
        <x:v>进入当前场次直播举报页</x:v>
      </x:c>
      <x:c r="L887" s="10" t="str"/>
      <x:c r="M887" s="10" t="str">
        <x:v>未测</x:v>
      </x:c>
      <x:c r="N887" s="10" t="str"/>
      <x:c r="O887" s="9" t="str">
        <x:v>1. 来源（当前证据）：liveshow-proto/MainBasis/统一需求文档.md；位置：行1737、行1735、行759
2. 规则：BR-87c926307b1fc400
3. 未动态验证</x:v>
      </x:c>
    </x:row>
    <x:row r="888" ht="85" customHeight="1">
      <x:c r="A888" s="10" t="n">
        <x:v>887</x:v>
      </x:c>
      <x:c r="B888" s="10" t="str">
        <x:v>USER-03-0079</x:v>
      </x:c>
      <x:c r="C888" s="10" t="str">
        <x:v>直播</x:v>
      </x:c>
      <x:c r="D888" s="10" t="str">
        <x:v>直播间（普通房）（普通观众视角）</x:v>
      </x:c>
      <x:c r="E888" s="10" t="str">
        <x:v>功能需求</x:v>
      </x:c>
      <x:c r="F888" s="10" t="str">
        <x:v>P2</x:v>
      </x:c>
      <x:c r="G888" s="9" t="str">
        <x:v>验证关闭更多菜单</x:v>
      </x:c>
      <x:c r="H888" s="9" t="str">
        <x:v>更多菜单关闭反馈</x:v>
      </x:c>
      <x:c r="I888" s="9" t="str">
        <x:v>1. 执行角色为普通观众；当前处于直播间（普通房）页面
2. 更多菜单已打开</x:v>
      </x:c>
      <x:c r="J888" s="9" t="str">
        <x:v>1. 点击遮罩</x:v>
      </x:c>
      <x:c r="K888" s="9" t="str">
        <x:v>菜单关闭</x:v>
      </x:c>
      <x:c r="L888" s="10" t="str"/>
      <x:c r="M888" s="10" t="str">
        <x:v>未测</x:v>
      </x:c>
      <x:c r="N888" s="10" t="str"/>
      <x:c r="O888" s="9" t="str">
        <x:v>1. 来源（当前证据）：liveshow-proto/MainBasis/统一需求文档.md；位置：行1737、行759
2. 规则：BR-b49256fc62a31ab2
3. 未动态验证</x:v>
      </x:c>
    </x:row>
    <x:row r="889" ht="85" customHeight="1">
      <x:c r="A889" s="10" t="n">
        <x:v>888</x:v>
      </x:c>
      <x:c r="B889" s="10" t="str">
        <x:v>USER-03-0080</x:v>
      </x:c>
      <x:c r="C889" s="10" t="str">
        <x:v>直播</x:v>
      </x:c>
      <x:c r="D889" s="10" t="str">
        <x:v>直播间（普通房）（运营账号视角）</x:v>
      </x:c>
      <x:c r="E889" s="10" t="str">
        <x:v>功能需求</x:v>
      </x:c>
      <x:c r="F889" s="10" t="str">
        <x:v>P1</x:v>
      </x:c>
      <x:c r="G889" s="9" t="str">
        <x:v>验证运营门票免票</x:v>
      </x:c>
      <x:c r="H889" s="9" t="str">
        <x:v>运营人员门票豁免</x:v>
      </x:c>
      <x:c r="I889" s="9" t="str">
        <x:v>1. 执行角色为运营账号；当前处于直播间（普通房）页面
2. 目标为门票房；未被封禁拉黑或本场踢出</x:v>
      </x:c>
      <x:c r="J889" s="9" t="str">
        <x:v>1. 进入该房间</x:v>
      </x:c>
      <x:c r="K889" s="9" t="str">
        <x:v>直接观看，不展示购票弹窗</x:v>
      </x:c>
      <x:c r="L889" s="10" t="str"/>
      <x:c r="M889" s="10" t="str">
        <x:v>未测</x:v>
      </x:c>
      <x:c r="N889" s="10" t="str"/>
      <x:c r="O889" s="9" t="str">
        <x:v>1. 来源（当前证据）：liveshow-proto/MainBasis/统一需求文档.md；位置：行1649、行759
2. 规则：BR-fe9fca6262f5a5f0
3. 未动态验证</x:v>
      </x:c>
    </x:row>
    <x:row r="890" ht="85" customHeight="1">
      <x:c r="A890" s="10" t="n">
        <x:v>889</x:v>
      </x:c>
      <x:c r="B890" s="10" t="str">
        <x:v>USER-03-0081</x:v>
      </x:c>
      <x:c r="C890" s="10" t="str">
        <x:v>直播</x:v>
      </x:c>
      <x:c r="D890" s="10" t="str">
        <x:v>直播间（普通房）（运营账号视角）</x:v>
      </x:c>
      <x:c r="E890" s="10" t="str">
        <x:v>功能需求</x:v>
      </x:c>
      <x:c r="F890" s="10" t="str">
        <x:v>P1</x:v>
      </x:c>
      <x:c r="G890" s="9" t="str">
        <x:v>验证运营免票不扣虚拟币</x:v>
      </x:c>
      <x:c r="H890" s="9" t="str">
        <x:v>资产数值</x:v>
      </x:c>
      <x:c r="I890" s="9" t="str">
        <x:v>1. 执行角色为运营账号；当前处于直播间（普通房）页面
2. 虚拟金币100；目标为门票房且准入允许</x:v>
      </x:c>
      <x:c r="J890" s="9" t="str">
        <x:v>1. 进入该房间
2. 查看虚拟金币余额</x:v>
      </x:c>
      <x:c r="K890" s="9" t="str">
        <x:v>虚拟金币仍为100</x:v>
      </x:c>
      <x:c r="L890" s="10" t="str"/>
      <x:c r="M890" s="10" t="str">
        <x:v>未测</x:v>
      </x:c>
      <x:c r="N890" s="10" t="str"/>
      <x:c r="O890" s="9" t="str">
        <x:v>1. 来源（当前证据）：liveshow-proto/MainBasis/统一需求文档.md；位置：行768、行759
2. 规则：BR-172ff141df532c5b
3. 未动态验证</x:v>
      </x:c>
    </x:row>
    <x:row r="891" ht="85" customHeight="1">
      <x:c r="A891" s="10" t="n">
        <x:v>890</x:v>
      </x:c>
      <x:c r="B891" s="10" t="str">
        <x:v>USER-03-0082</x:v>
      </x:c>
      <x:c r="C891" s="10" t="str">
        <x:v>直播</x:v>
      </x:c>
      <x:c r="D891" s="10" t="str">
        <x:v>直播间（普通房）（运营账号视角）</x:v>
      </x:c>
      <x:c r="E891" s="10" t="str">
        <x:v>功能需求</x:v>
      </x:c>
      <x:c r="F891" s="10" t="str">
        <x:v>P1</x:v>
      </x:c>
      <x:c r="G891" s="9" t="str">
        <x:v>验证运营余额仅虚拟金币</x:v>
      </x:c>
      <x:c r="H891" s="9" t="str">
        <x:v>资产数值</x:v>
      </x:c>
      <x:c r="I891" s="9" t="str">
        <x:v>1. 执行角色为运营账号；当前处于直播间（普通房）页面
2. 所属公会发放的虚拟金币为100</x:v>
      </x:c>
      <x:c r="J891" s="9" t="str">
        <x:v>1. 打开礼物面板</x:v>
      </x:c>
      <x:c r="K891" s="9" t="str">
        <x:v>显示虚拟金币余额100</x:v>
      </x:c>
      <x:c r="L891" s="10" t="str"/>
      <x:c r="M891" s="10" t="str">
        <x:v>未测</x:v>
      </x:c>
      <x:c r="N891" s="10" t="str"/>
      <x:c r="O891" s="9" t="str">
        <x:v>1. 来源（当前证据）：liveshow-proto/MainBasis/统一需求文档.md；位置：行1578、行759
2. 规则：BR-4728f5b5fa765c38
3. 未动态验证</x:v>
      </x:c>
    </x:row>
    <x:row r="892" ht="85" customHeight="1">
      <x:c r="A892" s="10" t="n">
        <x:v>891</x:v>
      </x:c>
      <x:c r="B892" s="10" t="str">
        <x:v>USER-03-0083</x:v>
      </x:c>
      <x:c r="C892" s="10" t="str">
        <x:v>直播</x:v>
      </x:c>
      <x:c r="D892" s="10" t="str">
        <x:v>直播间（普通房）（运营账号视角）</x:v>
      </x:c>
      <x:c r="E892" s="10" t="str">
        <x:v>功能需求</x:v>
      </x:c>
      <x:c r="F892" s="10" t="str">
        <x:v>P1</x:v>
      </x:c>
      <x:c r="G892" s="9" t="str">
        <x:v>验证运营普通礼物扣虚拟币</x:v>
      </x:c>
      <x:c r="H892" s="9" t="str">
        <x:v>资产数值</x:v>
      </x:c>
      <x:c r="I892" s="9" t="str">
        <x:v>1. 执行角色为运营账号；当前处于直播间（普通房）页面
2. 虚拟金币100；礼物A为普通礼物10金币</x:v>
      </x:c>
      <x:c r="J892" s="9" t="str">
        <x:v>1. 选择A及数量1
2. 点击赠送</x:v>
      </x:c>
      <x:c r="K892" s="9" t="str">
        <x:v>虚拟金币变为90（计算结果 = 90 虚拟金币）</x:v>
      </x:c>
      <x:c r="L892" s="10" t="str"/>
      <x:c r="M892" s="10" t="str">
        <x:v>未测</x:v>
      </x:c>
      <x:c r="N892" s="10" t="str"/>
      <x:c r="O892" s="9" t="str">
        <x:v>1. 来源（当前证据）：liveshow-proto/MainBasis/统一需求文档.md；位置：行1581、行1586、行759
2. 规则：BR-e3b32d49c4a4ee02
3. 未动态验证</x:v>
      </x:c>
    </x:row>
    <x:row r="893" ht="85" customHeight="1">
      <x:c r="A893" s="10" t="n">
        <x:v>892</x:v>
      </x:c>
      <x:c r="B893" s="10" t="str">
        <x:v>USER-03-0084</x:v>
      </x:c>
      <x:c r="C893" s="10" t="str">
        <x:v>直播</x:v>
      </x:c>
      <x:c r="D893" s="10" t="str">
        <x:v>直播间（普通房）（运营账号视角）</x:v>
      </x:c>
      <x:c r="E893" s="10" t="str">
        <x:v>功能需求</x:v>
      </x:c>
      <x:c r="F893" s="10" t="str">
        <x:v>P1</x:v>
      </x:c>
      <x:c r="G893" s="9" t="str">
        <x:v>验证运营定制礼物可送</x:v>
      </x:c>
      <x:c r="H893" s="9" t="str">
        <x:v>运营账号定制礼物赠送</x:v>
      </x:c>
      <x:c r="I893" s="9" t="str">
        <x:v>1. 执行角色为运营账号；当前处于直播间（普通房）页面
2. 虚拟金币充足；A为上架定制礼物</x:v>
      </x:c>
      <x:c r="J893" s="9" t="str">
        <x:v>1. 选择A及数量1
2. 点击赠送</x:v>
      </x:c>
      <x:c r="K893" s="9" t="str">
        <x:v>成功赠送定制礼物A</x:v>
      </x:c>
      <x:c r="L893" s="10" t="str"/>
      <x:c r="M893" s="10" t="str">
        <x:v>未测</x:v>
      </x:c>
      <x:c r="N893" s="10" t="str"/>
      <x:c r="O893" s="9" t="str">
        <x:v>1. 来源（当前证据）：liveshow-proto/MainBasis/统一需求文档.md；位置：行1581、行759
2. 规则：BR-845f384501f9e1a8
3. 未动态验证</x:v>
      </x:c>
    </x:row>
    <x:row r="894" ht="85" customHeight="1">
      <x:c r="A894" s="10" t="n">
        <x:v>893</x:v>
      </x:c>
      <x:c r="B894" s="10" t="str">
        <x:v>USER-03-0085</x:v>
      </x:c>
      <x:c r="C894" s="10" t="str">
        <x:v>直播</x:v>
      </x:c>
      <x:c r="D894" s="10" t="str">
        <x:v>直播间（普通房）（运营账号视角）</x:v>
      </x:c>
      <x:c r="E894" s="10" t="str">
        <x:v>功能需求</x:v>
      </x:c>
      <x:c r="F894" s="10" t="str">
        <x:v>P1</x:v>
      </x:c>
      <x:c r="G894" s="9" t="str">
        <x:v>验证运营禁送幸运礼物</x:v>
      </x:c>
      <x:c r="H894" s="9" t="str">
        <x:v>入口可用性</x:v>
      </x:c>
      <x:c r="I894" s="9" t="str">
        <x:v>1. 执行角色为运营账号；当前处于直播间（普通房）页面
2. 虚拟金币充足</x:v>
      </x:c>
      <x:c r="J894" s="9" t="str">
        <x:v>1. 打开礼物面板查看幸运礼物</x:v>
      </x:c>
      <x:c r="K894" s="9" t="str">
        <x:v>不能赠送幸运礼物</x:v>
      </x:c>
      <x:c r="L894" s="10" t="str"/>
      <x:c r="M894" s="10" t="str">
        <x:v>未测</x:v>
      </x:c>
      <x:c r="N894" s="10" t="str"/>
      <x:c r="O894" s="9" t="str">
        <x:v>1. 来源（当前证据）：liveshow-proto/MainBasis/统一需求文档.md；位置：行1581、行759
2. 规则：BR-d88c99b6fe79fb58
3. 未动态验证</x:v>
      </x:c>
    </x:row>
    <x:row r="895" ht="85" customHeight="1">
      <x:c r="A895" s="10" t="n">
        <x:v>894</x:v>
      </x:c>
      <x:c r="B895" s="10" t="str">
        <x:v>USER-03-0086</x:v>
      </x:c>
      <x:c r="C895" s="10" t="str">
        <x:v>直播</x:v>
      </x:c>
      <x:c r="D895" s="10" t="str">
        <x:v>直播间（普通房）（运营账号视角）</x:v>
      </x:c>
      <x:c r="E895" s="10" t="str">
        <x:v>功能需求</x:v>
      </x:c>
      <x:c r="F895" s="10" t="str">
        <x:v>P1</x:v>
      </x:c>
      <x:c r="G895" s="9" t="str">
        <x:v>验证运营余额不足无充值：虚拟金币不足提示</x:v>
      </x:c>
      <x:c r="H895" s="9" t="str">
        <x:v>虚拟金币不足提示</x:v>
      </x:c>
      <x:c r="I895" s="9" t="str">
        <x:v>1. 执行角色为运营账号；当前处于直播间（普通房）页面
2. 虚拟余额不足所选礼物价格</x:v>
      </x:c>
      <x:c r="J895" s="9" t="str">
        <x:v>1. 点击赠送</x:v>
      </x:c>
      <x:c r="K895" s="9" t="str">
        <x:v>提示联系公会发放虚拟金币</x:v>
      </x:c>
      <x:c r="L895" s="10" t="str"/>
      <x:c r="M895" s="10" t="str">
        <x:v>未测</x:v>
      </x:c>
      <x:c r="N895" s="10" t="str"/>
      <x:c r="O895" s="9" t="str">
        <x:v>1. 来源（当前证据）：liveshow-proto/MainBasis/统一需求文档.md；位置：行1587、行759
2. 规则：BR-a606ccbb0ef8692a
3. 未动态验证</x:v>
      </x:c>
    </x:row>
    <x:row r="896" ht="85" customHeight="1">
      <x:c r="A896" s="10" t="n">
        <x:v>895</x:v>
      </x:c>
      <x:c r="B896" s="10" t="str">
        <x:v>USER-03-0087</x:v>
      </x:c>
      <x:c r="C896" s="10" t="str">
        <x:v>直播</x:v>
      </x:c>
      <x:c r="D896" s="10" t="str">
        <x:v>直播间（普通房）（运营账号视角）</x:v>
      </x:c>
      <x:c r="E896" s="10" t="str">
        <x:v>功能需求</x:v>
      </x:c>
      <x:c r="F896" s="10" t="str">
        <x:v>P1</x:v>
      </x:c>
      <x:c r="G896" s="9" t="str">
        <x:v>验证运营余额不足无充值：虚拟金币充值禁入</x:v>
      </x:c>
      <x:c r="H896" s="9" t="str">
        <x:v>虚拟金币充值禁入</x:v>
      </x:c>
      <x:c r="I896" s="9" t="str">
        <x:v>1. 执行角色为运营账号；当前处于直播间（普通房）页面
2. 虚拟余额不足所选礼物价格</x:v>
      </x:c>
      <x:c r="J896" s="9" t="str">
        <x:v>1. 点击赠送</x:v>
      </x:c>
      <x:c r="K896" s="9" t="str">
        <x:v>不显示充值入口</x:v>
      </x:c>
      <x:c r="L896" s="10" t="str"/>
      <x:c r="M896" s="10" t="str">
        <x:v>未测</x:v>
      </x:c>
      <x:c r="N896" s="10" t="str"/>
      <x:c r="O896" s="9" t="str">
        <x:v>1. 来源（当前证据）：liveshow-proto/MainBasis/统一需求文档.md；位置：行1587、行759
2. 规则：BR-1c739260b2b22558
3. 未动态验证</x:v>
      </x:c>
    </x:row>
    <x:row r="897" ht="85" customHeight="1">
      <x:c r="A897" s="10" t="n">
        <x:v>896</x:v>
      </x:c>
      <x:c r="B897" s="10" t="str">
        <x:v>USER-03-0088</x:v>
      </x:c>
      <x:c r="C897" s="10" t="str">
        <x:v>直播</x:v>
      </x:c>
      <x:c r="D897" s="10" t="str">
        <x:v>直播间（普通房）（运营账号视角）</x:v>
      </x:c>
      <x:c r="E897" s="10" t="str">
        <x:v>功能需求</x:v>
      </x:c>
      <x:c r="F897" s="10" t="str">
        <x:v>P1</x:v>
      </x:c>
      <x:c r="G897" s="9" t="str">
        <x:v>验证运营不得加入粉丝团：拒绝运营入团</x:v>
      </x:c>
      <x:c r="H897" s="9" t="str">
        <x:v>拒绝运营入团</x:v>
      </x:c>
      <x:c r="I897" s="9" t="str">
        <x:v>1. 执行角色为运营账号；当前处于直播间（普通房）页面</x:v>
      </x:c>
      <x:c r="J897" s="9" t="str">
        <x:v>1. 尝试打开加入粉丝团视图</x:v>
      </x:c>
      <x:c r="K897" s="9" t="str">
        <x:v>运营账号不能进入加入流程</x:v>
      </x:c>
      <x:c r="L897" s="10" t="str"/>
      <x:c r="M897" s="10" t="str">
        <x:v>未测</x:v>
      </x:c>
      <x:c r="N897" s="10" t="str"/>
      <x:c r="O897" s="9" t="str">
        <x:v>1. 来源（当前证据）：liveshow-proto/MainBasis/统一需求文档.md；位置：行1611、行1615、行759
2. 规则：BR-4aa2ba3c0e2179e5
3. 未动态验证</x:v>
      </x:c>
    </x:row>
    <x:row r="898" ht="85" customHeight="1">
      <x:c r="A898" s="10" t="n">
        <x:v>897</x:v>
      </x:c>
      <x:c r="B898" s="10" t="str">
        <x:v>USER-03-0089</x:v>
      </x:c>
      <x:c r="C898" s="10" t="str">
        <x:v>直播</x:v>
      </x:c>
      <x:c r="D898" s="10" t="str">
        <x:v>直播间（普通房）（运营账号视角）</x:v>
      </x:c>
      <x:c r="E898" s="10" t="str">
        <x:v>功能需求</x:v>
      </x:c>
      <x:c r="F898" s="10" t="str">
        <x:v>P1</x:v>
      </x:c>
      <x:c r="G898" s="9" t="str">
        <x:v>验证运营不得加入粉丝团：运营拒绝后去向</x:v>
      </x:c>
      <x:c r="H898" s="9" t="str">
        <x:v>运营拒绝后去向</x:v>
      </x:c>
      <x:c r="I898" s="9" t="str">
        <x:v>1. 执行角色为运营账号；当前处于直播间（普通房）页面</x:v>
      </x:c>
      <x:c r="J898" s="9" t="str">
        <x:v>1. 尝试打开加入粉丝团视图</x:v>
      </x:c>
      <x:c r="K898" s="9" t="str">
        <x:v>返回直播间</x:v>
      </x:c>
      <x:c r="L898" s="10" t="str"/>
      <x:c r="M898" s="10" t="str">
        <x:v>未测</x:v>
      </x:c>
      <x:c r="N898" s="10" t="str"/>
      <x:c r="O898" s="9" t="str">
        <x:v>1. 来源（当前证据）：liveshow-proto/MainBasis/统一需求文档.md；位置：行1611、行1615、行759
2. 规则：BR-93f4fa7fafab2c54
3. 未动态验证</x:v>
      </x:c>
    </x:row>
    <x:row r="899" ht="85" customHeight="1">
      <x:c r="A899" s="10" t="n">
        <x:v>898</x:v>
      </x:c>
      <x:c r="B899" s="10" t="str">
        <x:v>USER-03-0090</x:v>
      </x:c>
      <x:c r="C899" s="10" t="str">
        <x:v>直播</x:v>
      </x:c>
      <x:c r="D899" s="10" t="str">
        <x:v>直播间（普通房）（运营账号视角）</x:v>
      </x:c>
      <x:c r="E899" s="10" t="str">
        <x:v>功能需求</x:v>
      </x:c>
      <x:c r="F899" s="10" t="str">
        <x:v>P1</x:v>
      </x:c>
      <x:c r="G899" s="9" t="str">
        <x:v>验证运营绕过成员限制</x:v>
      </x:c>
      <x:c r="H899" s="9" t="str">
        <x:v>运营人员成员限制豁免</x:v>
      </x:c>
      <x:c r="I899" s="9" t="str">
        <x:v>1. 执行角色为运营账号；当前处于直播间（普通房）页面
2. 目标密码房仅粉丝团成员可进入；本账号无团籍</x:v>
      </x:c>
      <x:c r="J899" s="9" t="str">
        <x:v>1. 进入目标房间</x:v>
      </x:c>
      <x:c r="K899" s="9" t="str">
        <x:v>不因缺少粉丝团成员资格被拦截</x:v>
      </x:c>
      <x:c r="L899" s="10" t="str"/>
      <x:c r="M899" s="10" t="str">
        <x:v>未测</x:v>
      </x:c>
      <x:c r="N899" s="10" t="str"/>
      <x:c r="O899" s="9" t="str">
        <x:v>1. 来源（当前证据）：liveshow-proto/MainBasis/统一需求文档.md；位置：行770、行1657、行759
2. 规则：BR-82d9bd54a8eb085c
3. 未动态验证</x:v>
      </x:c>
    </x:row>
    <x:row r="900" ht="85" customHeight="1">
      <x:c r="A900" s="10" t="n">
        <x:v>899</x:v>
      </x:c>
      <x:c r="B900" s="10" t="str">
        <x:v>USER-03-0091</x:v>
      </x:c>
      <x:c r="C900" s="10" t="str">
        <x:v>直播</x:v>
      </x:c>
      <x:c r="D900" s="10" t="str">
        <x:v>直播间（普通房）（当前场次房管视角）</x:v>
      </x:c>
      <x:c r="E900" s="10" t="str">
        <x:v>功能需求</x:v>
      </x:c>
      <x:c r="F900" s="10" t="str">
        <x:v>P2</x:v>
      </x:c>
      <x:c r="G900" s="9" t="str">
        <x:v>验证房管禁言确认</x:v>
      </x:c>
      <x:c r="H900" s="9" t="str">
        <x:v>房管禁言确认弹窗</x:v>
      </x:c>
      <x:c r="I900" s="9" t="str">
        <x:v>1. 执行角色为当前场次房管；当前处于直播间（普通房）页面
2. 目标为本场普通观众A</x:v>
      </x:c>
      <x:c r="J900" s="9" t="str">
        <x:v>1. 打开A资料卡
2. 点击禁言</x:v>
      </x:c>
      <x:c r="K900" s="9" t="str">
        <x:v>打开禁言确认视图</x:v>
      </x:c>
      <x:c r="L900" s="10" t="str"/>
      <x:c r="M900" s="10" t="str">
        <x:v>未测</x:v>
      </x:c>
      <x:c r="N900" s="10" t="str"/>
      <x:c r="O900" s="9" t="str">
        <x:v>1. 来源（当前证据）：liveshow-proto/MainBasis/统一需求文档.md；位置：行1696、行1700、行759
2. 规则：BR-22cec494bdb0431f
3. 未动态验证</x:v>
      </x:c>
    </x:row>
    <x:row r="901" ht="85" customHeight="1">
      <x:c r="A901" s="10" t="n">
        <x:v>900</x:v>
      </x:c>
      <x:c r="B901" s="10" t="str">
        <x:v>USER-03-0092</x:v>
      </x:c>
      <x:c r="C901" s="10" t="str">
        <x:v>直播</x:v>
      </x:c>
      <x:c r="D901" s="10" t="str">
        <x:v>直播间（普通房）（当前场次房管视角）</x:v>
      </x:c>
      <x:c r="E901" s="10" t="str">
        <x:v>功能需求</x:v>
      </x:c>
      <x:c r="F901" s="10" t="str">
        <x:v>P1</x:v>
      </x:c>
      <x:c r="G901" s="9" t="str">
        <x:v>验证取消禁言不生效</x:v>
      </x:c>
      <x:c r="H901" s="9" t="str">
        <x:v>取消禁言发言权限保持</x:v>
      </x:c>
      <x:c r="I901" s="9" t="str">
        <x:v>1. 执行角色为当前场次房管；当前处于直播间（普通房）页面
2. 禁言确认已打开且A可发言</x:v>
      </x:c>
      <x:c r="J901" s="9" t="str">
        <x:v>1. 点击取消</x:v>
      </x:c>
      <x:c r="K901" s="9" t="str">
        <x:v>A仍可发言</x:v>
      </x:c>
      <x:c r="L901" s="10" t="str"/>
      <x:c r="M901" s="10" t="str">
        <x:v>未测</x:v>
      </x:c>
      <x:c r="N901" s="10" t="str"/>
      <x:c r="O901" s="9" t="str">
        <x:v>1. 来源（当前证据）：liveshow-proto/MainBasis/统一需求文档.md；位置：行1700、行759
2. 规则：BR-47698a882ea3650d
3. 未动态验证</x:v>
      </x:c>
    </x:row>
    <x:row r="902" ht="85" customHeight="1">
      <x:c r="A902" s="10" t="n">
        <x:v>901</x:v>
      </x:c>
      <x:c r="B902" s="10" t="str">
        <x:v>USER-03-0093</x:v>
      </x:c>
      <x:c r="C902" s="10" t="str">
        <x:v>直播</x:v>
      </x:c>
      <x:c r="D902" s="10" t="str">
        <x:v>直播间（普通房）（当前场次房管视角）</x:v>
      </x:c>
      <x:c r="E902" s="10" t="str">
        <x:v>功能需求</x:v>
      </x:c>
      <x:c r="F902" s="10" t="str">
        <x:v>P1</x:v>
      </x:c>
      <x:c r="G902" s="9" t="str">
        <x:v>验证确认禁言生效</x:v>
      </x:c>
      <x:c r="H902" s="9" t="str">
        <x:v>场次禁言状态</x:v>
      </x:c>
      <x:c r="I902" s="9" t="str">
        <x:v>1. 执行角色为当前场次房管；当前处于直播间（普通房）页面
2. 禁言确认已打开且A可发言</x:v>
      </x:c>
      <x:c r="J902" s="9" t="str">
        <x:v>1. 点击确认禁言</x:v>
      </x:c>
      <x:c r="K902" s="9" t="str">
        <x:v>A进入当前场次禁言状态</x:v>
      </x:c>
      <x:c r="L902" s="10" t="str"/>
      <x:c r="M902" s="10" t="str">
        <x:v>未测</x:v>
      </x:c>
      <x:c r="N902" s="10" t="str"/>
      <x:c r="O902" s="9" t="str">
        <x:v>1. 来源（当前证据）：liveshow-proto/MainBasis/统一需求文档.md；位置：行1705、行759
2. 规则：BR-b98e49b2661db45a
3. 未动态验证</x:v>
      </x:c>
    </x:row>
    <x:row r="903" ht="85" customHeight="1">
      <x:c r="A903" s="10" t="n">
        <x:v>902</x:v>
      </x:c>
      <x:c r="B903" s="10" t="str">
        <x:v>USER-03-0094</x:v>
      </x:c>
      <x:c r="C903" s="10" t="str">
        <x:v>直播</x:v>
      </x:c>
      <x:c r="D903" s="10" t="str">
        <x:v>直播间（普通房）（当前场次房管视角）</x:v>
      </x:c>
      <x:c r="E903" s="10" t="str">
        <x:v>功能需求</x:v>
      </x:c>
      <x:c r="F903" s="10" t="str">
        <x:v>P1</x:v>
      </x:c>
      <x:c r="G903" s="9" t="str">
        <x:v>验证房管踢出确认</x:v>
      </x:c>
      <x:c r="H903" s="9" t="str">
        <x:v>房管踢出确认弹窗</x:v>
      </x:c>
      <x:c r="I903" s="9" t="str">
        <x:v>1. 执行角色为当前场次房管；当前处于直播间（普通房）页面
2. 目标为本场普通观众A</x:v>
      </x:c>
      <x:c r="J903" s="9" t="str">
        <x:v>1. 打开A资料卡
2. 点击踢出</x:v>
      </x:c>
      <x:c r="K903" s="9" t="str">
        <x:v>打开踢出确认视图</x:v>
      </x:c>
      <x:c r="L903" s="10" t="str"/>
      <x:c r="M903" s="10" t="str">
        <x:v>未测</x:v>
      </x:c>
      <x:c r="N903" s="10" t="str"/>
      <x:c r="O903" s="9" t="str">
        <x:v>1. 来源（当前证据）：liveshow-proto/MainBasis/统一需求文档.md；位置：行1700、行759
2. 规则：BR-89a0719238afad28
3. 未动态验证</x:v>
      </x:c>
    </x:row>
    <x:row r="904" ht="85" customHeight="1">
      <x:c r="A904" s="10" t="n">
        <x:v>903</x:v>
      </x:c>
      <x:c r="B904" s="10" t="str">
        <x:v>USER-03-0095</x:v>
      </x:c>
      <x:c r="C904" s="10" t="str">
        <x:v>直播</x:v>
      </x:c>
      <x:c r="D904" s="10" t="str">
        <x:v>直播间（普通房）（当前场次房管视角）</x:v>
      </x:c>
      <x:c r="E904" s="10" t="str">
        <x:v>功能需求</x:v>
      </x:c>
      <x:c r="F904" s="10" t="str">
        <x:v>P1</x:v>
      </x:c>
      <x:c r="G904" s="9" t="str">
        <x:v>验证取消踢出保持在房</x:v>
      </x:c>
      <x:c r="H904" s="9" t="str">
        <x:v>取消踢出在线状态保持</x:v>
      </x:c>
      <x:c r="I904" s="9" t="str">
        <x:v>1. 执行角色为当前场次房管；当前处于直播间（普通房）页面
2. 踢出确认已打开且A在线</x:v>
      </x:c>
      <x:c r="J904" s="9" t="str">
        <x:v>1. 点击取消</x:v>
      </x:c>
      <x:c r="K904" s="9" t="str">
        <x:v>A仍在本场在线列表</x:v>
      </x:c>
      <x:c r="L904" s="10" t="str"/>
      <x:c r="M904" s="10" t="str">
        <x:v>未测</x:v>
      </x:c>
      <x:c r="N904" s="10" t="str"/>
      <x:c r="O904" s="9" t="str">
        <x:v>1. 来源（当前证据）：liveshow-proto/MainBasis/统一需求文档.md；位置：行1710、行759
2. 规则：BR-9032c0412b9507f3
3. 未动态验证</x:v>
      </x:c>
    </x:row>
    <x:row r="905" ht="85" customHeight="1">
      <x:c r="A905" s="10" t="n">
        <x:v>904</x:v>
      </x:c>
      <x:c r="B905" s="10" t="str">
        <x:v>USER-03-0096</x:v>
      </x:c>
      <x:c r="C905" s="10" t="str">
        <x:v>直播</x:v>
      </x:c>
      <x:c r="D905" s="10" t="str">
        <x:v>直播间（普通房）（当前场次房管视角）</x:v>
      </x:c>
      <x:c r="E905" s="10" t="str">
        <x:v>功能需求</x:v>
      </x:c>
      <x:c r="F905" s="10" t="str">
        <x:v>P1</x:v>
      </x:c>
      <x:c r="G905" s="9" t="str">
        <x:v>验证确认踢出移除观众</x:v>
      </x:c>
      <x:c r="H905" s="9" t="str">
        <x:v>在线观众移除</x:v>
      </x:c>
      <x:c r="I905" s="9" t="str">
        <x:v>1. 执行角色为当前场次房管；当前处于直播间（普通房）页面
2. 踢出确认已打开且A在线</x:v>
      </x:c>
      <x:c r="J905" s="9" t="str">
        <x:v>1. 点击确认踢出</x:v>
      </x:c>
      <x:c r="K905" s="9" t="str">
        <x:v>A立即退出并从在线列表移除</x:v>
      </x:c>
      <x:c r="L905" s="10" t="str"/>
      <x:c r="M905" s="10" t="str">
        <x:v>未测</x:v>
      </x:c>
      <x:c r="N905" s="10" t="str"/>
      <x:c r="O905" s="9" t="str">
        <x:v>1. 来源（当前证据）：liveshow-proto/MainBasis/统一需求文档.md；位置：行1710、行759
2. 规则：BR-85193700d7081ca4
3. 未动态验证</x:v>
      </x:c>
    </x:row>
    <x:row r="906" ht="85" customHeight="1">
      <x:c r="A906" s="10" t="n">
        <x:v>905</x:v>
      </x:c>
      <x:c r="B906" s="10" t="str">
        <x:v>USER-03-0097</x:v>
      </x:c>
      <x:c r="C906" s="10" t="str">
        <x:v>直播</x:v>
      </x:c>
      <x:c r="D906" s="10" t="str">
        <x:v>直播间（普通房）（当前场次房管视角）</x:v>
      </x:c>
      <x:c r="E906" s="10" t="str">
        <x:v>功能需求</x:v>
      </x:c>
      <x:c r="F906" s="10" t="str">
        <x:v>P1</x:v>
      </x:c>
      <x:c r="G906" s="9" t="str">
        <x:v>验证房管不能处置主播</x:v>
      </x:c>
      <x:c r="H906" s="9" t="str">
        <x:v>入口可用性</x:v>
      </x:c>
      <x:c r="I906" s="9" t="str">
        <x:v>1. 执行角色为当前场次房管；当前处于直播间（普通房）页面
2. 当前查看本房主播资料</x:v>
      </x:c>
      <x:c r="J906" s="9" t="str">
        <x:v>1. 查看管理操作</x:v>
      </x:c>
      <x:c r="K906" s="9" t="str">
        <x:v>不能禁言或踢出主播本人</x:v>
      </x:c>
      <x:c r="L906" s="10" t="str"/>
      <x:c r="M906" s="10" t="str">
        <x:v>未测</x:v>
      </x:c>
      <x:c r="N906" s="10" t="str"/>
      <x:c r="O906" s="9" t="str">
        <x:v>1. 来源（当前证据）：liveshow-proto/MainBasis/统一需求文档.md；位置：行1697、行759
2. 规则：BR-1f51e2e821101014
3. 未动态验证</x:v>
      </x:c>
    </x:row>
    <x:row r="907" ht="85" customHeight="1">
      <x:c r="A907" s="10" t="n">
        <x:v>906</x:v>
      </x:c>
      <x:c r="B907" s="10" t="str">
        <x:v>USER-03-0098</x:v>
      </x:c>
      <x:c r="C907" s="10" t="str">
        <x:v>直播</x:v>
      </x:c>
      <x:c r="D907" s="10" t="str">
        <x:v>直播间（普通房）（当前场次房管视角）</x:v>
      </x:c>
      <x:c r="E907" s="10" t="str">
        <x:v>功能需求</x:v>
      </x:c>
      <x:c r="F907" s="10" t="str">
        <x:v>P1</x:v>
      </x:c>
      <x:c r="G907" s="9" t="str">
        <x:v>验证房管不能踢巡房人员</x:v>
      </x:c>
      <x:c r="H907" s="9" t="str">
        <x:v>巡房账号踢出权限</x:v>
      </x:c>
      <x:c r="I907" s="9" t="str">
        <x:v>1. 执行角色为当前场次房管；当前处于直播间（普通房）页面
2. 目标处于有效巡房会话</x:v>
      </x:c>
      <x:c r="J907" s="9" t="str">
        <x:v>1. 打开该用户资料卡</x:v>
      </x:c>
      <x:c r="K907" s="9" t="str">
        <x:v>不显示拉黑或踢出操作</x:v>
      </x:c>
      <x:c r="L907" s="10" t="str"/>
      <x:c r="M907" s="10" t="str">
        <x:v>未测</x:v>
      </x:c>
      <x:c r="N907" s="10" t="str"/>
      <x:c r="O907" s="9" t="str">
        <x:v>1. 来源（当前证据）：liveshow-proto/MainBasis/统一需求文档.md；位置：行1698、行775、行759
2. 规则：BR-8f52052f63c2626e
3. 未动态验证</x:v>
      </x:c>
    </x:row>
    <x:row r="908" ht="85" customHeight="1">
      <x:c r="A908" s="10" t="n">
        <x:v>907</x:v>
      </x:c>
      <x:c r="B908" s="10" t="str">
        <x:v>USER-03-0099</x:v>
      </x:c>
      <x:c r="C908" s="10" t="str">
        <x:v>直播</x:v>
      </x:c>
      <x:c r="D908" s="10" t="str">
        <x:v>直播间（普通房）（当前场次房管视角）</x:v>
      </x:c>
      <x:c r="E908" s="10" t="str">
        <x:v>功能需求</x:v>
      </x:c>
      <x:c r="F908" s="10" t="str">
        <x:v>P1</x:v>
      </x:c>
      <x:c r="G908" s="9" t="str">
        <x:v>验证取消授权立即失去权限</x:v>
      </x:c>
      <x:c r="H908" s="9" t="str">
        <x:v>房管撤销后的操作权限</x:v>
      </x:c>
      <x:c r="I908" s="9" t="str">
        <x:v>1. 执行角色为当前场次房管；当前处于直播间（普通房）页面
2. 主播已撤销本账号房管授权</x:v>
      </x:c>
      <x:c r="J908" s="9" t="str">
        <x:v>1. 重新打开普通观众资料卡</x:v>
      </x:c>
      <x:c r="K908" s="9" t="str">
        <x:v>不再提供房管管理操作</x:v>
      </x:c>
      <x:c r="L908" s="10" t="str"/>
      <x:c r="M908" s="10" t="str">
        <x:v>未测</x:v>
      </x:c>
      <x:c r="N908" s="10" t="str"/>
      <x:c r="O908" s="9" t="str">
        <x:v>1. 来源（当前证据）：liveshow-proto/MainBasis/统一需求文档.md；位置：行1683、行759
2. 规则：BR-7b38ea750af18312
3. 未动态验证</x:v>
      </x:c>
    </x:row>
    <x:row r="909" ht="130" customHeight="1">
      <x:c r="A909" s="10" t="n">
        <x:v>908</x:v>
      </x:c>
      <x:c r="B909" s="10" t="str">
        <x:v>USER-03-0100</x:v>
      </x:c>
      <x:c r="C909" s="10" t="str">
        <x:v>直播</x:v>
      </x:c>
      <x:c r="D909" s="10" t="str">
        <x:v>直播间（主播）（正在普通房直播的主播视角）</x:v>
      </x:c>
      <x:c r="E909" s="10" t="str">
        <x:v>功能需求</x:v>
      </x:c>
      <x:c r="F909" s="10" t="str">
        <x:v>P1</x:v>
      </x:c>
      <x:c r="G909" s="9" t="str">
        <x:v>验证固定房间ID跨场次</x:v>
      </x:c>
      <x:c r="H909" s="9" t="str">
        <x:v>跨场次房间标识保持</x:v>
      </x:c>
      <x:c r="I909" s="9" t="str">
        <x:v>1. 执行角色为正在普通房直播的主播；当前处于直播间（主播）页面
2. 本主播上一场房间ID为R1，当前为新场次</x:v>
      </x:c>
      <x:c r="J909" s="9" t="str">
        <x:v>1. 查看房间ID</x:v>
      </x:c>
      <x:c r="K909" s="9" t="str">
        <x:v>仍为固定房间R1</x:v>
      </x:c>
      <x:c r="L909" s="10" t="str">
        <x:v>FLOW-3316A78D</x:v>
      </x:c>
      <x:c r="M909" s="10" t="str">
        <x:v>未测</x:v>
      </x:c>
      <x:c r="N909" s="10" t="str"/>
      <x:c r="O909" s="9" t="str">
        <x:v>1. 来源（当前证据）：liveshow-proto/MainBasis/统一需求文档.md；位置：行798、行797
2. 规则：BR-b344131d04f62bb7
3. 未动态验证
4. 状态转换：ST-USER-016；共同业务对象：直播场次；当前阶段：开播后的用户App观察</x:v>
      </x:c>
    </x:row>
    <x:row r="910" ht="85" customHeight="1">
      <x:c r="A910" s="10" t="n">
        <x:v>909</x:v>
      </x:c>
      <x:c r="B910" s="10" t="str">
        <x:v>USER-03-0101</x:v>
      </x:c>
      <x:c r="C910" s="10" t="str">
        <x:v>直播</x:v>
      </x:c>
      <x:c r="D910" s="10" t="str">
        <x:v>直播间（主播）（正在普通房直播的主播视角）</x:v>
      </x:c>
      <x:c r="E910" s="10" t="str">
        <x:v>功能需求</x:v>
      </x:c>
      <x:c r="F910" s="10" t="str">
        <x:v>P1</x:v>
      </x:c>
      <x:c r="G910" s="9" t="str">
        <x:v>验证离线贡献保留榜单</x:v>
      </x:c>
      <x:c r="H910" s="9" t="str">
        <x:v>数据保持</x:v>
      </x:c>
      <x:c r="I910" s="9" t="str">
        <x:v>1. 执行角色为正在普通房直播的主播；当前处于直播间（主播）页面
2. 观众A本场有效贡献100后已离开</x:v>
      </x:c>
      <x:c r="J910" s="9" t="str">
        <x:v>1. 打开本场贡献榜</x:v>
      </x:c>
      <x:c r="K910" s="9" t="str">
        <x:v>A及本场贡献100仍保留</x:v>
      </x:c>
      <x:c r="L910" s="10" t="str"/>
      <x:c r="M910" s="10" t="str">
        <x:v>未测</x:v>
      </x:c>
      <x:c r="N910" s="10" t="str"/>
      <x:c r="O910" s="9" t="str">
        <x:v>1. 来源（当前证据）：liveshow-proto/MainBasis/统一需求文档.md；位置：行1749、行1754、行797
2. 规则：BR-edc1847320cf96d5
3. 未动态验证</x:v>
      </x:c>
    </x:row>
    <x:row r="911" ht="85" customHeight="1">
      <x:c r="A911" s="10" t="n">
        <x:v>910</x:v>
      </x:c>
      <x:c r="B911" s="10" t="str">
        <x:v>USER-03-0102</x:v>
      </x:c>
      <x:c r="C911" s="10" t="str">
        <x:v>直播</x:v>
      </x:c>
      <x:c r="D911" s="10" t="str">
        <x:v>直播间（主播）（正在普通房直播的主播视角）</x:v>
      </x:c>
      <x:c r="E911" s="10" t="str">
        <x:v>功能需求</x:v>
      </x:c>
      <x:c r="F911" s="10" t="str">
        <x:v>P1</x:v>
      </x:c>
      <x:c r="G911" s="9" t="str">
        <x:v>验证在线列表移除离线用户</x:v>
      </x:c>
      <x:c r="H911" s="9" t="str">
        <x:v>离线用户列表过滤</x:v>
      </x:c>
      <x:c r="I911" s="9" t="str">
        <x:v>1. 执行角色为正在普通房直播的主播；当前处于直播间（主播）页面
2. 观众A已离开当前直播间</x:v>
      </x:c>
      <x:c r="J911" s="9" t="str">
        <x:v>1. 打开在线观众列表</x:v>
      </x:c>
      <x:c r="K911" s="9" t="str">
        <x:v>不展示已离线A</x:v>
      </x:c>
      <x:c r="L911" s="10" t="str"/>
      <x:c r="M911" s="10" t="str">
        <x:v>未测</x:v>
      </x:c>
      <x:c r="N911" s="10" t="str"/>
      <x:c r="O911" s="9" t="str">
        <x:v>1. 来源（当前证据）：liveshow-proto/MainBasis/统一需求文档.md；位置：行1770、行797
2. 规则：BR-c09d3f64b89e9693
3. 未动态验证</x:v>
      </x:c>
    </x:row>
    <x:row r="912" ht="85" customHeight="1">
      <x:c r="A912" s="10" t="n">
        <x:v>911</x:v>
      </x:c>
      <x:c r="B912" s="10" t="str">
        <x:v>USER-03-0103</x:v>
      </x:c>
      <x:c r="C912" s="10" t="str">
        <x:v>直播</x:v>
      </x:c>
      <x:c r="D912" s="10" t="str">
        <x:v>直播间（主播）（正在普通房直播的主播视角）</x:v>
      </x:c>
      <x:c r="E912" s="10" t="str">
        <x:v>功能需求</x:v>
      </x:c>
      <x:c r="F912" s="10" t="str">
        <x:v>P1</x:v>
      </x:c>
      <x:c r="G912" s="9" t="str">
        <x:v>验证按停留时长排序</x:v>
      </x:c>
      <x:c r="H912" s="9" t="str">
        <x:v>在线停留时长排序</x:v>
      </x:c>
      <x:c r="I912" s="9" t="str">
        <x:v>1. 执行角色为正在普通房直播的主播；当前处于直播间（主播）页面
2. A本场在线20分钟、B10分钟</x:v>
      </x:c>
      <x:c r="J912" s="9" t="str">
        <x:v>1. 打开在线列表
2. 选择按停留时长</x:v>
      </x:c>
      <x:c r="K912" s="9" t="str">
        <x:v>A在B之前</x:v>
      </x:c>
      <x:c r="L912" s="10" t="str"/>
      <x:c r="M912" s="10" t="str">
        <x:v>未测</x:v>
      </x:c>
      <x:c r="N912" s="10" t="str"/>
      <x:c r="O912" s="9" t="str">
        <x:v>1. 来源（当前证据）：liveshow-proto/MainBasis/统一需求文档.md；位置：行1773、行1777、行797
2. 规则：BR-fcd3dbf26e1ca6d4
3. 未动态验证</x:v>
      </x:c>
    </x:row>
    <x:row r="913" ht="85" customHeight="1">
      <x:c r="A913" s="10" t="n">
        <x:v>912</x:v>
      </x:c>
      <x:c r="B913" s="10" t="str">
        <x:v>USER-03-0104</x:v>
      </x:c>
      <x:c r="C913" s="10" t="str">
        <x:v>直播</x:v>
      </x:c>
      <x:c r="D913" s="10" t="str">
        <x:v>直播间（主播）（正在普通房直播的主播视角）</x:v>
      </x:c>
      <x:c r="E913" s="10" t="str">
        <x:v>功能需求</x:v>
      </x:c>
      <x:c r="F913" s="10" t="str">
        <x:v>P1</x:v>
      </x:c>
      <x:c r="G913" s="9" t="str">
        <x:v>验证取消房管仍可观看</x:v>
      </x:c>
      <x:c r="H913" s="9" t="str">
        <x:v>房管撤销后的观看资格</x:v>
      </x:c>
      <x:c r="I913" s="9" t="str">
        <x:v>1. 执行角色为正在普通房直播的主播；当前处于直播间（主播）页面
2. 观众A当前为房管且在线</x:v>
      </x:c>
      <x:c r="J913" s="9" t="str">
        <x:v>1. 取消A房管并确认
2. 查看在线观众</x:v>
      </x:c>
      <x:c r="K913" s="9" t="str">
        <x:v>A以普通观众身份继续在线</x:v>
      </x:c>
      <x:c r="L913" s="10" t="str"/>
      <x:c r="M913" s="10" t="str">
        <x:v>未测</x:v>
      </x:c>
      <x:c r="N913" s="10" t="str"/>
      <x:c r="O913" s="9" t="str">
        <x:v>1. 来源（当前证据）：liveshow-proto/MainBasis/统一需求文档.md；位置：行1775、行797
2. 规则：BR-6abbc5259b11d1d3
3. 未动态验证</x:v>
      </x:c>
    </x:row>
    <x:row r="914" ht="85" customHeight="1">
      <x:c r="A914" s="10" t="n">
        <x:v>913</x:v>
      </x:c>
      <x:c r="B914" s="10" t="str">
        <x:v>USER-03-0105</x:v>
      </x:c>
      <x:c r="C914" s="10" t="str">
        <x:v>直播</x:v>
      </x:c>
      <x:c r="D914" s="10" t="str">
        <x:v>直播间（主播）（正在普通房直播的主播视角）</x:v>
      </x:c>
      <x:c r="E914" s="10" t="str">
        <x:v>功能需求</x:v>
      </x:c>
      <x:c r="F914" s="10" t="str">
        <x:v>P1</x:v>
      </x:c>
      <x:c r="G914" s="9" t="str">
        <x:v>验证禁言用户离开不解除</x:v>
      </x:c>
      <x:c r="H914" s="9" t="str">
        <x:v>退出房间禁言状态保持</x:v>
      </x:c>
      <x:c r="I914" s="9" t="str">
        <x:v>1. 执行角色为正在普通房直播的主播；当前处于直播间（主播）页面
2. A本场已禁言后离开</x:v>
      </x:c>
      <x:c r="J914" s="9" t="str">
        <x:v>1. 查看禁用用户列表</x:v>
      </x:c>
      <x:c r="K914" s="9" t="str">
        <x:v>A仍处于本场禁言状态</x:v>
      </x:c>
      <x:c r="L914" s="10" t="str"/>
      <x:c r="M914" s="10" t="str">
        <x:v>未测</x:v>
      </x:c>
      <x:c r="N914" s="10" t="str"/>
      <x:c r="O914" s="9" t="str">
        <x:v>1. 来源（当前证据）：liveshow-proto/MainBasis/统一需求文档.md；位置：行1788、行797
2. 规则：BR-303d344efd01348f
3. 未动态验证</x:v>
      </x:c>
    </x:row>
    <x:row r="915" ht="85" customHeight="1">
      <x:c r="A915" s="10" t="n">
        <x:v>914</x:v>
      </x:c>
      <x:c r="B915" s="10" t="str">
        <x:v>USER-03-0106</x:v>
      </x:c>
      <x:c r="C915" s="10" t="str">
        <x:v>直播</x:v>
      </x:c>
      <x:c r="D915" s="10" t="str">
        <x:v>直播间（主播）（正在普通房直播的主播视角）</x:v>
      </x:c>
      <x:c r="E915" s="10" t="str">
        <x:v>功能需求</x:v>
      </x:c>
      <x:c r="F915" s="10" t="str">
        <x:v>P2</x:v>
      </x:c>
      <x:c r="G915" s="9" t="str">
        <x:v>验证恢复发言确认</x:v>
      </x:c>
      <x:c r="H915" s="9" t="str">
        <x:v>恢复发言确认弹窗</x:v>
      </x:c>
      <x:c r="I915" s="9" t="str">
        <x:v>1. 执行角色为正在普通房直播的主播；当前处于直播间（主播）页面
2. A本场仍被禁言</x:v>
      </x:c>
      <x:c r="J915" s="9" t="str">
        <x:v>1. 打开禁用用户
2. 点击恢复A发言</x:v>
      </x:c>
      <x:c r="K915" s="9" t="str">
        <x:v>显示恢复发言确认</x:v>
      </x:c>
      <x:c r="L915" s="10" t="str"/>
      <x:c r="M915" s="10" t="str">
        <x:v>未测</x:v>
      </x:c>
      <x:c r="N915" s="10" t="str"/>
      <x:c r="O915" s="9" t="str">
        <x:v>1. 来源（当前证据）：liveshow-proto/MainBasis/统一需求文档.md；位置：行1789、行797
2. 规则：BR-4ca1747e1ecac164
3. 未动态验证</x:v>
      </x:c>
    </x:row>
    <x:row r="916" ht="85" customHeight="1">
      <x:c r="A916" s="10" t="n">
        <x:v>915</x:v>
      </x:c>
      <x:c r="B916" s="10" t="str">
        <x:v>USER-03-0107</x:v>
      </x:c>
      <x:c r="C916" s="10" t="str">
        <x:v>直播</x:v>
      </x:c>
      <x:c r="D916" s="10" t="str">
        <x:v>直播间（主播）（正在普通房直播的主播视角）</x:v>
      </x:c>
      <x:c r="E916" s="10" t="str">
        <x:v>功能需求</x:v>
      </x:c>
      <x:c r="F916" s="10" t="str">
        <x:v>P1</x:v>
      </x:c>
      <x:c r="G916" s="9" t="str">
        <x:v>验证恢复发言成功</x:v>
      </x:c>
      <x:c r="H916" s="9" t="str">
        <x:v>禁言记录移除</x:v>
      </x:c>
      <x:c r="I916" s="9" t="str">
        <x:v>1. 执行角色为正在普通房直播的主播；当前处于直播间（主播）页面
2. A本场仍被禁言</x:v>
      </x:c>
      <x:c r="J916" s="9" t="str">
        <x:v>1. 点击恢复A发言
2. 点击确认</x:v>
      </x:c>
      <x:c r="K916" s="9" t="str">
        <x:v>A从禁言列表移除</x:v>
      </x:c>
      <x:c r="L916" s="10" t="str"/>
      <x:c r="M916" s="10" t="str">
        <x:v>未测</x:v>
      </x:c>
      <x:c r="N916" s="10" t="str"/>
      <x:c r="O916" s="9" t="str">
        <x:v>1. 来源（当前证据）：liveshow-proto/MainBasis/统一需求文档.md；位置：行1794、行797
2. 规则：BR-3a3cde2803c75795
3. 未动态验证</x:v>
      </x:c>
    </x:row>
    <x:row r="917" ht="160" customHeight="1">
      <x:c r="A917" s="10" t="n">
        <x:v>916</x:v>
      </x:c>
      <x:c r="B917" s="10" t="str">
        <x:v>USER-03-0108</x:v>
      </x:c>
      <x:c r="C917" s="10" t="str">
        <x:v>直播</x:v>
      </x:c>
      <x:c r="D917" s="10" t="str">
        <x:v>直播间（主播）（正在普通房直播的主播视角）</x:v>
      </x:c>
      <x:c r="E917" s="10" t="str">
        <x:v>异常用例</x:v>
      </x:c>
      <x:c r="F917" s="10" t="str">
        <x:v>P1</x:v>
      </x:c>
      <x:c r="G917" s="9" t="str">
        <x:v>验证恢复发言失败：恢复失败禁言保持</x:v>
      </x:c>
      <x:c r="H917" s="9" t="str">
        <x:v>恢复失败禁言保持</x:v>
      </x:c>
      <x:c r="I917" s="9" t="str">
        <x:v>1. 执行角色为正在普通房直播的主播；当前处于直播间（主播）页面
2. A本场被禁言；恢复请求失败
3. 环境准备要求（尚未具备）：需测试服务让指定场次、指定账号本次恢复发言返回失败，原场次禁言保持有效</x:v>
      </x:c>
      <x:c r="J917" s="9" t="str">
        <x:v>1. 点击恢复A发言
2. 点击确认</x:v>
      </x:c>
      <x:c r="K917" s="9" t="str">
        <x:v>A仍被禁言</x:v>
      </x:c>
      <x:c r="L917" s="10" t="str"/>
      <x:c r="M917" s="10" t="str">
        <x:v>未测</x:v>
      </x:c>
      <x:c r="N917" s="10" t="str"/>
      <x:c r="O917" s="9" t="str">
        <x:v>1. 来源（当前证据）：liveshow-proto/MainBasis/统一需求文档.md；位置：行1789、行797
2. 规则：BR-e7cb36ea34528844
3. 未动态验证
4. 环境待准备：恢复本场发言请求；时点：确认恢复被禁言账号发言时；恢复：本条结束后撤销故障设置，恢复真实请求处理；使用新测试对象复跑正常路径，避免污染后续用例</x:v>
      </x:c>
    </x:row>
    <x:row r="918" ht="160" customHeight="1">
      <x:c r="A918" s="10" t="n">
        <x:v>917</x:v>
      </x:c>
      <x:c r="B918" s="10" t="str">
        <x:v>USER-03-0109</x:v>
      </x:c>
      <x:c r="C918" s="10" t="str">
        <x:v>直播</x:v>
      </x:c>
      <x:c r="D918" s="10" t="str">
        <x:v>直播间（主播）（正在普通房直播的主播视角）</x:v>
      </x:c>
      <x:c r="E918" s="10" t="str">
        <x:v>异常用例</x:v>
      </x:c>
      <x:c r="F918" s="10" t="str">
        <x:v>P1</x:v>
      </x:c>
      <x:c r="G918" s="9" t="str">
        <x:v>验证恢复发言失败：恢复失败提示</x:v>
      </x:c>
      <x:c r="H918" s="9" t="str">
        <x:v>恢复失败提示</x:v>
      </x:c>
      <x:c r="I918" s="9" t="str">
        <x:v>1. 执行角色为正在普通房直播的主播；当前处于直播间（主播）页面
2. A本场被禁言；恢复请求失败
3. 环境准备要求（尚未具备）：需测试服务让指定场次、指定账号本次恢复发言返回失败，原场次禁言保持有效</x:v>
      </x:c>
      <x:c r="J918" s="9" t="str">
        <x:v>1. 点击恢复A发言
2. 点击确认</x:v>
      </x:c>
      <x:c r="K918" s="9" t="str">
        <x:v>提示“请求失败”</x:v>
      </x:c>
      <x:c r="L918" s="10" t="str"/>
      <x:c r="M918" s="10" t="str">
        <x:v>未测</x:v>
      </x:c>
      <x:c r="N918" s="10" t="str"/>
      <x:c r="O918" s="9" t="str">
        <x:v>1. 来源（当前证据）：liveshow-proto/MainBasis/统一需求文档.md；位置：行1789、行797
2. 规则：BR-b84dc03c7c83e243
3. 未动态验证
4. 环境待准备：恢复本场发言请求；时点：确认恢复被禁言账号发言时；恢复：本条结束后撤销故障设置，恢复真实请求处理；使用新测试对象复跑正常路径，避免污染后续用例</x:v>
      </x:c>
    </x:row>
    <x:row r="919" ht="85" customHeight="1">
      <x:c r="A919" s="10" t="n">
        <x:v>918</x:v>
      </x:c>
      <x:c r="B919" s="10" t="str">
        <x:v>USER-03-0110</x:v>
      </x:c>
      <x:c r="C919" s="10" t="str">
        <x:v>直播</x:v>
      </x:c>
      <x:c r="D919" s="10" t="str">
        <x:v>直播间（主播）（正在普通房直播的主播视角）</x:v>
      </x:c>
      <x:c r="E919" s="10" t="str">
        <x:v>功能需求</x:v>
      </x:c>
      <x:c r="F919" s="10" t="str">
        <x:v>P1</x:v>
      </x:c>
      <x:c r="G919" s="9" t="str">
        <x:v>验证恢复发言取消</x:v>
      </x:c>
      <x:c r="H919" s="9" t="str">
        <x:v>取消恢复发言状态保持</x:v>
      </x:c>
      <x:c r="I919" s="9" t="str">
        <x:v>1. 执行角色为正在普通房直播的主播；当前处于直播间（主播）页面
2. 恢复A发言确认已打开</x:v>
      </x:c>
      <x:c r="J919" s="9" t="str">
        <x:v>1. 点击取消</x:v>
      </x:c>
      <x:c r="K919" s="9" t="str">
        <x:v>A保持禁言</x:v>
      </x:c>
      <x:c r="L919" s="10" t="str"/>
      <x:c r="M919" s="10" t="str">
        <x:v>未测</x:v>
      </x:c>
      <x:c r="N919" s="10" t="str"/>
      <x:c r="O919" s="9" t="str">
        <x:v>1. 来源（当前证据）：liveshow-proto/MainBasis/统一需求文档.md；位置：行1794、行797
2. 规则：BR-6c6f12a5fdfb317f
3. 未动态验证</x:v>
      </x:c>
    </x:row>
    <x:row r="920" ht="85" customHeight="1">
      <x:c r="A920" s="10" t="n">
        <x:v>919</x:v>
      </x:c>
      <x:c r="B920" s="10" t="str">
        <x:v>USER-03-0111</x:v>
      </x:c>
      <x:c r="C920" s="10" t="str">
        <x:v>直播</x:v>
      </x:c>
      <x:c r="D920" s="10" t="str">
        <x:v>直播间（主播）（正在普通房直播的主播视角）</x:v>
      </x:c>
      <x:c r="E920" s="10" t="str">
        <x:v>功能需求</x:v>
      </x:c>
      <x:c r="F920" s="10" t="str">
        <x:v>P2</x:v>
      </x:c>
      <x:c r="G920" s="9" t="str">
        <x:v>验证快捷答谢只预填</x:v>
      </x:c>
      <x:c r="H920" s="9" t="str">
        <x:v>答谢文案预填</x:v>
      </x:c>
      <x:c r="I920" s="9" t="str">
        <x:v>1. 执行角色为正在普通房直播的主播；当前处于直播间（主播）页面
2. 当前资料卡用户昵称QA观众</x:v>
      </x:c>
      <x:c r="J920" s="9" t="str">
        <x:v>1. 点击答谢</x:v>
      </x:c>
      <x:c r="K920" s="9" t="str">
        <x:v>输入框预填“@QA观众 谢谢你送的礼物！”并获得焦点</x:v>
      </x:c>
      <x:c r="L920" s="10" t="str"/>
      <x:c r="M920" s="10" t="str">
        <x:v>未测</x:v>
      </x:c>
      <x:c r="N920" s="10" t="str"/>
      <x:c r="O920" s="9" t="str">
        <x:v>1. 来源（当前证据）：liveshow-proto/MainBasis/统一需求文档.md；位置：行1813、行797
2. 规则：BR-ba9e3a1ca162aeaa
3. 未动态验证</x:v>
      </x:c>
    </x:row>
    <x:row r="921" ht="85" customHeight="1">
      <x:c r="A921" s="10" t="n">
        <x:v>920</x:v>
      </x:c>
      <x:c r="B921" s="10" t="str">
        <x:v>USER-03-0112</x:v>
      </x:c>
      <x:c r="C921" s="10" t="str">
        <x:v>直播</x:v>
      </x:c>
      <x:c r="D921" s="10" t="str">
        <x:v>直播间（主播）（正在普通房直播的主播视角）</x:v>
      </x:c>
      <x:c r="E921" s="10" t="str">
        <x:v>功能需求</x:v>
      </x:c>
      <x:c r="F921" s="10" t="str">
        <x:v>P1</x:v>
      </x:c>
      <x:c r="G921" s="9" t="str">
        <x:v>验证快捷答谢不自动发送</x:v>
      </x:c>
      <x:c r="H921" s="9" t="str">
        <x:v>答谢自动发送限制</x:v>
      </x:c>
      <x:c r="I921" s="9" t="str">
        <x:v>1. 执行角色为正在普通房直播的主播；当前处于直播间（主播）页面
2. 当前资料卡用户昵称QA观众</x:v>
      </x:c>
      <x:c r="J921" s="9" t="str">
        <x:v>1. 点击答谢
2. 查看公屏</x:v>
      </x:c>
      <x:c r="K921" s="9" t="str">
        <x:v>公屏未自动新增答谢消息</x:v>
      </x:c>
      <x:c r="L921" s="10" t="str"/>
      <x:c r="M921" s="10" t="str">
        <x:v>未测</x:v>
      </x:c>
      <x:c r="N921" s="10" t="str"/>
      <x:c r="O921" s="9" t="str">
        <x:v>1. 来源（当前证据）：liveshow-proto/MainBasis/统一需求文档.md；位置：行1802、行1812、行797
2. 规则：BR-88644b1050c61d29
3. 未动态验证</x:v>
      </x:c>
    </x:row>
    <x:row r="922" ht="85" customHeight="1">
      <x:c r="A922" s="10" t="n">
        <x:v>921</x:v>
      </x:c>
      <x:c r="B922" s="10" t="str">
        <x:v>USER-03-0113</x:v>
      </x:c>
      <x:c r="C922" s="10" t="str">
        <x:v>直播</x:v>
      </x:c>
      <x:c r="D922" s="10" t="str">
        <x:v>直播间（主播）（正在普通房直播的主播视角）</x:v>
      </x:c>
      <x:c r="E922" s="10" t="str">
        <x:v>功能需求</x:v>
      </x:c>
      <x:c r="F922" s="10" t="str">
        <x:v>P2</x:v>
      </x:c>
      <x:c r="G922" s="9" t="str">
        <x:v>验证修改答谢后发送</x:v>
      </x:c>
      <x:c r="H922" s="9" t="str">
        <x:v>答谢消息发送内容</x:v>
      </x:c>
      <x:c r="I922" s="9" t="str">
        <x:v>1. 执行角色为正在普通房直播的主播；当前处于直播间（主播）页面
2. 答谢文案已预填</x:v>
      </x:c>
      <x:c r="J922" s="9" t="str">
        <x:v>1. 修改文案为“@QA观众 感谢支持”
2. 点击发送</x:v>
      </x:c>
      <x:c r="K922" s="9" t="str">
        <x:v>公屏写入修改后的文案</x:v>
      </x:c>
      <x:c r="L922" s="10" t="str"/>
      <x:c r="M922" s="10" t="str">
        <x:v>未测</x:v>
      </x:c>
      <x:c r="N922" s="10" t="str"/>
      <x:c r="O922" s="9" t="str">
        <x:v>1. 来源（当前证据）：liveshow-proto/MainBasis/统一需求文档.md；位置：行1811、行1813、行797
2. 规则：BR-e38ccc2e195ace6d
3. 未动态验证</x:v>
      </x:c>
    </x:row>
    <x:row r="923" ht="85" customHeight="1">
      <x:c r="A923" s="10" t="n">
        <x:v>922</x:v>
      </x:c>
      <x:c r="B923" s="10" t="str">
        <x:v>USER-03-0114</x:v>
      </x:c>
      <x:c r="C923" s="10" t="str">
        <x:v>直播</x:v>
      </x:c>
      <x:c r="D923" s="10" t="str">
        <x:v>直播间（主播）（正在普通房直播的主播视角）</x:v>
      </x:c>
      <x:c r="E923" s="10" t="str">
        <x:v>功能需求</x:v>
      </x:c>
      <x:c r="F923" s="10" t="str">
        <x:v>P2</x:v>
      </x:c>
      <x:c r="G923" s="9" t="str">
        <x:v>验证重点观众可多标签</x:v>
      </x:c>
      <x:c r="H923" s="9" t="str">
        <x:v>重点观众标签集合</x:v>
      </x:c>
      <x:c r="I923" s="9" t="str">
        <x:v>1. 执行角色为正在普通房直播的主播；当前处于直播间（主播）页面
2. A既为新粉丝又为本场贡献最高</x:v>
      </x:c>
      <x:c r="J923" s="9" t="str">
        <x:v>1. 查看重点观众A</x:v>
      </x:c>
      <x:c r="K923" s="9" t="str">
        <x:v>A同时显示对应多个重点标签</x:v>
      </x:c>
      <x:c r="L923" s="10" t="str"/>
      <x:c r="M923" s="10" t="str">
        <x:v>未测</x:v>
      </x:c>
      <x:c r="N923" s="10" t="str"/>
      <x:c r="O923" s="9" t="str">
        <x:v>1. 来源（当前证据）：liveshow-proto/MainBasis/统一需求文档.md；位置：行1817、行797
2. 规则：BR-89379bd936cba683
3. 未动态验证</x:v>
      </x:c>
    </x:row>
    <x:row r="924" ht="85" customHeight="1">
      <x:c r="A924" s="10" t="n">
        <x:v>923</x:v>
      </x:c>
      <x:c r="B924" s="10" t="str">
        <x:v>USER-03-0115</x:v>
      </x:c>
      <x:c r="C924" s="10" t="str">
        <x:v>直播</x:v>
      </x:c>
      <x:c r="D924" s="10" t="str">
        <x:v>直播间（主播）（正在普通房直播的主播视角）</x:v>
      </x:c>
      <x:c r="E924" s="10" t="str">
        <x:v>功能需求</x:v>
      </x:c>
      <x:c r="F924" s="10" t="str">
        <x:v>P1</x:v>
      </x:c>
      <x:c r="G924" s="9" t="str">
        <x:v>验证重点标签不赋予房管</x:v>
      </x:c>
      <x:c r="H924" s="9" t="str">
        <x:v>重点观众房管权限隔离</x:v>
      </x:c>
      <x:c r="I924" s="9" t="str">
        <x:v>1. 执行角色为正在普通房直播的主播；当前处于直播间（主播）页面
2. A有重点观众标签但未被授权房管</x:v>
      </x:c>
      <x:c r="J924" s="9" t="str">
        <x:v>1. 查看A资料卡身份</x:v>
      </x:c>
      <x:c r="K924" s="9" t="str">
        <x:v>A不因重点标签取得房管身份</x:v>
      </x:c>
      <x:c r="L924" s="10" t="str"/>
      <x:c r="M924" s="10" t="str">
        <x:v>未测</x:v>
      </x:c>
      <x:c r="N924" s="10" t="str"/>
      <x:c r="O924" s="9" t="str">
        <x:v>1. 来源（当前证据）：liveshow-proto/MainBasis/统一需求文档.md；位置：行1819、行1820、行797
2. 规则：BR-b6c39690503428bc
3. 未动态验证</x:v>
      </x:c>
    </x:row>
    <x:row r="925" ht="85" customHeight="1">
      <x:c r="A925" s="10" t="n">
        <x:v>924</x:v>
      </x:c>
      <x:c r="B925" s="10" t="str">
        <x:v>USER-03-0116</x:v>
      </x:c>
      <x:c r="C925" s="10" t="str">
        <x:v>直播</x:v>
      </x:c>
      <x:c r="D925" s="10" t="str">
        <x:v>直播间（主播）（正在普通房直播的主播视角）</x:v>
      </x:c>
      <x:c r="E925" s="10" t="str">
        <x:v>功能需求</x:v>
      </x:c>
      <x:c r="F925" s="10" t="str">
        <x:v>P1</x:v>
      </x:c>
      <x:c r="G925" s="9" t="str">
        <x:v>验证普通房无密码修改</x:v>
      </x:c>
      <x:c r="H925" s="9" t="str">
        <x:v>房间密码入口可用性</x:v>
      </x:c>
      <x:c r="I925" s="9" t="str">
        <x:v>1. 执行角色为正在普通房直播的主播；当前处于直播间（主播）页面
2. 当前普通房</x:v>
      </x:c>
      <x:c r="J925" s="9" t="str">
        <x:v>1. 打开更多功能</x:v>
      </x:c>
      <x:c r="K925" s="9" t="str">
        <x:v>房间密码入口不可用</x:v>
      </x:c>
      <x:c r="L925" s="10" t="str"/>
      <x:c r="M925" s="10" t="str">
        <x:v>未测</x:v>
      </x:c>
      <x:c r="N925" s="10" t="str"/>
      <x:c r="O925" s="9" t="str">
        <x:v>1. 来源（当前证据）：liveshow-proto/MainBasis/统一需求文档.md；位置：行1860、行797
2. 规则：BR-c7f3b2b11c9ffe72
3. 未动态验证</x:v>
      </x:c>
    </x:row>
    <x:row r="926" ht="85" customHeight="1">
      <x:c r="A926" s="10" t="n">
        <x:v>925</x:v>
      </x:c>
      <x:c r="B926" s="10" t="str">
        <x:v>USER-03-0117</x:v>
      </x:c>
      <x:c r="C926" s="10" t="str">
        <x:v>直播</x:v>
      </x:c>
      <x:c r="D926" s="10" t="str">
        <x:v>直播间（主播）（正在普通房直播的主播视角）</x:v>
      </x:c>
      <x:c r="E926" s="10" t="str">
        <x:v>功能需求</x:v>
      </x:c>
      <x:c r="F926" s="10" t="str">
        <x:v>P2</x:v>
      </x:c>
      <x:c r="G926" s="9" t="str">
        <x:v>验证主播屏蔽单条评论</x:v>
      </x:c>
      <x:c r="H926" s="9" t="str">
        <x:v>评论屏蔽对象范围</x:v>
      </x:c>
      <x:c r="I926" s="9" t="str">
        <x:v>1. 执行角色为正在普通房直播的主播；当前处于直播间（主播）页面
2. 公屏有A、B两条评论</x:v>
      </x:c>
      <x:c r="J926" s="9" t="str">
        <x:v>1. 选择A评论
2. 点击屏蔽</x:v>
      </x:c>
      <x:c r="K926" s="9" t="str">
        <x:v>仅A评论从公屏移除</x:v>
      </x:c>
      <x:c r="L926" s="10" t="str"/>
      <x:c r="M926" s="10" t="str">
        <x:v>未测</x:v>
      </x:c>
      <x:c r="N926" s="10" t="str"/>
      <x:c r="O926" s="9" t="str">
        <x:v>1. 来源（当前证据）：liveshow-proto/MainBasis/统一需求文档.md；位置：行809、行797
2. 规则：BR-9b57be4c85832bd0
3. 未动态验证</x:v>
      </x:c>
    </x:row>
    <x:row r="927" ht="85" customHeight="1">
      <x:c r="A927" s="10" t="n">
        <x:v>926</x:v>
      </x:c>
      <x:c r="B927" s="10" t="str">
        <x:v>USER-03-0118</x:v>
      </x:c>
      <x:c r="C927" s="10" t="str">
        <x:v>直播</x:v>
      </x:c>
      <x:c r="D927" s="10" t="str">
        <x:v>直播间（主播）（正在普通房直播的主播视角）</x:v>
      </x:c>
      <x:c r="E927" s="10" t="str">
        <x:v>功能需求</x:v>
      </x:c>
      <x:c r="F927" s="10" t="str">
        <x:v>P2</x:v>
      </x:c>
      <x:c r="G927" s="9" t="str">
        <x:v>验证主播清屏不删其他设备显示</x:v>
      </x:c>
      <x:c r="H927" s="9" t="str">
        <x:v>数据保持</x:v>
      </x:c>
      <x:c r="I927" s="9" t="str">
        <x:v>1. 执行角色为正在普通房直播的主播；当前处于直播间（主播）页面
2. 主播设备及观众设备均有公屏消息</x:v>
      </x:c>
      <x:c r="J927" s="9" t="str">
        <x:v>1. 点击清屏</x:v>
      </x:c>
      <x:c r="K927" s="9" t="str">
        <x:v>只清空主播当前设备公屏</x:v>
      </x:c>
      <x:c r="L927" s="10" t="str"/>
      <x:c r="M927" s="10" t="str">
        <x:v>未测</x:v>
      </x:c>
      <x:c r="N927" s="10" t="str"/>
      <x:c r="O927" s="9" t="str">
        <x:v>1. 来源（当前证据）：liveshow-proto/MainBasis/统一需求文档.md；位置：行810、行1861、行797
2. 规则：BR-45afb3050b159a24
3. 未动态验证</x:v>
      </x:c>
    </x:row>
    <x:row r="928" ht="85" customHeight="1">
      <x:c r="A928" s="10" t="n">
        <x:v>927</x:v>
      </x:c>
      <x:c r="B928" s="10" t="str">
        <x:v>USER-03-0119</x:v>
      </x:c>
      <x:c r="C928" s="10" t="str">
        <x:v>直播</x:v>
      </x:c>
      <x:c r="D928" s="10" t="str">
        <x:v>直播间（主播）（正在普通房直播的主播视角）</x:v>
      </x:c>
      <x:c r="E928" s="10" t="str">
        <x:v>功能需求</x:v>
      </x:c>
      <x:c r="F928" s="10" t="str">
        <x:v>P1</x:v>
      </x:c>
      <x:c r="G928" s="9" t="str">
        <x:v>验证取消结束直播</x:v>
      </x:c>
      <x:c r="H928" s="9" t="str">
        <x:v>取消关播场次保持</x:v>
      </x:c>
      <x:c r="I928" s="9" t="str">
        <x:v>1. 执行角色为正在普通房直播的主播；当前处于直播间（主播）页面
2. 结束直播确认已打开</x:v>
      </x:c>
      <x:c r="J928" s="9" t="str">
        <x:v>1. 点击取消</x:v>
      </x:c>
      <x:c r="K928" s="9" t="str">
        <x:v>返回直播间继续直播</x:v>
      </x:c>
      <x:c r="L928" s="10" t="str"/>
      <x:c r="M928" s="10" t="str">
        <x:v>未测</x:v>
      </x:c>
      <x:c r="N928" s="10" t="str"/>
      <x:c r="O928" s="9" t="str">
        <x:v>1. 来源（当前证据）：liveshow-proto/MainBasis/统一需求文档.md；位置：行1867、行797
2. 规则：BR-a5144b64a7f1fdcc
3. 未动态验证</x:v>
      </x:c>
    </x:row>
    <x:row r="929" ht="130" customHeight="1">
      <x:c r="A929" s="10" t="n">
        <x:v>928</x:v>
      </x:c>
      <x:c r="B929" s="10" t="str">
        <x:v>USER-03-0120</x:v>
      </x:c>
      <x:c r="C929" s="10" t="str">
        <x:v>直播</x:v>
      </x:c>
      <x:c r="D929" s="10" t="str">
        <x:v>直播间（主播）（正在普通房直播的主播视角）</x:v>
      </x:c>
      <x:c r="E929" s="10" t="str">
        <x:v>业务流程</x:v>
      </x:c>
      <x:c r="F929" s="10" t="str">
        <x:v>P1</x:v>
      </x:c>
      <x:c r="G929" s="9" t="str">
        <x:v>验证确认结束直播</x:v>
      </x:c>
      <x:c r="H929" s="9" t="str">
        <x:v>关播完成页面去向</x:v>
      </x:c>
      <x:c r="I929" s="9" t="str">
        <x:v>1. 执行角色为正在普通房直播的主播；当前处于直播间（主播）页面</x:v>
      </x:c>
      <x:c r="J929" s="9" t="str">
        <x:v>1. 点击结束直播
2. 点击确认</x:v>
      </x:c>
      <x:c r="K929" s="9" t="str">
        <x:v>当前场次结束并进入主播结束页</x:v>
      </x:c>
      <x:c r="L929" s="10" t="str">
        <x:v>FLOW-3316A78D</x:v>
      </x:c>
      <x:c r="M929" s="10" t="str">
        <x:v>未测</x:v>
      </x:c>
      <x:c r="N929" s="10" t="str"/>
      <x:c r="O929" s="9" t="str">
        <x:v>1. 来源（当前证据）：liveshow-proto/MainBasis/统一需求文档.md；位置：行1867、行797
2. 规则：BR-9473fe22ec673bd2
3. 未动态验证
4. 状态转换：ST-USER-017；共同业务对象：直播场次；当前阶段：结束直播后的用户App观察</x:v>
      </x:c>
    </x:row>
    <x:row r="930" ht="85" customHeight="1">
      <x:c r="A930" s="10" t="n">
        <x:v>929</x:v>
      </x:c>
      <x:c r="B930" s="10" t="str">
        <x:v>USER-03-0121</x:v>
      </x:c>
      <x:c r="C930" s="10" t="str">
        <x:v>直播</x:v>
      </x:c>
      <x:c r="D930" s="10" t="str">
        <x:v>直播间（主播）（正在普通房直播的主播视角）</x:v>
      </x:c>
      <x:c r="E930" s="10" t="str">
        <x:v>功能需求</x:v>
      </x:c>
      <x:c r="F930" s="10" t="str">
        <x:v>P1</x:v>
      </x:c>
      <x:c r="G930" s="9" t="str">
        <x:v>验证重复结束只处理一次</x:v>
      </x:c>
      <x:c r="H930" s="9" t="str">
        <x:v>场次重复结束限制</x:v>
      </x:c>
      <x:c r="I930" s="9" t="str">
        <x:v>1. 执行角色为正在普通房直播的主播；当前处于直播间（主播）页面
2. 当前场次结束请求已成功；重复提交同场结束操作</x:v>
      </x:c>
      <x:c r="J930" s="9" t="str">
        <x:v>1. 再次确认结束</x:v>
      </x:c>
      <x:c r="K930" s="9" t="str">
        <x:v>不会重复结束或创建重复结束记录</x:v>
      </x:c>
      <x:c r="L930" s="10" t="str"/>
      <x:c r="M930" s="10" t="str">
        <x:v>未测</x:v>
      </x:c>
      <x:c r="N930" s="10" t="str"/>
      <x:c r="O930" s="9" t="str">
        <x:v>1. 来源（当前证据）：liveshow-proto/MainBasis/统一需求文档.md；位置：行1867、行797
2. 规则：BR-76693720710cddc8
3. 未动态验证</x:v>
      </x:c>
    </x:row>
    <x:row r="931" ht="130" customHeight="1">
      <x:c r="A931" s="10" t="n">
        <x:v>930</x:v>
      </x:c>
      <x:c r="B931" s="10" t="str">
        <x:v>USER-03-0122</x:v>
      </x:c>
      <x:c r="C931" s="10" t="str">
        <x:v>直播</x:v>
      </x:c>
      <x:c r="D931" s="10" t="str">
        <x:v>直播间（主播）（正在普通房直播的主播视角）</x:v>
      </x:c>
      <x:c r="E931" s="10" t="str">
        <x:v>异常用例</x:v>
      </x:c>
      <x:c r="F931" s="10" t="str">
        <x:v>P1</x:v>
      </x:c>
      <x:c r="G931" s="9" t="str">
        <x:v>验证最终权限关闭立即结束</x:v>
      </x:c>
      <x:c r="H931" s="9" t="str">
        <x:v>权限关闭场次终态</x:v>
      </x:c>
      <x:c r="I931" s="9" t="str">
        <x:v>1. 执行角色为正在普通房直播的主播；当前处于直播间（主播）页面
2. 平台或公会操作已使最终直播权限关闭</x:v>
      </x:c>
      <x:c r="J931" s="9" t="str">
        <x:v>1. 查看当前直播状态</x:v>
      </x:c>
      <x:c r="K931" s="9" t="str">
        <x:v>当前场次立即结束</x:v>
      </x:c>
      <x:c r="L931" s="10" t="str">
        <x:v>FLOW-54FBE2A6</x:v>
      </x:c>
      <x:c r="M931" s="10" t="str">
        <x:v>未测</x:v>
      </x:c>
      <x:c r="N931" s="10" t="str"/>
      <x:c r="O931" s="9" t="str">
        <x:v>1. 来源（当前证据）：liveshow-proto/MainBasis/统一需求文档.md；位置：行803、行502、行797
2. 规则：BR-d8afeab14c414f67
3. 未动态验证
4. 状态转换：ST-USER-013；共同业务对象：直播权限；当前阶段：最终直播权限变为关闭后的用户App观察</x:v>
      </x:c>
    </x:row>
    <x:row r="932" ht="85" customHeight="1">
      <x:c r="A932" s="10" t="n">
        <x:v>931</x:v>
      </x:c>
      <x:c r="B932" s="10" t="str">
        <x:v>USER-03-0123</x:v>
      </x:c>
      <x:c r="C932" s="10" t="str">
        <x:v>直播</x:v>
      </x:c>
      <x:c r="D932" s="10" t="str">
        <x:v>直播间（主播）（普通房未连麦主播视角）</x:v>
      </x:c>
      <x:c r="E932" s="10" t="str">
        <x:v>功能需求</x:v>
      </x:c>
      <x:c r="F932" s="10" t="str">
        <x:v>P2</x:v>
      </x:c>
      <x:c r="G932" s="9" t="str">
        <x:v>验证连麦搜索支持ID</x:v>
      </x:c>
      <x:c r="H932" s="9" t="str">
        <x:v>连麦主播ID搜索</x:v>
      </x:c>
      <x:c r="I932" s="9" t="str">
        <x:v>1. 执行角色为普通房未连麦主播；当前处于直播间（主播）页面
2. 目标B在普通房直播、未连麦且双方无拉黑</x:v>
      </x:c>
      <x:c r="J932" s="9" t="str">
        <x:v>1. 打开连麦主播
2. 输入B的主播ID</x:v>
      </x:c>
      <x:c r="K932" s="9" t="str">
        <x:v>搜索结果包含B</x:v>
      </x:c>
      <x:c r="L932" s="10" t="str"/>
      <x:c r="M932" s="10" t="str">
        <x:v>未测</x:v>
      </x:c>
      <x:c r="N932" s="10" t="str"/>
      <x:c r="O932" s="9" t="str">
        <x:v>1. 来源（当前证据）：liveshow-proto/MainBasis/统一需求文档.md；位置：行1835、行1837、行797
2. 规则：BR-0d13eaf0b40556a0
3. 未动态验证</x:v>
      </x:c>
    </x:row>
    <x:row r="933" ht="85" customHeight="1">
      <x:c r="A933" s="10" t="n">
        <x:v>932</x:v>
      </x:c>
      <x:c r="B933" s="10" t="str">
        <x:v>USER-03-0124</x:v>
      </x:c>
      <x:c r="C933" s="10" t="str">
        <x:v>直播</x:v>
      </x:c>
      <x:c r="D933" s="10" t="str">
        <x:v>直播间（主播）（普通房未连麦主播视角）</x:v>
      </x:c>
      <x:c r="E933" s="10" t="str">
        <x:v>功能需求</x:v>
      </x:c>
      <x:c r="F933" s="10" t="str">
        <x:v>P2</x:v>
      </x:c>
      <x:c r="G933" s="9" t="str">
        <x:v>验证连麦搜索支持昵称</x:v>
      </x:c>
      <x:c r="H933" s="9" t="str">
        <x:v>连麦主播昵称搜索</x:v>
      </x:c>
      <x:c r="I933" s="9" t="str">
        <x:v>1. 执行角色为普通房未连麦主播；当前处于直播间（主播）页面
2. 目标B在普通房直播、未连麦且双方无拉黑</x:v>
      </x:c>
      <x:c r="J933" s="9" t="str">
        <x:v>1. 打开连麦主播
2. 输入B的昵称</x:v>
      </x:c>
      <x:c r="K933" s="9" t="str">
        <x:v>搜索结果包含B</x:v>
      </x:c>
      <x:c r="L933" s="10" t="str"/>
      <x:c r="M933" s="10" t="str">
        <x:v>未测</x:v>
      </x:c>
      <x:c r="N933" s="10" t="str"/>
      <x:c r="O933" s="9" t="str">
        <x:v>1. 来源（当前证据）：liveshow-proto/MainBasis/统一需求文档.md；位置：行1835、行797
2. 规则：BR-96c86ce83e2c1fac
3. 未动态验证</x:v>
      </x:c>
    </x:row>
    <x:row r="934" ht="85" customHeight="1">
      <x:c r="A934" s="10" t="n">
        <x:v>933</x:v>
      </x:c>
      <x:c r="B934" s="10" t="str">
        <x:v>USER-03-0125</x:v>
      </x:c>
      <x:c r="C934" s="10" t="str">
        <x:v>直播</x:v>
      </x:c>
      <x:c r="D934" s="10" t="str">
        <x:v>直播间（主播）（普通房未连麦主播视角）</x:v>
      </x:c>
      <x:c r="E934" s="10" t="str">
        <x:v>功能需求</x:v>
      </x:c>
      <x:c r="F934" s="10" t="str">
        <x:v>P2</x:v>
      </x:c>
      <x:c r="G934" s="9" t="str">
        <x:v>验证连麦空关键词回退</x:v>
      </x:c>
      <x:c r="H934" s="9" t="str">
        <x:v>连麦搜索状态恢复</x:v>
      </x:c>
      <x:c r="I934" s="9" t="str">
        <x:v>1. 执行角色为普通房未连麦主播；当前处于直播间（主播）页面
2. 当前已有搜索结果</x:v>
      </x:c>
      <x:c r="J934" s="9" t="str">
        <x:v>1. 清空关键词</x:v>
      </x:c>
      <x:c r="K934" s="9" t="str">
        <x:v>返回未搜索状态</x:v>
      </x:c>
      <x:c r="L934" s="10" t="str"/>
      <x:c r="M934" s="10" t="str">
        <x:v>未测</x:v>
      </x:c>
      <x:c r="N934" s="10" t="str"/>
      <x:c r="O934" s="9" t="str">
        <x:v>1. 来源（当前证据）：liveshow-proto/MainBasis/统一需求文档.md；位置：行1838、行797
2. 规则：BR-4351f1dada782942
3. 未动态验证</x:v>
      </x:c>
    </x:row>
    <x:row r="935" ht="85" customHeight="1">
      <x:c r="A935" s="10" t="n">
        <x:v>934</x:v>
      </x:c>
      <x:c r="B935" s="10" t="str">
        <x:v>USER-03-0126</x:v>
      </x:c>
      <x:c r="C935" s="10" t="str">
        <x:v>直播</x:v>
      </x:c>
      <x:c r="D935" s="10" t="str">
        <x:v>直播间（主播）（普通房未连麦主播视角）</x:v>
      </x:c>
      <x:c r="E935" s="10" t="str">
        <x:v>功能需求</x:v>
      </x:c>
      <x:c r="F935" s="10" t="str">
        <x:v>P1</x:v>
      </x:c>
      <x:c r="G935" s="9" t="str">
        <x:v>验证连麦非普通房过滤</x:v>
      </x:c>
      <x:c r="H935" s="9" t="str">
        <x:v>非普通房连麦查询提示</x:v>
      </x:c>
      <x:c r="I935" s="9" t="str">
        <x:v>1. 执行角色为普通房未连麦主播；当前处于直播间（主播）页面
2. 目标B当前门票房直播</x:v>
      </x:c>
      <x:c r="J935" s="9" t="str">
        <x:v>1. 输入B的主播ID进行搜索</x:v>
      </x:c>
      <x:c r="K935" s="9" t="str">
        <x:v>提示“查询结果为空或主播未在普通房直播”</x:v>
      </x:c>
      <x:c r="L935" s="10" t="str"/>
      <x:c r="M935" s="10" t="str">
        <x:v>未测</x:v>
      </x:c>
      <x:c r="N935" s="10" t="str"/>
      <x:c r="O935" s="9" t="str">
        <x:v>1. 来源（当前证据）：liveshow-proto/MainBasis/统一需求文档.md；位置：行1831、行797
2. 规则：BR-5734683640531649
3. 未动态验证</x:v>
      </x:c>
    </x:row>
    <x:row r="936" ht="85" customHeight="1">
      <x:c r="A936" s="10" t="n">
        <x:v>935</x:v>
      </x:c>
      <x:c r="B936" s="10" t="str">
        <x:v>USER-03-0127</x:v>
      </x:c>
      <x:c r="C936" s="10" t="str">
        <x:v>直播</x:v>
      </x:c>
      <x:c r="D936" s="10" t="str">
        <x:v>直播间（主播）（普通房未连麦主播视角）</x:v>
      </x:c>
      <x:c r="E936" s="10" t="str">
        <x:v>功能需求</x:v>
      </x:c>
      <x:c r="F936" s="10" t="str">
        <x:v>P1</x:v>
      </x:c>
      <x:c r="G936" s="9" t="str">
        <x:v>验证连麦未直播过滤</x:v>
      </x:c>
      <x:c r="H936" s="9" t="str">
        <x:v>未开播连麦查询提示</x:v>
      </x:c>
      <x:c r="I936" s="9" t="str">
        <x:v>1. 执行角色为普通房未连麦主播；当前处于直播间（主播）页面
2. 目标B当前未直播</x:v>
      </x:c>
      <x:c r="J936" s="9" t="str">
        <x:v>1. 输入B的主播ID进行搜索</x:v>
      </x:c>
      <x:c r="K936" s="9" t="str">
        <x:v>提示“查询结果为空或主播未在普通房直播”</x:v>
      </x:c>
      <x:c r="L936" s="10" t="str"/>
      <x:c r="M936" s="10" t="str">
        <x:v>未测</x:v>
      </x:c>
      <x:c r="N936" s="10" t="str"/>
      <x:c r="O936" s="9" t="str">
        <x:v>1. 来源（当前证据）：liveshow-proto/MainBasis/统一需求文档.md；位置：行1838、行797
2. 规则：BR-d3036be6e1753bf6
3. 未动态验证</x:v>
      </x:c>
    </x:row>
    <x:row r="937" ht="85" customHeight="1">
      <x:c r="A937" s="10" t="n">
        <x:v>936</x:v>
      </x:c>
      <x:c r="B937" s="10" t="str">
        <x:v>USER-03-0128</x:v>
      </x:c>
      <x:c r="C937" s="10" t="str">
        <x:v>直播</x:v>
      </x:c>
      <x:c r="D937" s="10" t="str">
        <x:v>直播间（主播）（普通房未连麦主播视角）</x:v>
      </x:c>
      <x:c r="E937" s="10" t="str">
        <x:v>功能需求</x:v>
      </x:c>
      <x:c r="F937" s="10" t="str">
        <x:v>P1</x:v>
      </x:c>
      <x:c r="G937" s="9" t="str">
        <x:v>验证连麦已连接主播过滤</x:v>
      </x:c>
      <x:c r="H937" s="9" t="str">
        <x:v>连麦资格</x:v>
      </x:c>
      <x:c r="I937" s="9" t="str">
        <x:v>1. 执行角色为普通房未连麦主播；当前处于直播间（主播）页面
2. 目标B当前已与其他主播连麦</x:v>
      </x:c>
      <x:c r="J937" s="9" t="str">
        <x:v>1. 输入B的主播ID进行搜索</x:v>
      </x:c>
      <x:c r="K937" s="9" t="str">
        <x:v>结果不提供B作为可邀请对象</x:v>
      </x:c>
      <x:c r="L937" s="10" t="str"/>
      <x:c r="M937" s="10" t="str">
        <x:v>未测</x:v>
      </x:c>
      <x:c r="N937" s="10" t="str"/>
      <x:c r="O937" s="9" t="str">
        <x:v>1. 来源（当前证据）：liveshow-proto/MainBasis/统一需求文档.md；位置：行1837、行797
2. 规则：BR-dfee8c44454235f3
3. 未动态验证</x:v>
      </x:c>
    </x:row>
    <x:row r="938" ht="85" customHeight="1">
      <x:c r="A938" s="10" t="n">
        <x:v>937</x:v>
      </x:c>
      <x:c r="B938" s="10" t="str">
        <x:v>USER-03-0129</x:v>
      </x:c>
      <x:c r="C938" s="10" t="str">
        <x:v>直播</x:v>
      </x:c>
      <x:c r="D938" s="10" t="str">
        <x:v>直播间（主播）（普通房未连麦主播视角）</x:v>
      </x:c>
      <x:c r="E938" s="10" t="str">
        <x:v>功能需求</x:v>
      </x:c>
      <x:c r="F938" s="10" t="str">
        <x:v>P1</x:v>
      </x:c>
      <x:c r="G938" s="9" t="str">
        <x:v>验证连麦拉黑主播过滤</x:v>
      </x:c>
      <x:c r="H938" s="9" t="str">
        <x:v>连麦搜索对象过滤</x:v>
      </x:c>
      <x:c r="I938" s="9" t="str">
        <x:v>1. 执行角色为普通房未连麦主播；当前处于直播间（主播）页面
2. 目标B与当前主播存在账号拉黑关系</x:v>
      </x:c>
      <x:c r="J938" s="9" t="str">
        <x:v>1. 输入B的主播ID进行搜索</x:v>
      </x:c>
      <x:c r="K938" s="9" t="str">
        <x:v>结果不返回B</x:v>
      </x:c>
      <x:c r="L938" s="10" t="str"/>
      <x:c r="M938" s="10" t="str">
        <x:v>未测</x:v>
      </x:c>
      <x:c r="N938" s="10" t="str"/>
      <x:c r="O938" s="9" t="str">
        <x:v>1. 来源（当前证据）：liveshow-proto/MainBasis/统一需求文档.md；位置：行1837、行797
2. 规则：BR-31a6dbd2762bd397
3. 未动态验证</x:v>
      </x:c>
    </x:row>
    <x:row r="939" ht="130" customHeight="1">
      <x:c r="A939" s="10" t="n">
        <x:v>938</x:v>
      </x:c>
      <x:c r="B939" s="10" t="str">
        <x:v>USER-03-0130</x:v>
      </x:c>
      <x:c r="C939" s="10" t="str">
        <x:v>直播</x:v>
      </x:c>
      <x:c r="D939" s="10" t="str">
        <x:v>直播间（主播）（普通房未连麦主播视角）</x:v>
      </x:c>
      <x:c r="E939" s="10" t="str">
        <x:v>功能需求</x:v>
      </x:c>
      <x:c r="F939" s="10" t="str">
        <x:v>P1</x:v>
      </x:c>
      <x:c r="G939" s="9" t="str">
        <x:v>验证发送连麦邀请</x:v>
      </x:c>
      <x:c r="H939" s="9" t="str">
        <x:v>连麦邀请发送状态</x:v>
      </x:c>
      <x:c r="I939" s="9" t="str">
        <x:v>1. 执行角色为普通房未连麦主播；当前处于直播间（主播）页面
2. 双方普通房、未连麦、无拉黑且没有已发出邀请</x:v>
      </x:c>
      <x:c r="J939" s="9" t="str">
        <x:v>1. 输入目标B的主播ID进行搜索
2. 点击B结果</x:v>
      </x:c>
      <x:c r="K939" s="9" t="str">
        <x:v>B标记邀请中并禁止重复发送</x:v>
      </x:c>
      <x:c r="L939" s="10" t="str">
        <x:v>FLOW-4A7D12A7</x:v>
      </x:c>
      <x:c r="M939" s="10" t="str">
        <x:v>未测</x:v>
      </x:c>
      <x:c r="N939" s="10" t="str"/>
      <x:c r="O939" s="9" t="str">
        <x:v>1. 来源（当前证据）：liveshow-proto/MainBasis/统一需求文档.md；位置：行1831、行797
2. 规则：BR-9281ea4434b6e287
3. 未动态验证
4. 状态转换：ST-USER-018；共同业务对象：连麦邀请；当前阶段：发送连麦邀请后的用户App观察</x:v>
      </x:c>
    </x:row>
    <x:row r="940" ht="85" customHeight="1">
      <x:c r="A940" s="10" t="n">
        <x:v>939</x:v>
      </x:c>
      <x:c r="B940" s="10" t="str">
        <x:v>USER-03-0131</x:v>
      </x:c>
      <x:c r="C940" s="10" t="str">
        <x:v>直播</x:v>
      </x:c>
      <x:c r="D940" s="10" t="str">
        <x:v>直播间（主播）（普通房未连麦主播视角）</x:v>
      </x:c>
      <x:c r="E940" s="10" t="str">
        <x:v>功能需求</x:v>
      </x:c>
      <x:c r="F940" s="10" t="str">
        <x:v>P1</x:v>
      </x:c>
      <x:c r="G940" s="9" t="str">
        <x:v>验证已有邀请阻止另发</x:v>
      </x:c>
      <x:c r="H940" s="9" t="str">
        <x:v>重复发出邀请提示</x:v>
      </x:c>
      <x:c r="I940" s="9" t="str">
        <x:v>1. 执行角色为普通房未连麦主播；当前处于直播间（主播）页面
2. 本账号已向B发出待处理邀请</x:v>
      </x:c>
      <x:c r="J940" s="9" t="str">
        <x:v>1. 点击另一个可邀请主播C</x:v>
      </x:c>
      <x:c r="K940" s="9" t="str">
        <x:v>提示“已有发出请求，请先取消”</x:v>
      </x:c>
      <x:c r="L940" s="10" t="str"/>
      <x:c r="M940" s="10" t="str">
        <x:v>未测</x:v>
      </x:c>
      <x:c r="N940" s="10" t="str"/>
      <x:c r="O940" s="9" t="str">
        <x:v>1. 来源（当前证据）：liveshow-proto/MainBasis/统一需求文档.md；位置：行1838、行797
2. 规则：BR-537c4816a1f30c3e
3. 未动态验证</x:v>
      </x:c>
    </x:row>
    <x:row r="941" ht="160" customHeight="1">
      <x:c r="A941" s="10" t="n">
        <x:v>940</x:v>
      </x:c>
      <x:c r="B941" s="10" t="str">
        <x:v>USER-03-0132</x:v>
      </x:c>
      <x:c r="C941" s="10" t="str">
        <x:v>直播</x:v>
      </x:c>
      <x:c r="D941" s="10" t="str">
        <x:v>直播间（主播）（普通房未连麦主播视角）</x:v>
      </x:c>
      <x:c r="E941" s="10" t="str">
        <x:v>异常用例</x:v>
      </x:c>
      <x:c r="F941" s="10" t="str">
        <x:v>P1</x:v>
      </x:c>
      <x:c r="G941" s="9" t="str">
        <x:v>验证连麦邀请发送失败：失败邀请不生成</x:v>
      </x:c>
      <x:c r="H941" s="9" t="str">
        <x:v>失败邀请不生成</x:v>
      </x:c>
      <x:c r="I941" s="9" t="str">
        <x:v>1. 执行角色为普通房未连麦主播；当前处于直播间（主播）页面
2. 邀请资格满足；请求返回失败
3. 环境准备要求（尚未具备）：需测试服务让本次发送邀请返回失败且不创建邀请；双方维持普通房直播及其他邀请资格</x:v>
      </x:c>
      <x:c r="J941" s="9" t="str">
        <x:v>1. 点击可邀请主播B</x:v>
      </x:c>
      <x:c r="K941" s="9" t="str">
        <x:v>没有新增连麦邀请</x:v>
      </x:c>
      <x:c r="L941" s="10" t="str"/>
      <x:c r="M941" s="10" t="str">
        <x:v>未测</x:v>
      </x:c>
      <x:c r="N941" s="10" t="str"/>
      <x:c r="O941" s="9" t="str">
        <x:v>1. 来源（当前证据）：liveshow-proto/MainBasis/统一需求文档.md；位置：行1831、行797
2. 规则：BR-7a02d55edce91fb8
3. 未动态验证
4. 环境待准备：连麦邀请发送；时点：向满足资格的主播提交邀请时；恢复：本条结束后撤销故障设置，恢复真实请求处理；使用新测试对象复跑正常路径，避免污染后续用例</x:v>
      </x:c>
    </x:row>
    <x:row r="942" ht="160" customHeight="1">
      <x:c r="A942" s="10" t="n">
        <x:v>941</x:v>
      </x:c>
      <x:c r="B942" s="10" t="str">
        <x:v>USER-03-0133</x:v>
      </x:c>
      <x:c r="C942" s="10" t="str">
        <x:v>直播</x:v>
      </x:c>
      <x:c r="D942" s="10" t="str">
        <x:v>直播间（主播）（普通房未连麦主播视角）</x:v>
      </x:c>
      <x:c r="E942" s="10" t="str">
        <x:v>异常用例</x:v>
      </x:c>
      <x:c r="F942" s="10" t="str">
        <x:v>P1</x:v>
      </x:c>
      <x:c r="G942" s="9" t="str">
        <x:v>验证连麦邀请发送失败：邀请失败提示</x:v>
      </x:c>
      <x:c r="H942" s="9" t="str">
        <x:v>邀请失败提示</x:v>
      </x:c>
      <x:c r="I942" s="9" t="str">
        <x:v>1. 执行角色为普通房未连麦主播；当前处于直播间（主播）页面
2. 邀请资格满足；请求返回失败
3. 环境准备要求（尚未具备）：需测试服务让本次发送邀请返回失败且不创建邀请；双方维持普通房直播及其他邀请资格</x:v>
      </x:c>
      <x:c r="J942" s="9" t="str">
        <x:v>1. 点击可邀请主播B</x:v>
      </x:c>
      <x:c r="K942" s="9" t="str">
        <x:v>提示“请求失败”</x:v>
      </x:c>
      <x:c r="L942" s="10" t="str"/>
      <x:c r="M942" s="10" t="str">
        <x:v>未测</x:v>
      </x:c>
      <x:c r="N942" s="10" t="str"/>
      <x:c r="O942" s="9" t="str">
        <x:v>1. 来源（当前证据）：liveshow-proto/MainBasis/统一需求文档.md；位置：行1831、行797
2. 规则：BR-b9874fce44fa611a
3. 未动态验证
4. 环境待准备：连麦邀请发送；时点：向满足资格的主播提交邀请时；恢复：本条结束后撤销故障设置，恢复真实请求处理；使用新测试对象复跑正常路径，避免污染后续用例</x:v>
      </x:c>
    </x:row>
    <x:row r="943" ht="85" customHeight="1">
      <x:c r="A943" s="10" t="n">
        <x:v>942</x:v>
      </x:c>
      <x:c r="B943" s="10" t="str">
        <x:v>USER-03-0134</x:v>
      </x:c>
      <x:c r="C943" s="10" t="str">
        <x:v>直播</x:v>
      </x:c>
      <x:c r="D943" s="10" t="str">
        <x:v>直播间（主播）（普通房未连麦主播视角）</x:v>
      </x:c>
      <x:c r="E943" s="10" t="str">
        <x:v>功能需求</x:v>
      </x:c>
      <x:c r="F943" s="10" t="str">
        <x:v>P1</x:v>
      </x:c>
      <x:c r="G943" s="9" t="str">
        <x:v>验证收到多邀请计数</x:v>
      </x:c>
      <x:c r="H943" s="9" t="str">
        <x:v>有效连麦邀请计数</x:v>
      </x:c>
      <x:c r="I943" s="9" t="str">
        <x:v>1. 执行角色为普通房未连麦主播；当前处于直播间（主播）页面
2. 当前已有B邀请；C新邀请已到达</x:v>
      </x:c>
      <x:c r="J943" s="9" t="str">
        <x:v>1. 查看待处理邀请数</x:v>
      </x:c>
      <x:c r="K943" s="9" t="str">
        <x:v>同时保留两个有效邀请</x:v>
      </x:c>
      <x:c r="L943" s="10" t="str"/>
      <x:c r="M943" s="10" t="str">
        <x:v>未测</x:v>
      </x:c>
      <x:c r="N943" s="10" t="str"/>
      <x:c r="O943" s="9" t="str">
        <x:v>1. 来源（当前证据）：liveshow-proto/MainBasis/统一需求文档.md；位置：行1829、行801、行797
2. 规则：BR-01fa2647c3f476a0
3. 未动态验证</x:v>
      </x:c>
    </x:row>
    <x:row r="944" ht="85" customHeight="1">
      <x:c r="A944" s="10" t="n">
        <x:v>943</x:v>
      </x:c>
      <x:c r="B944" s="10" t="str">
        <x:v>USER-03-0135</x:v>
      </x:c>
      <x:c r="C944" s="10" t="str">
        <x:v>直播</x:v>
      </x:c>
      <x:c r="D944" s="10" t="str">
        <x:v>直播间（主播）（普通房未连麦主播视角）</x:v>
      </x:c>
      <x:c r="E944" s="10" t="str">
        <x:v>功能需求</x:v>
      </x:c>
      <x:c r="F944" s="10" t="str">
        <x:v>P2</x:v>
      </x:c>
      <x:c r="G944" s="9" t="str">
        <x:v>验证邀请提示不叠加</x:v>
      </x:c>
      <x:c r="H944" s="9" t="str">
        <x:v>连麦邀请提示合并</x:v>
      </x:c>
      <x:c r="I944" s="9" t="str">
        <x:v>1. 执行角色为普通房未连麦主播；当前处于直播间（主播）页面
2. 邀请提示出现后4秒内又收到新邀请</x:v>
      </x:c>
      <x:c r="J944" s="9" t="str">
        <x:v>1. 查看邀请提示</x:v>
      </x:c>
      <x:c r="K944" s="9" t="str">
        <x:v>更新当前提示而不叠加新提示</x:v>
      </x:c>
      <x:c r="L944" s="10" t="str"/>
      <x:c r="M944" s="10" t="str">
        <x:v>未测</x:v>
      </x:c>
      <x:c r="N944" s="10" t="str"/>
      <x:c r="O944" s="9" t="str">
        <x:v>1. 来源（当前证据）：liveshow-proto/MainBasis/统一需求文档.md；位置：行1845、行797
2. 规则：BR-47935272fcc57b65
3. 未动态验证</x:v>
      </x:c>
    </x:row>
    <x:row r="945" ht="85" customHeight="1">
      <x:c r="A945" s="10" t="n">
        <x:v>944</x:v>
      </x:c>
      <x:c r="B945" s="10" t="str">
        <x:v>USER-03-0136</x:v>
      </x:c>
      <x:c r="C945" s="10" t="str">
        <x:v>直播</x:v>
      </x:c>
      <x:c r="D945" s="10" t="str">
        <x:v>直播间（主播）（普通房未连麦主播视角）</x:v>
      </x:c>
      <x:c r="E945" s="10" t="str">
        <x:v>功能需求</x:v>
      </x:c>
      <x:c r="F945" s="10" t="str">
        <x:v>P2</x:v>
      </x:c>
      <x:c r="G945" s="9" t="str">
        <x:v>验证点击提示看全部邀请</x:v>
      </x:c>
      <x:c r="H945" s="9" t="str">
        <x:v>待处理连麦邀请列表</x:v>
      </x:c>
      <x:c r="I945" s="9" t="str">
        <x:v>1. 执行角色为普通房未连麦主播；当前处于直播间（主播）页面
2. 当前有多个有效待处理邀请</x:v>
      </x:c>
      <x:c r="J945" s="9" t="str">
        <x:v>1. 点击邀请提示</x:v>
      </x:c>
      <x:c r="K945" s="9" t="str">
        <x:v>打开全部待处理邀请</x:v>
      </x:c>
      <x:c r="L945" s="10" t="str"/>
      <x:c r="M945" s="10" t="str">
        <x:v>未测</x:v>
      </x:c>
      <x:c r="N945" s="10" t="str"/>
      <x:c r="O945" s="9" t="str">
        <x:v>1. 来源（当前证据）：liveshow-proto/MainBasis/统一需求文档.md；位置：行1847、行797
2. 规则：BR-b3635af745ad8145
3. 未动态验证</x:v>
      </x:c>
    </x:row>
    <x:row r="946" ht="85" customHeight="1">
      <x:c r="A946" s="10" t="n">
        <x:v>945</x:v>
      </x:c>
      <x:c r="B946" s="10" t="str">
        <x:v>USER-03-0137</x:v>
      </x:c>
      <x:c r="C946" s="10" t="str">
        <x:v>直播</x:v>
      </x:c>
      <x:c r="D946" s="10" t="str">
        <x:v>直播间（主播）（普通房未连麦主播视角）</x:v>
      </x:c>
      <x:c r="E946" s="10" t="str">
        <x:v>功能需求</x:v>
      </x:c>
      <x:c r="F946" s="10" t="str">
        <x:v>P1</x:v>
      </x:c>
      <x:c r="G946" s="9" t="str">
        <x:v>验证拒绝连麦邀请：拒绝目标邀请</x:v>
      </x:c>
      <x:c r="H946" s="9" t="str">
        <x:v>拒绝目标邀请</x:v>
      </x:c>
      <x:c r="I946" s="9" t="str">
        <x:v>1. 执行角色为普通房未连麦主播；当前处于直播间（主播）页面
2. 有B的有效邀请</x:v>
      </x:c>
      <x:c r="J946" s="9" t="str">
        <x:v>1. 点击拒绝B邀请</x:v>
      </x:c>
      <x:c r="K946" s="9" t="str">
        <x:v>B的邀请关闭</x:v>
      </x:c>
      <x:c r="L946" s="10" t="str"/>
      <x:c r="M946" s="10" t="str">
        <x:v>未测</x:v>
      </x:c>
      <x:c r="N946" s="10" t="str"/>
      <x:c r="O946" s="9" t="str">
        <x:v>1. 来源（当前证据）：liveshow-proto/MainBasis/统一需求文档.md；位置：行1847、行797
2. 规则：BR-0120786771b1fce7
3. 未动态验证</x:v>
      </x:c>
    </x:row>
    <x:row r="947" ht="85" customHeight="1">
      <x:c r="A947" s="10" t="n">
        <x:v>946</x:v>
      </x:c>
      <x:c r="B947" s="10" t="str">
        <x:v>USER-03-0138</x:v>
      </x:c>
      <x:c r="C947" s="10" t="str">
        <x:v>直播</x:v>
      </x:c>
      <x:c r="D947" s="10" t="str">
        <x:v>直播间（主播）（普通房未连麦主播视角）</x:v>
      </x:c>
      <x:c r="E947" s="10" t="str">
        <x:v>功能需求</x:v>
      </x:c>
      <x:c r="F947" s="10" t="str">
        <x:v>P1</x:v>
      </x:c>
      <x:c r="G947" s="9" t="str">
        <x:v>验证拒绝连麦邀请：有效邀请计数</x:v>
      </x:c>
      <x:c r="H947" s="9" t="str">
        <x:v>有效邀请计数</x:v>
      </x:c>
      <x:c r="I947" s="9" t="str">
        <x:v>1. 执行角色为普通房未连麦主播；当前处于直播间（主播）页面
2. 有B的有效邀请</x:v>
      </x:c>
      <x:c r="J947" s="9" t="str">
        <x:v>1. 点击拒绝B邀请</x:v>
      </x:c>
      <x:c r="K947" s="9" t="str">
        <x:v>待处理邀请数量减少1</x:v>
      </x:c>
      <x:c r="L947" s="10" t="str"/>
      <x:c r="M947" s="10" t="str">
        <x:v>未测</x:v>
      </x:c>
      <x:c r="N947" s="10" t="str"/>
      <x:c r="O947" s="9" t="str">
        <x:v>1. 来源（当前证据）：liveshow-proto/MainBasis/统一需求文档.md；位置：行1847、行797
2. 规则：BR-e3e0ef851ea493e4
3. 未动态验证</x:v>
      </x:c>
    </x:row>
    <x:row r="948" ht="130" customHeight="1">
      <x:c r="A948" s="10" t="n">
        <x:v>947</x:v>
      </x:c>
      <x:c r="B948" s="10" t="str">
        <x:v>USER-03-0139</x:v>
      </x:c>
      <x:c r="C948" s="10" t="str">
        <x:v>直播</x:v>
      </x:c>
      <x:c r="D948" s="10" t="str">
        <x:v>直播间（主播）（普通房未连麦主播视角）</x:v>
      </x:c>
      <x:c r="E948" s="10" t="str">
        <x:v>业务流程</x:v>
      </x:c>
      <x:c r="F948" s="10" t="str">
        <x:v>P0</x:v>
      </x:c>
      <x:c r="G948" s="9" t="str">
        <x:v>验证接受连麦成功</x:v>
      </x:c>
      <x:c r="H948" s="9" t="str">
        <x:v>连麦连接建立</x:v>
      </x:c>
      <x:c r="I948" s="9" t="str">
        <x:v>1. 执行角色为普通房未连麦主播；当前处于直播间（主播）页面
2. 有B的有效邀请且双方条件仍满足</x:v>
      </x:c>
      <x:c r="J948" s="9" t="str">
        <x:v>1. 点击接受B邀请</x:v>
      </x:c>
      <x:c r="K948" s="9" t="str">
        <x:v>建立双方连麦</x:v>
      </x:c>
      <x:c r="L948" s="10" t="str">
        <x:v>FLOW-4A7D12A7</x:v>
      </x:c>
      <x:c r="M948" s="10" t="str">
        <x:v>未测</x:v>
      </x:c>
      <x:c r="N948" s="10" t="str"/>
      <x:c r="O948" s="9" t="str">
        <x:v>1. 来源（当前证据）：liveshow-proto/MainBasis/统一需求文档.md；位置：行1847、行504、行797
2. 规则：BR-094a5d0f409a1826
3. 未动态验证
4. 状态转换：ST-USER-019；共同业务对象：连麦邀请；当前阶段：接受邀请后的用户App观察</x:v>
      </x:c>
    </x:row>
    <x:row r="949" ht="85" customHeight="1">
      <x:c r="A949" s="10" t="n">
        <x:v>948</x:v>
      </x:c>
      <x:c r="B949" s="10" t="str">
        <x:v>USER-03-0140</x:v>
      </x:c>
      <x:c r="C949" s="10" t="str">
        <x:v>直播</x:v>
      </x:c>
      <x:c r="D949" s="10" t="str">
        <x:v>直播间（主播）（普通房未连麦主播视角）</x:v>
      </x:c>
      <x:c r="E949" s="10" t="str">
        <x:v>功能需求</x:v>
      </x:c>
      <x:c r="F949" s="10" t="str">
        <x:v>P1</x:v>
      </x:c>
      <x:c r="G949" s="9" t="str">
        <x:v>验证接受时重新检查对方状态</x:v>
      </x:c>
      <x:c r="H949" s="9" t="str">
        <x:v>失效连麦建立限制</x:v>
      </x:c>
      <x:c r="I949" s="9" t="str">
        <x:v>1. 执行角色为普通房未连麦主播；当前处于直播间（主播）页面
2. B邀请尚显示但B已结束直播</x:v>
      </x:c>
      <x:c r="J949" s="9" t="str">
        <x:v>1. 点击接受B邀请</x:v>
      </x:c>
      <x:c r="K949" s="9" t="str">
        <x:v>不建立已失效连麦</x:v>
      </x:c>
      <x:c r="L949" s="10" t="str"/>
      <x:c r="M949" s="10" t="str">
        <x:v>未测</x:v>
      </x:c>
      <x:c r="N949" s="10" t="str"/>
      <x:c r="O949" s="9" t="str">
        <x:v>1. 来源（当前证据）：liveshow-proto/MainBasis/统一需求文档.md；位置：行1843、行1847、行797
2. 规则：BR-5d4721a4b7f7a7e7
3. 未动态验证</x:v>
      </x:c>
    </x:row>
    <x:row r="950" ht="130" customHeight="1">
      <x:c r="A950" s="10" t="n">
        <x:v>949</x:v>
      </x:c>
      <x:c r="B950" s="10" t="str">
        <x:v>USER-03-0141</x:v>
      </x:c>
      <x:c r="C950" s="10" t="str">
        <x:v>直播</x:v>
      </x:c>
      <x:c r="D950" s="10" t="str">
        <x:v>直播间（主播）（普通房未连麦主播视角）</x:v>
      </x:c>
      <x:c r="E950" s="10" t="str">
        <x:v>功能需求</x:v>
      </x:c>
      <x:c r="F950" s="10" t="str">
        <x:v>P1</x:v>
      </x:c>
      <x:c r="G950" s="9" t="str">
        <x:v>验证接受使自己发出的邀请失效</x:v>
      </x:c>
      <x:c r="H950" s="9" t="str">
        <x:v>已发连麦邀请失效</x:v>
      </x:c>
      <x:c r="I950" s="9" t="str">
        <x:v>1. 执行角色为普通房未连麦主播；当前处于直播间（主播）页面
2. 本账号已邀请C且收到B的有效邀请</x:v>
      </x:c>
      <x:c r="J950" s="9" t="str">
        <x:v>1. 点击接受B邀请</x:v>
      </x:c>
      <x:c r="K950" s="9" t="str">
        <x:v>自己向C发出的邀请失效</x:v>
      </x:c>
      <x:c r="L950" s="10" t="str">
        <x:v>FLOW-4A7D12A7</x:v>
      </x:c>
      <x:c r="M950" s="10" t="str">
        <x:v>未测</x:v>
      </x:c>
      <x:c r="N950" s="10" t="str"/>
      <x:c r="O950" s="9" t="str">
        <x:v>1. 来源（当前证据）：liveshow-proto/MainBasis/统一需求文档.md；位置：行1846、行797
2. 规则：BR-2167f71555f32b8b
3. 未动态验证
4. 状态转换：ST-USER-019；共同业务对象：连麦邀请；当前阶段：接受邀请后的用户App观察</x:v>
      </x:c>
    </x:row>
    <x:row r="951" ht="85" customHeight="1">
      <x:c r="A951" s="10" t="n">
        <x:v>950</x:v>
      </x:c>
      <x:c r="B951" s="10" t="str">
        <x:v>USER-03-0142</x:v>
      </x:c>
      <x:c r="C951" s="10" t="str">
        <x:v>直播</x:v>
      </x:c>
      <x:c r="D951" s="10" t="str">
        <x:v>直播间（主播）（普通房未连麦主播视角）</x:v>
      </x:c>
      <x:c r="E951" s="10" t="str">
        <x:v>功能需求</x:v>
      </x:c>
      <x:c r="F951" s="10" t="str">
        <x:v>P1</x:v>
      </x:c>
      <x:c r="G951" s="9" t="str">
        <x:v>验证接受保留其他收到邀请</x:v>
      </x:c>
      <x:c r="H951" s="9" t="str">
        <x:v>其他收到邀请保留</x:v>
      </x:c>
      <x:c r="I951" s="9" t="str">
        <x:v>1. 执行角色为普通房未连麦主播；当前处于直播间（主播）页面
2. 收到B、C有效邀请；B条件有效</x:v>
      </x:c>
      <x:c r="J951" s="9" t="str">
        <x:v>1. 点击接受B邀请</x:v>
      </x:c>
      <x:c r="K951" s="9" t="str">
        <x:v>其他收到的C邀请保留</x:v>
      </x:c>
      <x:c r="L951" s="10" t="str"/>
      <x:c r="M951" s="10" t="str">
        <x:v>未测</x:v>
      </x:c>
      <x:c r="N951" s="10" t="str"/>
      <x:c r="O951" s="9" t="str">
        <x:v>1. 来源（当前证据）：liveshow-proto/MainBasis/统一需求文档.md；位置：行1846、行797
2. 规则：BR-eb9128585650126d
3. 未动态验证</x:v>
      </x:c>
    </x:row>
    <x:row r="952" ht="85" customHeight="1">
      <x:c r="A952" s="10" t="n">
        <x:v>951</x:v>
      </x:c>
      <x:c r="B952" s="10" t="str">
        <x:v>USER-03-0143</x:v>
      </x:c>
      <x:c r="C952" s="10" t="str">
        <x:v>直播</x:v>
      </x:c>
      <x:c r="D952" s="10" t="str">
        <x:v>直播间（主播）（普通房未连麦主播视角）</x:v>
      </x:c>
      <x:c r="E952" s="10" t="str">
        <x:v>功能需求</x:v>
      </x:c>
      <x:c r="F952" s="10" t="str">
        <x:v>P1</x:v>
      </x:c>
      <x:c r="G952" s="9" t="str">
        <x:v>验证结束直播使邀请失效</x:v>
      </x:c>
      <x:c r="H952" s="9" t="str">
        <x:v>场次结束邀请失效</x:v>
      </x:c>
      <x:c r="I952" s="9" t="str">
        <x:v>1. 执行角色为普通房未连麦主播；当前处于直播间（主播）页面
2. 存在待处理连麦邀请</x:v>
      </x:c>
      <x:c r="J952" s="9" t="str">
        <x:v>1. 点击结束直播
2. 确认结束</x:v>
      </x:c>
      <x:c r="K952" s="9" t="str">
        <x:v>与本场相关邀请失效</x:v>
      </x:c>
      <x:c r="L952" s="10" t="str"/>
      <x:c r="M952" s="10" t="str">
        <x:v>未测</x:v>
      </x:c>
      <x:c r="N952" s="10" t="str"/>
      <x:c r="O952" s="9" t="str">
        <x:v>1. 来源（当前证据）：liveshow-proto/MainBasis/统一需求文档.md；位置：行1830、行1866、行797
2. 规则：BR-02abb5b0093f53c9
3. 未动态验证</x:v>
      </x:c>
    </x:row>
    <x:row r="953" ht="85" customHeight="1">
      <x:c r="A953" s="10" t="n">
        <x:v>952</x:v>
      </x:c>
      <x:c r="B953" s="10" t="str">
        <x:v>USER-03-0144</x:v>
      </x:c>
      <x:c r="C953" s="10" t="str">
        <x:v>直播</x:v>
      </x:c>
      <x:c r="D953" s="10" t="str">
        <x:v>直播间（主播）（正在直播的主播视角）</x:v>
      </x:c>
      <x:c r="E953" s="10" t="str">
        <x:v>功能需求</x:v>
      </x:c>
      <x:c r="F953" s="10" t="str">
        <x:v>P1</x:v>
      </x:c>
      <x:c r="G953" s="9" t="str">
        <x:v>验证分享接收对象范围</x:v>
      </x:c>
      <x:c r="H953" s="9" t="str">
        <x:v>分享接收对象权限范围</x:v>
      </x:c>
      <x:c r="I953" s="9" t="str">
        <x:v>1. 执行角色为正在直播的主播；当前处于直播间（主播）页面
2. 有当前粉丝群及好友A；非好友B没有发送权限</x:v>
      </x:c>
      <x:c r="J953" s="9" t="str">
        <x:v>1. 打开转发接收对象</x:v>
      </x:c>
      <x:c r="K953" s="9" t="str">
        <x:v>只提供有权限的当前粉丝群或好友</x:v>
      </x:c>
      <x:c r="L953" s="10" t="str"/>
      <x:c r="M953" s="10" t="str">
        <x:v>未测</x:v>
      </x:c>
      <x:c r="N953" s="10" t="str"/>
      <x:c r="O953" s="9" t="str">
        <x:v>1. 来源（当前证据）：liveshow-proto/MainBasis/统一需求文档.md；位置：行1851、行797
2. 规则：BR-51139fa41cfdcb10
3. 未动态验证</x:v>
      </x:c>
    </x:row>
    <x:row r="954" ht="85" customHeight="1">
      <x:c r="A954" s="10" t="n">
        <x:v>953</x:v>
      </x:c>
      <x:c r="B954" s="10" t="str">
        <x:v>USER-03-0145</x:v>
      </x:c>
      <x:c r="C954" s="10" t="str">
        <x:v>直播</x:v>
      </x:c>
      <x:c r="D954" s="10" t="str">
        <x:v>直播间（主播）（正在直播的主播视角）</x:v>
      </x:c>
      <x:c r="E954" s="10" t="str">
        <x:v>功能需求</x:v>
      </x:c>
      <x:c r="F954" s="10" t="str">
        <x:v>P1</x:v>
      </x:c>
      <x:c r="G954" s="9" t="str">
        <x:v>验证确认分享直播卡片</x:v>
      </x:c>
      <x:c r="H954" s="9" t="str">
        <x:v>直播分享卡片发送</x:v>
      </x:c>
      <x:c r="I954" s="9" t="str">
        <x:v>1. 执行角色为正在直播的主播；当前处于直播间（主播）页面
2. 目标为有权限的粉丝群</x:v>
      </x:c>
      <x:c r="J954" s="9" t="str">
        <x:v>1. 选择该粉丝群
2. 点击确认分享</x:v>
      </x:c>
      <x:c r="K954" s="9" t="str">
        <x:v>发送当前场次标题、封面及入口卡片</x:v>
      </x:c>
      <x:c r="L954" s="10" t="str"/>
      <x:c r="M954" s="10" t="str">
        <x:v>未测</x:v>
      </x:c>
      <x:c r="N954" s="10" t="str"/>
      <x:c r="O954" s="9" t="str">
        <x:v>1. 来源（当前证据）：liveshow-proto/MainBasis/统一需求文档.md；位置：行1852、行1854、行797
2. 规则：BR-ee4b6385a9f7ae31
3. 未动态验证</x:v>
      </x:c>
    </x:row>
    <x:row r="955" ht="85" customHeight="1">
      <x:c r="A955" s="10" t="n">
        <x:v>954</x:v>
      </x:c>
      <x:c r="B955" s="10" t="str">
        <x:v>USER-03-0146</x:v>
      </x:c>
      <x:c r="C955" s="10" t="str">
        <x:v>直播</x:v>
      </x:c>
      <x:c r="D955" s="10" t="str">
        <x:v>直播间（主播）（正在直播的主播视角）</x:v>
      </x:c>
      <x:c r="E955" s="10" t="str">
        <x:v>功能需求</x:v>
      </x:c>
      <x:c r="F955" s="10" t="str">
        <x:v>P1</x:v>
      </x:c>
      <x:c r="G955" s="9" t="str">
        <x:v>验证取消分享不发消息</x:v>
      </x:c>
      <x:c r="H955" s="9" t="str">
        <x:v>取消分享消息状态</x:v>
      </x:c>
      <x:c r="I955" s="9" t="str">
        <x:v>1. 执行角色为正在直播的主播；当前处于直播间（主播）页面
2. 分享对象选择已打开</x:v>
      </x:c>
      <x:c r="J955" s="9" t="str">
        <x:v>1. 点击取消</x:v>
      </x:c>
      <x:c r="K955" s="9" t="str">
        <x:v>不发送直播卡片</x:v>
      </x:c>
      <x:c r="L955" s="10" t="str"/>
      <x:c r="M955" s="10" t="str">
        <x:v>未测</x:v>
      </x:c>
      <x:c r="N955" s="10" t="str"/>
      <x:c r="O955" s="9" t="str">
        <x:v>1. 来源（当前证据）：liveshow-proto/MainBasis/统一需求文档.md；位置：行1854、行797
2. 规则：BR-32e68835319098bf
3. 未动态验证</x:v>
      </x:c>
    </x:row>
    <x:row r="956" ht="160" customHeight="1">
      <x:c r="A956" s="10" t="n">
        <x:v>955</x:v>
      </x:c>
      <x:c r="B956" s="10" t="str">
        <x:v>USER-03-0147</x:v>
      </x:c>
      <x:c r="C956" s="10" t="str">
        <x:v>直播</x:v>
      </x:c>
      <x:c r="D956" s="10" t="str">
        <x:v>直播间（主播）（正在直播的主播视角）</x:v>
      </x:c>
      <x:c r="E956" s="10" t="str">
        <x:v>异常用例</x:v>
      </x:c>
      <x:c r="F956" s="10" t="str">
        <x:v>P1</x:v>
      </x:c>
      <x:c r="G956" s="9" t="str">
        <x:v>验证分享失败不发消息：失败分享不发消息</x:v>
      </x:c>
      <x:c r="H956" s="9" t="str">
        <x:v>失败分享不发消息</x:v>
      </x:c>
      <x:c r="I956" s="9" t="str">
        <x:v>1. 执行角色为正在直播的主播；当前处于直播间（主播）页面
2. 发送请求返回失败
3. 环境准备要求（尚未具备）：需测试服务让指定卡片分享请求返回失败且不生成消息；接收权限和场次维持有效</x:v>
      </x:c>
      <x:c r="J956" s="9" t="str">
        <x:v>1. 选择有权限的好友
2. 点击确认分享</x:v>
      </x:c>
      <x:c r="K956" s="9" t="str">
        <x:v>未生成直播分享消息</x:v>
      </x:c>
      <x:c r="L956" s="10" t="str"/>
      <x:c r="M956" s="10" t="str">
        <x:v>未测</x:v>
      </x:c>
      <x:c r="N956" s="10" t="str"/>
      <x:c r="O956" s="9" t="str">
        <x:v>1. 来源（当前证据）：liveshow-proto/MainBasis/统一需求文档.md；位置：行1854、行797
2. 规则：BR-0494771b7846ec81
3. 未动态验证
4. 环境待准备：直播卡片消息发送；时点：选定有权限接收人后确认分享时；恢复：本条结束后撤销故障设置，恢复真实请求处理；使用新测试对象复跑正常路径，避免污染后续用例</x:v>
      </x:c>
    </x:row>
    <x:row r="957" ht="160" customHeight="1">
      <x:c r="A957" s="10" t="n">
        <x:v>956</x:v>
      </x:c>
      <x:c r="B957" s="10" t="str">
        <x:v>USER-03-0148</x:v>
      </x:c>
      <x:c r="C957" s="10" t="str">
        <x:v>直播</x:v>
      </x:c>
      <x:c r="D957" s="10" t="str">
        <x:v>直播间（主播）（正在直播的主播视角）</x:v>
      </x:c>
      <x:c r="E957" s="10" t="str">
        <x:v>异常用例</x:v>
      </x:c>
      <x:c r="F957" s="10" t="str">
        <x:v>P1</x:v>
      </x:c>
      <x:c r="G957" s="9" t="str">
        <x:v>验证分享失败不发消息：分享失败提示</x:v>
      </x:c>
      <x:c r="H957" s="9" t="str">
        <x:v>分享失败提示</x:v>
      </x:c>
      <x:c r="I957" s="9" t="str">
        <x:v>1. 执行角色为正在直播的主播；当前处于直播间（主播）页面
2. 发送请求返回失败
3. 环境准备要求（尚未具备）：需测试服务让指定卡片分享请求返回失败且不生成消息；接收权限和场次维持有效</x:v>
      </x:c>
      <x:c r="J957" s="9" t="str">
        <x:v>1. 选择有权限的好友
2. 点击确认分享</x:v>
      </x:c>
      <x:c r="K957" s="9" t="str">
        <x:v>提示“发送失败”</x:v>
      </x:c>
      <x:c r="L957" s="10" t="str"/>
      <x:c r="M957" s="10" t="str">
        <x:v>未测</x:v>
      </x:c>
      <x:c r="N957" s="10" t="str"/>
      <x:c r="O957" s="9" t="str">
        <x:v>1. 来源（当前证据）：liveshow-proto/MainBasis/统一需求文档.md；位置：行1854、行797
2. 规则：BR-4bf10a1c2e543720
3. 未动态验证
4. 环境待准备：直播卡片消息发送；时点：选定有权限接收人后确认分享时；恢复：本条结束后撤销故障设置，恢复真实请求处理；使用新测试对象复跑正常路径，避免污染后续用例</x:v>
      </x:c>
    </x:row>
    <x:row r="958" ht="85" customHeight="1">
      <x:c r="A958" s="10" t="n">
        <x:v>957</x:v>
      </x:c>
      <x:c r="B958" s="10" t="str">
        <x:v>USER-03-0149</x:v>
      </x:c>
      <x:c r="C958" s="10" t="str">
        <x:v>直播</x:v>
      </x:c>
      <x:c r="D958" s="10" t="str">
        <x:v>直播间-主播-密码房（密码房主播视角）</x:v>
      </x:c>
      <x:c r="E958" s="10" t="str">
        <x:v>功能需求</x:v>
      </x:c>
      <x:c r="F958" s="10" t="str">
        <x:v>P1</x:v>
      </x:c>
      <x:c r="G958" s="9" t="str">
        <x:v>验证密码房无连麦入口</x:v>
      </x:c>
      <x:c r="H958" s="9" t="str">
        <x:v>连麦入口可见性</x:v>
      </x:c>
      <x:c r="I958" s="9" t="str">
        <x:v>1. 执行角色为密码房主播；当前处于直播间-主播-密码房页面</x:v>
      </x:c>
      <x:c r="J958" s="9" t="str">
        <x:v>1. 打开更多功能</x:v>
      </x:c>
      <x:c r="K958" s="9" t="str">
        <x:v>不提供连麦入口</x:v>
      </x:c>
      <x:c r="L958" s="10" t="str"/>
      <x:c r="M958" s="10" t="str">
        <x:v>未测</x:v>
      </x:c>
      <x:c r="N958" s="10" t="str"/>
      <x:c r="O958" s="9" t="str">
        <x:v>1. 来源（当前证据）：liveshow-proto/MainBasis/统一需求文档.md；位置：行1871、行813
2. 规则：BR-81443a28f698c9b7
3. 未动态验证</x:v>
      </x:c>
    </x:row>
    <x:row r="959" ht="85" customHeight="1">
      <x:c r="A959" s="10" t="n">
        <x:v>958</x:v>
      </x:c>
      <x:c r="B959" s="10" t="str">
        <x:v>USER-03-0150</x:v>
      </x:c>
      <x:c r="C959" s="10" t="str">
        <x:v>直播</x:v>
      </x:c>
      <x:c r="D959" s="10" t="str">
        <x:v>直播间-主播-密码房（密码房主播视角）</x:v>
      </x:c>
      <x:c r="E959" s="10" t="str">
        <x:v>功能需求</x:v>
      </x:c>
      <x:c r="F959" s="10" t="str">
        <x:v>P1</x:v>
      </x:c>
      <x:c r="G959" s="9" t="str">
        <x:v>验证修改密码成功：新密码生效</x:v>
      </x:c>
      <x:c r="H959" s="9" t="str">
        <x:v>新密码生效</x:v>
      </x:c>
      <x:c r="I959" s="9" t="str">
        <x:v>1. 执行角色为密码房主播；当前处于直播间-主播-密码房页面
2. 当前密码1234</x:v>
      </x:c>
      <x:c r="J959" s="9" t="str">
        <x:v>1. 打开房间密码
2. 输入5678
3. 点击保存</x:v>
      </x:c>
      <x:c r="K959" s="9" t="str">
        <x:v>本场密码更新为5678</x:v>
      </x:c>
      <x:c r="L959" s="10" t="str"/>
      <x:c r="M959" s="10" t="str">
        <x:v>未测</x:v>
      </x:c>
      <x:c r="N959" s="10" t="str"/>
      <x:c r="O959" s="9" t="str">
        <x:v>1. 来源（当前证据）：liveshow-proto/MainBasis/统一需求文档.md；位置：行1880、行813
2. 规则：BR-06fc2df57cc879b2
3. 未动态验证</x:v>
      </x:c>
    </x:row>
    <x:row r="960" ht="85" customHeight="1">
      <x:c r="A960" s="10" t="n">
        <x:v>959</x:v>
      </x:c>
      <x:c r="B960" s="10" t="str">
        <x:v>USER-03-0151</x:v>
      </x:c>
      <x:c r="C960" s="10" t="str">
        <x:v>直播</x:v>
      </x:c>
      <x:c r="D960" s="10" t="str">
        <x:v>直播间-主播-密码房（密码房主播视角）</x:v>
      </x:c>
      <x:c r="E960" s="10" t="str">
        <x:v>功能需求</x:v>
      </x:c>
      <x:c r="F960" s="10" t="str">
        <x:v>P1</x:v>
      </x:c>
      <x:c r="G960" s="9" t="str">
        <x:v>验证修改密码成功：密码编辑关闭</x:v>
      </x:c>
      <x:c r="H960" s="9" t="str">
        <x:v>密码编辑关闭</x:v>
      </x:c>
      <x:c r="I960" s="9" t="str">
        <x:v>1. 执行角色为密码房主播；当前处于直播间-主播-密码房页面
2. 当前密码1234</x:v>
      </x:c>
      <x:c r="J960" s="9" t="str">
        <x:v>1. 打开房间密码
2. 输入5678
3. 点击保存</x:v>
      </x:c>
      <x:c r="K960" s="9" t="str">
        <x:v>密码编辑视图关闭</x:v>
      </x:c>
      <x:c r="L960" s="10" t="str"/>
      <x:c r="M960" s="10" t="str">
        <x:v>未测</x:v>
      </x:c>
      <x:c r="N960" s="10" t="str"/>
      <x:c r="O960" s="9" t="str">
        <x:v>1. 来源（当前证据）：liveshow-proto/MainBasis/统一需求文档.md；位置：行1880、行813
2. 规则：BR-e4b2f4042e310aab
3. 未动态验证</x:v>
      </x:c>
    </x:row>
    <x:row r="961" ht="85" customHeight="1">
      <x:c r="A961" s="10" t="n">
        <x:v>960</x:v>
      </x:c>
      <x:c r="B961" s="10" t="str">
        <x:v>USER-03-0152</x:v>
      </x:c>
      <x:c r="C961" s="10" t="str">
        <x:v>直播</x:v>
      </x:c>
      <x:c r="D961" s="10" t="str">
        <x:v>直播间-主播-密码房（密码房主播视角）</x:v>
      </x:c>
      <x:c r="E961" s="10" t="str">
        <x:v>功能需求</x:v>
      </x:c>
      <x:c r="F961" s="10" t="str">
        <x:v>P1</x:v>
      </x:c>
      <x:c r="G961" s="9" t="str">
        <x:v>验证取消修改保留密码</x:v>
      </x:c>
      <x:c r="H961" s="9" t="str">
        <x:v>取消编辑后房间密码保留</x:v>
      </x:c>
      <x:c r="I961" s="9" t="str">
        <x:v>1. 执行角色为密码房主播；当前处于直播间-主播-密码房页面
2. 当前密码1234</x:v>
      </x:c>
      <x:c r="J961" s="9" t="str">
        <x:v>1. 打开房间密码
2. 输入5678
3. 点击取消</x:v>
      </x:c>
      <x:c r="K961" s="9" t="str">
        <x:v>本场密码仍为1234</x:v>
      </x:c>
      <x:c r="L961" s="10" t="str"/>
      <x:c r="M961" s="10" t="str">
        <x:v>未测</x:v>
      </x:c>
      <x:c r="N961" s="10" t="str"/>
      <x:c r="O961" s="9" t="str">
        <x:v>1. 来源（当前证据）：liveshow-proto/MainBasis/统一需求文档.md；位置：行1880、行813
2. 规则：BR-fda4993a0aa63f2c
3. 未动态验证</x:v>
      </x:c>
    </x:row>
    <x:row r="962" ht="85" customHeight="1">
      <x:c r="A962" s="10" t="n">
        <x:v>961</x:v>
      </x:c>
      <x:c r="B962" s="10" t="str">
        <x:v>USER-03-0153</x:v>
      </x:c>
      <x:c r="C962" s="10" t="str">
        <x:v>直播</x:v>
      </x:c>
      <x:c r="D962" s="10" t="str">
        <x:v>直播间-主播-密码房（密码房主播视角）</x:v>
      </x:c>
      <x:c r="E962" s="10" t="str">
        <x:v>功能需求</x:v>
      </x:c>
      <x:c r="F962" s="10" t="str">
        <x:v>P1</x:v>
      </x:c>
      <x:c r="G962" s="9" t="str">
        <x:v>验证修改非法密码：非法密码不保存</x:v>
      </x:c>
      <x:c r="H962" s="9" t="str">
        <x:v>非法密码不保存</x:v>
      </x:c>
      <x:c r="I962" s="9" t="str">
        <x:v>1. 执行角色为密码房主播；当前处于直播间-主播-密码房页面
2. 当前密码1234</x:v>
      </x:c>
      <x:c r="J962" s="9" t="str">
        <x:v>1. 打开房间密码
2. 输入12a4
3. 点击保存</x:v>
      </x:c>
      <x:c r="K962" s="9" t="str">
        <x:v>本场密码仍为1234</x:v>
      </x:c>
      <x:c r="L962" s="10" t="str"/>
      <x:c r="M962" s="10" t="str">
        <x:v>未测</x:v>
      </x:c>
      <x:c r="N962" s="10" t="str"/>
      <x:c r="O962" s="9" t="str">
        <x:v>1. 来源（当前证据）：liveshow-proto/MainBasis/统一需求文档.md；位置：行821、行813
2. 规则：BR-aaa9aa4338c67269
3. 未动态验证</x:v>
      </x:c>
    </x:row>
    <x:row r="963" ht="85" customHeight="1">
      <x:c r="A963" s="10" t="n">
        <x:v>962</x:v>
      </x:c>
      <x:c r="B963" s="10" t="str">
        <x:v>USER-03-0154</x:v>
      </x:c>
      <x:c r="C963" s="10" t="str">
        <x:v>直播</x:v>
      </x:c>
      <x:c r="D963" s="10" t="str">
        <x:v>直播间-主播-密码房（密码房主播视角）</x:v>
      </x:c>
      <x:c r="E963" s="10" t="str">
        <x:v>功能需求</x:v>
      </x:c>
      <x:c r="F963" s="10" t="str">
        <x:v>P1</x:v>
      </x:c>
      <x:c r="G963" s="9" t="str">
        <x:v>验证修改非法密码：非法密码提示</x:v>
      </x:c>
      <x:c r="H963" s="9" t="str">
        <x:v>非法密码提示</x:v>
      </x:c>
      <x:c r="I963" s="9" t="str">
        <x:v>1. 执行角色为密码房主播；当前处于直播间-主播-密码房页面
2. 当前密码1234</x:v>
      </x:c>
      <x:c r="J963" s="9" t="str">
        <x:v>1. 打开房间密码
2. 输入12a4
3. 点击保存</x:v>
      </x:c>
      <x:c r="K963" s="9" t="str">
        <x:v>提示“密码必须是4-12个数字”</x:v>
      </x:c>
      <x:c r="L963" s="10" t="str"/>
      <x:c r="M963" s="10" t="str">
        <x:v>未测</x:v>
      </x:c>
      <x:c r="N963" s="10" t="str"/>
      <x:c r="O963" s="9" t="str">
        <x:v>1. 来源（当前证据）：liveshow-proto/MainBasis/统一需求文档.md；位置：行821、行813
2. 规则：BR-70723a23454aa8ff
3. 未动态验证</x:v>
      </x:c>
    </x:row>
    <x:row r="964" ht="85" customHeight="1">
      <x:c r="A964" s="10" t="n">
        <x:v>963</x:v>
      </x:c>
      <x:c r="B964" s="10" t="str">
        <x:v>USER-03-0155</x:v>
      </x:c>
      <x:c r="C964" s="10" t="str">
        <x:v>直播</x:v>
      </x:c>
      <x:c r="D964" s="10" t="str">
        <x:v>直播间-主播-密码房（密码房主播视角）</x:v>
      </x:c>
      <x:c r="E964" s="10" t="str">
        <x:v>功能需求</x:v>
      </x:c>
      <x:c r="F964" s="10" t="str">
        <x:v>P1</x:v>
      </x:c>
      <x:c r="G964" s="9" t="str">
        <x:v>验证访问开关独立</x:v>
      </x:c>
      <x:c r="H964" s="9" t="str">
        <x:v>广场和成员开关隔离</x:v>
      </x:c>
      <x:c r="I964" s="9" t="str">
        <x:v>1. 执行角色为密码房主播；当前处于直播间-主播-密码房页面
2. 广场展示开启，成员限制关闭</x:v>
      </x:c>
      <x:c r="J964" s="9" t="str">
        <x:v>1. 打开访问范围
2. 关闭广场展示
3. 点击确认
4. 重新打开访问范围</x:v>
      </x:c>
      <x:c r="K964" s="9" t="str">
        <x:v>成员限制仍关闭</x:v>
      </x:c>
      <x:c r="L964" s="10" t="str"/>
      <x:c r="M964" s="10" t="str">
        <x:v>未测</x:v>
      </x:c>
      <x:c r="N964" s="10" t="str"/>
      <x:c r="O964" s="9" t="str">
        <x:v>1. 来源（当前证据）：liveshow-proto/MainBasis/统一需求文档.md；位置：行1886、行813
2. 规则：BR-386bf02bbca87778
3. 未动态验证</x:v>
      </x:c>
    </x:row>
    <x:row r="965" ht="85" customHeight="1">
      <x:c r="A965" s="10" t="n">
        <x:v>964</x:v>
      </x:c>
      <x:c r="B965" s="10" t="str">
        <x:v>USER-03-0156</x:v>
      </x:c>
      <x:c r="C965" s="10" t="str">
        <x:v>直播</x:v>
      </x:c>
      <x:c r="D965" s="10" t="str">
        <x:v>直播间-主播-密码房（密码房主播视角）</x:v>
      </x:c>
      <x:c r="E965" s="10" t="str">
        <x:v>功能需求</x:v>
      </x:c>
      <x:c r="F965" s="10" t="str">
        <x:v>P1</x:v>
      </x:c>
      <x:c r="G965" s="9" t="str">
        <x:v>验证访问范围取消不保存</x:v>
      </x:c>
      <x:c r="H965" s="9" t="str">
        <x:v>取消访问配置保留值</x:v>
      </x:c>
      <x:c r="I965" s="9" t="str">
        <x:v>1. 执行角色为密码房主播；当前处于直播间-主播-密码房页面
2. 成员限制原关闭且已创建粉丝团</x:v>
      </x:c>
      <x:c r="J965" s="9" t="str">
        <x:v>1. 打开访问范围
2. 启用成员限制
3. 点击遮罩
4. 重新打开访问范围</x:v>
      </x:c>
      <x:c r="K965" s="9" t="str">
        <x:v>成员限制仍关闭</x:v>
      </x:c>
      <x:c r="L965" s="10" t="str"/>
      <x:c r="M965" s="10" t="str">
        <x:v>未测</x:v>
      </x:c>
      <x:c r="N965" s="10" t="str"/>
      <x:c r="O965" s="9" t="str">
        <x:v>1. 来源（当前证据）：liveshow-proto/MainBasis/统一需求文档.md；位置：行1889、行813
2. 规则：BR-0e4219ee55d8dcea
3. 未动态验证</x:v>
      </x:c>
    </x:row>
    <x:row r="966" ht="85" customHeight="1">
      <x:c r="A966" s="10" t="n">
        <x:v>965</x:v>
      </x:c>
      <x:c r="B966" s="10" t="str">
        <x:v>USER-03-0157</x:v>
      </x:c>
      <x:c r="C966" s="10" t="str">
        <x:v>直播</x:v>
      </x:c>
      <x:c r="D966" s="10" t="str">
        <x:v>直播间（普通房）（密码房在线普通观众视角）</x:v>
      </x:c>
      <x:c r="E966" s="10" t="str">
        <x:v>功能需求</x:v>
      </x:c>
      <x:c r="F966" s="10" t="str">
        <x:v>P1</x:v>
      </x:c>
      <x:c r="G966" s="9" t="str">
        <x:v>验证主播改密码不踢在线用户</x:v>
      </x:c>
      <x:c r="H966" s="9" t="str">
        <x:v>修改密码后在线观看保持</x:v>
      </x:c>
      <x:c r="I966" s="9" t="str">
        <x:v>1. 执行角色为密码房在线普通观众；当前处于直播间（普通房）页面
2. 已用1234进入；主播已改为5678</x:v>
      </x:c>
      <x:c r="J966" s="9" t="str">
        <x:v>1. 查看当前直播画面</x:v>
      </x:c>
      <x:c r="K966" s="9" t="str">
        <x:v>仍保持在线观看</x:v>
      </x:c>
      <x:c r="L966" s="10" t="str"/>
      <x:c r="M966" s="10" t="str">
        <x:v>未测</x:v>
      </x:c>
      <x:c r="N966" s="10" t="str"/>
      <x:c r="O966" s="9" t="str">
        <x:v>1. 来源（当前证据）：liveshow-proto/MainBasis/统一需求文档.md；位置：行819、行1879、行759
2. 规则：BR-b72b8deca049453c
3. 未动态验证</x:v>
      </x:c>
    </x:row>
    <x:row r="967" ht="85" customHeight="1">
      <x:c r="A967" s="10" t="n">
        <x:v>966</x:v>
      </x:c>
      <x:c r="B967" s="10" t="str">
        <x:v>USER-03-0158</x:v>
      </x:c>
      <x:c r="C967" s="10" t="str">
        <x:v>直播</x:v>
      </x:c>
      <x:c r="D967" s="10" t="str">
        <x:v>直播间（普通房）（密码房在线普通观众视角）</x:v>
      </x:c>
      <x:c r="E967" s="10" t="str">
        <x:v>功能需求</x:v>
      </x:c>
      <x:c r="F967" s="10" t="str">
        <x:v>P1</x:v>
      </x:c>
      <x:c r="G967" s="9" t="str">
        <x:v>验证重进必须新密码</x:v>
      </x:c>
      <x:c r="H967" s="9" t="str">
        <x:v>凭证有效性</x:v>
      </x:c>
      <x:c r="I967" s="9" t="str">
        <x:v>1. 执行角色为密码房在线普通观众；当前处于直播间（普通房）页面
2. 主播已将密码1234改为5678；本账号刚退出</x:v>
      </x:c>
      <x:c r="J967" s="9" t="str">
        <x:v>1. 重新进入密码房
2. 输入旧密码1234
3. 点击确认</x:v>
      </x:c>
      <x:c r="K967" s="9" t="str">
        <x:v>旧密码不能完成入场校验</x:v>
      </x:c>
      <x:c r="L967" s="10" t="str"/>
      <x:c r="M967" s="10" t="str">
        <x:v>未测</x:v>
      </x:c>
      <x:c r="N967" s="10" t="str"/>
      <x:c r="O967" s="9" t="str">
        <x:v>1. 来源（当前证据）：liveshow-proto/MainBasis/统一需求文档.md；位置：行819、行1640、行759
2. 规则：BR-4ad5edca3d5ed48b
3. 未动态验证</x:v>
      </x:c>
    </x:row>
    <x:row r="968" ht="85" customHeight="1">
      <x:c r="A968" s="10" t="n">
        <x:v>967</x:v>
      </x:c>
      <x:c r="B968" s="10" t="str">
        <x:v>USER-03-0159</x:v>
      </x:c>
      <x:c r="C968" s="10" t="str">
        <x:v>直播</x:v>
      </x:c>
      <x:c r="D968" s="10" t="str">
        <x:v>直播间-连麦中-主播（连麦中的主播视角）</x:v>
      </x:c>
      <x:c r="E968" s="10" t="str">
        <x:v>功能需求</x:v>
      </x:c>
      <x:c r="F968" s="10" t="str">
        <x:v>P1</x:v>
      </x:c>
      <x:c r="G968" s="9" t="str">
        <x:v>验证连麦固定两位主播：连麦账号集合</x:v>
      </x:c>
      <x:c r="H968" s="9" t="str">
        <x:v>连麦账号集合</x:v>
      </x:c>
      <x:c r="I968" s="9" t="str">
        <x:v>1. 执行角色为连麦中的主播；当前处于直播间-连麦中-主播页面</x:v>
      </x:c>
      <x:c r="J968" s="9" t="str">
        <x:v>1. 查看连麦画面</x:v>
      </x:c>
      <x:c r="K968" s="9" t="str">
        <x:v>连麦账号仅为当前两位主播</x:v>
      </x:c>
      <x:c r="L968" s="10" t="str"/>
      <x:c r="M968" s="10" t="str">
        <x:v>未测</x:v>
      </x:c>
      <x:c r="N968" s="10" t="str"/>
      <x:c r="O968" s="9" t="str">
        <x:v>1. 来源（当前证据）：liveshow-proto/MainBasis/统一需求文档.md；位置：行825、行824
2. 规则：BR-7437e9425397f036
3. 未动态验证</x:v>
      </x:c>
    </x:row>
    <x:row r="969" ht="85" customHeight="1">
      <x:c r="A969" s="10" t="n">
        <x:v>968</x:v>
      </x:c>
      <x:c r="B969" s="10" t="str">
        <x:v>USER-03-0160</x:v>
      </x:c>
      <x:c r="C969" s="10" t="str">
        <x:v>直播</x:v>
      </x:c>
      <x:c r="D969" s="10" t="str">
        <x:v>直播间-连麦中-主播（连麦中的主播视角）</x:v>
      </x:c>
      <x:c r="E969" s="10" t="str">
        <x:v>功能需求</x:v>
      </x:c>
      <x:c r="F969" s="10" t="str">
        <x:v>P1</x:v>
      </x:c>
      <x:c r="G969" s="9" t="str">
        <x:v>验证连麦固定两位主播：双路直播画面</x:v>
      </x:c>
      <x:c r="H969" s="9" t="str">
        <x:v>双路直播画面</x:v>
      </x:c>
      <x:c r="I969" s="9" t="str">
        <x:v>1. 执行角色为连麦中的主播；当前处于直播间-连麦中-主播页面</x:v>
      </x:c>
      <x:c r="J969" s="9" t="str">
        <x:v>1. 查看连麦画面</x:v>
      </x:c>
      <x:c r="K969" s="9" t="str">
        <x:v>展示当前两位主播各自的直播画面</x:v>
      </x:c>
      <x:c r="L969" s="10" t="str"/>
      <x:c r="M969" s="10" t="str">
        <x:v>未测</x:v>
      </x:c>
      <x:c r="N969" s="10" t="str"/>
      <x:c r="O969" s="9" t="str">
        <x:v>1. 来源（当前证据）：liveshow-proto/MainBasis/统一需求文档.md；位置：行825、行824
2. 规则：BR-e5029fed0a9583d1
3. 未动态验证</x:v>
      </x:c>
    </x:row>
    <x:row r="970" ht="85" customHeight="1">
      <x:c r="A970" s="10" t="n">
        <x:v>969</x:v>
      </x:c>
      <x:c r="B970" s="10" t="str">
        <x:v>USER-03-0161</x:v>
      </x:c>
      <x:c r="C970" s="10" t="str">
        <x:v>直播</x:v>
      </x:c>
      <x:c r="D970" s="10" t="str">
        <x:v>直播间-连麦中-主播（连麦中的主播视角）</x:v>
      </x:c>
      <x:c r="E970" s="10" t="str">
        <x:v>功能需求</x:v>
      </x:c>
      <x:c r="F970" s="10" t="str">
        <x:v>P1</x:v>
      </x:c>
      <x:c r="G970" s="9" t="str">
        <x:v>验证连麦账务独立</x:v>
      </x:c>
      <x:c r="H970" s="9" t="str">
        <x:v>资产数值</x:v>
      </x:c>
      <x:c r="I970" s="9" t="str">
        <x:v>1. 执行角色为连麦中的主播；当前处于直播间-连麦中-主播页面
2. 本方场次收到普通礼物100；对方场次收到普通礼物200</x:v>
      </x:c>
      <x:c r="J970" s="9" t="str">
        <x:v>1. 查看本方场次收益</x:v>
      </x:c>
      <x:c r="K970" s="9" t="str">
        <x:v>本方只累计100金币，不合并对方收益</x:v>
      </x:c>
      <x:c r="L970" s="10" t="str"/>
      <x:c r="M970" s="10" t="str">
        <x:v>未测</x:v>
      </x:c>
      <x:c r="N970" s="10" t="str"/>
      <x:c r="O970" s="9" t="str">
        <x:v>1. 来源（当前证据）：liveshow-proto/MainBasis/统一需求文档.md；位置：行827、行824
2. 规则：BR-055a83b0aee0cfb7
3. 未动态验证</x:v>
      </x:c>
    </x:row>
    <x:row r="971" ht="85" customHeight="1">
      <x:c r="A971" s="10" t="n">
        <x:v>970</x:v>
      </x:c>
      <x:c r="B971" s="10" t="str">
        <x:v>USER-03-0162</x:v>
      </x:c>
      <x:c r="C971" s="10" t="str">
        <x:v>直播</x:v>
      </x:c>
      <x:c r="D971" s="10" t="str">
        <x:v>直播间-连麦中-主播（连麦中的主播视角）</x:v>
      </x:c>
      <x:c r="E971" s="10" t="str">
        <x:v>功能需求</x:v>
      </x:c>
      <x:c r="F971" s="10" t="str">
        <x:v>P1</x:v>
      </x:c>
      <x:c r="G971" s="9" t="str">
        <x:v>验证取消退出保持连麦</x:v>
      </x:c>
      <x:c r="H971" s="9" t="str">
        <x:v>连麦连接保持</x:v>
      </x:c>
      <x:c r="I971" s="9" t="str">
        <x:v>1. 执行角色为连麦中的主播；当前处于直播间-连麦中-主播页面</x:v>
      </x:c>
      <x:c r="J971" s="9" t="str">
        <x:v>1. 点击退出连麦
2. 点击取消</x:v>
      </x:c>
      <x:c r="K971" s="9" t="str">
        <x:v>保持当前连麦</x:v>
      </x:c>
      <x:c r="L971" s="10" t="str"/>
      <x:c r="M971" s="10" t="str">
        <x:v>未测</x:v>
      </x:c>
      <x:c r="N971" s="10" t="str"/>
      <x:c r="O971" s="9" t="str">
        <x:v>1. 来源（当前证据）：liveshow-proto/MainBasis/统一需求文档.md；位置：行833、行824
2. 规则：BR-062c349bd023a643
3. 未动态验证</x:v>
      </x:c>
    </x:row>
    <x:row r="972" ht="130" customHeight="1">
      <x:c r="A972" s="10" t="n">
        <x:v>971</x:v>
      </x:c>
      <x:c r="B972" s="10" t="str">
        <x:v>USER-03-0163</x:v>
      </x:c>
      <x:c r="C972" s="10" t="str">
        <x:v>直播</x:v>
      </x:c>
      <x:c r="D972" s="10" t="str">
        <x:v>直播间-连麦中-主播（连麦中的主播视角）</x:v>
      </x:c>
      <x:c r="E972" s="10" t="str">
        <x:v>业务流程</x:v>
      </x:c>
      <x:c r="F972" s="10" t="str">
        <x:v>P1</x:v>
      </x:c>
      <x:c r="G972" s="9" t="str">
        <x:v>验证确认退出双方继续直播</x:v>
      </x:c>
      <x:c r="H972" s="9" t="str">
        <x:v>连麦退出后直播状态</x:v>
      </x:c>
      <x:c r="I972" s="9" t="str">
        <x:v>1. 执行角色为连麦中的主播；当前处于直播间-连麦中-主播页面</x:v>
      </x:c>
      <x:c r="J972" s="9" t="str">
        <x:v>1. 点击退出连麦
2. 点击确认</x:v>
      </x:c>
      <x:c r="K972" s="9" t="str">
        <x:v>双方恢复各自单人直播，不结束场次</x:v>
      </x:c>
      <x:c r="L972" s="10" t="str">
        <x:v>FLOW-A380690A</x:v>
      </x:c>
      <x:c r="M972" s="10" t="str">
        <x:v>未测</x:v>
      </x:c>
      <x:c r="N972" s="10" t="str"/>
      <x:c r="O972" s="9" t="str">
        <x:v>1. 来源（当前证据）：liveshow-proto/MainBasis/统一需求文档.md；位置：行1899、行1900、行824
2. 规则：BR-71317d6808997167
3. 未动态验证
4. 状态转换：ST-USER-020；共同业务对象：连麦会话；当前阶段：结束连麦后的用户App观察</x:v>
      </x:c>
    </x:row>
    <x:row r="973" ht="145" customHeight="1">
      <x:c r="A973" s="10" t="n">
        <x:v>972</x:v>
      </x:c>
      <x:c r="B973" s="10" t="str">
        <x:v>USER-03-0164</x:v>
      </x:c>
      <x:c r="C973" s="10" t="str">
        <x:v>直播</x:v>
      </x:c>
      <x:c r="D973" s="10" t="str">
        <x:v>直播间-连麦中-主播（连麦中的主播视角）</x:v>
      </x:c>
      <x:c r="E973" s="10" t="str">
        <x:v>异常用例</x:v>
      </x:c>
      <x:c r="F973" s="10" t="str">
        <x:v>P1</x:v>
      </x:c>
      <x:c r="G973" s="9" t="str">
        <x:v>验证退出连麦失败：退出失败画面保持</x:v>
      </x:c>
      <x:c r="H973" s="9" t="str">
        <x:v>退出失败画面保持</x:v>
      </x:c>
      <x:c r="I973" s="9" t="str">
        <x:v>1. 执行角色为连麦中的主播；当前处于直播间-连麦中-主播页面
2. 退出请求返回失败
3. 环境准备要求（尚未具备）：需测试服务让本次退出连麦请求返回失败，不主动断开双方直播链路</x:v>
      </x:c>
      <x:c r="J973" s="9" t="str">
        <x:v>1. 点击退出连麦
2. 点击确认</x:v>
      </x:c>
      <x:c r="K973" s="9" t="str">
        <x:v>保持当前连麦画面</x:v>
      </x:c>
      <x:c r="L973" s="10" t="str"/>
      <x:c r="M973" s="10" t="str">
        <x:v>未测</x:v>
      </x:c>
      <x:c r="N973" s="10" t="str"/>
      <x:c r="O973" s="9" t="str">
        <x:v>1. 来源（当前证据）：liveshow-proto/MainBasis/统一需求文档.md；位置：行1900、行824
2. 规则：BR-d1014b8b5328941d
3. 未动态验证
4. 环境待准备：退出连麦请求；时点：连麦有效期间确认退出时；恢复：本条结束后撤销故障设置，恢复真实请求处理；使用新测试对象复跑正常路径，避免污染后续用例</x:v>
      </x:c>
    </x:row>
    <x:row r="974" ht="145" customHeight="1">
      <x:c r="A974" s="10" t="n">
        <x:v>973</x:v>
      </x:c>
      <x:c r="B974" s="10" t="str">
        <x:v>USER-03-0165</x:v>
      </x:c>
      <x:c r="C974" s="10" t="str">
        <x:v>直播</x:v>
      </x:c>
      <x:c r="D974" s="10" t="str">
        <x:v>直播间-连麦中-主播（连麦中的主播视角）</x:v>
      </x:c>
      <x:c r="E974" s="10" t="str">
        <x:v>异常用例</x:v>
      </x:c>
      <x:c r="F974" s="10" t="str">
        <x:v>P1</x:v>
      </x:c>
      <x:c r="G974" s="9" t="str">
        <x:v>验证退出连麦失败：退出失败提示</x:v>
      </x:c>
      <x:c r="H974" s="9" t="str">
        <x:v>退出失败提示</x:v>
      </x:c>
      <x:c r="I974" s="9" t="str">
        <x:v>1. 执行角色为连麦中的主播；当前处于直播间-连麦中-主播页面
2. 退出请求返回失败
3. 环境准备要求（尚未具备）：需测试服务让本次退出连麦请求返回失败，不主动断开双方直播链路</x:v>
      </x:c>
      <x:c r="J974" s="9" t="str">
        <x:v>1. 点击退出连麦
2. 点击确认</x:v>
      </x:c>
      <x:c r="K974" s="9" t="str">
        <x:v>提示“退出失败”</x:v>
      </x:c>
      <x:c r="L974" s="10" t="str"/>
      <x:c r="M974" s="10" t="str">
        <x:v>未测</x:v>
      </x:c>
      <x:c r="N974" s="10" t="str"/>
      <x:c r="O974" s="9" t="str">
        <x:v>1. 来源（当前证据）：liveshow-proto/MainBasis/统一需求文档.md；位置：行1900、行824
2. 规则：BR-3b3303d610a73889
3. 未动态验证
4. 环境待准备：退出连麦请求；时点：连麦有效期间确认退出时；恢复：本条结束后撤销故障设置，恢复真实请求处理；使用新测试对象复跑正常路径，避免污染后续用例</x:v>
      </x:c>
    </x:row>
    <x:row r="975" ht="130" customHeight="1">
      <x:c r="A975" s="10" t="n">
        <x:v>974</x:v>
      </x:c>
      <x:c r="B975" s="10" t="str">
        <x:v>USER-03-0166</x:v>
      </x:c>
      <x:c r="C975" s="10" t="str">
        <x:v>直播</x:v>
      </x:c>
      <x:c r="D975" s="10" t="str">
        <x:v>直播间-连麦中-主播（连麦中的主播视角）</x:v>
      </x:c>
      <x:c r="E975" s="10" t="str">
        <x:v>功能需求</x:v>
      </x:c>
      <x:c r="F975" s="10" t="str">
        <x:v>P1</x:v>
      </x:c>
      <x:c r="G975" s="9" t="str">
        <x:v>验证对方结束本方继续</x:v>
      </x:c>
      <x:c r="H975" s="9" t="str">
        <x:v>对方结束后的本方直播状态</x:v>
      </x:c>
      <x:c r="I975" s="9" t="str">
        <x:v>1. 执行角色为连麦中的主播；当前处于直播间-连麦中-主播页面
2. 对方已结束其直播</x:v>
      </x:c>
      <x:c r="J975" s="9" t="str">
        <x:v>1. 查看当前直播状态</x:v>
      </x:c>
      <x:c r="K975" s="9" t="str">
        <x:v>连麦结束且本方直播继续</x:v>
      </x:c>
      <x:c r="L975" s="10" t="str">
        <x:v>FLOW-A380690A</x:v>
      </x:c>
      <x:c r="M975" s="10" t="str">
        <x:v>未测</x:v>
      </x:c>
      <x:c r="N975" s="10" t="str"/>
      <x:c r="O975" s="9" t="str">
        <x:v>1. 来源（当前证据）：liveshow-proto/MainBasis/统一需求文档.md；位置：行831、行824
2. 规则：BR-b3eb105b49416ec4
3. 未动态验证
4. 状态转换：ST-USER-021；共同业务对象：连麦会话；当前阶段：其中一方结束直播后的用户App观察</x:v>
      </x:c>
    </x:row>
    <x:row r="976" ht="85" customHeight="1">
      <x:c r="A976" s="10" t="n">
        <x:v>975</x:v>
      </x:c>
      <x:c r="B976" s="10" t="str">
        <x:v>USER-03-0167</x:v>
      </x:c>
      <x:c r="C976" s="10" t="str">
        <x:v>直播</x:v>
      </x:c>
      <x:c r="D976" s="10" t="str">
        <x:v>直播间-连麦中-主播（连麦中的主播视角）</x:v>
      </x:c>
      <x:c r="E976" s="10" t="str">
        <x:v>功能需求</x:v>
      </x:c>
      <x:c r="F976" s="10" t="str">
        <x:v>P1</x:v>
      </x:c>
      <x:c r="G976" s="9" t="str">
        <x:v>验证连麦中不能再发邀请</x:v>
      </x:c>
      <x:c r="H976" s="9" t="str">
        <x:v>连麦期间发起邀请限制</x:v>
      </x:c>
      <x:c r="I976" s="9" t="str">
        <x:v>1. 执行角色为连麦中的主播；当前处于直播间-连麦中-主播页面</x:v>
      </x:c>
      <x:c r="J976" s="9" t="str">
        <x:v>1. 点击再次发起连麦</x:v>
      </x:c>
      <x:c r="K976" s="9" t="str">
        <x:v>不执行并提示先退出连麦</x:v>
      </x:c>
      <x:c r="L976" s="10" t="str"/>
      <x:c r="M976" s="10" t="str">
        <x:v>未测</x:v>
      </x:c>
      <x:c r="N976" s="10" t="str"/>
      <x:c r="O976" s="9" t="str">
        <x:v>1. 来源（当前证据）：liveshow-proto/MainBasis/统一需求文档.md；位置：行1894、行1895、行824
2. 规则：BR-736bd2fd04308e56
3. 未动态验证</x:v>
      </x:c>
    </x:row>
    <x:row r="977" ht="85" customHeight="1">
      <x:c r="A977" s="10" t="n">
        <x:v>976</x:v>
      </x:c>
      <x:c r="B977" s="10" t="str">
        <x:v>USER-03-0168</x:v>
      </x:c>
      <x:c r="C977" s="10" t="str">
        <x:v>直播</x:v>
      </x:c>
      <x:c r="D977" s="10" t="str">
        <x:v>直播间-连麦中-主播（连麦中的主播视角）</x:v>
      </x:c>
      <x:c r="E977" s="10" t="str">
        <x:v>功能需求</x:v>
      </x:c>
      <x:c r="F977" s="10" t="str">
        <x:v>P1</x:v>
      </x:c>
      <x:c r="G977" s="9" t="str">
        <x:v>验证连麦中不能接受其他邀请</x:v>
      </x:c>
      <x:c r="H977" s="9" t="str">
        <x:v>连麦资格</x:v>
      </x:c>
      <x:c r="I977" s="9" t="str">
        <x:v>1. 执行角色为连麦中的主播；当前处于直播间-连麦中-主播页面
2. 尚保留另一位主播有效邀请</x:v>
      </x:c>
      <x:c r="J977" s="9" t="str">
        <x:v>1. 点击接受该邀请</x:v>
      </x:c>
      <x:c r="K977" s="9" t="str">
        <x:v>不能接受其他邀请</x:v>
      </x:c>
      <x:c r="L977" s="10" t="str"/>
      <x:c r="M977" s="10" t="str">
        <x:v>未测</x:v>
      </x:c>
      <x:c r="N977" s="10" t="str"/>
      <x:c r="O977" s="9" t="str">
        <x:v>1. 来源（当前证据）：liveshow-proto/MainBasis/统一需求文档.md；位置：行1846、行504、行824
2. 规则：BR-b0e86896f59ddf6d
3. 未动态验证</x:v>
      </x:c>
    </x:row>
    <x:row r="978" ht="85" customHeight="1">
      <x:c r="A978" s="10" t="n">
        <x:v>977</x:v>
      </x:c>
      <x:c r="B978" s="10" t="str">
        <x:v>USER-03-0169</x:v>
      </x:c>
      <x:c r="C978" s="10" t="str">
        <x:v>直播</x:v>
      </x:c>
      <x:c r="D978" s="10" t="str">
        <x:v>直播间-连麦中-主播（连麦中的主播视角）</x:v>
      </x:c>
      <x:c r="E978" s="10" t="str">
        <x:v>功能需求</x:v>
      </x:c>
      <x:c r="F978" s="10" t="str">
        <x:v>P1</x:v>
      </x:c>
      <x:c r="G978" s="9" t="str">
        <x:v>验证连麦中禁切门票房</x:v>
      </x:c>
      <x:c r="H978" s="9" t="str">
        <x:v>连麦期间门票房切换限制</x:v>
      </x:c>
      <x:c r="I978" s="9" t="str">
        <x:v>1. 执行角色为连麦中的主播；当前处于直播间-连麦中-主播页面</x:v>
      </x:c>
      <x:c r="J978" s="9" t="str">
        <x:v>1. 尝试切换门票房</x:v>
      </x:c>
      <x:c r="K978" s="9" t="str">
        <x:v>不执行并提示先退出连麦</x:v>
      </x:c>
      <x:c r="L978" s="10" t="str"/>
      <x:c r="M978" s="10" t="str">
        <x:v>未测</x:v>
      </x:c>
      <x:c r="N978" s="10" t="str"/>
      <x:c r="O978" s="9" t="str">
        <x:v>1. 来源（当前证据）：liveshow-proto/MainBasis/统一需求文档.md；位置：行1894、行1895、行824
2. 规则：BR-c0c644df1e79cb48
3. 未动态验证</x:v>
      </x:c>
    </x:row>
    <x:row r="979" ht="85" customHeight="1">
      <x:c r="A979" s="10" t="n">
        <x:v>978</x:v>
      </x:c>
      <x:c r="B979" s="10" t="str">
        <x:v>USER-03-0170</x:v>
      </x:c>
      <x:c r="C979" s="10" t="str">
        <x:v>直播</x:v>
      </x:c>
      <x:c r="D979" s="10" t="str">
        <x:v>直播间-连麦中-主播（连麦中的主播视角）</x:v>
      </x:c>
      <x:c r="E979" s="10" t="str">
        <x:v>功能需求</x:v>
      </x:c>
      <x:c r="F979" s="10" t="str">
        <x:v>P1</x:v>
      </x:c>
      <x:c r="G979" s="9" t="str">
        <x:v>验证连麦中禁切密码房</x:v>
      </x:c>
      <x:c r="H979" s="9" t="str">
        <x:v>连麦期间密码房切换限制</x:v>
      </x:c>
      <x:c r="I979" s="9" t="str">
        <x:v>1. 执行角色为连麦中的主播；当前处于直播间-连麦中-主播页面</x:v>
      </x:c>
      <x:c r="J979" s="9" t="str">
        <x:v>1. 尝试切换密码房</x:v>
      </x:c>
      <x:c r="K979" s="9" t="str">
        <x:v>不执行并提示先退出连麦</x:v>
      </x:c>
      <x:c r="L979" s="10" t="str"/>
      <x:c r="M979" s="10" t="str">
        <x:v>未测</x:v>
      </x:c>
      <x:c r="N979" s="10" t="str"/>
      <x:c r="O979" s="9" t="str">
        <x:v>1. 来源（当前证据）：liveshow-proto/MainBasis/统一需求文档.md；位置：行1894、行1895、行824
2. 规则：BR-39ac56f0cc1f1400
3. 未动态验证</x:v>
      </x:c>
    </x:row>
    <x:row r="980" ht="85" customHeight="1">
      <x:c r="A980" s="10" t="n">
        <x:v>979</x:v>
      </x:c>
      <x:c r="B980" s="10" t="str">
        <x:v>USER-03-0171</x:v>
      </x:c>
      <x:c r="C980" s="10" t="str">
        <x:v>直播</x:v>
      </x:c>
      <x:c r="D980" s="10" t="str">
        <x:v>直播间-连麦中-主播（连麦中的主播视角）</x:v>
      </x:c>
      <x:c r="E980" s="10" t="str">
        <x:v>功能需求</x:v>
      </x:c>
      <x:c r="F980" s="10" t="str">
        <x:v>P1</x:v>
      </x:c>
      <x:c r="G980" s="9" t="str">
        <x:v>验证连麦中观众管理不中断</x:v>
      </x:c>
      <x:c r="H980" s="9" t="str">
        <x:v>管理操作下连麦保持</x:v>
      </x:c>
      <x:c r="I980" s="9" t="str">
        <x:v>1. 执行角色为连麦中的主播；当前处于直播间-连麦中-主播页面</x:v>
      </x:c>
      <x:c r="J980" s="9" t="str">
        <x:v>1. 打开观众管理</x:v>
      </x:c>
      <x:c r="K980" s="9" t="str">
        <x:v>打开管理视图且连麦继续</x:v>
      </x:c>
      <x:c r="L980" s="10" t="str"/>
      <x:c r="M980" s="10" t="str">
        <x:v>未测</x:v>
      </x:c>
      <x:c r="N980" s="10" t="str"/>
      <x:c r="O980" s="9" t="str">
        <x:v>1. 来源（当前证据）：liveshow-proto/MainBasis/统一需求文档.md；位置：行1895、行824
2. 规则：BR-b5ccc4ad767bdc30
3. 未动态验证</x:v>
      </x:c>
    </x:row>
    <x:row r="981" ht="85" customHeight="1">
      <x:c r="A981" s="10" t="n">
        <x:v>980</x:v>
      </x:c>
      <x:c r="B981" s="10" t="str">
        <x:v>USER-03-0172</x:v>
      </x:c>
      <x:c r="C981" s="10" t="str">
        <x:v>直播</x:v>
      </x:c>
      <x:c r="D981" s="10" t="str">
        <x:v>直播间-连麦中-主播（连麦中的主播视角）</x:v>
      </x:c>
      <x:c r="E981" s="10" t="str">
        <x:v>功能需求</x:v>
      </x:c>
      <x:c r="F981" s="10" t="str">
        <x:v>P1</x:v>
      </x:c>
      <x:c r="G981" s="9" t="str">
        <x:v>验证连麦中转发不中断</x:v>
      </x:c>
      <x:c r="H981" s="9" t="str">
        <x:v>转发操作下连麦保持</x:v>
      </x:c>
      <x:c r="I981" s="9" t="str">
        <x:v>1. 执行角色为连麦中的主播；当前处于直播间-连麦中-主播页面</x:v>
      </x:c>
      <x:c r="J981" s="9" t="str">
        <x:v>1. 打开转发</x:v>
      </x:c>
      <x:c r="K981" s="9" t="str">
        <x:v>打开转发视图且连麦继续</x:v>
      </x:c>
      <x:c r="L981" s="10" t="str"/>
      <x:c r="M981" s="10" t="str">
        <x:v>未测</x:v>
      </x:c>
      <x:c r="N981" s="10" t="str"/>
      <x:c r="O981" s="9" t="str">
        <x:v>1. 来源（当前证据）：liveshow-proto/MainBasis/统一需求文档.md；位置：行1895、行824
2. 规则：BR-06361526b139c5dc
3. 未动态验证</x:v>
      </x:c>
    </x:row>
    <x:row r="982" ht="85" customHeight="1">
      <x:c r="A982" s="10" t="n">
        <x:v>981</x:v>
      </x:c>
      <x:c r="B982" s="10" t="str">
        <x:v>USER-03-0173</x:v>
      </x:c>
      <x:c r="C982" s="10" t="str">
        <x:v>直播</x:v>
      </x:c>
      <x:c r="D982" s="10" t="str">
        <x:v>直播结束页（观众）（已结束场次观众视角）</x:v>
      </x:c>
      <x:c r="E982" s="10" t="str">
        <x:v>功能需求</x:v>
      </x:c>
      <x:c r="F982" s="10" t="str">
        <x:v>P1</x:v>
      </x:c>
      <x:c r="G982" s="9" t="str">
        <x:v>验证观众结束页对象</x:v>
      </x:c>
      <x:c r="H982" s="9" t="str">
        <x:v>结束页主播名称</x:v>
      </x:c>
      <x:c r="I982" s="9" t="str">
        <x:v>1. 执行角色为已结束场次观众；当前处于直播结束页（观众）页面
2. 结束场次主播名QA主播</x:v>
      </x:c>
      <x:c r="J982" s="9" t="str">
        <x:v>1. 查看结束状态</x:v>
      </x:c>
      <x:c r="K982" s="9" t="str">
        <x:v>显示“QA主播 的直播已结束”</x:v>
      </x:c>
      <x:c r="L982" s="10" t="str"/>
      <x:c r="M982" s="10" t="str">
        <x:v>未测</x:v>
      </x:c>
      <x:c r="N982" s="10" t="str"/>
      <x:c r="O982" s="9" t="str">
        <x:v>1. 来源（当前证据）：liveshow-proto/MainBasis/统一需求文档.md；位置：行837、行838、行836
2. 规则：BR-5edf4dbfc55bcf5e
3. 未动态验证</x:v>
      </x:c>
    </x:row>
    <x:row r="983" ht="85" customHeight="1">
      <x:c r="A983" s="10" t="n">
        <x:v>982</x:v>
      </x:c>
      <x:c r="B983" s="10" t="str">
        <x:v>USER-03-0174</x:v>
      </x:c>
      <x:c r="C983" s="10" t="str">
        <x:v>直播</x:v>
      </x:c>
      <x:c r="D983" s="10" t="str">
        <x:v>直播结束页（观众）（已结束场次观众视角）</x:v>
      </x:c>
      <x:c r="E983" s="10" t="str">
        <x:v>功能需求</x:v>
      </x:c>
      <x:c r="F983" s="10" t="str">
        <x:v>P1</x:v>
      </x:c>
      <x:c r="G983" s="9" t="str">
        <x:v>验证结束场次不能继续消费</x:v>
      </x:c>
      <x:c r="H983" s="9" t="str">
        <x:v>入口可用性</x:v>
      </x:c>
      <x:c r="I983" s="9" t="str">
        <x:v>1. 执行角色为已结束场次观众；当前处于直播结束页（观众）页面</x:v>
      </x:c>
      <x:c r="J983" s="9" t="str">
        <x:v>1. 查看可用操作</x:v>
      </x:c>
      <x:c r="K983" s="9" t="str">
        <x:v>不能继续观看、评论或送礼</x:v>
      </x:c>
      <x:c r="L983" s="10" t="str"/>
      <x:c r="M983" s="10" t="str">
        <x:v>未测</x:v>
      </x:c>
      <x:c r="N983" s="10" t="str"/>
      <x:c r="O983" s="9" t="str">
        <x:v>1. 来源（当前证据）：liveshow-proto/MainBasis/统一需求文档.md；位置：行841、行836
2. 规则：BR-441a6b2c14ff8037
3. 未动态验证</x:v>
      </x:c>
    </x:row>
    <x:row r="984" ht="85" customHeight="1">
      <x:c r="A984" s="10" t="n">
        <x:v>983</x:v>
      </x:c>
      <x:c r="B984" s="10" t="str">
        <x:v>USER-03-0175</x:v>
      </x:c>
      <x:c r="C984" s="10" t="str">
        <x:v>直播</x:v>
      </x:c>
      <x:c r="D984" s="10" t="str">
        <x:v>直播结束页（观众）（已结束场次观众视角）</x:v>
      </x:c>
      <x:c r="E984" s="10" t="str">
        <x:v>功能需求</x:v>
      </x:c>
      <x:c r="F984" s="10" t="str">
        <x:v>P1</x:v>
      </x:c>
      <x:c r="G984" s="9" t="str">
        <x:v>验证旧场次不跳新场：旧场次结束页</x:v>
      </x:c>
      <x:c r="H984" s="9" t="str">
        <x:v>旧场次结束页</x:v>
      </x:c>
      <x:c r="I984" s="9" t="str">
        <x:v>1. 执行角色为已结束场次观众；当前处于直播结束页（观众）页面
2. 当前旧场次结束；主播已经开新场</x:v>
      </x:c>
      <x:c r="J984" s="9" t="str">
        <x:v>1. 再次打开旧场次入口</x:v>
      </x:c>
      <x:c r="K984" s="9" t="str">
        <x:v>仍显示旧场次结束状态</x:v>
      </x:c>
      <x:c r="L984" s="10" t="str"/>
      <x:c r="M984" s="10" t="str">
        <x:v>未测</x:v>
      </x:c>
      <x:c r="N984" s="10" t="str"/>
      <x:c r="O984" s="9" t="str">
        <x:v>1. 来源（当前证据）：liveshow-proto/MainBasis/统一需求文档.md；位置：行844、行836
2. 规则：BR-049fb6b37efbdcfb
3. 未动态验证</x:v>
      </x:c>
    </x:row>
    <x:row r="985" ht="85" customHeight="1">
      <x:c r="A985" s="10" t="n">
        <x:v>984</x:v>
      </x:c>
      <x:c r="B985" s="10" t="str">
        <x:v>USER-03-0176</x:v>
      </x:c>
      <x:c r="C985" s="10" t="str">
        <x:v>直播</x:v>
      </x:c>
      <x:c r="D985" s="10" t="str">
        <x:v>直播结束页（观众）（已结束场次观众视角）</x:v>
      </x:c>
      <x:c r="E985" s="10" t="str">
        <x:v>功能需求</x:v>
      </x:c>
      <x:c r="F985" s="10" t="str">
        <x:v>P1</x:v>
      </x:c>
      <x:c r="G985" s="9" t="str">
        <x:v>验证旧场次不跳新场：旧入口不跳新场</x:v>
      </x:c>
      <x:c r="H985" s="9" t="str">
        <x:v>旧入口不跳新场</x:v>
      </x:c>
      <x:c r="I985" s="9" t="str">
        <x:v>1. 执行角色为已结束场次观众；当前处于直播结束页（观众）页面
2. 当前旧场次结束；主播已经开新场</x:v>
      </x:c>
      <x:c r="J985" s="9" t="str">
        <x:v>1. 再次打开旧场次入口</x:v>
      </x:c>
      <x:c r="K985" s="9" t="str">
        <x:v>不进入主播新场次</x:v>
      </x:c>
      <x:c r="L985" s="10" t="str"/>
      <x:c r="M985" s="10" t="str">
        <x:v>未测</x:v>
      </x:c>
      <x:c r="N985" s="10" t="str"/>
      <x:c r="O985" s="9" t="str">
        <x:v>1. 来源（当前证据）：liveshow-proto/MainBasis/统一需求文档.md；位置：行844、行836
2. 规则：BR-f766aa93aaef65da
3. 未动态验证</x:v>
      </x:c>
    </x:row>
    <x:row r="986" ht="85" customHeight="1">
      <x:c r="A986" s="10" t="n">
        <x:v>985</x:v>
      </x:c>
      <x:c r="B986" s="10" t="str">
        <x:v>USER-03-0177</x:v>
      </x:c>
      <x:c r="C986" s="10" t="str">
        <x:v>直播</x:v>
      </x:c>
      <x:c r="D986" s="10" t="str">
        <x:v>直播结束页（观众）（已结束场次观众视角）</x:v>
      </x:c>
      <x:c r="E986" s="10" t="str">
        <x:v>功能需求</x:v>
      </x:c>
      <x:c r="F986" s="10" t="str">
        <x:v>P2</x:v>
      </x:c>
      <x:c r="G986" s="9" t="str">
        <x:v>验证结束页返回首页</x:v>
      </x:c>
      <x:c r="H986" s="9" t="str">
        <x:v>直播广场返回去向</x:v>
      </x:c>
      <x:c r="I986" s="9" t="str">
        <x:v>1. 执行角色为已结束场次观众；当前处于直播结束页（观众）页面</x:v>
      </x:c>
      <x:c r="J986" s="9" t="str">
        <x:v>1. 点击返回首页</x:v>
      </x:c>
      <x:c r="K986" s="9" t="str">
        <x:v>回到直播广场</x:v>
      </x:c>
      <x:c r="L986" s="10" t="str"/>
      <x:c r="M986" s="10" t="str">
        <x:v>未测</x:v>
      </x:c>
      <x:c r="N986" s="10" t="str"/>
      <x:c r="O986" s="9" t="str">
        <x:v>1. 来源（当前证据）：liveshow-proto/MainBasis/统一需求文档.md；位置：行840、行836
2. 规则：BR-a46d4939da602c34
3. 未动态验证</x:v>
      </x:c>
    </x:row>
    <x:row r="987" ht="85" customHeight="1">
      <x:c r="A987" s="10" t="n">
        <x:v>986</x:v>
      </x:c>
      <x:c r="B987" s="10" t="str">
        <x:v>USER-03-0178</x:v>
      </x:c>
      <x:c r="C987" s="10" t="str">
        <x:v>直播</x:v>
      </x:c>
      <x:c r="D987" s="10" t="str">
        <x:v>直播结束页（观众）（已结束场次观众视角）</x:v>
      </x:c>
      <x:c r="E987" s="10" t="str">
        <x:v>功能需求</x:v>
      </x:c>
      <x:c r="F987" s="10" t="str">
        <x:v>P1</x:v>
      </x:c>
      <x:c r="G987" s="9" t="str">
        <x:v>验证新场次重新准入</x:v>
      </x:c>
      <x:c r="H987" s="9" t="str">
        <x:v>新场次门票校验</x:v>
      </x:c>
      <x:c r="I987" s="9" t="str">
        <x:v>1. 执行角色为已结束场次观众；当前处于直播结束页（观众）页面
2. 旧门票房已结束；主播开新门票场次；当前无新票</x:v>
      </x:c>
      <x:c r="J987" s="9" t="str">
        <x:v>1. 从首页进入主播新场次</x:v>
      </x:c>
      <x:c r="K987" s="9" t="str">
        <x:v>重新要求本场门票准入</x:v>
      </x:c>
      <x:c r="L987" s="10" t="str"/>
      <x:c r="M987" s="10" t="str">
        <x:v>未测</x:v>
      </x:c>
      <x:c r="N987" s="10" t="str"/>
      <x:c r="O987" s="9" t="str">
        <x:v>1. 来源（当前证据）：liveshow-proto/MainBasis/统一需求文档.md；位置：行843、行836
2. 规则：BR-0acb77c504f77177
3. 未动态验证</x:v>
      </x:c>
    </x:row>
    <x:row r="988" ht="85" customHeight="1">
      <x:c r="A988" s="10" t="n">
        <x:v>987</x:v>
      </x:c>
      <x:c r="B988" s="10" t="str">
        <x:v>USER-03-0179</x:v>
      </x:c>
      <x:c r="C988" s="10" t="str">
        <x:v>直播</x:v>
      </x:c>
      <x:c r="D988" s="10" t="str">
        <x:v>直播结束页（主播）（已结束场次主播视角）</x:v>
      </x:c>
      <x:c r="E988" s="10" t="str">
        <x:v>功能需求</x:v>
      </x:c>
      <x:c r="F988" s="10" t="str">
        <x:v>P2</x:v>
      </x:c>
      <x:c r="G988" s="9" t="str">
        <x:v>验证结束页有效时长</x:v>
      </x:c>
      <x:c r="H988" s="9" t="str">
        <x:v>结束场次有效时长</x:v>
      </x:c>
      <x:c r="I988" s="9" t="str">
        <x:v>1. 执行角色为已结束场次主播；当前处于直播结束页（主播）页面
2. 本场有效开始10:00、结束11:00，无无效时段</x:v>
      </x:c>
      <x:c r="J988" s="9" t="str">
        <x:v>1. 查看直播时长</x:v>
      </x:c>
      <x:c r="K988" s="9" t="str">
        <x:v>显示1小时</x:v>
      </x:c>
      <x:c r="L988" s="10" t="str"/>
      <x:c r="M988" s="10" t="str">
        <x:v>未测</x:v>
      </x:c>
      <x:c r="N988" s="10" t="str"/>
      <x:c r="O988" s="9" t="str">
        <x:v>1. 来源（当前证据）：liveshow-proto/MainBasis/统一需求文档.md；位置：行848、行847
2. 规则：BR-e970c469e2a616ee
3. 未动态验证</x:v>
      </x:c>
    </x:row>
    <x:row r="989" ht="85" customHeight="1">
      <x:c r="A989" s="10" t="n">
        <x:v>988</x:v>
      </x:c>
      <x:c r="B989" s="10" t="str">
        <x:v>USER-03-0180</x:v>
      </x:c>
      <x:c r="C989" s="10" t="str">
        <x:v>直播</x:v>
      </x:c>
      <x:c r="D989" s="10" t="str">
        <x:v>直播结束页（主播）（已结束场次主播视角）</x:v>
      </x:c>
      <x:c r="E989" s="10" t="str">
        <x:v>功能需求</x:v>
      </x:c>
      <x:c r="F989" s="10" t="str">
        <x:v>P1</x:v>
      </x:c>
      <x:c r="G989" s="9" t="str">
        <x:v>验证结束页观看人次</x:v>
      </x:c>
      <x:c r="H989" s="9" t="str">
        <x:v>累计观看人次</x:v>
      </x:c>
      <x:c r="I989" s="9" t="str">
        <x:v>1. 执行角色为已结束场次主播；当前处于直播结束页（主播）页面
2. 同一用户本场成功进入两次，无其他访问</x:v>
      </x:c>
      <x:c r="J989" s="9" t="str">
        <x:v>1. 查看观看人数</x:v>
      </x:c>
      <x:c r="K989" s="9" t="str">
        <x:v>显示累计进入2人次</x:v>
      </x:c>
      <x:c r="L989" s="10" t="str"/>
      <x:c r="M989" s="10" t="str">
        <x:v>未测</x:v>
      </x:c>
      <x:c r="N989" s="10" t="str"/>
      <x:c r="O989" s="9" t="str">
        <x:v>1. 来源（当前证据）：liveshow-proto/MainBasis/统一需求文档.md；位置：行849、行847
2. 规则：BR-dc0790a0c1ad4734
3. 未动态验证</x:v>
      </x:c>
    </x:row>
    <x:row r="990" ht="100" customHeight="1">
      <x:c r="A990" s="10" t="n">
        <x:v>989</x:v>
      </x:c>
      <x:c r="B990" s="10" t="str">
        <x:v>USER-03-0181</x:v>
      </x:c>
      <x:c r="C990" s="10" t="str">
        <x:v>直播</x:v>
      </x:c>
      <x:c r="D990" s="10" t="str">
        <x:v>直播结束页（主播）（已结束场次主播视角）</x:v>
      </x:c>
      <x:c r="E990" s="10" t="str">
        <x:v>功能需求</x:v>
      </x:c>
      <x:c r="F990" s="10" t="str">
        <x:v>P1</x:v>
      </x:c>
      <x:c r="G990" s="9" t="str">
        <x:v>验证结束收益口径</x:v>
      </x:c>
      <x:c r="H990" s="9" t="str">
        <x:v>资产数值</x:v>
      </x:c>
      <x:c r="I990" s="9" t="str">
        <x:v>1. 执行角色为已结束场次主播；当前处于直播结束页（主播）页面
2. 本场普通礼物100、门票50、幸运礼物1000且比例1%；无其他有效收入</x:v>
      </x:c>
      <x:c r="J990" s="9" t="str">
        <x:v>1. 查看本场收益</x:v>
      </x:c>
      <x:c r="K990" s="9" t="str">
        <x:v>本场收益为160金币（计算结果 = 160 金币）</x:v>
      </x:c>
      <x:c r="L990" s="10" t="str"/>
      <x:c r="M990" s="10" t="str">
        <x:v>未测</x:v>
      </x:c>
      <x:c r="N990" s="10" t="str"/>
      <x:c r="O990" s="9" t="str">
        <x:v>1. 来源（当前证据）：liveshow-proto/MainBasis/统一需求文档.md；位置：行850、行847
2. 规则：BR-48e047f095e3e3ff
3. 未动态验证</x:v>
      </x:c>
    </x:row>
    <x:row r="991" ht="85" customHeight="1">
      <x:c r="A991" s="10" t="n">
        <x:v>990</x:v>
      </x:c>
      <x:c r="B991" s="10" t="str">
        <x:v>USER-03-0182</x:v>
      </x:c>
      <x:c r="C991" s="10" t="str">
        <x:v>直播</x:v>
      </x:c>
      <x:c r="D991" s="10" t="str">
        <x:v>直播结束页（主播）（已结束场次主播视角）</x:v>
      </x:c>
      <x:c r="E991" s="10" t="str">
        <x:v>功能需求</x:v>
      </x:c>
      <x:c r="F991" s="10" t="str">
        <x:v>P2</x:v>
      </x:c>
      <x:c r="G991" s="9" t="str">
        <x:v>验证结束页数据入口</x:v>
      </x:c>
      <x:c r="H991" s="9" t="str">
        <x:v>结束场次数据去向</x:v>
      </x:c>
      <x:c r="I991" s="9" t="str">
        <x:v>1. 执行角色为已结束场次主播；当前处于直播结束页（主播）页面</x:v>
      </x:c>
      <x:c r="J991" s="9" t="str">
        <x:v>1. 点击查看直播数据</x:v>
      </x:c>
      <x:c r="K991" s="9" t="str">
        <x:v>进入本场或汇总直播数据</x:v>
      </x:c>
      <x:c r="L991" s="10" t="str"/>
      <x:c r="M991" s="10" t="str">
        <x:v>未测</x:v>
      </x:c>
      <x:c r="N991" s="10" t="str"/>
      <x:c r="O991" s="9" t="str">
        <x:v>1. 来源（当前证据）：liveshow-proto/MainBasis/统一需求文档.md；位置：行852、行847
2. 规则：BR-0d8632265046165a
3. 未动态验证</x:v>
      </x:c>
    </x:row>
    <x:row r="992" ht="85" customHeight="1">
      <x:c r="A992" s="10" t="n">
        <x:v>991</x:v>
      </x:c>
      <x:c r="B992" s="10" t="str">
        <x:v>USER-03-0183</x:v>
      </x:c>
      <x:c r="C992" s="10" t="str">
        <x:v>直播</x:v>
      </x:c>
      <x:c r="D992" s="10" t="str">
        <x:v>直播结束页（主播）（已结束场次主播视角）</x:v>
      </x:c>
      <x:c r="E992" s="10" t="str">
        <x:v>功能需求</x:v>
      </x:c>
      <x:c r="F992" s="10" t="str">
        <x:v>P2</x:v>
      </x:c>
      <x:c r="G992" s="9" t="str">
        <x:v>验证结束页回主播中心</x:v>
      </x:c>
      <x:c r="H992" s="9" t="str">
        <x:v>结束页主播中心去向</x:v>
      </x:c>
      <x:c r="I992" s="9" t="str">
        <x:v>1. 执行角色为已结束场次主播；当前处于直播结束页（主播）页面</x:v>
      </x:c>
      <x:c r="J992" s="9" t="str">
        <x:v>1. 点击返回主播中心</x:v>
      </x:c>
      <x:c r="K992" s="9" t="str">
        <x:v>进入主播中心</x:v>
      </x:c>
      <x:c r="L992" s="10" t="str"/>
      <x:c r="M992" s="10" t="str">
        <x:v>未测</x:v>
      </x:c>
      <x:c r="N992" s="10" t="str"/>
      <x:c r="O992" s="9" t="str">
        <x:v>1. 来源（当前证据）：liveshow-proto/MainBasis/统一需求文档.md；位置：行852、行847
2. 规则：BR-ef2e55f002e882f3
3. 未动态验证</x:v>
      </x:c>
    </x:row>
    <x:row r="993" ht="85" customHeight="1">
      <x:c r="A993" s="10" t="n">
        <x:v>992</x:v>
      </x:c>
      <x:c r="B993" s="10" t="str">
        <x:v>USER-05-0142</x:v>
      </x:c>
      <x:c r="C993" s="10" t="str">
        <x:v>我的</x:v>
      </x:c>
      <x:c r="D993" s="10" t="str">
        <x:v>我的装扮（真实金币用户视角）</x:v>
      </x:c>
      <x:c r="E993" s="10" t="str">
        <x:v>功能需求</x:v>
      </x:c>
      <x:c r="F993" s="10" t="str">
        <x:v>P2</x:v>
      </x:c>
      <x:c r="G993" s="9" t="str">
        <x:v>验证已拥有装扮分类</x:v>
      </x:c>
      <x:c r="H993" s="9" t="str">
        <x:v>装扮类型分组</x:v>
      </x:c>
      <x:c r="I993" s="9" t="str">
        <x:v>1. 执行角色为真实金币用户；当前处于我的装扮页面</x:v>
      </x:c>
      <x:c r="J993" s="9" t="str">
        <x:v>1. 查看已拥有分类</x:v>
      </x:c>
      <x:c r="K993" s="9" t="str">
        <x:v>按头像框、聊天气泡和勋章分类展示</x:v>
      </x:c>
      <x:c r="L993" s="10" t="str"/>
      <x:c r="M993" s="10" t="str">
        <x:v>未测</x:v>
      </x:c>
      <x:c r="N993" s="10" t="str"/>
      <x:c r="O993" s="9" t="str">
        <x:v>1. 来源（当前证据）：liveshow-proto/MainBasis/统一需求文档.md；位置：行733、行729
2. 规则：BR-025084a4cb21a281
3. 未动态验证</x:v>
      </x:c>
    </x:row>
    <x:row r="994" ht="85" customHeight="1">
      <x:c r="A994" s="10" t="n">
        <x:v>993</x:v>
      </x:c>
      <x:c r="B994" s="10" t="str">
        <x:v>USER-05-0143</x:v>
      </x:c>
      <x:c r="C994" s="10" t="str">
        <x:v>我的</x:v>
      </x:c>
      <x:c r="D994" s="10" t="str">
        <x:v>我的装扮（真实金币用户视角）</x:v>
      </x:c>
      <x:c r="E994" s="10" t="str">
        <x:v>功能需求</x:v>
      </x:c>
      <x:c r="F994" s="10" t="str">
        <x:v>P1</x:v>
      </x:c>
      <x:c r="G994" s="9" t="str">
        <x:v>验证点击卡片直接佩戴</x:v>
      </x:c>
      <x:c r="H994" s="9" t="str">
        <x:v>装扮直接佩戴</x:v>
      </x:c>
      <x:c r="I994" s="9" t="str">
        <x:v>1. 执行角色为真实金币用户；当前处于我的装扮页面
2. 当前有有效未佩戴头像框A</x:v>
      </x:c>
      <x:c r="J994" s="9" t="str">
        <x:v>1. 点击A卡片</x:v>
      </x:c>
      <x:c r="K994" s="9" t="str">
        <x:v>直接佩戴A而不跳转新页</x:v>
      </x:c>
      <x:c r="L994" s="10" t="str"/>
      <x:c r="M994" s="10" t="str">
        <x:v>未测</x:v>
      </x:c>
      <x:c r="N994" s="10" t="str"/>
      <x:c r="O994" s="9" t="str">
        <x:v>1. 来源（当前证据）：liveshow-proto/MainBasis/统一需求文档.md；位置：行733、行743、行729
2. 规则：BR-77a8a97ba5a9858c
3. 未动态验证</x:v>
      </x:c>
    </x:row>
    <x:row r="995" ht="85" customHeight="1">
      <x:c r="A995" s="10" t="n">
        <x:v>994</x:v>
      </x:c>
      <x:c r="B995" s="10" t="str">
        <x:v>USER-05-0144</x:v>
      </x:c>
      <x:c r="C995" s="10" t="str">
        <x:v>我的</x:v>
      </x:c>
      <x:c r="D995" s="10" t="str">
        <x:v>我的装扮（真实金币用户视角）</x:v>
      </x:c>
      <x:c r="E995" s="10" t="str">
        <x:v>功能需求</x:v>
      </x:c>
      <x:c r="F995" s="10" t="str">
        <x:v>P1</x:v>
      </x:c>
      <x:c r="G995" s="9" t="str">
        <x:v>验证点击佩戴卡片卸下</x:v>
      </x:c>
      <x:c r="H995" s="9" t="str">
        <x:v>装扮卸下状态</x:v>
      </x:c>
      <x:c r="I995" s="9" t="str">
        <x:v>1. 执行角色为真实金币用户；当前处于我的装扮页面
2. 头像框A当前已佩戴</x:v>
      </x:c>
      <x:c r="J995" s="9" t="str">
        <x:v>1. 点击A卡片</x:v>
      </x:c>
      <x:c r="K995" s="9" t="str">
        <x:v>A被卸下</x:v>
      </x:c>
      <x:c r="L995" s="10" t="str"/>
      <x:c r="M995" s="10" t="str">
        <x:v>未测</x:v>
      </x:c>
      <x:c r="N995" s="10" t="str"/>
      <x:c r="O995" s="9" t="str">
        <x:v>1. 来源（当前证据）：liveshow-proto/MainBasis/统一需求文档.md；位置：行743、行729
2. 规则：BR-c9daedeed0de4bba
3. 未动态验证</x:v>
      </x:c>
    </x:row>
    <x:row r="996" ht="85" customHeight="1">
      <x:c r="A996" s="10" t="n">
        <x:v>995</x:v>
      </x:c>
      <x:c r="B996" s="10" t="str">
        <x:v>USER-05-0145</x:v>
      </x:c>
      <x:c r="C996" s="10" t="str">
        <x:v>我的</x:v>
      </x:c>
      <x:c r="D996" s="10" t="str">
        <x:v>我的装扮（真实金币用户视角）</x:v>
      </x:c>
      <x:c r="E996" s="10" t="str">
        <x:v>功能需求</x:v>
      </x:c>
      <x:c r="F996" s="10" t="str">
        <x:v>P1</x:v>
      </x:c>
      <x:c r="G996" s="9" t="str">
        <x:v>验证头像框互斥</x:v>
      </x:c>
      <x:c r="H996" s="9" t="str">
        <x:v>头像框佩戴互斥</x:v>
      </x:c>
      <x:c r="I996" s="9" t="str">
        <x:v>1. 执行角色为真实金币用户；当前处于我的装扮页面
2. 已佩戴A，拥有有效头像框B</x:v>
      </x:c>
      <x:c r="J996" s="9" t="str">
        <x:v>1. 点击B卡片</x:v>
      </x:c>
      <x:c r="K996" s="9" t="str">
        <x:v>B被佩戴且A自动卸下</x:v>
      </x:c>
      <x:c r="L996" s="10" t="str"/>
      <x:c r="M996" s="10" t="str">
        <x:v>未测</x:v>
      </x:c>
      <x:c r="N996" s="10" t="str"/>
      <x:c r="O996" s="9" t="str">
        <x:v>1. 来源（当前证据）：liveshow-proto/MainBasis/统一需求文档.md；位置：行742、行729
2. 规则：BR-ccd08cc640927cc8
3. 未动态验证</x:v>
      </x:c>
    </x:row>
    <x:row r="997" ht="85" customHeight="1">
      <x:c r="A997" s="10" t="n">
        <x:v>996</x:v>
      </x:c>
      <x:c r="B997" s="10" t="str">
        <x:v>USER-05-0146</x:v>
      </x:c>
      <x:c r="C997" s="10" t="str">
        <x:v>我的</x:v>
      </x:c>
      <x:c r="D997" s="10" t="str">
        <x:v>我的装扮（真实金币用户视角）</x:v>
      </x:c>
      <x:c r="E997" s="10" t="str">
        <x:v>功能需求</x:v>
      </x:c>
      <x:c r="F997" s="10" t="str">
        <x:v>P1</x:v>
      </x:c>
      <x:c r="G997" s="9" t="str">
        <x:v>验证聊天气泡互斥</x:v>
      </x:c>
      <x:c r="H997" s="9" t="str">
        <x:v>聊天气泡佩戴互斥</x:v>
      </x:c>
      <x:c r="I997" s="9" t="str">
        <x:v>1. 执行角色为真实金币用户；当前处于我的装扮页面
2. 已佩戴气泡A，拥有有效气泡B</x:v>
      </x:c>
      <x:c r="J997" s="9" t="str">
        <x:v>1. 点击B卡片</x:v>
      </x:c>
      <x:c r="K997" s="9" t="str">
        <x:v>B被佩戴且A自动卸下</x:v>
      </x:c>
      <x:c r="L997" s="10" t="str"/>
      <x:c r="M997" s="10" t="str">
        <x:v>未测</x:v>
      </x:c>
      <x:c r="N997" s="10" t="str"/>
      <x:c r="O997" s="9" t="str">
        <x:v>1. 来源（当前证据）：liveshow-proto/MainBasis/统一需求文档.md；位置：行742、行729
2. 规则：BR-33b0ff594c755f6c
3. 未动态验证</x:v>
      </x:c>
    </x:row>
    <x:row r="998" ht="85" customHeight="1">
      <x:c r="A998" s="10" t="n">
        <x:v>997</x:v>
      </x:c>
      <x:c r="B998" s="10" t="str">
        <x:v>USER-05-0147</x:v>
      </x:c>
      <x:c r="C998" s="10" t="str">
        <x:v>我的</x:v>
      </x:c>
      <x:c r="D998" s="10" t="str">
        <x:v>我的装扮（真实金币用户视角）</x:v>
      </x:c>
      <x:c r="E998" s="10" t="str">
        <x:v>功能需求</x:v>
      </x:c>
      <x:c r="F998" s="10" t="str">
        <x:v>P1</x:v>
      </x:c>
      <x:c r="G998" s="9" t="str">
        <x:v>验证第五枚勋章可佩戴</x:v>
      </x:c>
      <x:c r="H998" s="9" t="str">
        <x:v>勋章佩戴数量上限</x:v>
      </x:c>
      <x:c r="I998" s="9" t="str">
        <x:v>1. 执行角色为真实金币用户；当前处于我的装扮页面
2. 当前已佩戴4枚；另有有效勋章A</x:v>
      </x:c>
      <x:c r="J998" s="9" t="str">
        <x:v>1. 点击A卡片</x:v>
      </x:c>
      <x:c r="K998" s="9" t="str">
        <x:v>A被佩戴且计数显示5/5</x:v>
      </x:c>
      <x:c r="L998" s="10" t="str"/>
      <x:c r="M998" s="10" t="str">
        <x:v>未测</x:v>
      </x:c>
      <x:c r="N998" s="10" t="str"/>
      <x:c r="O998" s="9" t="str">
        <x:v>1. 来源（当前证据）：liveshow-proto/MainBasis/统一需求文档.md；位置：行742、行734、行729
2. 规则：BR-702c16381aee9b87
3. 未动态验证</x:v>
      </x:c>
    </x:row>
    <x:row r="999" ht="85" customHeight="1">
      <x:c r="A999" s="10" t="n">
        <x:v>998</x:v>
      </x:c>
      <x:c r="B999" s="10" t="str">
        <x:v>USER-05-0148</x:v>
      </x:c>
      <x:c r="C999" s="10" t="str">
        <x:v>我的</x:v>
      </x:c>
      <x:c r="D999" s="10" t="str">
        <x:v>我的装扮（真实金币用户视角）</x:v>
      </x:c>
      <x:c r="E999" s="10" t="str">
        <x:v>功能需求</x:v>
      </x:c>
      <x:c r="F999" s="10" t="str">
        <x:v>P1</x:v>
      </x:c>
      <x:c r="G999" s="9" t="str">
        <x:v>验证第六枚勋章需先卸下</x:v>
      </x:c>
      <x:c r="H999" s="9" t="str">
        <x:v>入口可用性</x:v>
      </x:c>
      <x:c r="I999" s="9" t="str">
        <x:v>1. 执行角色为真实金币用户；当前处于我的装扮页面
2. 已佩戴5枚；另有未佩戴有效勋章A</x:v>
      </x:c>
      <x:c r="J999" s="9" t="str">
        <x:v>1. 点击A卡片</x:v>
      </x:c>
      <x:c r="K999" s="9" t="str">
        <x:v>A不能被直接佩戴，需先卸下已有勋章</x:v>
      </x:c>
      <x:c r="L999" s="10" t="str"/>
      <x:c r="M999" s="10" t="str">
        <x:v>未测</x:v>
      </x:c>
      <x:c r="N999" s="10" t="str"/>
      <x:c r="O999" s="9" t="str">
        <x:v>1. 来源（当前证据）：liveshow-proto/MainBasis/统一需求文档.md；位置：行743、行729
2. 规则：BR-d5828006a9b8939e
3. 未动态验证</x:v>
      </x:c>
    </x:row>
    <x:row r="1000" ht="85" customHeight="1">
      <x:c r="A1000" s="10" t="n">
        <x:v>999</x:v>
      </x:c>
      <x:c r="B1000" s="10" t="str">
        <x:v>USER-05-0149</x:v>
      </x:c>
      <x:c r="C1000" s="10" t="str">
        <x:v>我的</x:v>
      </x:c>
      <x:c r="D1000" s="10" t="str">
        <x:v>我的装扮（真实金币用户视角）</x:v>
      </x:c>
      <x:c r="E1000" s="10" t="str">
        <x:v>功能需求</x:v>
      </x:c>
      <x:c r="F1000" s="10" t="str">
        <x:v>P1</x:v>
      </x:c>
      <x:c r="G1000" s="9" t="str">
        <x:v>验证过期装扮不可点击：装扮过期状态</x:v>
      </x:c>
      <x:c r="H1000" s="9" t="str">
        <x:v>装扮过期状态</x:v>
      </x:c>
      <x:c r="I1000" s="9" t="str">
        <x:v>1. 执行角色为真实金币用户；当前处于我的装扮页面
2. 拥有的装扮A已经到期</x:v>
      </x:c>
      <x:c r="J1000" s="9" t="str">
        <x:v>1. 查看A卡片</x:v>
      </x:c>
      <x:c r="K1000" s="9" t="str">
        <x:v>装扮A显示已过期</x:v>
      </x:c>
      <x:c r="L1000" s="10" t="str"/>
      <x:c r="M1000" s="10" t="str">
        <x:v>未测</x:v>
      </x:c>
      <x:c r="N1000" s="10" t="str"/>
      <x:c r="O1000" s="9" t="str">
        <x:v>1. 来源（当前证据）：liveshow-proto/MainBasis/统一需求文档.md；位置：行738、行743、行729
2. 规则：BR-e6d730f179afed74
3. 未动态验证</x:v>
      </x:c>
    </x:row>
    <x:row r="1001" ht="85" customHeight="1">
      <x:c r="A1001" s="10" t="n">
        <x:v>1000</x:v>
      </x:c>
      <x:c r="B1001" s="10" t="str">
        <x:v>USER-05-0150</x:v>
      </x:c>
      <x:c r="C1001" s="10" t="str">
        <x:v>我的</x:v>
      </x:c>
      <x:c r="D1001" s="10" t="str">
        <x:v>我的装扮（真实金币用户视角）</x:v>
      </x:c>
      <x:c r="E1001" s="10" t="str">
        <x:v>功能需求</x:v>
      </x:c>
      <x:c r="F1001" s="10" t="str">
        <x:v>P1</x:v>
      </x:c>
      <x:c r="G1001" s="9" t="str">
        <x:v>验证过期装扮不可点击：过期佩戴拦截</x:v>
      </x:c>
      <x:c r="H1001" s="9" t="str">
        <x:v>过期佩戴拦截</x:v>
      </x:c>
      <x:c r="I1001" s="9" t="str">
        <x:v>1. 执行角色为真实金币用户；当前处于我的装扮页面
2. 拥有的装扮A已经到期</x:v>
      </x:c>
      <x:c r="J1001" s="9" t="str">
        <x:v>1. 查看A卡片</x:v>
      </x:c>
      <x:c r="K1001" s="9" t="str">
        <x:v>装扮A不可佩戴</x:v>
      </x:c>
      <x:c r="L1001" s="10" t="str"/>
      <x:c r="M1001" s="10" t="str">
        <x:v>未测</x:v>
      </x:c>
      <x:c r="N1001" s="10" t="str"/>
      <x:c r="O1001" s="9" t="str">
        <x:v>1. 来源（当前证据）：liveshow-proto/MainBasis/统一需求文档.md；位置：行738、行743、行729
2. 规则：BR-aea83faba14fc9fe
3. 未动态验证</x:v>
      </x:c>
    </x:row>
    <x:row r="1002" ht="85" customHeight="1">
      <x:c r="A1002" s="10" t="n">
        <x:v>1001</x:v>
      </x:c>
      <x:c r="B1002" s="10" t="str">
        <x:v>USER-05-0151</x:v>
      </x:c>
      <x:c r="C1002" s="10" t="str">
        <x:v>我的</x:v>
      </x:c>
      <x:c r="D1002" s="10" t="str">
        <x:v>我的装扮（真实金币用户视角）</x:v>
      </x:c>
      <x:c r="E1002" s="10" t="str">
        <x:v>功能需求</x:v>
      </x:c>
      <x:c r="F1002" s="10" t="str">
        <x:v>P1</x:v>
      </x:c>
      <x:c r="G1002" s="9" t="str">
        <x:v>验证永久装扮可长期佩戴</x:v>
      </x:c>
      <x:c r="H1002" s="9" t="str">
        <x:v>永久装扮佩戴资格</x:v>
      </x:c>
      <x:c r="I1002" s="9" t="str">
        <x:v>1. 执行角色为真实金币用户；当前处于我的装扮页面
2. 装扮A结束日期为不限且已拥有</x:v>
      </x:c>
      <x:c r="J1002" s="9" t="str">
        <x:v>1. 点击A卡片</x:v>
      </x:c>
      <x:c r="K1002" s="9" t="str">
        <x:v>允许佩戴A</x:v>
      </x:c>
      <x:c r="L1002" s="10" t="str"/>
      <x:c r="M1002" s="10" t="str">
        <x:v>未测</x:v>
      </x:c>
      <x:c r="N1002" s="10" t="str"/>
      <x:c r="O1002" s="9" t="str">
        <x:v>1. 来源（当前证据）：liveshow-proto/MainBasis/统一需求文档.md；位置：行737、行729
2. 规则：BR-616a7f39746c906e
3. 未动态验证</x:v>
      </x:c>
    </x:row>
    <x:row r="1003" ht="85" customHeight="1">
      <x:c r="A1003" s="10" t="n">
        <x:v>1002</x:v>
      </x:c>
      <x:c r="B1003" s="10" t="str">
        <x:v>USER-05-0152</x:v>
      </x:c>
      <x:c r="C1003" s="10" t="str">
        <x:v>我的</x:v>
      </x:c>
      <x:c r="D1003" s="10" t="str">
        <x:v>我的装扮（真实金币用户视角）</x:v>
      </x:c>
      <x:c r="E1003" s="10" t="str">
        <x:v>功能需求</x:v>
      </x:c>
      <x:c r="F1003" s="10" t="str">
        <x:v>P2</x:v>
      </x:c>
      <x:c r="G1003" s="9" t="str">
        <x:v>验证已拥有按状态排序</x:v>
      </x:c>
      <x:c r="H1003" s="9" t="str">
        <x:v>排列次序</x:v>
      </x:c>
      <x:c r="I1003" s="9" t="str">
        <x:v>1. 执行角色为真实金币用户；当前处于我的装扮页面
2. 有已佩戴A、未佩戴B、失效C</x:v>
      </x:c>
      <x:c r="J1003" s="9" t="str">
        <x:v>1. 查看已拥有列表</x:v>
      </x:c>
      <x:c r="K1003" s="9" t="str">
        <x:v>顺序为A、B、C</x:v>
      </x:c>
      <x:c r="L1003" s="10" t="str"/>
      <x:c r="M1003" s="10" t="str">
        <x:v>未测</x:v>
      </x:c>
      <x:c r="N1003" s="10" t="str"/>
      <x:c r="O1003" s="9" t="str">
        <x:v>1. 来源（当前证据）：liveshow-proto/MainBasis/统一需求文档.md；位置：行742、行729
2. 规则：BR-61ef309f6d5250a3
3. 未动态验证</x:v>
      </x:c>
    </x:row>
    <x:row r="1004" ht="85" customHeight="1">
      <x:c r="A1004" s="10" t="n">
        <x:v>1003</x:v>
      </x:c>
      <x:c r="B1004" s="10" t="str">
        <x:v>USER-05-0153</x:v>
      </x:c>
      <x:c r="C1004" s="10" t="str">
        <x:v>我的</x:v>
      </x:c>
      <x:c r="D1004" s="10" t="str">
        <x:v>我的装扮（真实金币用户视角）</x:v>
      </x:c>
      <x:c r="E1004" s="10" t="str">
        <x:v>功能需求</x:v>
      </x:c>
      <x:c r="F1004" s="10" t="str">
        <x:v>P2</x:v>
      </x:c>
      <x:c r="G1004" s="9" t="str">
        <x:v>验证同状态按获得时间倒序</x:v>
      </x:c>
      <x:c r="H1004" s="9" t="str">
        <x:v>装扮获得时间排序</x:v>
      </x:c>
      <x:c r="I1004" s="9" t="str">
        <x:v>1. 执行角色为真实金币用户；当前处于我的装扮页面
2. A、B均未佩戴；B获得时间晚于A</x:v>
      </x:c>
      <x:c r="J1004" s="9" t="str">
        <x:v>1. 查看已拥有列表</x:v>
      </x:c>
      <x:c r="K1004" s="9" t="str">
        <x:v>B在A之前</x:v>
      </x:c>
      <x:c r="L1004" s="10" t="str"/>
      <x:c r="M1004" s="10" t="str">
        <x:v>未测</x:v>
      </x:c>
      <x:c r="N1004" s="10" t="str"/>
      <x:c r="O1004" s="9" t="str">
        <x:v>1. 来源（当前证据）：liveshow-proto/MainBasis/统一需求文档.md；位置：行742、行729
2. 规则：BR-f1b78688686a6a95
3. 未动态验证</x:v>
      </x:c>
    </x:row>
    <x:row r="1005" ht="85" customHeight="1">
      <x:c r="A1005" s="10" t="n">
        <x:v>1004</x:v>
      </x:c>
      <x:c r="B1005" s="10" t="str">
        <x:v>USER-05-0154</x:v>
      </x:c>
      <x:c r="C1005" s="10" t="str">
        <x:v>我的</x:v>
      </x:c>
      <x:c r="D1005" s="10" t="str">
        <x:v>我的装扮（真实金币用户视角）</x:v>
      </x:c>
      <x:c r="E1005" s="10" t="str">
        <x:v>功能需求</x:v>
      </x:c>
      <x:c r="F1005" s="10" t="str">
        <x:v>P1</x:v>
      </x:c>
      <x:c r="G1005" s="9" t="str">
        <x:v>验证商城只展示上架可购买</x:v>
      </x:c>
      <x:c r="H1005" s="9" t="str">
        <x:v>商城商品可购范围</x:v>
      </x:c>
      <x:c r="I1005" s="9" t="str">
        <x:v>1. 执行角色为真实金币用户；当前处于我的装扮页面
2. A上架且可购，B下架，C身份专属不可购</x:v>
      </x:c>
      <x:c r="J1005" s="9" t="str">
        <x:v>1. 切换装扮商城</x:v>
      </x:c>
      <x:c r="K1005" s="9" t="str">
        <x:v>只提供A作为可购买商品</x:v>
      </x:c>
      <x:c r="L1005" s="10" t="str"/>
      <x:c r="M1005" s="10" t="str">
        <x:v>未测</x:v>
      </x:c>
      <x:c r="N1005" s="10" t="str"/>
      <x:c r="O1005" s="9" t="str">
        <x:v>1. 来源（当前证据）：liveshow-proto/MainBasis/统一需求文档.md；位置：行739、行748、行729
2. 规则：BR-70f65698baaa5868
3. 未动态验证</x:v>
      </x:c>
    </x:row>
    <x:row r="1006" ht="85" customHeight="1">
      <x:c r="A1006" s="10" t="n">
        <x:v>1005</x:v>
      </x:c>
      <x:c r="B1006" s="10" t="str">
        <x:v>USER-05-0155</x:v>
      </x:c>
      <x:c r="C1006" s="10" t="str">
        <x:v>我的</x:v>
      </x:c>
      <x:c r="D1006" s="10" t="str">
        <x:v>我的装扮（真实金币用户视角）</x:v>
      </x:c>
      <x:c r="E1006" s="10" t="str">
        <x:v>功能需求</x:v>
      </x:c>
      <x:c r="F1006" s="10" t="str">
        <x:v>P1</x:v>
      </x:c>
      <x:c r="G1006" s="9" t="str">
        <x:v>验证已购商品显示已获得：已购商品状态</x:v>
      </x:c>
      <x:c r="H1006" s="9" t="str">
        <x:v>已购商品状态</x:v>
      </x:c>
      <x:c r="I1006" s="9" t="str">
        <x:v>1. 执行角色为真实金币用户；当前处于我的装扮页面
2. 已拥有商城商品A</x:v>
      </x:c>
      <x:c r="J1006" s="9" t="str">
        <x:v>1. 查看A商品</x:v>
      </x:c>
      <x:c r="K1006" s="9" t="str">
        <x:v>A显示已获得</x:v>
      </x:c>
      <x:c r="L1006" s="10" t="str"/>
      <x:c r="M1006" s="10" t="str">
        <x:v>未测</x:v>
      </x:c>
      <x:c r="N1006" s="10" t="str"/>
      <x:c r="O1006" s="9" t="str">
        <x:v>1. 来源（当前证据）：liveshow-proto/MainBasis/统一需求文档.md；位置：行747、行740、行729
2. 规则：BR-446d9ee66e15e444
3. 未动态验证</x:v>
      </x:c>
    </x:row>
    <x:row r="1007" ht="85" customHeight="1">
      <x:c r="A1007" s="10" t="n">
        <x:v>1006</x:v>
      </x:c>
      <x:c r="B1007" s="10" t="str">
        <x:v>USER-05-0156</x:v>
      </x:c>
      <x:c r="C1007" s="10" t="str">
        <x:v>我的</x:v>
      </x:c>
      <x:c r="D1007" s="10" t="str">
        <x:v>我的装扮（真实金币用户视角）</x:v>
      </x:c>
      <x:c r="E1007" s="10" t="str">
        <x:v>功能需求</x:v>
      </x:c>
      <x:c r="F1007" s="10" t="str">
        <x:v>P1</x:v>
      </x:c>
      <x:c r="G1007" s="9" t="str">
        <x:v>验证已购商品显示已获得：已购商品重复限制</x:v>
      </x:c>
      <x:c r="H1007" s="9" t="str">
        <x:v>已购商品重复限制</x:v>
      </x:c>
      <x:c r="I1007" s="9" t="str">
        <x:v>1. 执行角色为真实金币用户；当前处于我的装扮页面
2. 已拥有商城商品A</x:v>
      </x:c>
      <x:c r="J1007" s="9" t="str">
        <x:v>1. 查看A商品</x:v>
      </x:c>
      <x:c r="K1007" s="9" t="str">
        <x:v>A不能重复购买</x:v>
      </x:c>
      <x:c r="L1007" s="10" t="str"/>
      <x:c r="M1007" s="10" t="str">
        <x:v>未测</x:v>
      </x:c>
      <x:c r="N1007" s="10" t="str"/>
      <x:c r="O1007" s="9" t="str">
        <x:v>1. 来源（当前证据）：liveshow-proto/MainBasis/统一需求文档.md；位置：行747、行740、行729
2. 规则：BR-7204a8f450b09b0b
3. 未动态验证</x:v>
      </x:c>
    </x:row>
    <x:row r="1008" ht="85" customHeight="1">
      <x:c r="A1008" s="10" t="n">
        <x:v>1007</x:v>
      </x:c>
      <x:c r="B1008" s="10" t="str">
        <x:v>USER-05-0157</x:v>
      </x:c>
      <x:c r="C1008" s="10" t="str">
        <x:v>我的</x:v>
      </x:c>
      <x:c r="D1008" s="10" t="str">
        <x:v>我的装扮（真实金币用户视角）</x:v>
      </x:c>
      <x:c r="E1008" s="10" t="str">
        <x:v>功能需求</x:v>
      </x:c>
      <x:c r="F1008" s="10" t="str">
        <x:v>P1</x:v>
      </x:c>
      <x:c r="G1008" s="9" t="str">
        <x:v>验证永久装扮不重复购买</x:v>
      </x:c>
      <x:c r="H1008" s="9" t="str">
        <x:v>装扮重复购买限制</x:v>
      </x:c>
      <x:c r="I1008" s="9" t="str">
        <x:v>1. 执行角色为真实金币用户；当前处于我的装扮页面
2. 已拥有永久装扮A</x:v>
      </x:c>
      <x:c r="J1008" s="9" t="str">
        <x:v>1. 点击再次购买A</x:v>
      </x:c>
      <x:c r="K1008" s="9" t="str">
        <x:v>不生成重复购买</x:v>
      </x:c>
      <x:c r="L1008" s="10" t="str"/>
      <x:c r="M1008" s="10" t="str">
        <x:v>未测</x:v>
      </x:c>
      <x:c r="N1008" s="10" t="str"/>
      <x:c r="O1008" s="9" t="str">
        <x:v>1. 来源（当前证据）：liveshow-proto/MainBasis/统一需求文档.md；位置：行740、行729
2. 规则：BR-9506a20d9b36e736
3. 未动态验证</x:v>
      </x:c>
    </x:row>
    <x:row r="1009" ht="85" customHeight="1">
      <x:c r="A1009" s="10" t="n">
        <x:v>1008</x:v>
      </x:c>
      <x:c r="B1009" s="10" t="str">
        <x:v>USER-05-0158</x:v>
      </x:c>
      <x:c r="C1009" s="10" t="str">
        <x:v>我的</x:v>
      </x:c>
      <x:c r="D1009" s="10" t="str">
        <x:v>我的装扮（真实金币用户视角）</x:v>
      </x:c>
      <x:c r="E1009" s="10" t="str">
        <x:v>功能需求</x:v>
      </x:c>
      <x:c r="F1009" s="10" t="str">
        <x:v>P1</x:v>
      </x:c>
      <x:c r="G1009" s="9" t="str">
        <x:v>验证限时装扮不重复购买</x:v>
      </x:c>
      <x:c r="H1009" s="9" t="str">
        <x:v>装扮重复购买限制</x:v>
      </x:c>
      <x:c r="I1009" s="9" t="str">
        <x:v>1. 执行角色为真实金币用户；当前处于我的装扮页面
2. 已拥有限时装扮A且仍有效</x:v>
      </x:c>
      <x:c r="J1009" s="9" t="str">
        <x:v>1. 点击再次购买A</x:v>
      </x:c>
      <x:c r="K1009" s="9" t="str">
        <x:v>不生成重复购买</x:v>
      </x:c>
      <x:c r="L1009" s="10" t="str"/>
      <x:c r="M1009" s="10" t="str">
        <x:v>未测</x:v>
      </x:c>
      <x:c r="N1009" s="10" t="str"/>
      <x:c r="O1009" s="9" t="str">
        <x:v>1. 来源（当前证据）：liveshow-proto/MainBasis/统一需求文档.md；位置：行740、行729
2. 规则：BR-504cbd95173ddce7
3. 未动态验证</x:v>
      </x:c>
    </x:row>
    <x:row r="1010" ht="85" customHeight="1">
      <x:c r="A1010" s="10" t="n">
        <x:v>1009</x:v>
      </x:c>
      <x:c r="B1010" s="10" t="str">
        <x:v>USER-05-0159</x:v>
      </x:c>
      <x:c r="C1010" s="10" t="str">
        <x:v>我的</x:v>
      </x:c>
      <x:c r="D1010" s="10" t="str">
        <x:v>我的装扮（真实金币用户视角）</x:v>
      </x:c>
      <x:c r="E1010" s="10" t="str">
        <x:v>功能需求</x:v>
      </x:c>
      <x:c r="F1010" s="10" t="str">
        <x:v>P2</x:v>
      </x:c>
      <x:c r="G1010" s="9" t="str">
        <x:v>验证可购商品信息：商品名称</x:v>
      </x:c>
      <x:c r="H1010" s="9" t="str">
        <x:v>商品名称</x:v>
      </x:c>
      <x:c r="I1010" s="9" t="str">
        <x:v>1. 执行角色为真实金币用户；当前处于我的装扮页面
2. A名称QA头像框，有效期2026年9月1日至30日，价格100</x:v>
      </x:c>
      <x:c r="J1010" s="9" t="str">
        <x:v>1. 查看A商城卡片</x:v>
      </x:c>
      <x:c r="K1010" s="9" t="str">
        <x:v>名称为QA头像框</x:v>
      </x:c>
      <x:c r="L1010" s="10" t="str"/>
      <x:c r="M1010" s="10" t="str">
        <x:v>未测</x:v>
      </x:c>
      <x:c r="N1010" s="10" t="str"/>
      <x:c r="O1010" s="9" t="str">
        <x:v>1. 来源（当前证据）：liveshow-proto/MainBasis/统一需求文档.md；位置：行735、行729
2. 规则：BR-8a0e0e24124a9172
3. 未动态验证</x:v>
      </x:c>
    </x:row>
    <x:row r="1011" ht="85" customHeight="1">
      <x:c r="A1011" s="10" t="n">
        <x:v>1010</x:v>
      </x:c>
      <x:c r="B1011" s="10" t="str">
        <x:v>USER-05-0160</x:v>
      </x:c>
      <x:c r="C1011" s="10" t="str">
        <x:v>我的</x:v>
      </x:c>
      <x:c r="D1011" s="10" t="str">
        <x:v>我的装扮（真实金币用户视角）</x:v>
      </x:c>
      <x:c r="E1011" s="10" t="str">
        <x:v>功能需求</x:v>
      </x:c>
      <x:c r="F1011" s="10" t="str">
        <x:v>P1</x:v>
      </x:c>
      <x:c r="G1011" s="9" t="str">
        <x:v>验证可购商品信息：佩戴期限</x:v>
      </x:c>
      <x:c r="H1011" s="9" t="str">
        <x:v>佩戴期限</x:v>
      </x:c>
      <x:c r="I1011" s="9" t="str">
        <x:v>1. 执行角色为真实金币用户；当前处于我的装扮页面
2. A名称QA头像框，有效期2026年9月1日至30日，价格100</x:v>
      </x:c>
      <x:c r="J1011" s="9" t="str">
        <x:v>1. 查看A商城卡片</x:v>
      </x:c>
      <x:c r="K1011" s="9" t="str">
        <x:v>期限为01/09/2026-30/09/2026</x:v>
      </x:c>
      <x:c r="L1011" s="10" t="str"/>
      <x:c r="M1011" s="10" t="str">
        <x:v>未测</x:v>
      </x:c>
      <x:c r="N1011" s="10" t="str"/>
      <x:c r="O1011" s="9" t="str">
        <x:v>1. 来源（当前证据）：liveshow-proto/MainBasis/统一需求文档.md；位置：行735、行729
2. 规则：BR-86012bf60cd9610b
3. 未动态验证</x:v>
      </x:c>
    </x:row>
    <x:row r="1012" ht="85" customHeight="1">
      <x:c r="A1012" s="10" t="n">
        <x:v>1011</x:v>
      </x:c>
      <x:c r="B1012" s="10" t="str">
        <x:v>USER-05-0161</x:v>
      </x:c>
      <x:c r="C1012" s="10" t="str">
        <x:v>我的</x:v>
      </x:c>
      <x:c r="D1012" s="10" t="str">
        <x:v>我的装扮（真实金币用户视角）</x:v>
      </x:c>
      <x:c r="E1012" s="10" t="str">
        <x:v>功能需求</x:v>
      </x:c>
      <x:c r="F1012" s="10" t="str">
        <x:v>P1</x:v>
      </x:c>
      <x:c r="G1012" s="9" t="str">
        <x:v>验证可购商品信息：购买价格</x:v>
      </x:c>
      <x:c r="H1012" s="9" t="str">
        <x:v>购买价格</x:v>
      </x:c>
      <x:c r="I1012" s="9" t="str">
        <x:v>1. 执行角色为真实金币用户；当前处于我的装扮页面
2. A名称QA头像框，有效期2026年9月1日至30日，价格100</x:v>
      </x:c>
      <x:c r="J1012" s="9" t="str">
        <x:v>1. 查看A商城卡片</x:v>
      </x:c>
      <x:c r="K1012" s="9" t="str">
        <x:v>价格为100金币</x:v>
      </x:c>
      <x:c r="L1012" s="10" t="str"/>
      <x:c r="M1012" s="10" t="str">
        <x:v>未测</x:v>
      </x:c>
      <x:c r="N1012" s="10" t="str"/>
      <x:c r="O1012" s="9" t="str">
        <x:v>1. 来源（当前证据）：liveshow-proto/MainBasis/统一需求文档.md；位置：行735、行729
2. 规则：BR-37f52817a90c55b3
3. 未动态验证</x:v>
      </x:c>
    </x:row>
    <x:row r="1013" ht="85" customHeight="1">
      <x:c r="A1013" s="10" t="n">
        <x:v>1012</x:v>
      </x:c>
      <x:c r="B1013" s="10" t="str">
        <x:v>USER-05-0162</x:v>
      </x:c>
      <x:c r="C1013" s="10" t="str">
        <x:v>我的</x:v>
      </x:c>
      <x:c r="D1013" s="10" t="str">
        <x:v>我的装扮（真实金币用户视角）</x:v>
      </x:c>
      <x:c r="E1013" s="10" t="str">
        <x:v>功能需求</x:v>
      </x:c>
      <x:c r="F1013" s="10" t="str">
        <x:v>P1</x:v>
      </x:c>
      <x:c r="G1013" s="9" t="str">
        <x:v>验证购买确认内容：道具预览</x:v>
      </x:c>
      <x:c r="H1013" s="9" t="str">
        <x:v>道具预览</x:v>
      </x:c>
      <x:c r="I1013" s="9" t="str">
        <x:v>1. 执行角色为真实金币用户；当前处于我的装扮页面
2. 真实余额200；商品A价格100且可购买</x:v>
      </x:c>
      <x:c r="J1013" s="9" t="str">
        <x:v>1. 点击购买A</x:v>
      </x:c>
      <x:c r="K1013" s="9" t="str">
        <x:v>预览对象为A</x:v>
      </x:c>
      <x:c r="L1013" s="10" t="str"/>
      <x:c r="M1013" s="10" t="str">
        <x:v>未测</x:v>
      </x:c>
      <x:c r="N1013" s="10" t="str"/>
      <x:c r="O1013" s="9" t="str">
        <x:v>1. 来源（当前证据）：liveshow-proto/MainBasis/统一需求文档.md；位置：行743、行729
2. 规则：BR-1519791f289465da
3. 未动态验证</x:v>
      </x:c>
    </x:row>
    <x:row r="1014" ht="85" customHeight="1">
      <x:c r="A1014" s="10" t="n">
        <x:v>1013</x:v>
      </x:c>
      <x:c r="B1014" s="10" t="str">
        <x:v>USER-05-0163</x:v>
      </x:c>
      <x:c r="C1014" s="10" t="str">
        <x:v>我的</x:v>
      </x:c>
      <x:c r="D1014" s="10" t="str">
        <x:v>我的装扮（真实金币用户视角）</x:v>
      </x:c>
      <x:c r="E1014" s="10" t="str">
        <x:v>功能需求</x:v>
      </x:c>
      <x:c r="F1014" s="10" t="str">
        <x:v>P1</x:v>
      </x:c>
      <x:c r="G1014" s="9" t="str">
        <x:v>验证购买确认内容：道具名称期限</x:v>
      </x:c>
      <x:c r="H1014" s="9" t="str">
        <x:v>道具名称期限</x:v>
      </x:c>
      <x:c r="I1014" s="9" t="str">
        <x:v>1. 执行角色为真实金币用户；当前处于我的装扮页面
2. 真实余额200；商品A价格100且可购买</x:v>
      </x:c>
      <x:c r="J1014" s="9" t="str">
        <x:v>1. 点击购买A</x:v>
      </x:c>
      <x:c r="K1014" s="9" t="str">
        <x:v>名称及期限对应A当前配置</x:v>
      </x:c>
      <x:c r="L1014" s="10" t="str"/>
      <x:c r="M1014" s="10" t="str">
        <x:v>未测</x:v>
      </x:c>
      <x:c r="N1014" s="10" t="str"/>
      <x:c r="O1014" s="9" t="str">
        <x:v>1. 来源（当前证据）：liveshow-proto/MainBasis/统一需求文档.md；位置：行743、行729
2. 规则：BR-05ecf199312510cb
3. 未动态验证</x:v>
      </x:c>
    </x:row>
    <x:row r="1015" ht="85" customHeight="1">
      <x:c r="A1015" s="10" t="n">
        <x:v>1014</x:v>
      </x:c>
      <x:c r="B1015" s="10" t="str">
        <x:v>USER-05-0164</x:v>
      </x:c>
      <x:c r="C1015" s="10" t="str">
        <x:v>我的</x:v>
      </x:c>
      <x:c r="D1015" s="10" t="str">
        <x:v>我的装扮（真实金币用户视角）</x:v>
      </x:c>
      <x:c r="E1015" s="10" t="str">
        <x:v>功能需求</x:v>
      </x:c>
      <x:c r="F1015" s="10" t="str">
        <x:v>P1</x:v>
      </x:c>
      <x:c r="G1015" s="9" t="str">
        <x:v>验证购买确认内容：确认价格</x:v>
      </x:c>
      <x:c r="H1015" s="9" t="str">
        <x:v>确认价格</x:v>
      </x:c>
      <x:c r="I1015" s="9" t="str">
        <x:v>1. 执行角色为真实金币用户；当前处于我的装扮页面
2. 真实余额200；商品A价格100且可购买</x:v>
      </x:c>
      <x:c r="J1015" s="9" t="str">
        <x:v>1. 点击购买A</x:v>
      </x:c>
      <x:c r="K1015" s="9" t="str">
        <x:v>购买价格为100金币</x:v>
      </x:c>
      <x:c r="L1015" s="10" t="str"/>
      <x:c r="M1015" s="10" t="str">
        <x:v>未测</x:v>
      </x:c>
      <x:c r="N1015" s="10" t="str"/>
      <x:c r="O1015" s="9" t="str">
        <x:v>1. 来源（当前证据）：liveshow-proto/MainBasis/统一需求文档.md；位置：行743、行729
2. 规则：BR-448591bb0ee47590
3. 未动态验证</x:v>
      </x:c>
    </x:row>
    <x:row r="1016" ht="85" customHeight="1">
      <x:c r="A1016" s="10" t="n">
        <x:v>1015</x:v>
      </x:c>
      <x:c r="B1016" s="10" t="str">
        <x:v>USER-05-0165</x:v>
      </x:c>
      <x:c r="C1016" s="10" t="str">
        <x:v>我的</x:v>
      </x:c>
      <x:c r="D1016" s="10" t="str">
        <x:v>我的装扮（真实金币用户视角）</x:v>
      </x:c>
      <x:c r="E1016" s="10" t="str">
        <x:v>功能需求</x:v>
      </x:c>
      <x:c r="F1016" s="10" t="str">
        <x:v>P1</x:v>
      </x:c>
      <x:c r="G1016" s="9" t="str">
        <x:v>验证购买确认内容：购买确认入口</x:v>
      </x:c>
      <x:c r="H1016" s="9" t="str">
        <x:v>购买确认入口</x:v>
      </x:c>
      <x:c r="I1016" s="9" t="str">
        <x:v>1. 执行角色为真实金币用户；当前处于我的装扮页面
2. 真实余额200；商品A价格100且可购买</x:v>
      </x:c>
      <x:c r="J1016" s="9" t="str">
        <x:v>1. 点击购买A</x:v>
      </x:c>
      <x:c r="K1016" s="9" t="str">
        <x:v>提供购买按钮</x:v>
      </x:c>
      <x:c r="L1016" s="10" t="str"/>
      <x:c r="M1016" s="10" t="str">
        <x:v>未测</x:v>
      </x:c>
      <x:c r="N1016" s="10" t="str"/>
      <x:c r="O1016" s="9" t="str">
        <x:v>1. 来源（当前证据）：liveshow-proto/MainBasis/统一需求文档.md；位置：行743、行729
2. 规则：BR-6fa6e4f429cc9b49
3. 未动态验证</x:v>
      </x:c>
    </x:row>
    <x:row r="1017" ht="85" customHeight="1">
      <x:c r="A1017" s="10" t="n">
        <x:v>1016</x:v>
      </x:c>
      <x:c r="B1017" s="10" t="str">
        <x:v>USER-05-0166</x:v>
      </x:c>
      <x:c r="C1017" s="10" t="str">
        <x:v>我的</x:v>
      </x:c>
      <x:c r="D1017" s="10" t="str">
        <x:v>我的装扮（真实金币用户视角）</x:v>
      </x:c>
      <x:c r="E1017" s="10" t="str">
        <x:v>功能需求</x:v>
      </x:c>
      <x:c r="F1017" s="10" t="str">
        <x:v>P1</x:v>
      </x:c>
      <x:c r="G1017" s="9" t="str">
        <x:v>验证购买确认内容：购买取消入口</x:v>
      </x:c>
      <x:c r="H1017" s="9" t="str">
        <x:v>购买取消入口</x:v>
      </x:c>
      <x:c r="I1017" s="9" t="str">
        <x:v>1. 执行角色为真实金币用户；当前处于我的装扮页面
2. 真实余额200；商品A价格100且可购买</x:v>
      </x:c>
      <x:c r="J1017" s="9" t="str">
        <x:v>1. 点击购买A</x:v>
      </x:c>
      <x:c r="K1017" s="9" t="str">
        <x:v>提供取消按钮</x:v>
      </x:c>
      <x:c r="L1017" s="10" t="str"/>
      <x:c r="M1017" s="10" t="str">
        <x:v>未测</x:v>
      </x:c>
      <x:c r="N1017" s="10" t="str"/>
      <x:c r="O1017" s="9" t="str">
        <x:v>1. 来源（当前证据）：liveshow-proto/MainBasis/统一需求文档.md；位置：行743、行729
2. 规则：BR-1edd96fdac1dad09
3. 未动态验证</x:v>
      </x:c>
    </x:row>
    <x:row r="1018" ht="85" customHeight="1">
      <x:c r="A1018" s="10" t="n">
        <x:v>1017</x:v>
      </x:c>
      <x:c r="B1018" s="10" t="str">
        <x:v>USER-05-0167</x:v>
      </x:c>
      <x:c r="C1018" s="10" t="str">
        <x:v>我的</x:v>
      </x:c>
      <x:c r="D1018" s="10" t="str">
        <x:v>我的装扮（真实金币用户视角）</x:v>
      </x:c>
      <x:c r="E1018" s="10" t="str">
        <x:v>功能需求</x:v>
      </x:c>
      <x:c r="F1018" s="10" t="str">
        <x:v>P1</x:v>
      </x:c>
      <x:c r="G1018" s="9" t="str">
        <x:v>验证取消购买不扣款</x:v>
      </x:c>
      <x:c r="H1018" s="9" t="str">
        <x:v>购买取消反馈</x:v>
      </x:c>
      <x:c r="I1018" s="9" t="str">
        <x:v>1. 执行角色为真实金币用户；当前处于我的装扮页面
2. 真实余额200；A购买确认已打开</x:v>
      </x:c>
      <x:c r="J1018" s="9" t="str">
        <x:v>1. 点击取消</x:v>
      </x:c>
      <x:c r="K1018" s="9" t="str">
        <x:v>弹窗关闭且不购买A</x:v>
      </x:c>
      <x:c r="L1018" s="10" t="str"/>
      <x:c r="M1018" s="10" t="str">
        <x:v>未测</x:v>
      </x:c>
      <x:c r="N1018" s="10" t="str"/>
      <x:c r="O1018" s="9" t="str">
        <x:v>1. 来源（当前证据）：liveshow-proto/MainBasis/统一需求文档.md；位置：行752、行729
2. 规则：BR-697cff7c68f0eba9
3. 未动态验证</x:v>
      </x:c>
    </x:row>
    <x:row r="1019" ht="85" customHeight="1">
      <x:c r="A1019" s="10" t="n">
        <x:v>1018</x:v>
      </x:c>
      <x:c r="B1019" s="10" t="str">
        <x:v>USER-05-0168</x:v>
      </x:c>
      <x:c r="C1019" s="10" t="str">
        <x:v>我的</x:v>
      </x:c>
      <x:c r="D1019" s="10" t="str">
        <x:v>我的装扮（真实金币用户视角）</x:v>
      </x:c>
      <x:c r="E1019" s="10" t="str">
        <x:v>业务流程</x:v>
      </x:c>
      <x:c r="F1019" s="10" t="str">
        <x:v>P0</x:v>
      </x:c>
      <x:c r="G1019" s="9" t="str">
        <x:v>验证购买成功取得道具</x:v>
      </x:c>
      <x:c r="H1019" s="9" t="str">
        <x:v>购买后装扮持有状态</x:v>
      </x:c>
      <x:c r="I1019" s="9" t="str">
        <x:v>1. 执行角色为真实金币用户；当前处于我的装扮页面
2. 真实余额200；A价格100且未拥有</x:v>
      </x:c>
      <x:c r="J1019" s="9" t="str">
        <x:v>1. 打开A购买确认
2. 点击购买</x:v>
      </x:c>
      <x:c r="K1019" s="9" t="str">
        <x:v>扣款并将A加入已拥有</x:v>
      </x:c>
      <x:c r="L1019" s="10" t="str"/>
      <x:c r="M1019" s="10" t="str">
        <x:v>未测</x:v>
      </x:c>
      <x:c r="N1019" s="10" t="str"/>
      <x:c r="O1019" s="9" t="str">
        <x:v>1. 来源（当前证据）：liveshow-proto/MainBasis/统一需求文档.md；位置：行752、行729
2. 规则：BR-4fa9d6e07572578a
3. 未动态验证</x:v>
      </x:c>
    </x:row>
    <x:row r="1020" ht="85" customHeight="1">
      <x:c r="A1020" s="10" t="n">
        <x:v>1019</x:v>
      </x:c>
      <x:c r="B1020" s="10" t="str">
        <x:v>USER-05-0169</x:v>
      </x:c>
      <x:c r="C1020" s="10" t="str">
        <x:v>我的</x:v>
      </x:c>
      <x:c r="D1020" s="10" t="str">
        <x:v>我的装扮（真实金币用户视角）</x:v>
      </x:c>
      <x:c r="E1020" s="10" t="str">
        <x:v>功能需求</x:v>
      </x:c>
      <x:c r="F1020" s="10" t="str">
        <x:v>P2</x:v>
      </x:c>
      <x:c r="G1020" s="9" t="str">
        <x:v>验证购买成功继续商城：成功弹窗关闭</x:v>
      </x:c>
      <x:c r="H1020" s="9" t="str">
        <x:v>成功弹窗关闭</x:v>
      </x:c>
      <x:c r="I1020" s="9" t="str">
        <x:v>1. 执行角色为真实金币用户；当前处于我的装扮页面
2. A购买成功弹窗已打开</x:v>
      </x:c>
      <x:c r="J1020" s="9" t="str">
        <x:v>1. 点击继续购买</x:v>
      </x:c>
      <x:c r="K1020" s="9" t="str">
        <x:v>购买成功弹窗关闭</x:v>
      </x:c>
      <x:c r="L1020" s="10" t="str"/>
      <x:c r="M1020" s="10" t="str">
        <x:v>未测</x:v>
      </x:c>
      <x:c r="N1020" s="10" t="str"/>
      <x:c r="O1020" s="9" t="str">
        <x:v>1. 来源（当前证据）：liveshow-proto/MainBasis/统一需求文档.md；位置：行752、行729
2. 规则：BR-46bd964daf431eef
3. 未动态验证</x:v>
      </x:c>
    </x:row>
    <x:row r="1021" ht="85" customHeight="1">
      <x:c r="A1021" s="10" t="n">
        <x:v>1020</x:v>
      </x:c>
      <x:c r="B1021" s="10" t="str">
        <x:v>USER-05-0170</x:v>
      </x:c>
      <x:c r="C1021" s="10" t="str">
        <x:v>我的</x:v>
      </x:c>
      <x:c r="D1021" s="10" t="str">
        <x:v>我的装扮（真实金币用户视角）</x:v>
      </x:c>
      <x:c r="E1021" s="10" t="str">
        <x:v>功能需求</x:v>
      </x:c>
      <x:c r="F1021" s="10" t="str">
        <x:v>P2</x:v>
      </x:c>
      <x:c r="G1021" s="9" t="str">
        <x:v>验证购买成功继续商城：继续购买去向</x:v>
      </x:c>
      <x:c r="H1021" s="9" t="str">
        <x:v>继续购买去向</x:v>
      </x:c>
      <x:c r="I1021" s="9" t="str">
        <x:v>1. 执行角色为真实金币用户；当前处于我的装扮页面
2. A购买成功弹窗已打开</x:v>
      </x:c>
      <x:c r="J1021" s="9" t="str">
        <x:v>1. 点击继续购买</x:v>
      </x:c>
      <x:c r="K1021" s="9" t="str">
        <x:v>仍处于装扮商城</x:v>
      </x:c>
      <x:c r="L1021" s="10" t="str"/>
      <x:c r="M1021" s="10" t="str">
        <x:v>未测</x:v>
      </x:c>
      <x:c r="N1021" s="10" t="str"/>
      <x:c r="O1021" s="9" t="str">
        <x:v>1. 来源（当前证据）：liveshow-proto/MainBasis/统一需求文档.md；位置：行752、行729
2. 规则：BR-506776e0096c59ce
3. 未动态验证</x:v>
      </x:c>
    </x:row>
    <x:row r="1022" ht="85" customHeight="1">
      <x:c r="A1022" s="10" t="n">
        <x:v>1021</x:v>
      </x:c>
      <x:c r="B1022" s="10" t="str">
        <x:v>USER-05-0171</x:v>
      </x:c>
      <x:c r="C1022" s="10" t="str">
        <x:v>我的</x:v>
      </x:c>
      <x:c r="D1022" s="10" t="str">
        <x:v>我的装扮（真实金币用户视角）</x:v>
      </x:c>
      <x:c r="E1022" s="10" t="str">
        <x:v>功能需求</x:v>
      </x:c>
      <x:c r="F1022" s="10" t="str">
        <x:v>P2</x:v>
      </x:c>
      <x:c r="G1022" s="9" t="str">
        <x:v>验证购买成功去对应分类：去佩戴去向</x:v>
      </x:c>
      <x:c r="H1022" s="9" t="str">
        <x:v>去佩戴去向</x:v>
      </x:c>
      <x:c r="I1022" s="9" t="str">
        <x:v>1. 执行角色为真实金币用户；当前处于我的装扮页面
2. 聊天气泡A购买成功</x:v>
      </x:c>
      <x:c r="J1022" s="9" t="str">
        <x:v>1. 点击去佩戴</x:v>
      </x:c>
      <x:c r="K1022" s="9" t="str">
        <x:v>进入我的装扮已拥有页面</x:v>
      </x:c>
      <x:c r="L1022" s="10" t="str"/>
      <x:c r="M1022" s="10" t="str">
        <x:v>未测</x:v>
      </x:c>
      <x:c r="N1022" s="10" t="str"/>
      <x:c r="O1022" s="9" t="str">
        <x:v>1. 来源（当前证据）：liveshow-proto/MainBasis/统一需求文档.md；位置：行752、行729
2. 规则：BR-8f661cec73c1d6ab
3. 未动态验证</x:v>
      </x:c>
    </x:row>
    <x:row r="1023" ht="85" customHeight="1">
      <x:c r="A1023" s="10" t="n">
        <x:v>1022</x:v>
      </x:c>
      <x:c r="B1023" s="10" t="str">
        <x:v>USER-05-0172</x:v>
      </x:c>
      <x:c r="C1023" s="10" t="str">
        <x:v>我的</x:v>
      </x:c>
      <x:c r="D1023" s="10" t="str">
        <x:v>我的装扮（真实金币用户视角）</x:v>
      </x:c>
      <x:c r="E1023" s="10" t="str">
        <x:v>功能需求</x:v>
      </x:c>
      <x:c r="F1023" s="10" t="str">
        <x:v>P2</x:v>
      </x:c>
      <x:c r="G1023" s="9" t="str">
        <x:v>验证购买成功去对应分类：对应商品分类</x:v>
      </x:c>
      <x:c r="H1023" s="9" t="str">
        <x:v>对应商品分类</x:v>
      </x:c>
      <x:c r="I1023" s="9" t="str">
        <x:v>1. 执行角色为真实金币用户；当前处于我的装扮页面
2. 聊天气泡A购买成功</x:v>
      </x:c>
      <x:c r="J1023" s="9" t="str">
        <x:v>1. 点击去佩戴</x:v>
      </x:c>
      <x:c r="K1023" s="9" t="str">
        <x:v>自动选中聊天气泡分类</x:v>
      </x:c>
      <x:c r="L1023" s="10" t="str"/>
      <x:c r="M1023" s="10" t="str">
        <x:v>未测</x:v>
      </x:c>
      <x:c r="N1023" s="10" t="str"/>
      <x:c r="O1023" s="9" t="str">
        <x:v>1. 来源（当前证据）：liveshow-proto/MainBasis/统一需求文档.md；位置：行752、行729
2. 规则：BR-3dbcb97450eb7f55
3. 未动态验证</x:v>
      </x:c>
    </x:row>
    <x:row r="1024" ht="85" customHeight="1">
      <x:c r="A1024" s="10" t="n">
        <x:v>1023</x:v>
      </x:c>
      <x:c r="B1024" s="10" t="str">
        <x:v>USER-05-0173</x:v>
      </x:c>
      <x:c r="C1024" s="10" t="str">
        <x:v>我的</x:v>
      </x:c>
      <x:c r="D1024" s="10" t="str">
        <x:v>我的装扮（真实金币用户视角）</x:v>
      </x:c>
      <x:c r="E1024" s="10" t="str">
        <x:v>异常用例</x:v>
      </x:c>
      <x:c r="F1024" s="10" t="str">
        <x:v>P1</x:v>
      </x:c>
      <x:c r="G1024" s="9" t="str">
        <x:v>验证实时余额不足拦截</x:v>
      </x:c>
      <x:c r="H1024" s="9" t="str">
        <x:v>余额不足购买限制</x:v>
      </x:c>
      <x:c r="I1024" s="9" t="str">
        <x:v>1. 执行角色为真实金币用户；当前处于我的装扮页面
2. A确认弹窗打开时余额100；A价格100；提交前余额已变为99</x:v>
      </x:c>
      <x:c r="J1024" s="9" t="str">
        <x:v>1. 点击购买</x:v>
      </x:c>
      <x:c r="K1024" s="9" t="str">
        <x:v>不生成购买记录</x:v>
      </x:c>
      <x:c r="L1024" s="10" t="str"/>
      <x:c r="M1024" s="10" t="str">
        <x:v>未测</x:v>
      </x:c>
      <x:c r="N1024" s="10" t="str"/>
      <x:c r="O1024" s="9" t="str">
        <x:v>1. 来源（当前证据）：liveshow-proto/MainBasis/统一需求文档.md；位置：行743、行756、行729
2. 规则：BR-bab30439736f8753
3. 未动态验证</x:v>
      </x:c>
    </x:row>
    <x:row r="1025" ht="85" customHeight="1">
      <x:c r="A1025" s="10" t="n">
        <x:v>1024</x:v>
      </x:c>
      <x:c r="B1025" s="10" t="str">
        <x:v>USER-05-0174</x:v>
      </x:c>
      <x:c r="C1025" s="10" t="str">
        <x:v>我的</x:v>
      </x:c>
      <x:c r="D1025" s="10" t="str">
        <x:v>我的装扮（真实金币用户视角）</x:v>
      </x:c>
      <x:c r="E1025" s="10" t="str">
        <x:v>功能需求</x:v>
      </x:c>
      <x:c r="F1025" s="10" t="str">
        <x:v>P1</x:v>
      </x:c>
      <x:c r="G1025" s="9" t="str">
        <x:v>验证提交时重新检查持有状态</x:v>
      </x:c>
      <x:c r="H1025" s="9" t="str">
        <x:v>已持有装扮购买限制</x:v>
      </x:c>
      <x:c r="I1025" s="9" t="str">
        <x:v>1. 执行角色为真实金币用户；当前处于我的装扮页面
2. A购买确认已打开；另一个设备刚成功购买A</x:v>
      </x:c>
      <x:c r="J1025" s="9" t="str">
        <x:v>1. 点击购买</x:v>
      </x:c>
      <x:c r="K1025" s="9" t="str">
        <x:v>不重复购买已拥有A</x:v>
      </x:c>
      <x:c r="L1025" s="10" t="str"/>
      <x:c r="M1025" s="10" t="str">
        <x:v>未测</x:v>
      </x:c>
      <x:c r="N1025" s="10" t="str"/>
      <x:c r="O1025" s="9" t="str">
        <x:v>1. 来源（当前证据）：liveshow-proto/MainBasis/统一需求文档.md；位置：行752、行729
2. 规则：BR-bb396de96f62bf0e
3. 未动态验证</x:v>
      </x:c>
    </x:row>
    <x:row r="1026" ht="85" customHeight="1">
      <x:c r="A1026" s="10" t="n">
        <x:v>1025</x:v>
      </x:c>
      <x:c r="B1026" s="10" t="str">
        <x:v>USER-05-0175</x:v>
      </x:c>
      <x:c r="C1026" s="10" t="str">
        <x:v>我的</x:v>
      </x:c>
      <x:c r="D1026" s="10" t="str">
        <x:v>我的装扮（真实金币用户视角）</x:v>
      </x:c>
      <x:c r="E1026" s="10" t="str">
        <x:v>功能需求</x:v>
      </x:c>
      <x:c r="F1026" s="10" t="str">
        <x:v>P1</x:v>
      </x:c>
      <x:c r="G1026" s="9" t="str">
        <x:v>验证提交时检查商品状态</x:v>
      </x:c>
      <x:c r="H1026" s="9" t="str">
        <x:v>入口可用性</x:v>
      </x:c>
      <x:c r="I1026" s="9" t="str">
        <x:v>1. 执行角色为真实金币用户；当前处于我的装扮页面
2. A购买确认已打开；后台刚下架A</x:v>
      </x:c>
      <x:c r="J1026" s="9" t="str">
        <x:v>1. 点击购买</x:v>
      </x:c>
      <x:c r="K1026" s="9" t="str">
        <x:v>不能购买已下架A</x:v>
      </x:c>
      <x:c r="L1026" s="10" t="str"/>
      <x:c r="M1026" s="10" t="str">
        <x:v>未测</x:v>
      </x:c>
      <x:c r="N1026" s="10" t="str"/>
      <x:c r="O1026" s="9" t="str">
        <x:v>1. 来源（当前证据）：liveshow-proto/MainBasis/统一需求文档.md；位置：行752、行729
2. 规则：BR-31213b3257de98ca
3. 未动态验证</x:v>
      </x:c>
    </x:row>
    <x:row r="1027" ht="85" customHeight="1">
      <x:c r="A1027" s="10" t="n">
        <x:v>1026</x:v>
      </x:c>
      <x:c r="B1027" s="10" t="str">
        <x:v>USER-05-0176</x:v>
      </x:c>
      <x:c r="C1027" s="10" t="str">
        <x:v>我的</x:v>
      </x:c>
      <x:c r="D1027" s="10" t="str">
        <x:v>我的装扮（真实金币用户视角）</x:v>
      </x:c>
      <x:c r="E1027" s="10" t="str">
        <x:v>功能需求</x:v>
      </x:c>
      <x:c r="F1027" s="10" t="str">
        <x:v>P1</x:v>
      </x:c>
      <x:c r="G1027" s="9" t="str">
        <x:v>验证不足金币显示充值提示：余额不足提示</x:v>
      </x:c>
      <x:c r="H1027" s="9" t="str">
        <x:v>余额不足提示</x:v>
      </x:c>
      <x:c r="I1027" s="9" t="str">
        <x:v>1. 执行角色为真实金币用户；当前处于我的装扮页面
2. 余额99；A价格100</x:v>
      </x:c>
      <x:c r="J1027" s="9" t="str">
        <x:v>1. 点击购买A</x:v>
      </x:c>
      <x:c r="K1027" s="9" t="str">
        <x:v>提示当前金币余额不足，请先充值</x:v>
      </x:c>
      <x:c r="L1027" s="10" t="str"/>
      <x:c r="M1027" s="10" t="str">
        <x:v>未测</x:v>
      </x:c>
      <x:c r="N1027" s="10" t="str"/>
      <x:c r="O1027" s="9" t="str">
        <x:v>1. 来源（当前证据）：liveshow-proto/MainBasis/统一需求文档.md；位置：行743、行729
2. 规则：BR-ee995afa13f53ec0
3. 未动态验证</x:v>
      </x:c>
    </x:row>
    <x:row r="1028" ht="85" customHeight="1">
      <x:c r="A1028" s="10" t="n">
        <x:v>1027</x:v>
      </x:c>
      <x:c r="B1028" s="10" t="str">
        <x:v>USER-05-0177</x:v>
      </x:c>
      <x:c r="C1028" s="10" t="str">
        <x:v>我的</x:v>
      </x:c>
      <x:c r="D1028" s="10" t="str">
        <x:v>我的装扮（真实金币用户视角）</x:v>
      </x:c>
      <x:c r="E1028" s="10" t="str">
        <x:v>功能需求</x:v>
      </x:c>
      <x:c r="F1028" s="10" t="str">
        <x:v>P1</x:v>
      </x:c>
      <x:c r="G1028" s="9" t="str">
        <x:v>验证不足金币显示充值提示：不足充值入口</x:v>
      </x:c>
      <x:c r="H1028" s="9" t="str">
        <x:v>不足充值入口</x:v>
      </x:c>
      <x:c r="I1028" s="9" t="str">
        <x:v>1. 执行角色为真实金币用户；当前处于我的装扮页面
2. 余额99；A价格100</x:v>
      </x:c>
      <x:c r="J1028" s="9" t="str">
        <x:v>1. 点击购买A</x:v>
      </x:c>
      <x:c r="K1028" s="9" t="str">
        <x:v>提供去充值按钮</x:v>
      </x:c>
      <x:c r="L1028" s="10" t="str"/>
      <x:c r="M1028" s="10" t="str">
        <x:v>未测</x:v>
      </x:c>
      <x:c r="N1028" s="10" t="str"/>
      <x:c r="O1028" s="9" t="str">
        <x:v>1. 来源（当前证据）：liveshow-proto/MainBasis/统一需求文档.md；位置：行743、行729
2. 规则：BR-a27df8276bdca013
3. 未动态验证</x:v>
      </x:c>
    </x:row>
    <x:row r="1029" ht="85" customHeight="1">
      <x:c r="A1029" s="10" t="n">
        <x:v>1028</x:v>
      </x:c>
      <x:c r="B1029" s="10" t="str">
        <x:v>USER-05-0178</x:v>
      </x:c>
      <x:c r="C1029" s="10" t="str">
        <x:v>我的</x:v>
      </x:c>
      <x:c r="D1029" s="10" t="str">
        <x:v>我的装扮（真实金币用户视角）</x:v>
      </x:c>
      <x:c r="E1029" s="10" t="str">
        <x:v>功能需求</x:v>
      </x:c>
      <x:c r="F1029" s="10" t="str">
        <x:v>P1</x:v>
      </x:c>
      <x:c r="G1029" s="9" t="str">
        <x:v>验证不足金币显示充值提示：不足取消入口</x:v>
      </x:c>
      <x:c r="H1029" s="9" t="str">
        <x:v>不足取消入口</x:v>
      </x:c>
      <x:c r="I1029" s="9" t="str">
        <x:v>1. 执行角色为真实金币用户；当前处于我的装扮页面
2. 余额99；A价格100</x:v>
      </x:c>
      <x:c r="J1029" s="9" t="str">
        <x:v>1. 点击购买A</x:v>
      </x:c>
      <x:c r="K1029" s="9" t="str">
        <x:v>提供取消按钮</x:v>
      </x:c>
      <x:c r="L1029" s="10" t="str"/>
      <x:c r="M1029" s="10" t="str">
        <x:v>未测</x:v>
      </x:c>
      <x:c r="N1029" s="10" t="str"/>
      <x:c r="O1029" s="9" t="str">
        <x:v>1. 来源（当前证据）：liveshow-proto/MainBasis/统一需求文档.md；位置：行743、行729
2. 规则：BR-1b688fa5d72cf648
3. 未动态验证</x:v>
      </x:c>
    </x:row>
    <x:row r="1030" ht="85" customHeight="1">
      <x:c r="A1030" s="10" t="n">
        <x:v>1029</x:v>
      </x:c>
      <x:c r="B1030" s="10" t="str">
        <x:v>USER-05-0179</x:v>
      </x:c>
      <x:c r="C1030" s="10" t="str">
        <x:v>我的</x:v>
      </x:c>
      <x:c r="D1030" s="10" t="str">
        <x:v>我的装扮（真实金币用户视角）</x:v>
      </x:c>
      <x:c r="E1030" s="10" t="str">
        <x:v>功能需求</x:v>
      </x:c>
      <x:c r="F1030" s="10" t="str">
        <x:v>P1</x:v>
      </x:c>
      <x:c r="G1030" s="9" t="str">
        <x:v>验证不足金币去充值</x:v>
      </x:c>
      <x:c r="H1030" s="9" t="str">
        <x:v>装扮充值引导去向</x:v>
      </x:c>
      <x:c r="I1030" s="9" t="str">
        <x:v>1. 执行角色为真实金币用户；当前处于我的装扮页面
2. 金币不足弹窗已打开</x:v>
      </x:c>
      <x:c r="J1030" s="9" t="str">
        <x:v>1. 点击去充值</x:v>
      </x:c>
      <x:c r="K1030" s="9" t="str">
        <x:v>进入充值页</x:v>
      </x:c>
      <x:c r="L1030" s="10" t="str"/>
      <x:c r="M1030" s="10" t="str">
        <x:v>未测</x:v>
      </x:c>
      <x:c r="N1030" s="10" t="str"/>
      <x:c r="O1030" s="9" t="str">
        <x:v>1. 来源（当前证据）：liveshow-proto/MainBasis/统一需求文档.md；位置：行756、行729
2. 规则：BR-26e9d44751865c7c
3. 未动态验证</x:v>
      </x:c>
    </x:row>
    <x:row r="1031" ht="85" customHeight="1">
      <x:c r="A1031" s="10" t="n">
        <x:v>1030</x:v>
      </x:c>
      <x:c r="B1031" s="10" t="str">
        <x:v>USER-05-0180</x:v>
      </x:c>
      <x:c r="C1031" s="10" t="str">
        <x:v>我的</x:v>
      </x:c>
      <x:c r="D1031" s="10" t="str">
        <x:v>我的装扮（真实金币用户视角）</x:v>
      </x:c>
      <x:c r="E1031" s="10" t="str">
        <x:v>功能需求</x:v>
      </x:c>
      <x:c r="F1031" s="10" t="str">
        <x:v>P1</x:v>
      </x:c>
      <x:c r="G1031" s="9" t="str">
        <x:v>验证已购装扮不可退款</x:v>
      </x:c>
      <x:c r="H1031" s="9" t="str">
        <x:v>装扮退款入口限制</x:v>
      </x:c>
      <x:c r="I1031" s="9" t="str">
        <x:v>1. 执行角色为真实金币用户；当前处于我的装扮页面
2. A已购买成功</x:v>
      </x:c>
      <x:c r="J1031" s="9" t="str">
        <x:v>1. 查看A可用操作</x:v>
      </x:c>
      <x:c r="K1031" s="9" t="str">
        <x:v>不提供退款操作</x:v>
      </x:c>
      <x:c r="L1031" s="10" t="str"/>
      <x:c r="M1031" s="10" t="str">
        <x:v>未测</x:v>
      </x:c>
      <x:c r="N1031" s="10" t="str"/>
      <x:c r="O1031" s="9" t="str">
        <x:v>1. 来源（当前证据）：liveshow-proto/MainBasis/统一需求文档.md；位置：行740、行729
2. 规则：BR-1965f797d8b17379
3. 未动态验证</x:v>
      </x:c>
    </x:row>
    <x:row r="1032" ht="85" customHeight="1">
      <x:c r="A1032" s="10" t="n">
        <x:v>1031</x:v>
      </x:c>
      <x:c r="B1032" s="10" t="str">
        <x:v>USER-05-0181</x:v>
      </x:c>
      <x:c r="C1032" s="10" t="str">
        <x:v>我的</x:v>
      </x:c>
      <x:c r="D1032" s="10" t="str">
        <x:v>我的装扮（真实金币用户视角）</x:v>
      </x:c>
      <x:c r="E1032" s="10" t="str">
        <x:v>功能需求</x:v>
      </x:c>
      <x:c r="F1032" s="10" t="str">
        <x:v>P1</x:v>
      </x:c>
      <x:c r="G1032" s="9" t="str">
        <x:v>验证下架不使已持有失效</x:v>
      </x:c>
      <x:c r="H1032" s="9" t="str">
        <x:v>下架后持有装扮可用性</x:v>
      </x:c>
      <x:c r="I1032" s="9" t="str">
        <x:v>1. 执行角色为真实金币用户；当前处于我的装扮页面
2. A已拥有且未到期；后台已下架A</x:v>
      </x:c>
      <x:c r="J1032" s="9" t="str">
        <x:v>1. 点击A佩戴</x:v>
      </x:c>
      <x:c r="K1032" s="9" t="str">
        <x:v>仍可在有效期限内佩戴A</x:v>
      </x:c>
      <x:c r="L1032" s="10" t="str"/>
      <x:c r="M1032" s="10" t="str">
        <x:v>未测</x:v>
      </x:c>
      <x:c r="N1032" s="10" t="str"/>
      <x:c r="O1032" s="9" t="str">
        <x:v>1. 来源（当前证据）：liveshow-proto/MainBasis/统一需求文档.md；位置：行736、行737、行729
2. 规则：BR-c8892e924322b670
3. 未动态验证</x:v>
      </x:c>
    </x:row>
    <x:row r="1033" ht="85" customHeight="1">
      <x:c r="A1033" s="10" t="n">
        <x:v>1032</x:v>
      </x:c>
      <x:c r="B1033" s="10" t="str">
        <x:v>USER-05-0182</x:v>
      </x:c>
      <x:c r="C1033" s="10" t="str">
        <x:v>我的</x:v>
      </x:c>
      <x:c r="D1033" s="10" t="str">
        <x:v>我的粉丝团（有效粉丝团成员视角）</x:v>
      </x:c>
      <x:c r="E1033" s="10" t="str">
        <x:v>功能需求</x:v>
      </x:c>
      <x:c r="F1033" s="10" t="str">
        <x:v>P1</x:v>
      </x:c>
      <x:c r="G1033" s="9" t="str">
        <x:v>验证当前有效团籍卡片</x:v>
      </x:c>
      <x:c r="H1033" s="9" t="str">
        <x:v>有效粉丝团卡片范围</x:v>
      </x:c>
      <x:c r="I1033" s="9" t="str">
        <x:v>1. 执行角色为有效粉丝团成员；当前处于我的粉丝团页面
2. A团籍有效；B团籍已失效</x:v>
      </x:c>
      <x:c r="J1033" s="9" t="str">
        <x:v>1. 查看我的粉丝团</x:v>
      </x:c>
      <x:c r="K1033" s="9" t="str">
        <x:v>只展示A粉丝团卡片</x:v>
      </x:c>
      <x:c r="L1033" s="10" t="str"/>
      <x:c r="M1033" s="10" t="str">
        <x:v>未测</x:v>
      </x:c>
      <x:c r="N1033" s="10" t="str"/>
      <x:c r="O1033" s="9" t="str">
        <x:v>1. 来源（当前证据）：liveshow-proto/MainBasis/统一需求文档.md；位置：行1099、行1086
2. 规则：BR-0677f26d2ccd15bf
3. 未动态验证</x:v>
      </x:c>
    </x:row>
    <x:row r="1034" ht="85" customHeight="1">
      <x:c r="A1034" s="10" t="n">
        <x:v>1033</x:v>
      </x:c>
      <x:c r="B1034" s="10" t="str">
        <x:v>USER-05-0183</x:v>
      </x:c>
      <x:c r="C1034" s="10" t="str">
        <x:v>我的</x:v>
      </x:c>
      <x:c r="D1034" s="10" t="str">
        <x:v>我的粉丝团（有效粉丝团成员视角）</x:v>
      </x:c>
      <x:c r="E1034" s="10" t="str">
        <x:v>功能需求</x:v>
      </x:c>
      <x:c r="F1034" s="10" t="str">
        <x:v>P2</x:v>
      </x:c>
      <x:c r="G1034" s="9" t="str">
        <x:v>验证无有效团籍空态</x:v>
      </x:c>
      <x:c r="H1034" s="9" t="str">
        <x:v>粉丝团列表空态</x:v>
      </x:c>
      <x:c r="I1034" s="9" t="str">
        <x:v>1. 执行角色为有效粉丝团成员；当前处于我的粉丝团页面
2. 本账号已无有效团籍</x:v>
      </x:c>
      <x:c r="J1034" s="9" t="str">
        <x:v>1. 查看我的粉丝团</x:v>
      </x:c>
      <x:c r="K1034" s="9" t="str">
        <x:v>显示“暂未加入粉丝团”且无团卡片</x:v>
      </x:c>
      <x:c r="L1034" s="10" t="str"/>
      <x:c r="M1034" s="10" t="str">
        <x:v>未测</x:v>
      </x:c>
      <x:c r="N1034" s="10" t="str"/>
      <x:c r="O1034" s="9" t="str">
        <x:v>1. 来源（当前证据）：liveshow-proto/MainBasis/统一需求文档.md；位置：行1104、行1086
2. 规则：BR-c5432b7cfc7d4142
3. 未动态验证</x:v>
      </x:c>
    </x:row>
    <x:row r="1035" ht="85" customHeight="1">
      <x:c r="A1035" s="10" t="n">
        <x:v>1034</x:v>
      </x:c>
      <x:c r="B1035" s="10" t="str">
        <x:v>USER-05-0184</x:v>
      </x:c>
      <x:c r="C1035" s="10" t="str">
        <x:v>我的</x:v>
      </x:c>
      <x:c r="D1035" s="10" t="str">
        <x:v>我的粉丝团（有效粉丝团成员视角）</x:v>
      </x:c>
      <x:c r="E1035" s="10" t="str">
        <x:v>功能需求</x:v>
      </x:c>
      <x:c r="F1035" s="10" t="str">
        <x:v>P2</x:v>
      </x:c>
      <x:c r="G1035" s="9" t="str">
        <x:v>验证粉丝团按本次加入倒序</x:v>
      </x:c>
      <x:c r="H1035" s="9" t="str">
        <x:v>团籍加入时间排序</x:v>
      </x:c>
      <x:c r="I1035" s="9" t="str">
        <x:v>1. 执行角色为有效粉丝团成员；当前处于我的粉丝团页面
2. A本次加入9月14日，B9月15日</x:v>
      </x:c>
      <x:c r="J1035" s="9" t="str">
        <x:v>1. 查看卡片顺序</x:v>
      </x:c>
      <x:c r="K1035" s="9" t="str">
        <x:v>B在A之前</x:v>
      </x:c>
      <x:c r="L1035" s="10" t="str"/>
      <x:c r="M1035" s="10" t="str">
        <x:v>未测</x:v>
      </x:c>
      <x:c r="N1035" s="10" t="str"/>
      <x:c r="O1035" s="9" t="str">
        <x:v>1. 来源（当前证据）：liveshow-proto/MainBasis/统一需求文档.md；位置：行1103、行1086
2. 规则：BR-5fcb58884fdfcac4
3. 未动态验证</x:v>
      </x:c>
    </x:row>
    <x:row r="1036" ht="85" customHeight="1">
      <x:c r="A1036" s="10" t="n">
        <x:v>1035</x:v>
      </x:c>
      <x:c r="B1036" s="10" t="str">
        <x:v>USER-05-0185</x:v>
      </x:c>
      <x:c r="C1036" s="10" t="str">
        <x:v>我的</x:v>
      </x:c>
      <x:c r="D1036" s="10" t="str">
        <x:v>我的粉丝团（有效粉丝团成员视角）</x:v>
      </x:c>
      <x:c r="E1036" s="10" t="str">
        <x:v>功能需求</x:v>
      </x:c>
      <x:c r="F1036" s="10" t="str">
        <x:v>P1</x:v>
      </x:c>
      <x:c r="G1036" s="9" t="str">
        <x:v>验证重新加入更新加入日期</x:v>
      </x:c>
      <x:c r="H1036" s="9" t="str">
        <x:v>新团籍加入日期</x:v>
      </x:c>
      <x:c r="I1036" s="9" t="str">
        <x:v>1. 执行角色为有效粉丝团成员；当前处于我的粉丝团页面
2. 本账号此前退出A，9月15日重新加入</x:v>
      </x:c>
      <x:c r="J1036" s="9" t="str">
        <x:v>1. 查看A加入日期</x:v>
      </x:c>
      <x:c r="K1036" s="9" t="str">
        <x:v>使用本次9月15日加入日期</x:v>
      </x:c>
      <x:c r="L1036" s="10" t="str"/>
      <x:c r="M1036" s="10" t="str">
        <x:v>未测</x:v>
      </x:c>
      <x:c r="N1036" s="10" t="str"/>
      <x:c r="O1036" s="9" t="str">
        <x:v>1. 来源（当前证据）：liveshow-proto/MainBasis/统一需求文档.md；位置：行1091、行1086
2. 规则：BR-2d9ac4384ed40b2d
3. 未动态验证</x:v>
      </x:c>
    </x:row>
    <x:row r="1037" ht="85" customHeight="1">
      <x:c r="A1037" s="10" t="n">
        <x:v>1036</x:v>
      </x:c>
      <x:c r="B1037" s="10" t="str">
        <x:v>USER-05-0186</x:v>
      </x:c>
      <x:c r="C1037" s="10" t="str">
        <x:v>我的</x:v>
      </x:c>
      <x:c r="D1037" s="10" t="str">
        <x:v>我的粉丝团（有效粉丝团成员视角）</x:v>
      </x:c>
      <x:c r="E1037" s="10" t="str">
        <x:v>功能需求</x:v>
      </x:c>
      <x:c r="F1037" s="10" t="str">
        <x:v>P2</x:v>
      </x:c>
      <x:c r="G1037" s="9" t="str">
        <x:v>验证主播头像本身不跳转</x:v>
      </x:c>
      <x:c r="H1037" s="9" t="str">
        <x:v>团卡头像点击行为</x:v>
      </x:c>
      <x:c r="I1037" s="9" t="str">
        <x:v>1. 执行角色为有效粉丝团成员；当前处于我的粉丝团页面</x:v>
      </x:c>
      <x:c r="J1037" s="9" t="str">
        <x:v>1. 点击卡片主播头像</x:v>
      </x:c>
      <x:c r="K1037" s="9" t="str">
        <x:v>不跳转页面</x:v>
      </x:c>
      <x:c r="L1037" s="10" t="str"/>
      <x:c r="M1037" s="10" t="str">
        <x:v>未测</x:v>
      </x:c>
      <x:c r="N1037" s="10" t="str"/>
      <x:c r="O1037" s="9" t="str">
        <x:v>1. 来源（当前证据）：liveshow-proto/MainBasis/统一需求文档.md；位置：行1088、行1086
2. 规则：BR-8db59c34bb46127b
3. 未动态验证</x:v>
      </x:c>
    </x:row>
    <x:row r="1038" ht="85" customHeight="1">
      <x:c r="A1038" s="10" t="n">
        <x:v>1037</x:v>
      </x:c>
      <x:c r="B1038" s="10" t="str">
        <x:v>USER-05-0187</x:v>
      </x:c>
      <x:c r="C1038" s="10" t="str">
        <x:v>我的</x:v>
      </x:c>
      <x:c r="D1038" s="10" t="str">
        <x:v>我的粉丝团（有效粉丝团成员视角）</x:v>
      </x:c>
      <x:c r="E1038" s="10" t="str">
        <x:v>功能需求</x:v>
      </x:c>
      <x:c r="F1038" s="10" t="str">
        <x:v>P2</x:v>
      </x:c>
      <x:c r="G1038" s="9" t="str">
        <x:v>验证主播直播标记进入房间</x:v>
      </x:c>
      <x:c r="H1038" s="9" t="str">
        <x:v>团卡直播跳转对象</x:v>
      </x:c>
      <x:c r="I1038" s="9" t="str">
        <x:v>1. 执行角色为有效粉丝团成员；当前处于我的粉丝团页面
2. 卡片所属主播正在普通房直播且准入满足</x:v>
      </x:c>
      <x:c r="J1038" s="9" t="str">
        <x:v>1. 点击头像上的直播标记</x:v>
      </x:c>
      <x:c r="K1038" s="9" t="str">
        <x:v>进入该主播当前直播间</x:v>
      </x:c>
      <x:c r="L1038" s="10" t="str"/>
      <x:c r="M1038" s="10" t="str">
        <x:v>未测</x:v>
      </x:c>
      <x:c r="N1038" s="10" t="str"/>
      <x:c r="O1038" s="9" t="str">
        <x:v>1. 来源（当前证据）：liveshow-proto/MainBasis/统一需求文档.md；位置：行1105、行1086
2. 规则：BR-d2f0f79fc33bc163
3. 未动态验证</x:v>
      </x:c>
    </x:row>
    <x:row r="1039" ht="85" customHeight="1">
      <x:c r="A1039" s="10" t="n">
        <x:v>1038</x:v>
      </x:c>
      <x:c r="B1039" s="10" t="str">
        <x:v>USER-05-0188</x:v>
      </x:c>
      <x:c r="C1039" s="10" t="str">
        <x:v>我的</x:v>
      </x:c>
      <x:c r="D1039" s="10" t="str">
        <x:v>我的粉丝团（有效粉丝团成员视角）</x:v>
      </x:c>
      <x:c r="E1039" s="10" t="str">
        <x:v>功能需求</x:v>
      </x:c>
      <x:c r="F1039" s="10" t="str">
        <x:v>P2</x:v>
      </x:c>
      <x:c r="G1039" s="9" t="str">
        <x:v>验证未直播隐藏标记</x:v>
      </x:c>
      <x:c r="H1039" s="9" t="str">
        <x:v>未开播标记隐藏</x:v>
      </x:c>
      <x:c r="I1039" s="9" t="str">
        <x:v>1. 执行角色为有效粉丝团成员；当前处于我的粉丝团页面
2. 卡片所属主播未开播</x:v>
      </x:c>
      <x:c r="J1039" s="9" t="str">
        <x:v>1. 查看直播标记</x:v>
      </x:c>
      <x:c r="K1039" s="9" t="str">
        <x:v>不显示直播标记</x:v>
      </x:c>
      <x:c r="L1039" s="10" t="str"/>
      <x:c r="M1039" s="10" t="str">
        <x:v>未测</x:v>
      </x:c>
      <x:c r="N1039" s="10" t="str"/>
      <x:c r="O1039" s="9" t="str">
        <x:v>1. 来源（当前证据）：liveshow-proto/MainBasis/统一需求文档.md；位置：行1092、行1086
2. 规则：BR-8ae7cf95221c4e6d
3. 未动态验证</x:v>
      </x:c>
    </x:row>
    <x:row r="1040" ht="85" customHeight="1">
      <x:c r="A1040" s="10" t="n">
        <x:v>1039</x:v>
      </x:c>
      <x:c r="B1040" s="10" t="str">
        <x:v>USER-05-0189</x:v>
      </x:c>
      <x:c r="C1040" s="10" t="str">
        <x:v>我的</x:v>
      </x:c>
      <x:c r="D1040" s="10" t="str">
        <x:v>我的粉丝团（有效粉丝团成员视角）</x:v>
      </x:c>
      <x:c r="E1040" s="10" t="str">
        <x:v>功能需求</x:v>
      </x:c>
      <x:c r="F1040" s="10" t="str">
        <x:v>P2</x:v>
      </x:c>
      <x:c r="G1040" s="9" t="str">
        <x:v>验证卡片群聊入口</x:v>
      </x:c>
      <x:c r="H1040" s="9" t="str">
        <x:v>粉丝群跳转对象</x:v>
      </x:c>
      <x:c r="I1040" s="9" t="str">
        <x:v>1. 执行角色为有效粉丝团成员；当前处于我的粉丝团页面
2. 当前团籍有效</x:v>
      </x:c>
      <x:c r="J1040" s="9" t="str">
        <x:v>1. 点击群聊</x:v>
      </x:c>
      <x:c r="K1040" s="9" t="str">
        <x:v>进入该卡片对应粉丝群</x:v>
      </x:c>
      <x:c r="L1040" s="10" t="str"/>
      <x:c r="M1040" s="10" t="str">
        <x:v>未测</x:v>
      </x:c>
      <x:c r="N1040" s="10" t="str"/>
      <x:c r="O1040" s="9" t="str">
        <x:v>1. 来源（当前证据）：liveshow-proto/MainBasis/统一需求文档.md；位置：行1093、行1105、行1086
2. 规则：BR-a55bcdf917903c35
3. 未动态验证</x:v>
      </x:c>
    </x:row>
    <x:row r="1041" ht="85" customHeight="1">
      <x:c r="A1041" s="10" t="n">
        <x:v>1040</x:v>
      </x:c>
      <x:c r="B1041" s="10" t="str">
        <x:v>USER-05-0190</x:v>
      </x:c>
      <x:c r="C1041" s="10" t="str">
        <x:v>我的</x:v>
      </x:c>
      <x:c r="D1041" s="10" t="str">
        <x:v>我的粉丝团（有效粉丝团成员视角）</x:v>
      </x:c>
      <x:c r="E1041" s="10" t="str">
        <x:v>功能需求</x:v>
      </x:c>
      <x:c r="F1041" s="10" t="str">
        <x:v>P2</x:v>
      </x:c>
      <x:c r="G1041" s="9" t="str">
        <x:v>验证卡片贡献行进入本周榜</x:v>
      </x:c>
      <x:c r="H1041" s="9" t="str">
        <x:v>团卡贡献榜去向</x:v>
      </x:c>
      <x:c r="I1041" s="9" t="str">
        <x:v>1. 执行角色为有效粉丝团成员；当前处于我的粉丝团页面
2. 当前团籍有效</x:v>
      </x:c>
      <x:c r="J1041" s="9" t="str">
        <x:v>1. 点击贡献榜整行</x:v>
      </x:c>
      <x:c r="K1041" s="9" t="str">
        <x:v>进入当前主播粉丝团本周贡献榜</x:v>
      </x:c>
      <x:c r="L1041" s="10" t="str"/>
      <x:c r="M1041" s="10" t="str">
        <x:v>未测</x:v>
      </x:c>
      <x:c r="N1041" s="10" t="str"/>
      <x:c r="O1041" s="9" t="str">
        <x:v>1. 来源（当前证据）：liveshow-proto/MainBasis/统一需求文档.md；位置：行1105、行1086
2. 规则：BR-3b4d6c1e6c581147
3. 未动态验证</x:v>
      </x:c>
    </x:row>
    <x:row r="1042" ht="85" customHeight="1">
      <x:c r="A1042" s="10" t="n">
        <x:v>1041</x:v>
      </x:c>
      <x:c r="B1042" s="10" t="str">
        <x:v>USER-05-0191</x:v>
      </x:c>
      <x:c r="C1042" s="10" t="str">
        <x:v>我的</x:v>
      </x:c>
      <x:c r="D1042" s="10" t="str">
        <x:v>我的粉丝团（有效粉丝团成员视角）</x:v>
      </x:c>
      <x:c r="E1042" s="10" t="str">
        <x:v>功能需求</x:v>
      </x:c>
      <x:c r="F1042" s="10" t="str">
        <x:v>P1</x:v>
      </x:c>
      <x:c r="G1042" s="9" t="str">
        <x:v>验证退团历史总贡献保留</x:v>
      </x:c>
      <x:c r="H1042" s="9" t="str">
        <x:v>资产数值</x:v>
      </x:c>
      <x:c r="I1042" s="9" t="str">
        <x:v>1. 执行角色为有效粉丝团成员；当前处于我的粉丝团页面
2. 入团前10、入团中20、退团期间30、重新入团后40金币成功贡献</x:v>
      </x:c>
      <x:c r="J1042" s="9" t="str">
        <x:v>1. 查看总贡献</x:v>
      </x:c>
      <x:c r="K1042" s="9" t="str">
        <x:v>总贡献为100（计算结果 = 100 金币）</x:v>
      </x:c>
      <x:c r="L1042" s="10" t="str"/>
      <x:c r="M1042" s="10" t="str">
        <x:v>未测</x:v>
      </x:c>
      <x:c r="N1042" s="10" t="str"/>
      <x:c r="O1042" s="9" t="str">
        <x:v>1. 来源（当前证据）：liveshow-proto/MainBasis/统一需求文档.md；位置：行1096、行1100、行1086
2. 规则：BR-842e45d0b9d1dc07
3. 未动态验证</x:v>
      </x:c>
    </x:row>
    <x:row r="1043" ht="85" customHeight="1">
      <x:c r="A1043" s="10" t="n">
        <x:v>1042</x:v>
      </x:c>
      <x:c r="B1043" s="10" t="str">
        <x:v>USER-05-0192</x:v>
      </x:c>
      <x:c r="C1043" s="10" t="str">
        <x:v>我的</x:v>
      </x:c>
      <x:c r="D1043" s="10" t="str">
        <x:v>我的粉丝团（有效粉丝团成员视角）</x:v>
      </x:c>
      <x:c r="E1043" s="10" t="str">
        <x:v>功能需求</x:v>
      </x:c>
      <x:c r="F1043" s="10" t="str">
        <x:v>P1</x:v>
      </x:c>
      <x:c r="G1043" s="9" t="str">
        <x:v>验证重新入团不恢复个人等级</x:v>
      </x:c>
      <x:c r="H1043" s="9" t="str">
        <x:v>数据保持</x:v>
      </x:c>
      <x:c r="I1043" s="9" t="str">
        <x:v>1. 执行角色为有效粉丝团成员；当前处于我的粉丝团页面
2. 之前粉丝等级高于0；已退团后重新入团且没有新贡献</x:v>
      </x:c>
      <x:c r="J1043" s="9" t="str">
        <x:v>1. 查看个人粉丝等级</x:v>
      </x:c>
      <x:c r="K1043" s="9" t="str">
        <x:v>本次从0开始，不恢复旧等级</x:v>
      </x:c>
      <x:c r="L1043" s="10" t="str"/>
      <x:c r="M1043" s="10" t="str">
        <x:v>未测</x:v>
      </x:c>
      <x:c r="N1043" s="10" t="str"/>
      <x:c r="O1043" s="9" t="str">
        <x:v>1. 来源（当前证据）：liveshow-proto/MainBasis/统一需求文档.md；位置：行1094、行1100、行1086
2. 规则：BR-100bfa3194a17fe2
3. 未动态验证</x:v>
      </x:c>
    </x:row>
    <x:row r="1044" ht="85" customHeight="1">
      <x:c r="A1044" s="10" t="n">
        <x:v>1043</x:v>
      </x:c>
      <x:c r="B1044" s="10" t="str">
        <x:v>USER-05-0193</x:v>
      </x:c>
      <x:c r="C1044" s="10" t="str">
        <x:v>我的</x:v>
      </x:c>
      <x:c r="D1044" s="10" t="str">
        <x:v>我的粉丝团（有效粉丝团成员视角）</x:v>
      </x:c>
      <x:c r="E1044" s="10" t="str">
        <x:v>功能需求</x:v>
      </x:c>
      <x:c r="F1044" s="10" t="str">
        <x:v>P1</x:v>
      </x:c>
      <x:c r="G1044" s="9" t="str">
        <x:v>验证团等级与个人等级独立</x:v>
      </x:c>
      <x:c r="H1044" s="9" t="str">
        <x:v>团等级与个人等级区分</x:v>
      </x:c>
      <x:c r="I1044" s="9" t="str">
        <x:v>1. 执行角色为有效粉丝团成员；当前处于我的粉丝团页面
2. 团整体等级10，个人粉丝等级5</x:v>
      </x:c>
      <x:c r="J1044" s="9" t="str">
        <x:v>1. 查看卡片等级</x:v>
      </x:c>
      <x:c r="K1044" s="9" t="str">
        <x:v>分别显示团Lv.10及个人粉丝等级5</x:v>
      </x:c>
      <x:c r="L1044" s="10" t="str"/>
      <x:c r="M1044" s="10" t="str">
        <x:v>未测</x:v>
      </x:c>
      <x:c r="N1044" s="10" t="str"/>
      <x:c r="O1044" s="9" t="str">
        <x:v>1. 来源（当前证据）：liveshow-proto/MainBasis/统一需求文档.md；位置：行1090、行1101、行1086
2. 规则：BR-ee3b9ade793cc913
3. 未动态验证</x:v>
      </x:c>
    </x:row>
    <x:row r="1045" ht="85" customHeight="1">
      <x:c r="A1045" s="10" t="n">
        <x:v>1044</x:v>
      </x:c>
      <x:c r="B1045" s="10" t="str">
        <x:v>USER-05-0194</x:v>
      </x:c>
      <x:c r="C1045" s="10" t="str">
        <x:v>我的</x:v>
      </x:c>
      <x:c r="D1045" s="10" t="str">
        <x:v>我的粉丝团（有效粉丝团成员视角）</x:v>
      </x:c>
      <x:c r="E1045" s="10" t="str">
        <x:v>功能需求</x:v>
      </x:c>
      <x:c r="F1045" s="10" t="str">
        <x:v>P1</x:v>
      </x:c>
      <x:c r="G1045" s="9" t="str">
        <x:v>验证充值退款不降低团等级</x:v>
      </x:c>
      <x:c r="H1045" s="9" t="str">
        <x:v>充值退款等级保持</x:v>
      </x:c>
      <x:c r="I1045" s="9" t="str">
        <x:v>1. 执行角色为有效粉丝团成员；当前处于我的粉丝团页面
2. 真实礼物已完成；来源充值随后退款</x:v>
      </x:c>
      <x:c r="J1045" s="9" t="str">
        <x:v>1. 查看团等级及个人粉丝等级</x:v>
      </x:c>
      <x:c r="K1045" s="9" t="str">
        <x:v>两类等级不因该充值退款下降</x:v>
      </x:c>
      <x:c r="L1045" s="10" t="str"/>
      <x:c r="M1045" s="10" t="str">
        <x:v>未测</x:v>
      </x:c>
      <x:c r="N1045" s="10" t="str"/>
      <x:c r="O1045" s="9" t="str">
        <x:v>1. 来源（当前证据）：liveshow-proto/MainBasis/统一需求文档.md；位置：行1101、行1086
2. 规则：BR-34edb2da0b365cc7
3. 未动态验证</x:v>
      </x:c>
    </x:row>
    <x:row r="1046" ht="85" customHeight="1">
      <x:c r="A1046" s="10" t="n">
        <x:v>1045</x:v>
      </x:c>
      <x:c r="B1046" s="10" t="str">
        <x:v>USER-05-0195</x:v>
      </x:c>
      <x:c r="C1046" s="10" t="str">
        <x:v>我的</x:v>
      </x:c>
      <x:c r="D1046" s="10" t="str">
        <x:v>我的粉丝团（有效粉丝团成员视角）</x:v>
      </x:c>
      <x:c r="E1046" s="10" t="str">
        <x:v>功能需求</x:v>
      </x:c>
      <x:c r="F1046" s="10" t="str">
        <x:v>P2</x:v>
      </x:c>
      <x:c r="G1046" s="9" t="str">
        <x:v>验证只有自己时头像保留</x:v>
      </x:c>
      <x:c r="H1046" s="9" t="str">
        <x:v>本人头像保底</x:v>
      </x:c>
      <x:c r="I1046" s="9" t="str">
        <x:v>1. 执行角色为有效粉丝团成员；当前处于我的粉丝团页面
2. 本周贡献榜当前仅自己一名有效团成员</x:v>
      </x:c>
      <x:c r="J1046" s="9" t="str">
        <x:v>1. 查看贡献榜头像</x:v>
      </x:c>
      <x:c r="K1046" s="9" t="str">
        <x:v>至少展示自己的头像</x:v>
      </x:c>
      <x:c r="L1046" s="10" t="str"/>
      <x:c r="M1046" s="10" t="str">
        <x:v>未测</x:v>
      </x:c>
      <x:c r="N1046" s="10" t="str"/>
      <x:c r="O1046" s="9" t="str">
        <x:v>1. 来源（当前证据）：liveshow-proto/MainBasis/统一需求文档.md；位置：行1097、行1086
2. 规则：BR-8e7da09c7e174b98
3. 未动态验证</x:v>
      </x:c>
    </x:row>
    <x:row r="1047" ht="85" customHeight="1">
      <x:c r="A1047" s="10" t="n">
        <x:v>1046</x:v>
      </x:c>
      <x:c r="B1047" s="10" t="str">
        <x:v>USER-05-0196</x:v>
      </x:c>
      <x:c r="C1047" s="10" t="str">
        <x:v>我的</x:v>
      </x:c>
      <x:c r="D1047" s="10" t="str">
        <x:v>贡献榜（有效粉丝团成员视角）</x:v>
      </x:c>
      <x:c r="E1047" s="10" t="str">
        <x:v>功能需求</x:v>
      </x:c>
      <x:c r="F1047" s="10" t="str">
        <x:v>P2</x:v>
      </x:c>
      <x:c r="G1047" s="9" t="str">
        <x:v>验证粉丝榜默认本月</x:v>
      </x:c>
      <x:c r="H1047" s="9" t="str">
        <x:v>粉丝榜初始周期</x:v>
      </x:c>
      <x:c r="I1047" s="9" t="str">
        <x:v>1. 执行角色为有效粉丝团成员；当前处于贡献榜页面
2. 通过普通贡献榜入口进入而非卡片明确本周入口</x:v>
      </x:c>
      <x:c r="J1047" s="9" t="str">
        <x:v>1. 查看周期</x:v>
      </x:c>
      <x:c r="K1047" s="9" t="str">
        <x:v>默认本月</x:v>
      </x:c>
      <x:c r="L1047" s="10" t="str"/>
      <x:c r="M1047" s="10" t="str">
        <x:v>未测</x:v>
      </x:c>
      <x:c r="N1047" s="10" t="str"/>
      <x:c r="O1047" s="9" t="str">
        <x:v>1. 来源（当前证据）：liveshow-proto/MainBasis/统一需求文档.md；位置：行1110、行1108
2. 规则：BR-a327eed3ac8e9428
3. 未动态验证</x:v>
      </x:c>
    </x:row>
    <x:row r="1048" ht="85" customHeight="1">
      <x:c r="A1048" s="10" t="n">
        <x:v>1047</x:v>
      </x:c>
      <x:c r="B1048" s="10" t="str">
        <x:v>USER-05-0197</x:v>
      </x:c>
      <x:c r="C1048" s="10" t="str">
        <x:v>我的</x:v>
      </x:c>
      <x:c r="D1048" s="10" t="str">
        <x:v>贡献榜（有效粉丝团成员视角）</x:v>
      </x:c>
      <x:c r="E1048" s="10" t="str">
        <x:v>功能需求</x:v>
      </x:c>
      <x:c r="F1048" s="10" t="str">
        <x:v>P1</x:v>
      </x:c>
      <x:c r="G1048" s="9" t="str">
        <x:v>验证本周期贡献不按入团截断</x:v>
      </x:c>
      <x:c r="H1048" s="9" t="str">
        <x:v>资产数值</x:v>
      </x:c>
      <x:c r="I1048" s="9" t="str">
        <x:v>1. 执行角色为有效粉丝团成员；当前处于贡献榜页面
2. 本月入团前送出100、入团后送出50；团籍当前有效</x:v>
      </x:c>
      <x:c r="J1048" s="9" t="str">
        <x:v>1. 选择本月
2. 查看个人贡献</x:v>
      </x:c>
      <x:c r="K1048" s="9" t="str">
        <x:v>本月贡献为150（计算结果 = 150 金币）</x:v>
      </x:c>
      <x:c r="L1048" s="10" t="str"/>
      <x:c r="M1048" s="10" t="str">
        <x:v>未测</x:v>
      </x:c>
      <x:c r="N1048" s="10" t="str"/>
      <x:c r="O1048" s="9" t="str">
        <x:v>1. 来源（当前证据）：liveshow-proto/MainBasis/统一需求文档.md；位置：行1118、行1111、行1108
2. 规则：BR-ac4552e2946de432
3. 未动态验证</x:v>
      </x:c>
    </x:row>
    <x:row r="1049" ht="85" customHeight="1">
      <x:c r="A1049" s="10" t="n">
        <x:v>1048</x:v>
      </x:c>
      <x:c r="B1049" s="10" t="str">
        <x:v>USER-05-0198</x:v>
      </x:c>
      <x:c r="C1049" s="10" t="str">
        <x:v>我的</x:v>
      </x:c>
      <x:c r="D1049" s="10" t="str">
        <x:v>贡献榜（有效粉丝团成员视角）</x:v>
      </x:c>
      <x:c r="E1049" s="10" t="str">
        <x:v>功能需求</x:v>
      </x:c>
      <x:c r="F1049" s="10" t="str">
        <x:v>P1</x:v>
      </x:c>
      <x:c r="G1049" s="9" t="str">
        <x:v>验证退团成员不展示</x:v>
      </x:c>
      <x:c r="H1049" s="9" t="str">
        <x:v>无效团籍过滤</x:v>
      </x:c>
      <x:c r="I1049" s="9" t="str">
        <x:v>1. 执行角色为有效粉丝团成员；当前处于贡献榜页面
2. A有历史贡献但已退团</x:v>
      </x:c>
      <x:c r="J1049" s="9" t="str">
        <x:v>1. 查看贡献榜</x:v>
      </x:c>
      <x:c r="K1049" s="9" t="str">
        <x:v>不展示A</x:v>
      </x:c>
      <x:c r="L1049" s="10" t="str"/>
      <x:c r="M1049" s="10" t="str">
        <x:v>未测</x:v>
      </x:c>
      <x:c r="N1049" s="10" t="str"/>
      <x:c r="O1049" s="9" t="str">
        <x:v>1. 来源（当前证据）：liveshow-proto/MainBasis/统一需求文档.md；位置：行1118、行1108
2. 规则：BR-2e0f8b84bb8a01f7
3. 未动态验证</x:v>
      </x:c>
    </x:row>
    <x:row r="1050" ht="85" customHeight="1">
      <x:c r="A1050" s="10" t="n">
        <x:v>1049</x:v>
      </x:c>
      <x:c r="B1050" s="10" t="str">
        <x:v>USER-05-0199</x:v>
      </x:c>
      <x:c r="C1050" s="10" t="str">
        <x:v>我的</x:v>
      </x:c>
      <x:c r="D1050" s="10" t="str">
        <x:v>贡献榜（有效粉丝团成员视角）</x:v>
      </x:c>
      <x:c r="E1050" s="10" t="str">
        <x:v>功能需求</x:v>
      </x:c>
      <x:c r="F1050" s="10" t="str">
        <x:v>P1</x:v>
      </x:c>
      <x:c r="G1050" s="9" t="str">
        <x:v>验证重新入团恢复周期贡献：重入团榜单资格</x:v>
      </x:c>
      <x:c r="H1050" s="9" t="str">
        <x:v>重入团榜单资格</x:v>
      </x:c>
      <x:c r="I1050" s="9" t="str">
        <x:v>1. 执行角色为有效粉丝团成员；当前处于贡献榜页面
2. A本周已贡献100后退团，现重入团且本周无新贡献</x:v>
      </x:c>
      <x:c r="J1050" s="9" t="str">
        <x:v>1. 选择本周
2. 查看A贡献</x:v>
      </x:c>
      <x:c r="K1050" s="9" t="str">
        <x:v>A重新出现在本周贡献榜</x:v>
      </x:c>
      <x:c r="L1050" s="10" t="str"/>
      <x:c r="M1050" s="10" t="str">
        <x:v>未测</x:v>
      </x:c>
      <x:c r="N1050" s="10" t="str"/>
      <x:c r="O1050" s="9" t="str">
        <x:v>1. 来源（当前证据）：liveshow-proto/MainBasis/统一需求文档.md；位置：行1118、行1108
2. 规则：BR-1a3a20b1c68a11ed
3. 未动态验证</x:v>
      </x:c>
    </x:row>
    <x:row r="1051" ht="85" customHeight="1">
      <x:c r="A1051" s="10" t="n">
        <x:v>1050</x:v>
      </x:c>
      <x:c r="B1051" s="10" t="str">
        <x:v>USER-05-0200</x:v>
      </x:c>
      <x:c r="C1051" s="10" t="str">
        <x:v>我的</x:v>
      </x:c>
      <x:c r="D1051" s="10" t="str">
        <x:v>贡献榜（有效粉丝团成员视角）</x:v>
      </x:c>
      <x:c r="E1051" s="10" t="str">
        <x:v>功能需求</x:v>
      </x:c>
      <x:c r="F1051" s="10" t="str">
        <x:v>P1</x:v>
      </x:c>
      <x:c r="G1051" s="9" t="str">
        <x:v>验证重新入团恢复周期贡献：周期贡献恢复</x:v>
      </x:c>
      <x:c r="H1051" s="9" t="str">
        <x:v>周期贡献恢复</x:v>
      </x:c>
      <x:c r="I1051" s="9" t="str">
        <x:v>1. 执行角色为有效粉丝团成员；当前处于贡献榜页面
2. A本周已贡献100后退团，现重入团且本周无新贡献</x:v>
      </x:c>
      <x:c r="J1051" s="9" t="str">
        <x:v>1. 选择本周
2. 查看A贡献</x:v>
      </x:c>
      <x:c r="K1051" s="9" t="str">
        <x:v>A本周贡献为100</x:v>
      </x:c>
      <x:c r="L1051" s="10" t="str"/>
      <x:c r="M1051" s="10" t="str">
        <x:v>未测</x:v>
      </x:c>
      <x:c r="N1051" s="10" t="str"/>
      <x:c r="O1051" s="9" t="str">
        <x:v>1. 来源（当前证据）：liveshow-proto/MainBasis/统一需求文档.md；位置：行1118、行1108
2. 规则：BR-c0adcb3627510fb6
3. 未动态验证</x:v>
      </x:c>
    </x:row>
    <x:row r="1052" ht="85" customHeight="1">
      <x:c r="A1052" s="10" t="n">
        <x:v>1051</x:v>
      </x:c>
      <x:c r="B1052" s="10" t="str">
        <x:v>USER-05-0201</x:v>
      </x:c>
      <x:c r="C1052" s="10" t="str">
        <x:v>我的</x:v>
      </x:c>
      <x:c r="D1052" s="10" t="str">
        <x:v>贡献榜（有效粉丝团成员视角）</x:v>
      </x:c>
      <x:c r="E1052" s="10" t="str">
        <x:v>功能需求</x:v>
      </x:c>
      <x:c r="F1052" s="10" t="str">
        <x:v>P2</x:v>
      </x:c>
      <x:c r="G1052" s="9" t="str">
        <x:v>验证贡献相同按粉丝等级</x:v>
      </x:c>
      <x:c r="H1052" s="9" t="str">
        <x:v>粉丝贡献同分排序</x:v>
      </x:c>
      <x:c r="I1052" s="9" t="str">
        <x:v>1. 执行角色为有效粉丝团成员；当前处于贡献榜页面
2. A、B贡献相同；A当前粉丝等级10，B5</x:v>
      </x:c>
      <x:c r="J1052" s="9" t="str">
        <x:v>1. 查看榜单</x:v>
      </x:c>
      <x:c r="K1052" s="9" t="str">
        <x:v>A在B之前</x:v>
      </x:c>
      <x:c r="L1052" s="10" t="str"/>
      <x:c r="M1052" s="10" t="str">
        <x:v>未测</x:v>
      </x:c>
      <x:c r="N1052" s="10" t="str"/>
      <x:c r="O1052" s="9" t="str">
        <x:v>1. 来源（当前证据）：liveshow-proto/MainBasis/统一需求文档.md；位置：行1112、行1108
2. 规则：BR-ee378aa0add9cf56
3. 未动态验证</x:v>
      </x:c>
    </x:row>
    <x:row r="1053" ht="85" customHeight="1">
      <x:c r="A1053" s="10" t="n">
        <x:v>1052</x:v>
      </x:c>
      <x:c r="B1053" s="10" t="str">
        <x:v>USER-05-0202</x:v>
      </x:c>
      <x:c r="C1053" s="10" t="str">
        <x:v>我的</x:v>
      </x:c>
      <x:c r="D1053" s="10" t="str">
        <x:v>贡献榜（有效粉丝团成员视角）</x:v>
      </x:c>
      <x:c r="E1053" s="10" t="str">
        <x:v>功能需求</x:v>
      </x:c>
      <x:c r="F1053" s="10" t="str">
        <x:v>P2</x:v>
      </x:c>
      <x:c r="G1053" s="9" t="str">
        <x:v>验证粉丝等级相同按财富等级</x:v>
      </x:c>
      <x:c r="H1053" s="9" t="str">
        <x:v>粉丝贡献同分排序</x:v>
      </x:c>
      <x:c r="I1053" s="9" t="str">
        <x:v>1. 执行角色为有效粉丝团成员；当前处于贡献榜页面
2. A、B贡献与粉丝等级相同；A财富等级10、B5</x:v>
      </x:c>
      <x:c r="J1053" s="9" t="str">
        <x:v>1. 查看榜单</x:v>
      </x:c>
      <x:c r="K1053" s="9" t="str">
        <x:v>A在B之前</x:v>
      </x:c>
      <x:c r="L1053" s="10" t="str"/>
      <x:c r="M1053" s="10" t="str">
        <x:v>未测</x:v>
      </x:c>
      <x:c r="N1053" s="10" t="str"/>
      <x:c r="O1053" s="9" t="str">
        <x:v>1. 来源（当前证据）：liveshow-proto/MainBasis/统一需求文档.md；位置：行1112、行1108
2. 规则：BR-648b85d69493b7fc
3. 未动态验证</x:v>
      </x:c>
    </x:row>
    <x:row r="1054" ht="85" customHeight="1">
      <x:c r="A1054" s="10" t="n">
        <x:v>1053</x:v>
      </x:c>
      <x:c r="B1054" s="10" t="str">
        <x:v>USER-05-0203</x:v>
      </x:c>
      <x:c r="C1054" s="10" t="str">
        <x:v>我的</x:v>
      </x:c>
      <x:c r="D1054" s="10" t="str">
        <x:v>贡献榜（有效粉丝团成员视角）</x:v>
      </x:c>
      <x:c r="E1054" s="10" t="str">
        <x:v>功能需求</x:v>
      </x:c>
      <x:c r="F1054" s="10" t="str">
        <x:v>P2</x:v>
      </x:c>
      <x:c r="G1054" s="9" t="str">
        <x:v>验证完全同值按数字ID</x:v>
      </x:c>
      <x:c r="H1054" s="9" t="str">
        <x:v>粉丝贡献同分排序</x:v>
      </x:c>
      <x:c r="I1054" s="9" t="str">
        <x:v>1. 执行角色为有效粉丝团成员；当前处于贡献榜页面
2. A、B贡献及两类等级相同；A的ID数字9、B为10</x:v>
      </x:c>
      <x:c r="J1054" s="9" t="str">
        <x:v>1. 查看榜单</x:v>
      </x:c>
      <x:c r="K1054" s="9" t="str">
        <x:v>A在B之前且无并列</x:v>
      </x:c>
      <x:c r="L1054" s="10" t="str"/>
      <x:c r="M1054" s="10" t="str">
        <x:v>未测</x:v>
      </x:c>
      <x:c r="N1054" s="10" t="str"/>
      <x:c r="O1054" s="9" t="str">
        <x:v>1. 来源（当前证据）：liveshow-proto/MainBasis/统一需求文档.md；位置：行1112、行1108
2. 规则：BR-7c32bf40a90c8d21
3. 未动态验证</x:v>
      </x:c>
    </x:row>
    <x:row r="1055" ht="85" customHeight="1">
      <x:c r="A1055" s="10" t="n">
        <x:v>1054</x:v>
      </x:c>
      <x:c r="B1055" s="10" t="str">
        <x:v>USER-05-0204</x:v>
      </x:c>
      <x:c r="C1055" s="10" t="str">
        <x:v>我的</x:v>
      </x:c>
      <x:c r="D1055" s="10" t="str">
        <x:v>贡献榜（有效粉丝团成员视角）</x:v>
      </x:c>
      <x:c r="E1055" s="10" t="str">
        <x:v>功能需求</x:v>
      </x:c>
      <x:c r="F1055" s="10" t="str">
        <x:v>P2</x:v>
      </x:c>
      <x:c r="G1055" s="9" t="str">
        <x:v>验证第99名同分完整排序：第99名保留</x:v>
      </x:c>
      <x:c r="H1055" s="9" t="str">
        <x:v>第99名保留</x:v>
      </x:c>
      <x:c r="I1055" s="9" t="str">
        <x:v>1. 执行角色为有效粉丝团成员；当前处于贡献榜页面
2. 有100个有效成员；第99及100贡献相同；其余条件排定A为99、B为100</x:v>
      </x:c>
      <x:c r="J1055" s="9" t="str">
        <x:v>1. 查看榜单末尾</x:v>
      </x:c>
      <x:c r="K1055" s="9" t="str">
        <x:v>A为第99名</x:v>
      </x:c>
      <x:c r="L1055" s="10" t="str"/>
      <x:c r="M1055" s="10" t="str">
        <x:v>未测</x:v>
      </x:c>
      <x:c r="N1055" s="10" t="str"/>
      <x:c r="O1055" s="9" t="str">
        <x:v>1. 来源（当前证据）：liveshow-proto/MainBasis/统一需求文档.md；位置：行1113、行1108
2. 规则：BR-f5e015df8be9cc0c
3. 未动态验证</x:v>
      </x:c>
    </x:row>
    <x:row r="1056" ht="85" customHeight="1">
      <x:c r="A1056" s="10" t="n">
        <x:v>1055</x:v>
      </x:c>
      <x:c r="B1056" s="10" t="str">
        <x:v>USER-05-0205</x:v>
      </x:c>
      <x:c r="C1056" s="10" t="str">
        <x:v>我的</x:v>
      </x:c>
      <x:c r="D1056" s="10" t="str">
        <x:v>贡献榜（有效粉丝团成员视角）</x:v>
      </x:c>
      <x:c r="E1056" s="10" t="str">
        <x:v>功能需求</x:v>
      </x:c>
      <x:c r="F1056" s="10" t="str">
        <x:v>P2</x:v>
      </x:c>
      <x:c r="G1056" s="9" t="str">
        <x:v>验证第99名同分完整排序：第100名排除</x:v>
      </x:c>
      <x:c r="H1056" s="9" t="str">
        <x:v>第100名排除</x:v>
      </x:c>
      <x:c r="I1056" s="9" t="str">
        <x:v>1. 执行角色为有效粉丝团成员；当前处于贡献榜页面
2. 有100个有效成员；第99及100贡献相同；其余条件排定A为99、B为100</x:v>
      </x:c>
      <x:c r="J1056" s="9" t="str">
        <x:v>1. 查看榜单末尾</x:v>
      </x:c>
      <x:c r="K1056" s="9" t="str">
        <x:v>榜单不展示B</x:v>
      </x:c>
      <x:c r="L1056" s="10" t="str"/>
      <x:c r="M1056" s="10" t="str">
        <x:v>未测</x:v>
      </x:c>
      <x:c r="N1056" s="10" t="str"/>
      <x:c r="O1056" s="9" t="str">
        <x:v>1. 来源（当前证据）：liveshow-proto/MainBasis/统一需求文档.md；位置：行1113、行1108
2. 规则：BR-74e5faa4d05e20c4
3. 未动态验证</x:v>
      </x:c>
    </x:row>
    <x:row r="1057" ht="85" customHeight="1">
      <x:c r="A1057" s="10" t="n">
        <x:v>1056</x:v>
      </x:c>
      <x:c r="B1057" s="10" t="str">
        <x:v>USER-05-0206</x:v>
      </x:c>
      <x:c r="C1057" s="10" t="str">
        <x:v>我的</x:v>
      </x:c>
      <x:c r="D1057" s="10" t="str">
        <x:v>贡献榜（有效粉丝团成员视角）</x:v>
      </x:c>
      <x:c r="E1057" s="10" t="str">
        <x:v>功能需求</x:v>
      </x:c>
      <x:c r="F1057" s="10" t="str">
        <x:v>P2</x:v>
      </x:c>
      <x:c r="G1057" s="9" t="str">
        <x:v>验证我的排名固定底部</x:v>
      </x:c>
      <x:c r="H1057" s="9" t="str">
        <x:v>本人排名固定区域</x:v>
      </x:c>
      <x:c r="I1057" s="9" t="str">
        <x:v>1. 执行角色为有效粉丝团成员；当前处于贡献榜页面
2. 榜单超过一屏且本账号有排名</x:v>
      </x:c>
      <x:c r="J1057" s="9" t="str">
        <x:v>1. 滚动榜单</x:v>
      </x:c>
      <x:c r="K1057" s="9" t="str">
        <x:v>我的排名和贡献仍固定在底部</x:v>
      </x:c>
      <x:c r="L1057" s="10" t="str"/>
      <x:c r="M1057" s="10" t="str">
        <x:v>未测</x:v>
      </x:c>
      <x:c r="N1057" s="10" t="str"/>
      <x:c r="O1057" s="9" t="str">
        <x:v>1. 来源（当前证据）：liveshow-proto/MainBasis/统一需求文档.md；位置：行1114、行1108
2. 规则：BR-5a3dcbbd949f70d3
3. 未动态验证</x:v>
      </x:c>
    </x:row>
    <x:row r="1058" ht="85" customHeight="1">
      <x:c r="A1058" s="10" t="n">
        <x:v>1057</x:v>
      </x:c>
      <x:c r="B1058" s="10" t="str">
        <x:v>USER-05-0207</x:v>
      </x:c>
      <x:c r="C1058" s="10" t="str">
        <x:v>我的</x:v>
      </x:c>
      <x:c r="D1058" s="10" t="str">
        <x:v>贡献榜（有效粉丝团成员视角）</x:v>
      </x:c>
      <x:c r="E1058" s="10" t="str">
        <x:v>功能需求</x:v>
      </x:c>
      <x:c r="F1058" s="10" t="str">
        <x:v>P1</x:v>
      </x:c>
      <x:c r="G1058" s="9" t="str">
        <x:v>验证幸运返奖不扣贡献</x:v>
      </x:c>
      <x:c r="H1058" s="9" t="str">
        <x:v>幸运礼物贡献保留</x:v>
      </x:c>
      <x:c r="I1058" s="9" t="str">
        <x:v>1. 执行角色为有效粉丝团成员；当前处于贡献榜页面
2. 本周期向该主播送出100金币幸运礼物且获返奖</x:v>
      </x:c>
      <x:c r="J1058" s="9" t="str">
        <x:v>1. 查看本周期贡献</x:v>
      </x:c>
      <x:c r="K1058" s="9" t="str">
        <x:v>该笔贡献仍为100</x:v>
      </x:c>
      <x:c r="L1058" s="10" t="str"/>
      <x:c r="M1058" s="10" t="str">
        <x:v>未测</x:v>
      </x:c>
      <x:c r="N1058" s="10" t="str"/>
      <x:c r="O1058" s="9" t="str">
        <x:v>1. 来源（当前证据）：liveshow-proto/MainBasis/统一需求文档.md；位置：行1111、行1108
2. 规则：BR-2ff5ad3c0b3bb5a7
3. 未动态验证</x:v>
      </x:c>
    </x:row>
    <x:row r="1059" ht="85" customHeight="1">
      <x:c r="A1059" s="10" t="n">
        <x:v>1058</x:v>
      </x:c>
      <x:c r="B1059" s="10" t="str">
        <x:v>USER-05-0208</x:v>
      </x:c>
      <x:c r="C1059" s="10" t="str">
        <x:v>我的</x:v>
      </x:c>
      <x:c r="D1059" s="10" t="str">
        <x:v>贡献榜（有效粉丝团成员视角）</x:v>
      </x:c>
      <x:c r="E1059" s="10" t="str">
        <x:v>功能需求</x:v>
      </x:c>
      <x:c r="F1059" s="10" t="str">
        <x:v>P1</x:v>
      </x:c>
      <x:c r="G1059" s="9" t="str">
        <x:v>验证失败撤销礼物不计贡献</x:v>
      </x:c>
      <x:c r="H1059" s="9" t="str">
        <x:v>无效赠送贡献排除</x:v>
      </x:c>
      <x:c r="I1059" s="9" t="str">
        <x:v>1. 执行角色为有效粉丝团成员；当前处于贡献榜页面
2. 本周期只有失败及撤销礼物记录</x:v>
      </x:c>
      <x:c r="J1059" s="9" t="str">
        <x:v>1. 查看个人贡献</x:v>
      </x:c>
      <x:c r="K1059" s="9" t="str">
        <x:v>个人有效贡献为0</x:v>
      </x:c>
      <x:c r="L1059" s="10" t="str"/>
      <x:c r="M1059" s="10" t="str">
        <x:v>未测</x:v>
      </x:c>
      <x:c r="N1059" s="10" t="str"/>
      <x:c r="O1059" s="9" t="str">
        <x:v>1. 来源（当前证据）：liveshow-proto/MainBasis/统一需求文档.md；位置：行1116、行1108
2. 规则：BR-0c23799663f12f7a
3. 未动态验证</x:v>
      </x:c>
    </x:row>
    <x:row r="1060" ht="85" customHeight="1">
      <x:c r="A1060" s="10" t="n">
        <x:v>1059</x:v>
      </x:c>
      <x:c r="B1060" s="10" t="str">
        <x:v>USER-05-0209</x:v>
      </x:c>
      <x:c r="C1060" s="10" t="str">
        <x:v>我的</x:v>
      </x:c>
      <x:c r="D1060" s="10" t="str">
        <x:v>贡献榜（有效粉丝团成员视角）</x:v>
      </x:c>
      <x:c r="E1060" s="10" t="str">
        <x:v>功能需求</x:v>
      </x:c>
      <x:c r="F1060" s="10" t="str">
        <x:v>P2</x:v>
      </x:c>
      <x:c r="G1060" s="9" t="str">
        <x:v>验证榜单账号主页</x:v>
      </x:c>
      <x:c r="H1060" s="9" t="str">
        <x:v>榜单账号跳转对象</x:v>
      </x:c>
      <x:c r="I1060" s="9" t="str">
        <x:v>1. 执行角色为有效粉丝团成员；当前处于贡献榜页面
2. 目标成员A未注销且可访问</x:v>
      </x:c>
      <x:c r="J1060" s="9" t="str">
        <x:v>1. 点击A</x:v>
      </x:c>
      <x:c r="K1060" s="9" t="str">
        <x:v>进入A主页</x:v>
      </x:c>
      <x:c r="L1060" s="10" t="str"/>
      <x:c r="M1060" s="10" t="str">
        <x:v>未测</x:v>
      </x:c>
      <x:c r="N1060" s="10" t="str"/>
      <x:c r="O1060" s="9" t="str">
        <x:v>1. 来源（当前证据）：liveshow-proto/MainBasis/统一需求文档.md；位置：行1119、行1108
2. 规则：BR-25d85058928a997b
3. 未动态验证</x:v>
      </x:c>
    </x:row>
    <x:row r="1061" ht="85" customHeight="1">
      <x:c r="A1061" s="10" t="n">
        <x:v>1060</x:v>
      </x:c>
      <x:c r="B1061" s="10" t="str">
        <x:v>USER-05-0210</x:v>
      </x:c>
      <x:c r="C1061" s="10" t="str">
        <x:v>我的</x:v>
      </x:c>
      <x:c r="D1061" s="10" t="str">
        <x:v>贡献榜（有效粉丝团成员视角）</x:v>
      </x:c>
      <x:c r="E1061" s="10" t="str">
        <x:v>功能需求</x:v>
      </x:c>
      <x:c r="F1061" s="10" t="str">
        <x:v>P2</x:v>
      </x:c>
      <x:c r="G1061" s="9" t="str">
        <x:v>验证粉丝榜切换本周</x:v>
      </x:c>
      <x:c r="H1061" s="9" t="str">
        <x:v>贡献榜统计周期切换</x:v>
      </x:c>
      <x:c r="I1061" s="9" t="str">
        <x:v>1. 执行角色为有效粉丝团成员；当前处于贡献榜页面
2. 本周有独立的已知贡献数据</x:v>
      </x:c>
      <x:c r="J1061" s="9" t="str">
        <x:v>1. 选择本周</x:v>
      </x:c>
      <x:c r="K1061" s="9" t="str">
        <x:v>前三名、榜单和我的排名同步按所选周期更新</x:v>
      </x:c>
      <x:c r="L1061" s="10" t="str"/>
      <x:c r="M1061" s="10" t="str">
        <x:v>未测</x:v>
      </x:c>
      <x:c r="N1061" s="10" t="str"/>
      <x:c r="O1061" s="9" t="str">
        <x:v>1. 来源（当前证据）：liveshow-proto/MainBasis/统一需求文档.md；位置：行1119、行1108
2. 规则：BR-30d5d5a2b5579ebb
3. 未动态验证</x:v>
      </x:c>
    </x:row>
    <x:row r="1062" ht="85" customHeight="1">
      <x:c r="A1062" s="10" t="n">
        <x:v>1061</x:v>
      </x:c>
      <x:c r="B1062" s="10" t="str">
        <x:v>USER-05-0211</x:v>
      </x:c>
      <x:c r="C1062" s="10" t="str">
        <x:v>我的</x:v>
      </x:c>
      <x:c r="D1062" s="10" t="str">
        <x:v>贡献榜（有效粉丝团成员视角）</x:v>
      </x:c>
      <x:c r="E1062" s="10" t="str">
        <x:v>功能需求</x:v>
      </x:c>
      <x:c r="F1062" s="10" t="str">
        <x:v>P2</x:v>
      </x:c>
      <x:c r="G1062" s="9" t="str">
        <x:v>验证粉丝榜切换本月</x:v>
      </x:c>
      <x:c r="H1062" s="9" t="str">
        <x:v>贡献榜统计周期切换</x:v>
      </x:c>
      <x:c r="I1062" s="9" t="str">
        <x:v>1. 执行角色为有效粉丝团成员；当前处于贡献榜页面
2. 本月有独立的已知贡献数据</x:v>
      </x:c>
      <x:c r="J1062" s="9" t="str">
        <x:v>1. 选择本月</x:v>
      </x:c>
      <x:c r="K1062" s="9" t="str">
        <x:v>前三名、榜单和我的排名同步按所选周期更新</x:v>
      </x:c>
      <x:c r="L1062" s="10" t="str"/>
      <x:c r="M1062" s="10" t="str">
        <x:v>未测</x:v>
      </x:c>
      <x:c r="N1062" s="10" t="str"/>
      <x:c r="O1062" s="9" t="str">
        <x:v>1. 来源（当前证据）：liveshow-proto/MainBasis/统一需求文档.md；位置：行1119、行1108
2. 规则：BR-5d2b35d4db0e0114
3. 未动态验证</x:v>
      </x:c>
    </x:row>
    <x:row r="1063" ht="85" customHeight="1">
      <x:c r="A1063" s="10" t="n">
        <x:v>1062</x:v>
      </x:c>
      <x:c r="B1063" s="10" t="str">
        <x:v>USER-05-0212</x:v>
      </x:c>
      <x:c r="C1063" s="10" t="str">
        <x:v>我的</x:v>
      </x:c>
      <x:c r="D1063" s="10" t="str">
        <x:v>贡献榜（有效粉丝团成员视角）</x:v>
      </x:c>
      <x:c r="E1063" s="10" t="str">
        <x:v>功能需求</x:v>
      </x:c>
      <x:c r="F1063" s="10" t="str">
        <x:v>P2</x:v>
      </x:c>
      <x:c r="G1063" s="9" t="str">
        <x:v>验证粉丝榜切换累计</x:v>
      </x:c>
      <x:c r="H1063" s="9" t="str">
        <x:v>贡献榜统计周期切换</x:v>
      </x:c>
      <x:c r="I1063" s="9" t="str">
        <x:v>1. 执行角色为有效粉丝团成员；当前处于贡献榜页面
2. 累计有独立的已知贡献数据</x:v>
      </x:c>
      <x:c r="J1063" s="9" t="str">
        <x:v>1. 选择累计</x:v>
      </x:c>
      <x:c r="K1063" s="9" t="str">
        <x:v>前三名、榜单和我的排名同步按所选周期更新</x:v>
      </x:c>
      <x:c r="L1063" s="10" t="str"/>
      <x:c r="M1063" s="10" t="str">
        <x:v>未测</x:v>
      </x:c>
      <x:c r="N1063" s="10" t="str"/>
      <x:c r="O1063" s="9" t="str">
        <x:v>1. 来源（当前证据）：liveshow-proto/MainBasis/统一需求文档.md；位置：行1119、行1108
2. 规则：BR-cd262aa676be0871
3. 未动态验证</x:v>
      </x:c>
    </x:row>
    <x:row r="1064" ht="85" customHeight="1">
      <x:c r="A1064" s="10" t="n">
        <x:v>1063</x:v>
      </x:c>
      <x:c r="B1064" s="10" t="str">
        <x:v>USER-05-0213</x:v>
      </x:c>
      <x:c r="C1064" s="10" t="str">
        <x:v>我的</x:v>
      </x:c>
      <x:c r="D1064" s="10" t="str">
        <x:v>我的（运营账号视角）</x:v>
      </x:c>
      <x:c r="E1064" s="10" t="str">
        <x:v>功能需求</x:v>
      </x:c>
      <x:c r="F1064" s="10" t="str">
        <x:v>P1</x:v>
      </x:c>
      <x:c r="G1064" s="9" t="str">
        <x:v>验证运营账号我的充值限制</x:v>
      </x:c>
      <x:c r="H1064" s="9" t="str">
        <x:v>运营账号充值拦截提示</x:v>
      </x:c>
      <x:c r="I1064" s="9" t="str">
        <x:v>1. 执行角色为运营账号；当前处于我的页面</x:v>
      </x:c>
      <x:c r="J1064" s="9" t="str">
        <x:v>1. 点击充值</x:v>
      </x:c>
      <x:c r="K1064" s="9" t="str">
        <x:v>提示“运营账号无法操作”</x:v>
      </x:c>
      <x:c r="L1064" s="10" t="str"/>
      <x:c r="M1064" s="10" t="str">
        <x:v>未测</x:v>
      </x:c>
      <x:c r="N1064" s="10" t="str"/>
      <x:c r="O1064" s="9" t="str">
        <x:v>1. 来源（当前证据）：liveshow-proto/MainBasis/统一需求文档.md；位置：行511、行677
2. 规则：BR-c1751407f908179b
3. 未动态验证</x:v>
      </x:c>
    </x:row>
    <x:row r="1065" ht="85" customHeight="1">
      <x:c r="A1065" s="10" t="n">
        <x:v>1064</x:v>
      </x:c>
      <x:c r="B1065" s="10" t="str">
        <x:v>USER-05-0214</x:v>
      </x:c>
      <x:c r="C1065" s="10" t="str">
        <x:v>我的</x:v>
      </x:c>
      <x:c r="D1065" s="10" t="str">
        <x:v>我的（运营账号视角）</x:v>
      </x:c>
      <x:c r="E1065" s="10" t="str">
        <x:v>功能需求</x:v>
      </x:c>
      <x:c r="F1065" s="10" t="str">
        <x:v>P1</x:v>
      </x:c>
      <x:c r="G1065" s="9" t="str">
        <x:v>验证运营账号我的我的装扮限制</x:v>
      </x:c>
      <x:c r="H1065" s="9" t="str">
        <x:v>运营账号装扮拦截提示</x:v>
      </x:c>
      <x:c r="I1065" s="9" t="str">
        <x:v>1. 执行角色为运营账号；当前处于我的页面</x:v>
      </x:c>
      <x:c r="J1065" s="9" t="str">
        <x:v>1. 点击我的装扮</x:v>
      </x:c>
      <x:c r="K1065" s="9" t="str">
        <x:v>提示“运营账号无法操作”</x:v>
      </x:c>
      <x:c r="L1065" s="10" t="str"/>
      <x:c r="M1065" s="10" t="str">
        <x:v>未测</x:v>
      </x:c>
      <x:c r="N1065" s="10" t="str"/>
      <x:c r="O1065" s="9" t="str">
        <x:v>1. 来源（当前证据）：liveshow-proto/MainBasis/统一需求文档.md；位置：行511、行677
2. 规则：BR-fefe96774c74e7fc
3. 未动态验证</x:v>
      </x:c>
    </x:row>
    <x:row r="1066" ht="85" customHeight="1">
      <x:c r="A1066" s="10" t="n">
        <x:v>1065</x:v>
      </x:c>
      <x:c r="B1066" s="10" t="str">
        <x:v>USER-05-0215</x:v>
      </x:c>
      <x:c r="C1066" s="10" t="str">
        <x:v>我的</x:v>
      </x:c>
      <x:c r="D1066" s="10" t="str">
        <x:v>我的（运营账号视角）</x:v>
      </x:c>
      <x:c r="E1066" s="10" t="str">
        <x:v>功能需求</x:v>
      </x:c>
      <x:c r="F1066" s="10" t="str">
        <x:v>P1</x:v>
      </x:c>
      <x:c r="G1066" s="9" t="str">
        <x:v>验证运营账号我的我的粉丝团限制</x:v>
      </x:c>
      <x:c r="H1066" s="9" t="str">
        <x:v>运营账号团籍拦截提示</x:v>
      </x:c>
      <x:c r="I1066" s="9" t="str">
        <x:v>1. 执行角色为运营账号；当前处于我的页面</x:v>
      </x:c>
      <x:c r="J1066" s="9" t="str">
        <x:v>1. 点击我的粉丝团</x:v>
      </x:c>
      <x:c r="K1066" s="9" t="str">
        <x:v>提示“运营账号无法操作”</x:v>
      </x:c>
      <x:c r="L1066" s="10" t="str"/>
      <x:c r="M1066" s="10" t="str">
        <x:v>未测</x:v>
      </x:c>
      <x:c r="N1066" s="10" t="str"/>
      <x:c r="O1066" s="9" t="str">
        <x:v>1. 来源（当前证据）：liveshow-proto/MainBasis/统一需求文档.md；位置：行511、行677
2. 规则：BR-339b9fd107041bc1
3. 未动态验证</x:v>
      </x:c>
    </x:row>
    <x:row r="1067" ht="85" customHeight="1">
      <x:c r="A1067" s="10" t="n">
        <x:v>1066</x:v>
      </x:c>
      <x:c r="B1067" s="10" t="str">
        <x:v>USER-05-0216</x:v>
      </x:c>
      <x:c r="C1067" s="10" t="str">
        <x:v>我的</x:v>
      </x:c>
      <x:c r="D1067" s="10" t="str">
        <x:v>我的（运营账号视角）</x:v>
      </x:c>
      <x:c r="E1067" s="10" t="str">
        <x:v>功能需求</x:v>
      </x:c>
      <x:c r="F1067" s="10" t="str">
        <x:v>P1</x:v>
      </x:c>
      <x:c r="G1067" s="9" t="str">
        <x:v>验证运营账号我的邀请奖励限制</x:v>
      </x:c>
      <x:c r="H1067" s="9" t="str">
        <x:v>运营账号邀请拦截提示</x:v>
      </x:c>
      <x:c r="I1067" s="9" t="str">
        <x:v>1. 执行角色为运营账号；当前处于我的页面</x:v>
      </x:c>
      <x:c r="J1067" s="9" t="str">
        <x:v>1. 点击邀请奖励</x:v>
      </x:c>
      <x:c r="K1067" s="9" t="str">
        <x:v>提示“运营账号无法操作”</x:v>
      </x:c>
      <x:c r="L1067" s="10" t="str"/>
      <x:c r="M1067" s="10" t="str">
        <x:v>未测</x:v>
      </x:c>
      <x:c r="N1067" s="10" t="str"/>
      <x:c r="O1067" s="9" t="str">
        <x:v>1. 来源（当前证据）：liveshow-proto/MainBasis/统一需求文档.md；位置：行511、行677
2. 规则：BR-6aba9b00247a559d
3. 未动态验证</x:v>
      </x:c>
    </x:row>
    <x:row r="1068" ht="85" customHeight="1">
      <x:c r="A1068" s="10" t="n">
        <x:v>1067</x:v>
      </x:c>
      <x:c r="B1068" s="10" t="str">
        <x:v>USER-05-0217</x:v>
      </x:c>
      <x:c r="C1068" s="10" t="str">
        <x:v>我的</x:v>
      </x:c>
      <x:c r="D1068" s="10" t="str">
        <x:v>我的（运营账号视角）</x:v>
      </x:c>
      <x:c r="E1068" s="10" t="str">
        <x:v>功能需求</x:v>
      </x:c>
      <x:c r="F1068" s="10" t="str">
        <x:v>P1</x:v>
      </x:c>
      <x:c r="G1068" s="9" t="str">
        <x:v>验证运营账号我的开播限制</x:v>
      </x:c>
      <x:c r="H1068" s="9" t="str">
        <x:v>运营账号开播拦截提示</x:v>
      </x:c>
      <x:c r="I1068" s="9" t="str">
        <x:v>1. 执行角色为运营账号；当前处于我的页面</x:v>
      </x:c>
      <x:c r="J1068" s="9" t="str">
        <x:v>1. 点击开播</x:v>
      </x:c>
      <x:c r="K1068" s="9" t="str">
        <x:v>提示“运营账号无法操作”</x:v>
      </x:c>
      <x:c r="L1068" s="10" t="str"/>
      <x:c r="M1068" s="10" t="str">
        <x:v>未测</x:v>
      </x:c>
      <x:c r="N1068" s="10" t="str"/>
      <x:c r="O1068" s="9" t="str">
        <x:v>1. 来源（当前证据）：liveshow-proto/MainBasis/统一需求文档.md；位置：行511、行677
2. 规则：BR-044871467e790435
3. 未动态验证</x:v>
      </x:c>
    </x:row>
    <x:row r="1069" ht="85" customHeight="1">
      <x:c r="A1069" s="10" t="n">
        <x:v>1068</x:v>
      </x:c>
      <x:c r="B1069" s="10" t="str">
        <x:v>USER-05-0218</x:v>
      </x:c>
      <x:c r="C1069" s="10" t="str">
        <x:v>我的</x:v>
      </x:c>
      <x:c r="D1069" s="10" t="str">
        <x:v>我的（运营账号视角）</x:v>
      </x:c>
      <x:c r="E1069" s="10" t="str">
        <x:v>功能需求</x:v>
      </x:c>
      <x:c r="F1069" s="10" t="str">
        <x:v>P1</x:v>
      </x:c>
      <x:c r="G1069" s="9" t="str">
        <x:v>验证运营账号我的主播中心限制</x:v>
      </x:c>
      <x:c r="H1069" s="9" t="str">
        <x:v>运营账号主播中心拦截提示</x:v>
      </x:c>
      <x:c r="I1069" s="9" t="str">
        <x:v>1. 执行角色为运营账号；当前处于我的页面</x:v>
      </x:c>
      <x:c r="J1069" s="9" t="str">
        <x:v>1. 点击主播中心</x:v>
      </x:c>
      <x:c r="K1069" s="9" t="str">
        <x:v>提示“运营账号无法操作”</x:v>
      </x:c>
      <x:c r="L1069" s="10" t="str"/>
      <x:c r="M1069" s="10" t="str">
        <x:v>未测</x:v>
      </x:c>
      <x:c r="N1069" s="10" t="str"/>
      <x:c r="O1069" s="9" t="str">
        <x:v>1. 来源（当前证据）：liveshow-proto/MainBasis/统一需求文档.md；位置：行511、行677
2. 规则：BR-7725724bfc837472
3. 未动态验证</x:v>
      </x:c>
    </x:row>
    <x:row r="1070" ht="85" customHeight="1">
      <x:c r="A1070" s="10" t="n">
        <x:v>1069</x:v>
      </x:c>
      <x:c r="B1070" s="10" t="str">
        <x:v>USER-05-0219</x:v>
      </x:c>
      <x:c r="C1070" s="10" t="str">
        <x:v>我的</x:v>
      </x:c>
      <x:c r="D1070" s="10" t="str">
        <x:v>我的（运营账号视角）</x:v>
      </x:c>
      <x:c r="E1070" s="10" t="str">
        <x:v>功能需求</x:v>
      </x:c>
      <x:c r="F1070" s="10" t="str">
        <x:v>P1</x:v>
      </x:c>
      <x:c r="G1070" s="9" t="str">
        <x:v>验证运营账号我的公会中心限制</x:v>
      </x:c>
      <x:c r="H1070" s="9" t="str">
        <x:v>运营账号公会中心拦截提示</x:v>
      </x:c>
      <x:c r="I1070" s="9" t="str">
        <x:v>1. 执行角色为运营账号；当前处于我的页面</x:v>
      </x:c>
      <x:c r="J1070" s="9" t="str">
        <x:v>1. 点击公会中心</x:v>
      </x:c>
      <x:c r="K1070" s="9" t="str">
        <x:v>提示“运营账号无法操作”</x:v>
      </x:c>
      <x:c r="L1070" s="10" t="str"/>
      <x:c r="M1070" s="10" t="str">
        <x:v>未测</x:v>
      </x:c>
      <x:c r="N1070" s="10" t="str"/>
      <x:c r="O1070" s="9" t="str">
        <x:v>1. 来源（当前证据）：liveshow-proto/MainBasis/统一需求文档.md；位置：行511、行677
2. 规则：BR-fb25d580ee803e97
3. 未动态验证</x:v>
      </x:c>
    </x:row>
    <x:row r="1071" ht="115" customHeight="1">
      <x:c r="A1071" s="10" t="n">
        <x:v>1070</x:v>
      </x:c>
      <x:c r="B1071" s="10" t="str">
        <x:v>USER-01-0102</x:v>
      </x:c>
      <x:c r="C1071" s="10" t="str">
        <x:v>系统入口</x:v>
      </x:c>
      <x:c r="D1071" s="10" t="str">
        <x:v>注销冷静期（注销冷静期用户视角）</x:v>
      </x:c>
      <x:c r="E1071" s="10" t="str">
        <x:v>功能需求</x:v>
      </x:c>
      <x:c r="F1071" s="10" t="str">
        <x:v>P2</x:v>
      </x:c>
      <x:c r="G1071" s="9" t="str">
        <x:v>验证冷静期截止时间</x:v>
      </x:c>
      <x:c r="H1071" s="9" t="str">
        <x:v>注销截止时间展示</x:v>
      </x:c>
      <x:c r="I1071" s="9" t="str">
        <x:v>1. 执行角色为注销冷静期用户；当前处于注销冷静期页面
2. 账号可取消截止时刻为显示时区的2026年9月22日10时00分</x:v>
      </x:c>
      <x:c r="J1071" s="9" t="str">
        <x:v>1. 查看可取消截止时间</x:v>
      </x:c>
      <x:c r="K1071" s="9" t="str">
        <x:v>可取消截止时间表示2026年9月22日10时00分</x:v>
      </x:c>
      <x:c r="L1071" s="10" t="str"/>
      <x:c r="M1071" s="10" t="str">
        <x:v>未测</x:v>
      </x:c>
      <x:c r="N1071" s="10" t="str"/>
      <x:c r="O1071" s="9" t="str">
        <x:v>1. 来源（当前证据）：liveshow-proto/MainBasis/统一需求文档.md；位置：行1526、行1524
2. 规则：BR-ca80434f674d2211
3. 未动态验证
4. 仅验证截止时刻；显示格式由Q-050确认，不采用旧格式作为确定要求</x:v>
      </x:c>
    </x:row>
    <x:row r="1072" ht="85" customHeight="1">
      <x:c r="A1072" s="10" t="n">
        <x:v>1071</x:v>
      </x:c>
      <x:c r="B1072" s="10" t="str">
        <x:v>USER-01-0103</x:v>
      </x:c>
      <x:c r="C1072" s="10" t="str">
        <x:v>系统入口</x:v>
      </x:c>
      <x:c r="D1072" s="10" t="str">
        <x:v>注销冷静期（注销冷静期用户视角）</x:v>
      </x:c>
      <x:c r="E1072" s="10" t="str">
        <x:v>功能需求</x:v>
      </x:c>
      <x:c r="F1072" s="10" t="str">
        <x:v>P1</x:v>
      </x:c>
      <x:c r="G1072" s="9" t="str">
        <x:v>验证暂不取消留在登录：弹窗关闭反馈</x:v>
      </x:c>
      <x:c r="H1072" s="9" t="str">
        <x:v>弹窗关闭反馈</x:v>
      </x:c>
      <x:c r="I1072" s="9" t="str">
        <x:v>1. 执行角色为注销冷静期用户；当前处于注销冷静期页面
2. 冷静期弹窗已打开</x:v>
      </x:c>
      <x:c r="J1072" s="9" t="str">
        <x:v>1. 点击暂不取消</x:v>
      </x:c>
      <x:c r="K1072" s="9" t="str">
        <x:v>冷静期弹窗关闭</x:v>
      </x:c>
      <x:c r="L1072" s="10" t="str"/>
      <x:c r="M1072" s="10" t="str">
        <x:v>未测</x:v>
      </x:c>
      <x:c r="N1072" s="10" t="str"/>
      <x:c r="O1072" s="9" t="str">
        <x:v>1. 来源（当前证据）：liveshow-proto/MainBasis/统一需求文档.md；位置：行1527、行1531、行1524
2. 规则：BR-8f1cd7c640268729
3. 未动态验证</x:v>
      </x:c>
    </x:row>
    <x:row r="1073" ht="85" customHeight="1">
      <x:c r="A1073" s="10" t="n">
        <x:v>1072</x:v>
      </x:c>
      <x:c r="B1073" s="10" t="str">
        <x:v>USER-01-0104</x:v>
      </x:c>
      <x:c r="C1073" s="10" t="str">
        <x:v>系统入口</x:v>
      </x:c>
      <x:c r="D1073" s="10" t="str">
        <x:v>注销冷静期（注销冷静期用户视角）</x:v>
      </x:c>
      <x:c r="E1073" s="10" t="str">
        <x:v>功能需求</x:v>
      </x:c>
      <x:c r="F1073" s="10" t="str">
        <x:v>P1</x:v>
      </x:c>
      <x:c r="G1073" s="9" t="str">
        <x:v>验证暂不取消留在登录：暂不取消去向</x:v>
      </x:c>
      <x:c r="H1073" s="9" t="str">
        <x:v>暂不取消去向</x:v>
      </x:c>
      <x:c r="I1073" s="9" t="str">
        <x:v>1. 执行角色为注销冷静期用户；当前处于注销冷静期页面
2. 冷静期弹窗已打开</x:v>
      </x:c>
      <x:c r="J1073" s="9" t="str">
        <x:v>1. 点击暂不取消</x:v>
      </x:c>
      <x:c r="K1073" s="9" t="str">
        <x:v>停留登录与注册页</x:v>
      </x:c>
      <x:c r="L1073" s="10" t="str"/>
      <x:c r="M1073" s="10" t="str">
        <x:v>未测</x:v>
      </x:c>
      <x:c r="N1073" s="10" t="str"/>
      <x:c r="O1073" s="9" t="str">
        <x:v>1. 来源（当前证据）：liveshow-proto/MainBasis/统一需求文档.md；位置：行1527、行1531、行1524
2. 规则：BR-bd5075b0cbce92cc
3. 未动态验证</x:v>
      </x:c>
    </x:row>
    <x:row r="1074" ht="130" customHeight="1">
      <x:c r="A1074" s="10" t="n">
        <x:v>1073</x:v>
      </x:c>
      <x:c r="B1074" s="10" t="str">
        <x:v>USER-01-0105</x:v>
      </x:c>
      <x:c r="C1074" s="10" t="str">
        <x:v>系统入口</x:v>
      </x:c>
      <x:c r="D1074" s="10" t="str">
        <x:v>注销冷静期（注销冷静期用户视角）</x:v>
      </x:c>
      <x:c r="E1074" s="10" t="str">
        <x:v>功能需求</x:v>
      </x:c>
      <x:c r="F1074" s="10" t="str">
        <x:v>P1</x:v>
      </x:c>
      <x:c r="G1074" s="9" t="str">
        <x:v>验证取消注销直接登录</x:v>
      </x:c>
      <x:c r="H1074" s="9" t="str">
        <x:v>取消注销登录去向</x:v>
      </x:c>
      <x:c r="I1074" s="9" t="str">
        <x:v>1. 执行角色为注销冷静期用户；当前处于注销冷静期页面
2. 处于七日冷静期内</x:v>
      </x:c>
      <x:c r="J1074" s="9" t="str">
        <x:v>1. 点击取消注销</x:v>
      </x:c>
      <x:c r="K1074" s="9" t="str">
        <x:v>清除待注销状态并进入首页</x:v>
      </x:c>
      <x:c r="L1074" s="10" t="str">
        <x:v>FLOW-634569CC</x:v>
      </x:c>
      <x:c r="M1074" s="10" t="str">
        <x:v>未测</x:v>
      </x:c>
      <x:c r="N1074" s="10" t="str"/>
      <x:c r="O1074" s="9" t="str">
        <x:v>1. 来源（当前证据）：liveshow-proto/MainBasis/统一需求文档.md；位置：行1531、行1471、行1524
2. 规则：BR-84e4fbc30dfa0e4f
3. 未动态验证
4. 状态转换：ST-USER-005；共同业务对象：账号注销；当前阶段：取消注销后的用户App观察</x:v>
      </x:c>
    </x:row>
    <x:row r="1075" ht="85" customHeight="1">
      <x:c r="A1075" s="10" t="n">
        <x:v>1074</x:v>
      </x:c>
      <x:c r="B1075" s="10" t="str">
        <x:v>USER-01-0106</x:v>
      </x:c>
      <x:c r="C1075" s="10" t="str">
        <x:v>系统入口</x:v>
      </x:c>
      <x:c r="D1075" s="10" t="str">
        <x:v>注销冷静期（注销冷静期用户视角）</x:v>
      </x:c>
      <x:c r="E1075" s="10" t="str">
        <x:v>功能需求</x:v>
      </x:c>
      <x:c r="F1075" s="10" t="str">
        <x:v>P1</x:v>
      </x:c>
      <x:c r="G1075" s="9" t="str">
        <x:v>验证取消注销保留资产</x:v>
      </x:c>
      <x:c r="H1075" s="9" t="str">
        <x:v>资产数值</x:v>
      </x:c>
      <x:c r="I1075" s="9" t="str">
        <x:v>1. 执行角色为注销冷静期用户；当前处于注销冷静期页面
2. 注销前真实余额50且冷静期无其他资产变更</x:v>
      </x:c>
      <x:c r="J1075" s="9" t="str">
        <x:v>1. 点击取消注销
2. 进入我的页面</x:v>
      </x:c>
      <x:c r="K1075" s="9" t="str">
        <x:v>金币余额仍为50</x:v>
      </x:c>
      <x:c r="L1075" s="10" t="str"/>
      <x:c r="M1075" s="10" t="str">
        <x:v>未测</x:v>
      </x:c>
      <x:c r="N1075" s="10" t="str"/>
      <x:c r="O1075" s="9" t="str">
        <x:v>1. 来源（当前证据）：liveshow-proto/MainBasis/统一需求文档.md；位置：行1528、行1530、行1524
2. 规则：BR-31775894a6ddba72
3. 未动态验证</x:v>
      </x:c>
    </x:row>
    <x:row r="1076" ht="85" customHeight="1">
      <x:c r="A1076" s="10" t="n">
        <x:v>1075</x:v>
      </x:c>
      <x:c r="B1076" s="10" t="str">
        <x:v>USER-01-0107</x:v>
      </x:c>
      <x:c r="C1076" s="10" t="str">
        <x:v>系统入口</x:v>
      </x:c>
      <x:c r="D1076" s="10" t="str">
        <x:v>注销冷静期（注销冷静期用户视角）</x:v>
      </x:c>
      <x:c r="E1076" s="10" t="str">
        <x:v>功能需求</x:v>
      </x:c>
      <x:c r="F1076" s="10" t="str">
        <x:v>P1</x:v>
      </x:c>
      <x:c r="G1076" s="9" t="str">
        <x:v>验证取消注销保留好友</x:v>
      </x:c>
      <x:c r="H1076" s="9" t="str">
        <x:v>账号关系</x:v>
      </x:c>
      <x:c r="I1076" s="9" t="str">
        <x:v>1. 执行角色为注销冷静期用户；当前处于注销冷静期页面
2. 注销前与B为好友；冷静期双方未解除关系</x:v>
      </x:c>
      <x:c r="J1076" s="9" t="str">
        <x:v>1. 点击取消注销
2. 进入好友列表</x:v>
      </x:c>
      <x:c r="K1076" s="9" t="str">
        <x:v>B仍在好友列表</x:v>
      </x:c>
      <x:c r="L1076" s="10" t="str"/>
      <x:c r="M1076" s="10" t="str">
        <x:v>未测</x:v>
      </x:c>
      <x:c r="N1076" s="10" t="str"/>
      <x:c r="O1076" s="9" t="str">
        <x:v>1. 来源（当前证据）：liveshow-proto/MainBasis/统一需求文档.md；位置：行1530、行1524
2. 规则：BR-3fe022a0e3f496ac
3. 未动态验证</x:v>
      </x:c>
    </x:row>
    <x:row r="1077" ht="85" customHeight="1">
      <x:c r="A1077" s="10" t="n">
        <x:v>1076</x:v>
      </x:c>
      <x:c r="B1077" s="10" t="str">
        <x:v>USER-01-0108</x:v>
      </x:c>
      <x:c r="C1077" s="10" t="str">
        <x:v>系统入口</x:v>
      </x:c>
      <x:c r="D1077" s="10" t="str">
        <x:v>注销冷静期（注销冷静期用户视角）</x:v>
      </x:c>
      <x:c r="E1077" s="10" t="str">
        <x:v>功能需求</x:v>
      </x:c>
      <x:c r="F1077" s="10" t="str">
        <x:v>P1</x:v>
      </x:c>
      <x:c r="G1077" s="9" t="str">
        <x:v>验证取消注销保留聊天</x:v>
      </x:c>
      <x:c r="H1077" s="9" t="str">
        <x:v>历史聊天保留</x:v>
      </x:c>
      <x:c r="I1077" s="9" t="str">
        <x:v>1. 执行角色为注销冷静期用户；当前处于注销冷静期页面
2. 注销前与B有聊天QA历史；冷静期无删除或拉黑</x:v>
      </x:c>
      <x:c r="J1077" s="9" t="str">
        <x:v>1. 点击取消注销
2. 进入与B单聊</x:v>
      </x:c>
      <x:c r="K1077" s="9" t="str">
        <x:v>仍可查看QA历史聊天</x:v>
      </x:c>
      <x:c r="L1077" s="10" t="str"/>
      <x:c r="M1077" s="10" t="str">
        <x:v>未测</x:v>
      </x:c>
      <x:c r="N1077" s="10" t="str"/>
      <x:c r="O1077" s="9" t="str">
        <x:v>1. 来源（当前证据）：liveshow-proto/MainBasis/统一需求文档.md；位置：行1530、行1524
2. 规则：BR-b542040d0d3ab7bb
3. 未动态验证</x:v>
      </x:c>
    </x:row>
    <x:row r="1078" ht="130" customHeight="1">
      <x:c r="A1078" s="10" t="n">
        <x:v>1077</x:v>
      </x:c>
      <x:c r="B1078" s="10" t="str">
        <x:v>USER-04-0133</x:v>
      </x:c>
      <x:c r="C1078" s="10" t="str">
        <x:v>消息与社交</x:v>
      </x:c>
      <x:c r="D1078" s="10" t="str">
        <x:v>好友列表（已登录普通用户视角）</x:v>
      </x:c>
      <x:c r="E1078" s="10" t="str">
        <x:v>功能需求</x:v>
      </x:c>
      <x:c r="F1078" s="10" t="str">
        <x:v>P1</x:v>
      </x:c>
      <x:c r="G1078" s="9" t="str">
        <x:v>验证对方最终注销解除好友</x:v>
      </x:c>
      <x:c r="H1078" s="9" t="str">
        <x:v>账号关系</x:v>
      </x:c>
      <x:c r="I1078" s="9" t="str">
        <x:v>1. 执行角色为已登录普通用户；当前处于好友列表页面
2. 好友B已提交注销且七日未取消，现已到期</x:v>
      </x:c>
      <x:c r="J1078" s="9" t="str">
        <x:v>1. 刷新好友列表</x:v>
      </x:c>
      <x:c r="K1078" s="9" t="str">
        <x:v>好友B关系已解除</x:v>
      </x:c>
      <x:c r="L1078" s="10" t="str">
        <x:v>FLOW-634569CC</x:v>
      </x:c>
      <x:c r="M1078" s="10" t="str">
        <x:v>未测</x:v>
      </x:c>
      <x:c r="N1078" s="10" t="str"/>
      <x:c r="O1078" s="9" t="str">
        <x:v>1. 来源（当前证据）：liveshow-proto/MainBasis/统一需求文档.md；位置：行1529、行1461、行855
2. 规则：BR-f014b3f4f96f71ae
3. 未动态验证
4. 状态转换：ST-USER-006；共同业务对象：账号注销；当前阶段：七日届满后的用户App观察</x:v>
      </x:c>
    </x:row>
    <x:row r="1079" ht="85" customHeight="1">
      <x:c r="A1079" s="10" t="n">
        <x:v>1078</x:v>
      </x:c>
      <x:c r="B1079" s="10" t="str">
        <x:v>USER-05-0220</x:v>
      </x:c>
      <x:c r="C1079" s="10" t="str">
        <x:v>我的</x:v>
      </x:c>
      <x:c r="D1079" s="10" t="str">
        <x:v>我的粉丝团（原粉丝团成员视角）</x:v>
      </x:c>
      <x:c r="E1079" s="10" t="str">
        <x:v>功能需求</x:v>
      </x:c>
      <x:c r="F1079" s="10" t="str">
        <x:v>P1</x:v>
      </x:c>
      <x:c r="G1079" s="9" t="str">
        <x:v>验证主播最终注销解散粉丝团</x:v>
      </x:c>
      <x:c r="H1079" s="9" t="str">
        <x:v>账号关系</x:v>
      </x:c>
      <x:c r="I1079" s="9" t="str">
        <x:v>1. 执行角色为原粉丝团成员；当前处于我的粉丝团页面
2. 所属主播七日注销冷静期已满且未取消</x:v>
      </x:c>
      <x:c r="J1079" s="9" t="str">
        <x:v>1. 刷新我的粉丝团</x:v>
      </x:c>
      <x:c r="K1079" s="9" t="str">
        <x:v>该主播粉丝团卡片移除且群权限解除</x:v>
      </x:c>
      <x:c r="L1079" s="10" t="str"/>
      <x:c r="M1079" s="10" t="str">
        <x:v>未测</x:v>
      </x:c>
      <x:c r="N1079" s="10" t="str"/>
      <x:c r="O1079" s="9" t="str">
        <x:v>1. 来源（当前证据）：liveshow-proto/MainBasis/统一需求文档.md；位置：行1529、行1099、行1086
2. 规则：BR-4ce37f84aa56197f
3. 未动态验证</x:v>
      </x:c>
    </x:row>
    <x:row r="1080" ht="85" customHeight="1">
      <x:c r="A1080" s="10" t="n">
        <x:v>1079</x:v>
      </x:c>
      <x:c r="B1080" s="10" t="str">
        <x:v>USER-01-0109</x:v>
      </x:c>
      <x:c r="C1080" s="10" t="str">
        <x:v>系统入口</x:v>
      </x:c>
      <x:c r="D1080" s="10" t="str">
        <x:v>手机号登录（未登录普通用户视角）</x:v>
      </x:c>
      <x:c r="E1080" s="10" t="str">
        <x:v>功能需求</x:v>
      </x:c>
      <x:c r="F1080" s="10" t="str">
        <x:v>P1</x:v>
      </x:c>
      <x:c r="G1080" s="9" t="str">
        <x:v>验证手机号使用新设共同密码</x:v>
      </x:c>
      <x:c r="H1080" s="9" t="str">
        <x:v>凭证有效性</x:v>
      </x:c>
      <x:c r="I1080" s="9" t="str">
        <x:v>1. 执行角色为未登录普通用户；当前处于手机号登录页面
2. 当前账号同时绑定可用手机号与邮箱；刚设置共同密码QaNew123；协议已勾选</x:v>
      </x:c>
      <x:c r="J1080" s="9" t="str">
        <x:v>1. 切换密码登录
2. 输入已绑定手机号
3. 输入密码QaNew123
4. 点击继续</x:v>
      </x:c>
      <x:c r="K1080" s="9" t="str">
        <x:v>登录进入首页</x:v>
      </x:c>
      <x:c r="L1080" s="10" t="str"/>
      <x:c r="M1080" s="10" t="str">
        <x:v>未测</x:v>
      </x:c>
      <x:c r="N1080" s="10" t="str"/>
      <x:c r="O1080" s="9" t="str">
        <x:v>1. 来源（当前证据）：liveshow-proto/MainBasis/统一需求文档.md；位置：行1491、行1455、行1384
2. 规则：BR-19c0afbbf4bf1175
3. 未动态验证</x:v>
      </x:c>
    </x:row>
    <x:row r="1081" ht="85" customHeight="1">
      <x:c r="A1081" s="10" t="n">
        <x:v>1080</x:v>
      </x:c>
      <x:c r="B1081" s="10" t="str">
        <x:v>USER-01-0110</x:v>
      </x:c>
      <x:c r="C1081" s="10" t="str">
        <x:v>系统入口</x:v>
      </x:c>
      <x:c r="D1081" s="10" t="str">
        <x:v>邮箱登录（未登录普通用户视角）</x:v>
      </x:c>
      <x:c r="E1081" s="10" t="str">
        <x:v>功能需求</x:v>
      </x:c>
      <x:c r="F1081" s="10" t="str">
        <x:v>P1</x:v>
      </x:c>
      <x:c r="G1081" s="9" t="str">
        <x:v>验证邮箱使用新设共同密码</x:v>
      </x:c>
      <x:c r="H1081" s="9" t="str">
        <x:v>凭证有效性</x:v>
      </x:c>
      <x:c r="I1081" s="9" t="str">
        <x:v>1. 执行角色为未登录普通用户；当前处于邮箱登录页面
2. 当前账号同时绑定可用手机号与邮箱；刚设置共同密码QaNew123；协议已勾选</x:v>
      </x:c>
      <x:c r="J1081" s="9" t="str">
        <x:v>1. 切换密码登录
2. 输入已绑定邮箱
3. 输入密码QaNew123
4. 点击继续</x:v>
      </x:c>
      <x:c r="K1081" s="9" t="str">
        <x:v>登录进入首页</x:v>
      </x:c>
      <x:c r="L1081" s="10" t="str"/>
      <x:c r="M1081" s="10" t="str">
        <x:v>未测</x:v>
      </x:c>
      <x:c r="N1081" s="10" t="str"/>
      <x:c r="O1081" s="9" t="str">
        <x:v>1. 来源（当前证据）：liveshow-proto/MainBasis/统一需求文档.md；位置：行1491、行1455、行1413
2. 规则：BR-c7bb7cd8baf3e21c
3. 未动态验证</x:v>
      </x:c>
    </x:row>
    <x:row r="1082" ht="85" customHeight="1">
      <x:c r="A1082" s="10" t="n">
        <x:v>1081</x:v>
      </x:c>
      <x:c r="B1082" s="10" t="str">
        <x:v>USER-01-0111</x:v>
      </x:c>
      <x:c r="C1082" s="10" t="str">
        <x:v>系统入口</x:v>
      </x:c>
      <x:c r="D1082" s="10" t="str">
        <x:v>手机号登录（未登录普通用户视角）</x:v>
      </x:c>
      <x:c r="E1082" s="10" t="str">
        <x:v>异常用例</x:v>
      </x:c>
      <x:c r="F1082" s="10" t="str">
        <x:v>P1</x:v>
      </x:c>
      <x:c r="G1082" s="9" t="str">
        <x:v>验证修改后旧密码失效</x:v>
      </x:c>
      <x:c r="H1082" s="9" t="str">
        <x:v>凭证有效性</x:v>
      </x:c>
      <x:c r="I1082" s="9" t="str">
        <x:v>1. 执行角色为未登录普通用户；当前处于手机号登录页面
2. 密码已修改为QaNew123；原密码QaOld123；已输入账号且同意协议</x:v>
      </x:c>
      <x:c r="J1082" s="9" t="str">
        <x:v>1. 切换密码登录
2. 输入旧密码QaOld123
3. 点击继续</x:v>
      </x:c>
      <x:c r="K1082" s="9" t="str">
        <x:v>不能使用旧密码登录</x:v>
      </x:c>
      <x:c r="L1082" s="10" t="str"/>
      <x:c r="M1082" s="10" t="str">
        <x:v>未测</x:v>
      </x:c>
      <x:c r="N1082" s="10" t="str"/>
      <x:c r="O1082" s="9" t="str">
        <x:v>1. 来源（当前证据）：liveshow-proto/MainBasis/统一需求文档.md；位置：行1503、行1384
2. 规则：BR-44eba2dc64573f7f
3. 未动态验证</x:v>
      </x:c>
    </x:row>
    <x:row r="1083" ht="85" customHeight="1">
      <x:c r="A1083" s="10" t="n">
        <x:v>1082</x:v>
      </x:c>
      <x:c r="B1083" s="10" t="str">
        <x:v>USER-01-0112</x:v>
      </x:c>
      <x:c r="C1083" s="10" t="str">
        <x:v>系统入口</x:v>
      </x:c>
      <x:c r="D1083" s="10" t="str">
        <x:v>手机号登录（未登录普通用户视角）</x:v>
      </x:c>
      <x:c r="E1083" s="10" t="str">
        <x:v>业务流程</x:v>
      </x:c>
      <x:c r="F1083" s="10" t="str">
        <x:v>P1</x:v>
      </x:c>
      <x:c r="G1083" s="9" t="str">
        <x:v>验证修改后新密码生效</x:v>
      </x:c>
      <x:c r="H1083" s="9" t="str">
        <x:v>凭证有效性</x:v>
      </x:c>
      <x:c r="I1083" s="9" t="str">
        <x:v>1. 执行角色为未登录普通用户；当前处于手机号登录页面
2. 密码已修改为QaNew123；原密码QaOld123；已输入账号且同意协议</x:v>
      </x:c>
      <x:c r="J1083" s="9" t="str">
        <x:v>1. 切换密码登录
2. 输入新密码QaNew123
3. 点击继续</x:v>
      </x:c>
      <x:c r="K1083" s="9" t="str">
        <x:v>进入首页</x:v>
      </x:c>
      <x:c r="L1083" s="10" t="str"/>
      <x:c r="M1083" s="10" t="str">
        <x:v>未测</x:v>
      </x:c>
      <x:c r="N1083" s="10" t="str"/>
      <x:c r="O1083" s="9" t="str">
        <x:v>1. 来源（当前证据）：liveshow-proto/MainBasis/统一需求文档.md；位置：行1503、行1384
2. 规则：BR-bc31a462e17a5e70
3. 未动态验证</x:v>
      </x:c>
    </x:row>
    <x:row r="1084" ht="85" customHeight="1">
      <x:c r="A1084" s="10" t="n">
        <x:v>1083</x:v>
      </x:c>
      <x:c r="B1084" s="10" t="str">
        <x:v>USER-01-0113</x:v>
      </x:c>
      <x:c r="C1084" s="10" t="str">
        <x:v>系统入口</x:v>
      </x:c>
      <x:c r="D1084" s="10" t="str">
        <x:v>手机号登录（未登录普通用户视角）</x:v>
      </x:c>
      <x:c r="E1084" s="10" t="str">
        <x:v>异常用例</x:v>
      </x:c>
      <x:c r="F1084" s="10" t="str">
        <x:v>P1</x:v>
      </x:c>
      <x:c r="G1084" s="9" t="str">
        <x:v>验证重置后旧密码失效</x:v>
      </x:c>
      <x:c r="H1084" s="9" t="str">
        <x:v>凭证有效性</x:v>
      </x:c>
      <x:c r="I1084" s="9" t="str">
        <x:v>1. 执行角色为未登录普通用户；当前处于手机号登录页面
2. 密码已重置为QaNew123；原密码QaOld123；已输入账号且同意协议</x:v>
      </x:c>
      <x:c r="J1084" s="9" t="str">
        <x:v>1. 切换密码登录
2. 输入旧密码QaOld123
3. 点击继续</x:v>
      </x:c>
      <x:c r="K1084" s="9" t="str">
        <x:v>不能使用旧密码登录</x:v>
      </x:c>
      <x:c r="L1084" s="10" t="str"/>
      <x:c r="M1084" s="10" t="str">
        <x:v>未测</x:v>
      </x:c>
      <x:c r="N1084" s="10" t="str"/>
      <x:c r="O1084" s="9" t="str">
        <x:v>1. 来源（当前证据）：liveshow-proto/MainBasis/统一需求文档.md；位置：行1518、行1384
2. 规则：BR-7f134f71d3ca2c20
3. 未动态验证</x:v>
      </x:c>
    </x:row>
    <x:row r="1085" ht="85" customHeight="1">
      <x:c r="A1085" s="10" t="n">
        <x:v>1084</x:v>
      </x:c>
      <x:c r="B1085" s="10" t="str">
        <x:v>USER-01-0114</x:v>
      </x:c>
      <x:c r="C1085" s="10" t="str">
        <x:v>系统入口</x:v>
      </x:c>
      <x:c r="D1085" s="10" t="str">
        <x:v>手机号登录（未登录普通用户视角）</x:v>
      </x:c>
      <x:c r="E1085" s="10" t="str">
        <x:v>业务流程</x:v>
      </x:c>
      <x:c r="F1085" s="10" t="str">
        <x:v>P1</x:v>
      </x:c>
      <x:c r="G1085" s="9" t="str">
        <x:v>验证重置后新密码生效</x:v>
      </x:c>
      <x:c r="H1085" s="9" t="str">
        <x:v>凭证有效性</x:v>
      </x:c>
      <x:c r="I1085" s="9" t="str">
        <x:v>1. 执行角色为未登录普通用户；当前处于手机号登录页面
2. 密码已重置为QaNew123；原密码QaOld123；已输入账号且同意协议</x:v>
      </x:c>
      <x:c r="J1085" s="9" t="str">
        <x:v>1. 切换密码登录
2. 输入新密码QaNew123
3. 点击继续</x:v>
      </x:c>
      <x:c r="K1085" s="9" t="str">
        <x:v>进入首页</x:v>
      </x:c>
      <x:c r="L1085" s="10" t="str"/>
      <x:c r="M1085" s="10" t="str">
        <x:v>未测</x:v>
      </x:c>
      <x:c r="N1085" s="10" t="str"/>
      <x:c r="O1085" s="9" t="str">
        <x:v>1. 来源（当前证据）：liveshow-proto/MainBasis/统一需求文档.md；位置：行1518、行1384
2. 规则：BR-4cf335a65d4dfdc2
3. 未动态验证</x:v>
      </x:c>
    </x:row>
    <x:row r="1086" ht="85" customHeight="1">
      <x:c r="A1086" s="10" t="n">
        <x:v>1085</x:v>
      </x:c>
      <x:c r="B1086" s="10" t="str">
        <x:v>USER-01-0115</x:v>
      </x:c>
      <x:c r="C1086" s="10" t="str">
        <x:v>系统入口</x:v>
      </x:c>
      <x:c r="D1086" s="10" t="str">
        <x:v>登录与注册（未登录普通用户视角）</x:v>
      </x:c>
      <x:c r="E1086" s="10" t="str">
        <x:v>功能需求</x:v>
      </x:c>
      <x:c r="F1086" s="10" t="str">
        <x:v>P2</x:v>
      </x:c>
      <x:c r="G1086" s="9" t="str">
        <x:v>验证登录页无密码维护入口</x:v>
      </x:c>
      <x:c r="H1086" s="9" t="str">
        <x:v>密码维护入口可见性</x:v>
      </x:c>
      <x:c r="I1086" s="9" t="str">
        <x:v>1. 执行角色为未登录普通用户；当前处于登录与注册页面</x:v>
      </x:c>
      <x:c r="J1086" s="9" t="str">
        <x:v>1. 查看登录页入口</x:v>
      </x:c>
      <x:c r="K1086" s="9" t="str">
        <x:v>不提供设置密码、修改密码和忘记密码入口</x:v>
      </x:c>
      <x:c r="L1086" s="10" t="str"/>
      <x:c r="M1086" s="10" t="str">
        <x:v>未测</x:v>
      </x:c>
      <x:c r="N1086" s="10" t="str"/>
      <x:c r="O1086" s="9" t="str">
        <x:v>1. 来源（当前证据）：liveshow-proto/MainBasis/统一需求文档.md；位置：行1454、行1348
2. 规则：BR-59ab734bd37e26db
3. 未动态验证</x:v>
      </x:c>
    </x:row>
    <x:row r="1087" ht="160" customHeight="1">
      <x:c r="A1087" s="10" t="n">
        <x:v>1086</x:v>
      </x:c>
      <x:c r="B1087" s="10" t="str">
        <x:v>USER-01-0116</x:v>
      </x:c>
      <x:c r="C1087" s="10" t="str">
        <x:v>系统入口</x:v>
      </x:c>
      <x:c r="D1087" s="10" t="str">
        <x:v>登录与注册（未登录普通用户视角）</x:v>
      </x:c>
      <x:c r="E1087" s="10" t="str">
        <x:v>异常用例</x:v>
      </x:c>
      <x:c r="F1087" s="10" t="str">
        <x:v>P1</x:v>
      </x:c>
      <x:c r="G1087" s="9" t="str">
        <x:v>验证第三方未返回账号标识：无标识页面保持</x:v>
      </x:c>
      <x:c r="H1087" s="9" t="str">
        <x:v>无标识页面保持</x:v>
      </x:c>
      <x:c r="I1087" s="9" t="str">
        <x:v>1. 执行角色为未登录普通用户；当前处于登录与注册页面
2. 协议已勾选；Google授权返回成功但未取得有效账号标识
3. 环境准备要求（尚未具备）：需开发提供测试授权结果：授权状态成功，但平台账号标识为空；其余必要字段合法。不得用断网代替缺失标识</x:v>
      </x:c>
      <x:c r="J1087" s="9" t="str">
        <x:v>1. 点击Google登录
2. 确认第三方账号授权</x:v>
      </x:c>
      <x:c r="K1087" s="9" t="str">
        <x:v>停留登录页</x:v>
      </x:c>
      <x:c r="L1087" s="10" t="str"/>
      <x:c r="M1087" s="10" t="str">
        <x:v>未测</x:v>
      </x:c>
      <x:c r="N1087" s="10" t="str"/>
      <x:c r="O1087" s="9" t="str">
        <x:v>1. 来源（当前证据）：liveshow-proto/MainBasis/统一需求文档.md；位置：行1360、行1348
2. 规则：BR-75d2d6018ebefb82
3. 未动态验证
4. 环境待准备：Google授权结果中的平台账号标识；时点：授权成功结果交给应用账号识别逻辑之前；恢复：本条结束后撤销故障设置，恢复真实请求处理；使用新测试对象复跑正常路径，避免污染后续用例</x:v>
      </x:c>
    </x:row>
    <x:row r="1088" ht="85" customHeight="1">
      <x:c r="A1088" s="10" t="n">
        <x:v>1087</x:v>
      </x:c>
      <x:c r="B1088" s="10" t="str">
        <x:v>USER-01-0117</x:v>
      </x:c>
      <x:c r="C1088" s="10" t="str">
        <x:v>系统入口</x:v>
      </x:c>
      <x:c r="D1088" s="10" t="str">
        <x:v>选择国家/地区（未登录普通用户视角）</x:v>
      </x:c>
      <x:c r="E1088" s="10" t="str">
        <x:v>功能需求</x:v>
      </x:c>
      <x:c r="F1088" s="10" t="str">
        <x:v>P1</x:v>
      </x:c>
      <x:c r="G1088" s="9" t="str">
        <x:v>验证切换区号不改账号地区</x:v>
      </x:c>
      <x:c r="H1088" s="9" t="str">
        <x:v>账号地区保持</x:v>
      </x:c>
      <x:c r="I1088" s="9" t="str">
        <x:v>1. 执行角色为未登录普通用户；当前处于选择国家/地区页面
2. 账号资料地区为马来西亚</x:v>
      </x:c>
      <x:c r="J1088" s="9" t="str">
        <x:v>1. 选择印度尼西亚+62
2. 使用该账号有效凭证登录
3. 进入资料编辑</x:v>
      </x:c>
      <x:c r="K1088" s="9" t="str">
        <x:v>账号地区仍为马来西亚</x:v>
      </x:c>
      <x:c r="L1088" s="10" t="str"/>
      <x:c r="M1088" s="10" t="str">
        <x:v>未测</x:v>
      </x:c>
      <x:c r="N1088" s="10" t="str"/>
      <x:c r="O1088" s="9" t="str">
        <x:v>1. 来源（当前证据）：liveshow-proto/MainBasis/统一需求文档.md；位置：行1406、行1400
2. 规则：BR-6a00060e1d5d18fd
3. 未动态验证</x:v>
      </x:c>
    </x:row>
    <x:row r="1089" ht="85" customHeight="1">
      <x:c r="A1089" s="10" t="n">
        <x:v>1088</x:v>
      </x:c>
      <x:c r="B1089" s="10" t="str">
        <x:v>USER-05-0221</x:v>
      </x:c>
      <x:c r="C1089" s="10" t="str">
        <x:v>我的</x:v>
      </x:c>
      <x:c r="D1089" s="10" t="str">
        <x:v>设置（已登录普通用户视角）</x:v>
      </x:c>
      <x:c r="E1089" s="10" t="str">
        <x:v>功能需求</x:v>
      </x:c>
      <x:c r="F1089" s="10" t="str">
        <x:v>P2</x:v>
      </x:c>
      <x:c r="G1089" s="9" t="str">
        <x:v>验证首次语言默认印尼语</x:v>
      </x:c>
      <x:c r="H1089" s="9" t="str">
        <x:v>首次启动语言</x:v>
      </x:c>
      <x:c r="I1089" s="9" t="str">
        <x:v>1. 执行角色为已登录普通用户；当前处于设置页面
2. 当前没有保存过语言偏好</x:v>
      </x:c>
      <x:c r="J1089" s="9" t="str">
        <x:v>1. 查看语言设置</x:v>
      </x:c>
      <x:c r="K1089" s="9" t="str">
        <x:v>默认Bahasa Indonesia</x:v>
      </x:c>
      <x:c r="L1089" s="10" t="str"/>
      <x:c r="M1089" s="10" t="str">
        <x:v>未测</x:v>
      </x:c>
      <x:c r="N1089" s="10" t="str"/>
      <x:c r="O1089" s="9" t="str">
        <x:v>1. 来源（当前证据）：liveshow-proto/MainBasis/统一需求文档.md；位置：行1450、行1443
2. 规则：BR-790d00acc7a7071d
3. 未动态验证</x:v>
      </x:c>
    </x:row>
    <x:row r="1090" ht="85" customHeight="1">
      <x:c r="A1090" s="10" t="n">
        <x:v>1089</x:v>
      </x:c>
      <x:c r="B1090" s="10" t="str">
        <x:v>USER-05-0222</x:v>
      </x:c>
      <x:c r="C1090" s="10" t="str">
        <x:v>我的</x:v>
      </x:c>
      <x:c r="D1090" s="10" t="str">
        <x:v>我的（已登录普通用户视角）</x:v>
      </x:c>
      <x:c r="E1090" s="10" t="str">
        <x:v>功能需求</x:v>
      </x:c>
      <x:c r="F1090" s="10" t="str">
        <x:v>P2</x:v>
      </x:c>
      <x:c r="G1090" s="9" t="str">
        <x:v>验证粉丝数量入口</x:v>
      </x:c>
      <x:c r="H1090" s="9" t="str">
        <x:v>粉丝列表页面去向</x:v>
      </x:c>
      <x:c r="I1090" s="9" t="str">
        <x:v>1. 执行角色为已登录普通用户；当前处于我的页面</x:v>
      </x:c>
      <x:c r="J1090" s="9" t="str">
        <x:v>1. 点击粉丝数</x:v>
      </x:c>
      <x:c r="K1090" s="9" t="str">
        <x:v>进入粉丝列表</x:v>
      </x:c>
      <x:c r="L1090" s="10" t="str"/>
      <x:c r="M1090" s="10" t="str">
        <x:v>未测</x:v>
      </x:c>
      <x:c r="N1090" s="10" t="str"/>
      <x:c r="O1090" s="9" t="str">
        <x:v>1. 来源（当前证据）：liveshow-proto/MainBasis/统一需求文档.md；位置：行685、行677
2. 规则：BR-efd000bac186187e
3. 未动态验证</x:v>
      </x:c>
    </x:row>
    <x:row r="1091" ht="85" customHeight="1">
      <x:c r="A1091" s="10" t="n">
        <x:v>1090</x:v>
      </x:c>
      <x:c r="B1091" s="10" t="str">
        <x:v>USER-05-0223</x:v>
      </x:c>
      <x:c r="C1091" s="10" t="str">
        <x:v>我的</x:v>
      </x:c>
      <x:c r="D1091" s="10" t="str">
        <x:v>我的（已登录普通用户视角）</x:v>
      </x:c>
      <x:c r="E1091" s="10" t="str">
        <x:v>功能需求</x:v>
      </x:c>
      <x:c r="F1091" s="10" t="str">
        <x:v>P2</x:v>
      </x:c>
      <x:c r="G1091" s="9" t="str">
        <x:v>验证好友数量入口</x:v>
      </x:c>
      <x:c r="H1091" s="9" t="str">
        <x:v>好友列表页面去向</x:v>
      </x:c>
      <x:c r="I1091" s="9" t="str">
        <x:v>1. 执行角色为已登录普通用户；当前处于我的页面</x:v>
      </x:c>
      <x:c r="J1091" s="9" t="str">
        <x:v>1. 点击好友数</x:v>
      </x:c>
      <x:c r="K1091" s="9" t="str">
        <x:v>进入好友列表</x:v>
      </x:c>
      <x:c r="L1091" s="10" t="str"/>
      <x:c r="M1091" s="10" t="str">
        <x:v>未测</x:v>
      </x:c>
      <x:c r="N1091" s="10" t="str"/>
      <x:c r="O1091" s="9" t="str">
        <x:v>1. 来源（当前证据）：liveshow-proto/MainBasis/统一需求文档.md；位置：行685、行677
2. 规则：BR-0edf8452efeb963d
3. 未动态验证</x:v>
      </x:c>
    </x:row>
    <x:row r="1092" ht="85" customHeight="1">
      <x:c r="A1092" s="10" t="n">
        <x:v>1091</x:v>
      </x:c>
      <x:c r="B1092" s="10" t="str">
        <x:v>USER-05-0224</x:v>
      </x:c>
      <x:c r="C1092" s="10" t="str">
        <x:v>我的</x:v>
      </x:c>
      <x:c r="D1092" s="10" t="str">
        <x:v>我的（已登录普通用户视角）</x:v>
      </x:c>
      <x:c r="E1092" s="10" t="str">
        <x:v>功能需求</x:v>
      </x:c>
      <x:c r="F1092" s="10" t="str">
        <x:v>P1</x:v>
      </x:c>
      <x:c r="G1092" s="9" t="str">
        <x:v>验证非主播开播进入申请</x:v>
      </x:c>
      <x:c r="H1092" s="9" t="str">
        <x:v>非主播开播引导去向</x:v>
      </x:c>
      <x:c r="I1092" s="9" t="str">
        <x:v>1. 执行角色为已登录普通用户；当前处于我的页面
2. 当前没有主播身份</x:v>
      </x:c>
      <x:c r="J1092" s="9" t="str">
        <x:v>1. 点击开始直播</x:v>
      </x:c>
      <x:c r="K1092" s="9" t="str">
        <x:v>进入申请成为主播页</x:v>
      </x:c>
      <x:c r="L1092" s="10" t="str"/>
      <x:c r="M1092" s="10" t="str">
        <x:v>未测</x:v>
      </x:c>
      <x:c r="N1092" s="10" t="str"/>
      <x:c r="O1092" s="9" t="str">
        <x:v>1. 来源（当前证据）：liveshow-proto/MainBasis/统一需求文档.md；位置：行684、行693、行677
2. 规则：BR-44fb6d79a7e49c35
3. 未动态验证</x:v>
      </x:c>
    </x:row>
    <x:row r="1093" ht="85" customHeight="1">
      <x:c r="A1093" s="10" t="n">
        <x:v>1092</x:v>
      </x:c>
      <x:c r="B1093" s="10" t="str">
        <x:v>USER-05-0225</x:v>
      </x:c>
      <x:c r="C1093" s="10" t="str">
        <x:v>我的</x:v>
      </x:c>
      <x:c r="D1093" s="10" t="str">
        <x:v>我的（已登录普通用户视角）</x:v>
      </x:c>
      <x:c r="E1093" s="10" t="str">
        <x:v>功能需求</x:v>
      </x:c>
      <x:c r="F1093" s="10" t="str">
        <x:v>P1</x:v>
      </x:c>
      <x:c r="G1093" s="9" t="str">
        <x:v>验证非主播中心进入申请</x:v>
      </x:c>
      <x:c r="H1093" s="9" t="str">
        <x:v>非主播中心引导去向</x:v>
      </x:c>
      <x:c r="I1093" s="9" t="str">
        <x:v>1. 执行角色为已登录普通用户；当前处于我的页面
2. 当前没有主播身份</x:v>
      </x:c>
      <x:c r="J1093" s="9" t="str">
        <x:v>1. 点击主播中心</x:v>
      </x:c>
      <x:c r="K1093" s="9" t="str">
        <x:v>进入申请成为主播页</x:v>
      </x:c>
      <x:c r="L1093" s="10" t="str"/>
      <x:c r="M1093" s="10" t="str">
        <x:v>未测</x:v>
      </x:c>
      <x:c r="N1093" s="10" t="str"/>
      <x:c r="O1093" s="9" t="str">
        <x:v>1. 来源（当前证据）：liveshow-proto/MainBasis/统一需求文档.md；位置：行694、行677
2. 规则：BR-adc232aee4e713ee
3. 未动态验证</x:v>
      </x:c>
    </x:row>
    <x:row r="1094" ht="85" customHeight="1">
      <x:c r="A1094" s="10" t="n">
        <x:v>1093</x:v>
      </x:c>
      <x:c r="B1094" s="10" t="str">
        <x:v>USER-05-0226</x:v>
      </x:c>
      <x:c r="C1094" s="10" t="str">
        <x:v>我的</x:v>
      </x:c>
      <x:c r="D1094" s="10" t="str">
        <x:v>我的（已登录普通用户视角）</x:v>
      </x:c>
      <x:c r="E1094" s="10" t="str">
        <x:v>功能需求</x:v>
      </x:c>
      <x:c r="F1094" s="10" t="str">
        <x:v>P1</x:v>
      </x:c>
      <x:c r="G1094" s="9" t="str">
        <x:v>验证主播中心身份分流</x:v>
      </x:c>
      <x:c r="H1094" s="9" t="str">
        <x:v>主播工具页去向</x:v>
      </x:c>
      <x:c r="I1094" s="9" t="str">
        <x:v>1. 执行角色为已登录普通用户；当前处于我的页面
2. 当前已有主播身份</x:v>
      </x:c>
      <x:c r="J1094" s="9" t="str">
        <x:v>1. 点击主播中心</x:v>
      </x:c>
      <x:c r="K1094" s="9" t="str">
        <x:v>进入主播中心工具页</x:v>
      </x:c>
      <x:c r="L1094" s="10" t="str"/>
      <x:c r="M1094" s="10" t="str">
        <x:v>未测</x:v>
      </x:c>
      <x:c r="N1094" s="10" t="str"/>
      <x:c r="O1094" s="9" t="str">
        <x:v>1. 来源（当前证据）：liveshow-proto/MainBasis/统一需求文档.md；位置：行694、行677
2. 规则：BR-c8a124fe4a08b8b3
3. 未动态验证</x:v>
      </x:c>
    </x:row>
    <x:row r="1095" ht="85" customHeight="1">
      <x:c r="A1095" s="10" t="n">
        <x:v>1094</x:v>
      </x:c>
      <x:c r="B1095" s="10" t="str">
        <x:v>USER-07-0152</x:v>
      </x:c>
      <x:c r="C1095" s="10" t="str">
        <x:v>主播中心</x:v>
      </x:c>
      <x:c r="D1095" s="10" t="str">
        <x:v>主播中心（已认证主播视角）</x:v>
      </x:c>
      <x:c r="E1095" s="10" t="str">
        <x:v>功能需求</x:v>
      </x:c>
      <x:c r="F1095" s="10" t="str">
        <x:v>P1</x:v>
      </x:c>
      <x:c r="G1095" s="9" t="str">
        <x:v>验证平台关闭高于公会开启</x:v>
      </x:c>
      <x:c r="H1095" s="9" t="str">
        <x:v>入口可用性</x:v>
      </x:c>
      <x:c r="I1095" s="9" t="str">
        <x:v>1. 执行角色为已认证主播；当前处于主播中心页面
2. 平台直播权限关闭、公会权限开启</x:v>
      </x:c>
      <x:c r="J1095" s="9" t="str">
        <x:v>1. 点击开始直播</x:v>
      </x:c>
      <x:c r="K1095" s="9" t="str">
        <x:v>不能开播</x:v>
      </x:c>
      <x:c r="L1095" s="10" t="str"/>
      <x:c r="M1095" s="10" t="str">
        <x:v>未测</x:v>
      </x:c>
      <x:c r="N1095" s="10" t="str"/>
      <x:c r="O1095" s="9" t="str">
        <x:v>1. 来源（当前证据）：liveshow-proto/MainBasis/统一需求文档.md；位置：行502、行1122
2. 规则：BR-93a3b0d595c545fd
3. 未动态验证</x:v>
      </x:c>
    </x:row>
    <x:row r="1096" ht="85" customHeight="1">
      <x:c r="A1096" s="10" t="n">
        <x:v>1095</x:v>
      </x:c>
      <x:c r="B1096" s="10" t="str">
        <x:v>USER-07-0153</x:v>
      </x:c>
      <x:c r="C1096" s="10" t="str">
        <x:v>主播中心</x:v>
      </x:c>
      <x:c r="D1096" s="10" t="str">
        <x:v>主播中心（已认证主播视角）</x:v>
      </x:c>
      <x:c r="E1096" s="10" t="str">
        <x:v>功能需求</x:v>
      </x:c>
      <x:c r="F1096" s="10" t="str">
        <x:v>P1</x:v>
      </x:c>
      <x:c r="G1096" s="9" t="str">
        <x:v>验证未锁定采用公会关闭</x:v>
      </x:c>
      <x:c r="H1096" s="9" t="str">
        <x:v>入口可用性</x:v>
      </x:c>
      <x:c r="I1096" s="9" t="str">
        <x:v>1. 执行角色为已认证主播；当前处于主播中心页面
2. 平台开启未锁定、公会关闭</x:v>
      </x:c>
      <x:c r="J1096" s="9" t="str">
        <x:v>1. 点击开始直播</x:v>
      </x:c>
      <x:c r="K1096" s="9" t="str">
        <x:v>不能开播</x:v>
      </x:c>
      <x:c r="L1096" s="10" t="str"/>
      <x:c r="M1096" s="10" t="str">
        <x:v>未测</x:v>
      </x:c>
      <x:c r="N1096" s="10" t="str"/>
      <x:c r="O1096" s="9" t="str">
        <x:v>1. 来源（当前证据）：liveshow-proto/MainBasis/统一需求文档.md；位置：行502、行1122
2. 规则：BR-085f3ab98c686fac
3. 未动态验证</x:v>
      </x:c>
    </x:row>
    <x:row r="1097" ht="85" customHeight="1">
      <x:c r="A1097" s="10" t="n">
        <x:v>1096</x:v>
      </x:c>
      <x:c r="B1097" s="10" t="str">
        <x:v>USER-07-0154</x:v>
      </x:c>
      <x:c r="C1097" s="10" t="str">
        <x:v>主播中心</x:v>
      </x:c>
      <x:c r="D1097" s="10" t="str">
        <x:v>主播中心（已认证主播视角）</x:v>
      </x:c>
      <x:c r="E1097" s="10" t="str">
        <x:v>功能需求</x:v>
      </x:c>
      <x:c r="F1097" s="10" t="str">
        <x:v>P1</x:v>
      </x:c>
      <x:c r="G1097" s="9" t="str">
        <x:v>验证未锁定公会开启可播</x:v>
      </x:c>
      <x:c r="H1097" s="9" t="str">
        <x:v>公会启用开播去向</x:v>
      </x:c>
      <x:c r="I1097" s="9" t="str">
        <x:v>1. 执行角色为已认证主播；当前处于主播中心页面
2. 平台开启未锁定、公会开启，其他资格满足</x:v>
      </x:c>
      <x:c r="J1097" s="9" t="str">
        <x:v>1. 点击开始直播</x:v>
      </x:c>
      <x:c r="K1097" s="9" t="str">
        <x:v>进入开播设置</x:v>
      </x:c>
      <x:c r="L1097" s="10" t="str"/>
      <x:c r="M1097" s="10" t="str">
        <x:v>未测</x:v>
      </x:c>
      <x:c r="N1097" s="10" t="str"/>
      <x:c r="O1097" s="9" t="str">
        <x:v>1. 来源（当前证据）：liveshow-proto/MainBasis/统一需求文档.md；位置：行502、行1122
2. 规则：BR-0fa322998210b466
3. 未动态验证</x:v>
      </x:c>
    </x:row>
    <x:row r="1098" ht="130" customHeight="1">
      <x:c r="A1098" s="10" t="n">
        <x:v>1097</x:v>
      </x:c>
      <x:c r="B1098" s="10" t="str">
        <x:v>USER-07-0155</x:v>
      </x:c>
      <x:c r="C1098" s="10" t="str">
        <x:v>主播中心</x:v>
      </x:c>
      <x:c r="D1098" s="10" t="str">
        <x:v>主播中心（已认证主播视角）</x:v>
      </x:c>
      <x:c r="E1098" s="10" t="str">
        <x:v>功能需求</x:v>
      </x:c>
      <x:c r="F1098" s="10" t="str">
        <x:v>P1</x:v>
      </x:c>
      <x:c r="G1098" s="9" t="str">
        <x:v>验证平台锁定开启覆盖公会关闭</x:v>
      </x:c>
      <x:c r="H1098" s="9" t="str">
        <x:v>平台锁定权限优先级</x:v>
      </x:c>
      <x:c r="I1098" s="9" t="str">
        <x:v>1. 执行角色为已认证主播；当前处于主播中心页面
2. 平台开启且锁定；公会原设置关闭；其他资格满足</x:v>
      </x:c>
      <x:c r="J1098" s="9" t="str">
        <x:v>1. 点击开始直播</x:v>
      </x:c>
      <x:c r="K1098" s="9" t="str">
        <x:v>进入开播设置</x:v>
      </x:c>
      <x:c r="L1098" s="10" t="str">
        <x:v>FLOW-54FBE2A6</x:v>
      </x:c>
      <x:c r="M1098" s="10" t="str">
        <x:v>未测</x:v>
      </x:c>
      <x:c r="N1098" s="10" t="str"/>
      <x:c r="O1098" s="9" t="str">
        <x:v>1. 来源（当前证据）：liveshow-proto/MainBasis/统一需求文档.md；位置：行502、行1122
2. 规则：BR-5c40ec31fb15c156
3. 未动态验证
4. 状态转换：ST-USER-014；共同业务对象：直播权限；当前阶段：平台锁定开启权限后的用户App观察</x:v>
      </x:c>
    </x:row>
    <x:row r="1099" ht="130" customHeight="1">
      <x:c r="A1099" s="10" t="n">
        <x:v>1098</x:v>
      </x:c>
      <x:c r="B1099" s="10" t="str">
        <x:v>USER-07-0156</x:v>
      </x:c>
      <x:c r="C1099" s="10" t="str">
        <x:v>主播中心</x:v>
      </x:c>
      <x:c r="D1099" s="10" t="str">
        <x:v>主播中心（已认证主播视角）</x:v>
      </x:c>
      <x:c r="E1099" s="10" t="str">
        <x:v>功能需求</x:v>
      </x:c>
      <x:c r="F1099" s="10" t="str">
        <x:v>P1</x:v>
      </x:c>
      <x:c r="G1099" s="9" t="str">
        <x:v>验证解锁恢复公会旧关闭值</x:v>
      </x:c>
      <x:c r="H1099" s="9" t="str">
        <x:v>数据保持</x:v>
      </x:c>
      <x:c r="I1099" s="9" t="str">
        <x:v>1. 执行角色为已认证主播；当前处于主播中心页面
2. 平台原开启锁定且公会旧值关闭；平台现已解锁</x:v>
      </x:c>
      <x:c r="J1099" s="9" t="str">
        <x:v>1. 点击开始直播</x:v>
      </x:c>
      <x:c r="K1099" s="9" t="str">
        <x:v>按恢复的公会关闭值禁止开播</x:v>
      </x:c>
      <x:c r="L1099" s="10" t="str">
        <x:v>FLOW-54FBE2A6</x:v>
      </x:c>
      <x:c r="M1099" s="10" t="str">
        <x:v>未测</x:v>
      </x:c>
      <x:c r="N1099" s="10" t="str"/>
      <x:c r="O1099" s="9" t="str">
        <x:v>1. 来源（当前证据）：liveshow-proto/MainBasis/统一需求文档.md；位置：行502、行1122
2. 规则：BR-dc771cb740dd27d3
3. 未动态验证
4. 状态转换：ST-USER-015；共同业务对象：直播权限；当前阶段：平台解锁权限后的用户App观察</x:v>
      </x:c>
    </x:row>
    <x:row r="1100" ht="85" customHeight="1">
      <x:c r="A1100" s="10" t="n">
        <x:v>1099</x:v>
      </x:c>
      <x:c r="B1100" s="10" t="str">
        <x:v>USER-07-0157</x:v>
      </x:c>
      <x:c r="C1100" s="10" t="str">
        <x:v>主播中心</x:v>
      </x:c>
      <x:c r="D1100" s="10" t="str">
        <x:v>主播中心（已认证主播视角）</x:v>
      </x:c>
      <x:c r="E1100" s="10" t="str">
        <x:v>功能需求</x:v>
      </x:c>
      <x:c r="F1100" s="10" t="str">
        <x:v>P1</x:v>
      </x:c>
      <x:c r="G1100" s="9" t="str">
        <x:v>验证停用会长不影响主播</x:v>
      </x:c>
      <x:c r="H1100" s="9" t="str">
        <x:v>会长停用主播权限</x:v>
      </x:c>
      <x:c r="I1100" s="9" t="str">
        <x:v>1. 执行角色为已认证主播；当前处于主播中心页面
2. 仅本公会会长账号被停用；公会仍正常且主播权限有效</x:v>
      </x:c>
      <x:c r="J1100" s="9" t="str">
        <x:v>1. 点击开始直播</x:v>
      </x:c>
      <x:c r="K1100" s="9" t="str">
        <x:v>仍可进入开播设置</x:v>
      </x:c>
      <x:c r="L1100" s="10" t="str"/>
      <x:c r="M1100" s="10" t="str">
        <x:v>未测</x:v>
      </x:c>
      <x:c r="N1100" s="10" t="str"/>
      <x:c r="O1100" s="9" t="str">
        <x:v>1. 来源（当前证据）：liveshow-proto/MainBasis/统一需求文档.md；位置：行501、行1122
2. 规则：BR-646bf6d88ecd786e
3. 未动态验证</x:v>
      </x:c>
    </x:row>
    <x:row r="1101" ht="85" customHeight="1">
      <x:c r="A1101" s="10" t="n">
        <x:v>1100</x:v>
      </x:c>
      <x:c r="B1101" s="10" t="str">
        <x:v>USER-03-0184</x:v>
      </x:c>
      <x:c r="C1101" s="10" t="str">
        <x:v>直播</x:v>
      </x:c>
      <x:c r="D1101" s="10" t="str">
        <x:v>直播间（主播）（正在直播的主播视角）</x:v>
      </x:c>
      <x:c r="E1101" s="10" t="str">
        <x:v>功能需求</x:v>
      </x:c>
      <x:c r="F1101" s="10" t="str">
        <x:v>P1</x:v>
      </x:c>
      <x:c r="G1101" s="9" t="str">
        <x:v>验证退会通过停止直播</x:v>
      </x:c>
      <x:c r="H1101" s="9" t="str">
        <x:v>退会后直播结束</x:v>
      </x:c>
      <x:c r="I1101" s="9" t="str">
        <x:v>1. 执行角色为正在直播的主播；当前处于直播间（主播）页面
2. 公会已通过当前主播退出申请</x:v>
      </x:c>
      <x:c r="J1101" s="9" t="str">
        <x:v>1. 查看当前直播状态</x:v>
      </x:c>
      <x:c r="K1101" s="9" t="str">
        <x:v>当前直播立即结束</x:v>
      </x:c>
      <x:c r="L1101" s="10" t="str"/>
      <x:c r="M1101" s="10" t="str">
        <x:v>未测</x:v>
      </x:c>
      <x:c r="N1101" s="10" t="str"/>
      <x:c r="O1101" s="9" t="str">
        <x:v>1. 来源（当前证据）：liveshow-proto/MainBasis/统一需求文档.md；位置：行1035、行797
2. 规则：BR-c8e47027acbf5664
3. 未动态验证</x:v>
      </x:c>
    </x:row>
    <x:row r="1102" ht="85" customHeight="1">
      <x:c r="A1102" s="10" t="n">
        <x:v>1101</x:v>
      </x:c>
      <x:c r="B1102" s="10" t="str">
        <x:v>USER-03-0185</x:v>
      </x:c>
      <x:c r="C1102" s="10" t="str">
        <x:v>直播</x:v>
      </x:c>
      <x:c r="D1102" s="10" t="str">
        <x:v>直播间（主播）（正在直播的主播视角）</x:v>
      </x:c>
      <x:c r="E1102" s="10" t="str">
        <x:v>功能需求</x:v>
      </x:c>
      <x:c r="F1102" s="10" t="str">
        <x:v>P1</x:v>
      </x:c>
      <x:c r="G1102" s="9" t="str">
        <x:v>验证公会移除主播停止直播</x:v>
      </x:c>
      <x:c r="H1102" s="9" t="str">
        <x:v>移出公会后的直播终态</x:v>
      </x:c>
      <x:c r="I1102" s="9" t="str">
        <x:v>1. 执行角色为正在直播的主播；当前处于直播间（主播）页面
2. 公会已直接移除当前主播</x:v>
      </x:c>
      <x:c r="J1102" s="9" t="str">
        <x:v>1. 查看当前直播状态</x:v>
      </x:c>
      <x:c r="K1102" s="9" t="str">
        <x:v>当前直播立即结束</x:v>
      </x:c>
      <x:c r="L1102" s="10" t="str"/>
      <x:c r="M1102" s="10" t="str">
        <x:v>未测</x:v>
      </x:c>
      <x:c r="N1102" s="10" t="str"/>
      <x:c r="O1102" s="9" t="str">
        <x:v>1. 来源（当前证据）：liveshow-proto/MainBasis/统一需求文档.md；位置：行1035、行797
2. 规则：BR-b97e758aeef481ca
3. 未动态验证</x:v>
      </x:c>
    </x:row>
    <x:row r="1103" ht="130" customHeight="1">
      <x:c r="A1103" s="10" t="n">
        <x:v>1102</x:v>
      </x:c>
      <x:c r="B1103" s="10" t="str">
        <x:v>USER-03-0186</x:v>
      </x:c>
      <x:c r="C1103" s="10" t="str">
        <x:v>直播</x:v>
      </x:c>
      <x:c r="D1103" s="10" t="str">
        <x:v>直播间（主播）（正在直播的主播视角）</x:v>
      </x:c>
      <x:c r="E1103" s="10" t="str">
        <x:v>功能需求</x:v>
      </x:c>
      <x:c r="F1103" s="10" t="str">
        <x:v>P1</x:v>
      </x:c>
      <x:c r="G1103" s="9" t="str">
        <x:v>验证公会停用主播停止直播</x:v>
      </x:c>
      <x:c r="H1103" s="9" t="str">
        <x:v>停用公会后的直播终态</x:v>
      </x:c>
      <x:c r="I1103" s="9" t="str">
        <x:v>1. 执行角色为正在直播的主播；当前处于直播间（主播）页面
2. 平台已停用当前所属公会</x:v>
      </x:c>
      <x:c r="J1103" s="9" t="str">
        <x:v>1. 查看当前直播状态</x:v>
      </x:c>
      <x:c r="K1103" s="9" t="str">
        <x:v>当前直播结束并失去主播身份</x:v>
      </x:c>
      <x:c r="L1103" s="10" t="str">
        <x:v>FLOW-CB0F1B88</x:v>
      </x:c>
      <x:c r="M1103" s="10" t="str">
        <x:v>未测</x:v>
      </x:c>
      <x:c r="N1103" s="10" t="str"/>
      <x:c r="O1103" s="9" t="str">
        <x:v>1. 来源（当前证据）：liveshow-proto/MainBasis/统一需求文档.md；位置：行501、行797
2. 规则：BR-57784c5b0bdc93c1
3. 未动态验证
4. 状态转换：ST-USER-012；共同业务对象：公会关系；当前阶段：平台停用公会后的用户App观察</x:v>
      </x:c>
    </x:row>
    <x:row r="1104" ht="85" customHeight="1">
      <x:c r="A1104" s="10" t="n">
        <x:v>1103</x:v>
      </x:c>
      <x:c r="B1104" s="10" t="str">
        <x:v>USER-05-0227</x:v>
      </x:c>
      <x:c r="C1104" s="10" t="str">
        <x:v>我的</x:v>
      </x:c>
      <x:c r="D1104" s="10" t="str">
        <x:v>我的粉丝团（主播粉丝团成员视角）</x:v>
      </x:c>
      <x:c r="E1104" s="10" t="str">
        <x:v>功能需求</x:v>
      </x:c>
      <x:c r="F1104" s="10" t="str">
        <x:v>P1</x:v>
      </x:c>
      <x:c r="G1104" s="9" t="str">
        <x:v>验证主播退会解散粉丝团</x:v>
      </x:c>
      <x:c r="H1104" s="9" t="str">
        <x:v>退会后粉丝团解散</x:v>
      </x:c>
      <x:c r="I1104" s="9" t="str">
        <x:v>1. 执行角色为主播粉丝团成员；当前处于我的粉丝团页面
2. 公会已通过所属主播退会</x:v>
      </x:c>
      <x:c r="J1104" s="9" t="str">
        <x:v>1. 刷新我的粉丝团</x:v>
      </x:c>
      <x:c r="K1104" s="9" t="str">
        <x:v>原粉丝团卡片移除且群权限解除</x:v>
      </x:c>
      <x:c r="L1104" s="10" t="str"/>
      <x:c r="M1104" s="10" t="str">
        <x:v>未测</x:v>
      </x:c>
      <x:c r="N1104" s="10" t="str"/>
      <x:c r="O1104" s="9" t="str">
        <x:v>1. 来源（当前证据）：liveshow-proto/MainBasis/统一需求文档.md；位置：行1035、行1099、行1086
2. 规则：BR-978c90e6b4730b12
3. 未动态验证</x:v>
      </x:c>
    </x:row>
    <x:row r="1105" ht="85" customHeight="1">
      <x:c r="A1105" s="10" t="n">
        <x:v>1104</x:v>
      </x:c>
      <x:c r="B1105" s="10" t="str">
        <x:v>USER-05-0228</x:v>
      </x:c>
      <x:c r="C1105" s="10" t="str">
        <x:v>我的</x:v>
      </x:c>
      <x:c r="D1105" s="10" t="str">
        <x:v>我的粉丝团（主播粉丝团成员视角）</x:v>
      </x:c>
      <x:c r="E1105" s="10" t="str">
        <x:v>功能需求</x:v>
      </x:c>
      <x:c r="F1105" s="10" t="str">
        <x:v>P1</x:v>
      </x:c>
      <x:c r="G1105" s="9" t="str">
        <x:v>验证主播被移出解散粉丝团</x:v>
      </x:c>
      <x:c r="H1105" s="9" t="str">
        <x:v>账号关系</x:v>
      </x:c>
      <x:c r="I1105" s="9" t="str">
        <x:v>1. 执行角色为主播粉丝团成员；当前处于我的粉丝团页面
2. 公会已直接移除所属主播</x:v>
      </x:c>
      <x:c r="J1105" s="9" t="str">
        <x:v>1. 刷新我的粉丝团</x:v>
      </x:c>
      <x:c r="K1105" s="9" t="str">
        <x:v>原粉丝团卡片移除且群权限解除</x:v>
      </x:c>
      <x:c r="L1105" s="10" t="str"/>
      <x:c r="M1105" s="10" t="str">
        <x:v>未测</x:v>
      </x:c>
      <x:c r="N1105" s="10" t="str"/>
      <x:c r="O1105" s="9" t="str">
        <x:v>1. 来源（当前证据）：liveshow-proto/MainBasis/统一需求文档.md；位置：行1035、行1099、行1086
2. 规则：BR-1b7ce3fc1ab321fa
3. 未动态验证</x:v>
      </x:c>
    </x:row>
    <x:row r="1106" ht="85" customHeight="1">
      <x:c r="A1106" s="10" t="n">
        <x:v>1105</x:v>
      </x:c>
      <x:c r="B1106" s="10" t="str">
        <x:v>USER-03-0187</x:v>
      </x:c>
      <x:c r="C1106" s="10" t="str">
        <x:v>直播</x:v>
      </x:c>
      <x:c r="D1106" s="10" t="str">
        <x:v>直播间（普通房）（普通观众视角）</x:v>
      </x:c>
      <x:c r="E1106" s="10" t="str">
        <x:v>功能需求</x:v>
      </x:c>
      <x:c r="F1106" s="10" t="str">
        <x:v>P1</x:v>
      </x:c>
      <x:c r="G1106" s="9" t="str">
        <x:v>验证本场贡献正确累计</x:v>
      </x:c>
      <x:c r="H1106" s="9" t="str">
        <x:v>资产数值</x:v>
      </x:c>
      <x:c r="I1106" s="9" t="str">
        <x:v>1. 执行角色为普通观众；当前处于直播间（普通房）页面
2. 当前本场只有自己成功送礼10金币共3件，另有返奖不冲减</x:v>
      </x:c>
      <x:c r="J1106" s="9" t="str">
        <x:v>1. 打开本场贡献榜</x:v>
      </x:c>
      <x:c r="K1106" s="9" t="str">
        <x:v>本场贡献为30金币（计算结果 = 30 金币）</x:v>
      </x:c>
      <x:c r="L1106" s="10" t="str"/>
      <x:c r="M1106" s="10" t="str">
        <x:v>未测</x:v>
      </x:c>
      <x:c r="N1106" s="10" t="str"/>
      <x:c r="O1106" s="9" t="str">
        <x:v>1. 来源（当前证据）：liveshow-proto/MainBasis/统一需求文档.md；位置：行763、行1716、行759
2. 规则：BR-1e292811e66dd459
3. 未动态验证</x:v>
      </x:c>
    </x:row>
    <x:row r="1107" ht="85" customHeight="1">
      <x:c r="A1107" s="10" t="n">
        <x:v>1106</x:v>
      </x:c>
      <x:c r="B1107" s="10" t="str">
        <x:v>USER-03-0188</x:v>
      </x:c>
      <x:c r="C1107" s="10" t="str">
        <x:v>直播</x:v>
      </x:c>
      <x:c r="D1107" s="10" t="str">
        <x:v>直播间（普通房）（普通观众视角）</x:v>
      </x:c>
      <x:c r="E1107" s="10" t="str">
        <x:v>功能需求</x:v>
      </x:c>
      <x:c r="F1107" s="10" t="str">
        <x:v>P2</x:v>
      </x:c>
      <x:c r="G1107" s="9" t="str">
        <x:v>验证直播公屏时间排序</x:v>
      </x:c>
      <x:c r="H1107" s="9" t="str">
        <x:v>公屏消息排序</x:v>
      </x:c>
      <x:c r="I1107" s="9" t="str">
        <x:v>1. 执行角色为普通观众；当前处于直播间（普通房）页面
2. 当前有两个不同服务端时间的公屏消息</x:v>
      </x:c>
      <x:c r="J1107" s="9" t="str">
        <x:v>1. 查看公屏消息</x:v>
      </x:c>
      <x:c r="K1107" s="9" t="str">
        <x:v>按服务端时间先后排列</x:v>
      </x:c>
      <x:c r="L1107" s="10" t="str"/>
      <x:c r="M1107" s="10" t="str">
        <x:v>未测</x:v>
      </x:c>
      <x:c r="N1107" s="10" t="str"/>
      <x:c r="O1107" s="9" t="str">
        <x:v>1. 来源（当前证据）：liveshow-proto/MainBasis/统一需求文档.md；位置：行764、行759
2. 规则：BR-be96a1ea76cb62b1
3. 未动态验证</x:v>
      </x:c>
    </x:row>
    <x:row r="1108" ht="85" customHeight="1">
      <x:c r="A1108" s="10" t="n">
        <x:v>1107</x:v>
      </x:c>
      <x:c r="B1108" s="10" t="str">
        <x:v>USER-03-0189</x:v>
      </x:c>
      <x:c r="C1108" s="10" t="str">
        <x:v>直播</x:v>
      </x:c>
      <x:c r="D1108" s="10" t="str">
        <x:v>直播间（普通房）（普通观众视角）</x:v>
      </x:c>
      <x:c r="E1108" s="10" t="str">
        <x:v>功能需求</x:v>
      </x:c>
      <x:c r="F1108" s="10" t="str">
        <x:v>P1</x:v>
      </x:c>
      <x:c r="G1108" s="9" t="str">
        <x:v>验证同第三方房间拉黑禁止主页</x:v>
      </x:c>
      <x:c r="H1108" s="9" t="str">
        <x:v>账号关系</x:v>
      </x:c>
      <x:c r="I1108" s="9" t="str">
        <x:v>1. 执行角色为普通观众；当前处于直播间（普通房）页面
2. A与B有拉黑关系；当前A与B同在主播C直播间</x:v>
      </x:c>
      <x:c r="J1108" s="9" t="str">
        <x:v>1. 点击B资料主页</x:v>
      </x:c>
      <x:c r="K1108" s="9" t="str">
        <x:v>不能查看B主页</x:v>
      </x:c>
      <x:c r="L1108" s="10" t="str"/>
      <x:c r="M1108" s="10" t="str">
        <x:v>未测</x:v>
      </x:c>
      <x:c r="N1108" s="10" t="str"/>
      <x:c r="O1108" s="9" t="str">
        <x:v>1. 来源（当前证据）：liveshow-proto/MainBasis/统一需求文档.md；位置：行950、行759
2. 规则：BR-b78b2b9506245b6e
3. 未动态验证</x:v>
      </x:c>
    </x:row>
    <x:row r="1109" ht="85" customHeight="1">
      <x:c r="A1109" s="10" t="n">
        <x:v>1108</x:v>
      </x:c>
      <x:c r="B1109" s="10" t="str">
        <x:v>USER-03-0190</x:v>
      </x:c>
      <x:c r="C1109" s="10" t="str">
        <x:v>直播</x:v>
      </x:c>
      <x:c r="D1109" s="10" t="str">
        <x:v>直播间（普通房）（普通观众视角）</x:v>
      </x:c>
      <x:c r="E1109" s="10" t="str">
        <x:v>功能需求</x:v>
      </x:c>
      <x:c r="F1109" s="10" t="str">
        <x:v>P1</x:v>
      </x:c>
      <x:c r="G1109" s="9" t="str">
        <x:v>验证同第三方房间拉黑禁止提及</x:v>
      </x:c>
      <x:c r="H1109" s="9" t="str">
        <x:v>账号关系</x:v>
      </x:c>
      <x:c r="I1109" s="9" t="str">
        <x:v>1. 执行角色为普通观众；当前处于直播间（普通房）页面
2. A与B有拉黑关系；当前A与B同在主播C直播间</x:v>
      </x:c>
      <x:c r="J1109" s="9" t="str">
        <x:v>1. 输入@B并尝试发送公屏消息</x:v>
      </x:c>
      <x:c r="K1109" s="9" t="str">
        <x:v>不能@B</x:v>
      </x:c>
      <x:c r="L1109" s="10" t="str"/>
      <x:c r="M1109" s="10" t="str">
        <x:v>未测</x:v>
      </x:c>
      <x:c r="N1109" s="10" t="str"/>
      <x:c r="O1109" s="9" t="str">
        <x:v>1. 来源（当前证据）：liveshow-proto/MainBasis/统一需求文档.md；位置：行950、行759
2. 规则：BR-8e211fd4327ea479
3. 未动态验证</x:v>
      </x:c>
    </x:row>
    <x:row r="1110" ht="85" customHeight="1">
      <x:c r="A1110" s="10" t="n">
        <x:v>1109</x:v>
      </x:c>
      <x:c r="B1110" s="10" t="str">
        <x:v>USER-03-0191</x:v>
      </x:c>
      <x:c r="C1110" s="10" t="str">
        <x:v>直播</x:v>
      </x:c>
      <x:c r="D1110" s="10" t="str">
        <x:v>直播间（普通房）（普通观众视角）</x:v>
      </x:c>
      <x:c r="E1110" s="10" t="str">
        <x:v>功能需求</x:v>
      </x:c>
      <x:c r="F1110" s="10" t="str">
        <x:v>P1</x:v>
      </x:c>
      <x:c r="G1110" s="9" t="str">
        <x:v>验证分享不绕过门票</x:v>
      </x:c>
      <x:c r="H1110" s="9" t="str">
        <x:v>分享进房门票校验</x:v>
      </x:c>
      <x:c r="I1110" s="9" t="str">
        <x:v>1. 执行角色为普通观众；当前处于直播间（普通房）页面
2. 从分享卡片进入门票房；未购买当前场次门票</x:v>
      </x:c>
      <x:c r="J1110" s="9" t="str">
        <x:v>1. 点击分享的直播卡片</x:v>
      </x:c>
      <x:c r="K1110" s="9" t="str">
        <x:v>仍要求当前场次购票</x:v>
      </x:c>
      <x:c r="L1110" s="10" t="str"/>
      <x:c r="M1110" s="10" t="str">
        <x:v>未测</x:v>
      </x:c>
      <x:c r="N1110" s="10" t="str"/>
      <x:c r="O1110" s="9" t="str">
        <x:v>1. 来源（当前证据）：liveshow-proto/MainBasis/统一需求文档.md；位置：行1734、行1853、行759
2. 规则：BR-570d149873d62460
3. 未动态验证</x:v>
      </x:c>
    </x:row>
    <x:row r="1111" ht="85" customHeight="1">
      <x:c r="A1111" s="10" t="n">
        <x:v>1110</x:v>
      </x:c>
      <x:c r="B1111" s="10" t="str">
        <x:v>USER-03-0192</x:v>
      </x:c>
      <x:c r="C1111" s="10" t="str">
        <x:v>直播</x:v>
      </x:c>
      <x:c r="D1111" s="10" t="str">
        <x:v>直播间（普通房）（普通观众视角）</x:v>
      </x:c>
      <x:c r="E1111" s="10" t="str">
        <x:v>功能需求</x:v>
      </x:c>
      <x:c r="F1111" s="10" t="str">
        <x:v>P1</x:v>
      </x:c>
      <x:c r="G1111" s="9" t="str">
        <x:v>验证广场关闭仍可分享入场</x:v>
      </x:c>
      <x:c r="H1111" s="9" t="str">
        <x:v>广场关闭房间分享准入</x:v>
      </x:c>
      <x:c r="I1111" s="9" t="str">
        <x:v>1. 执行角色为普通观众；当前处于直播间（普通房）页面
2. 密码房关闭广场展示；当前有分享入口且知道密码，资格满足</x:v>
      </x:c>
      <x:c r="J1111" s="9" t="str">
        <x:v>1. 点击分享入口
2. 输入当前密码
3. 点击确认</x:v>
      </x:c>
      <x:c r="K1111" s="9" t="str">
        <x:v>允许进入该密码房</x:v>
      </x:c>
      <x:c r="L1111" s="10" t="str"/>
      <x:c r="M1111" s="10" t="str">
        <x:v>未测</x:v>
      </x:c>
      <x:c r="N1111" s="10" t="str"/>
      <x:c r="O1111" s="9" t="str">
        <x:v>1. 来源（当前证据）：liveshow-proto/MainBasis/统一需求文档.md；位置：行1202、行759
2. 规则：BR-f91593df261fef45
3. 未动态验证</x:v>
      </x:c>
    </x:row>
    <x:row r="1112" ht="85" customHeight="1">
      <x:c r="A1112" s="10" t="n">
        <x:v>1111</x:v>
      </x:c>
      <x:c r="B1112" s="10" t="str">
        <x:v>USER-03-0193</x:v>
      </x:c>
      <x:c r="C1112" s="10" t="str">
        <x:v>直播</x:v>
      </x:c>
      <x:c r="D1112" s="10" t="str">
        <x:v>直播间（普通房）（真实金币观众视角）</x:v>
      </x:c>
      <x:c r="E1112" s="10" t="str">
        <x:v>逻辑校验</x:v>
      </x:c>
      <x:c r="F1112" s="10" t="str">
        <x:v>P1</x:v>
      </x:c>
      <x:c r="G1112" s="9" t="str">
        <x:v>验证幸运单抽返奖0</x:v>
      </x:c>
      <x:c r="H1112" s="9" t="str">
        <x:v>资产数值</x:v>
      </x:c>
      <x:c r="I1112" s="9" t="str">
        <x:v>1. 执行角色为真实金币观众；当前处于直播间（普通房）页面
2. 当前余额100；幸运礼物单价10；本次独立开奖的测试响应为0金币，已在测试环境准备</x:v>
      </x:c>
      <x:c r="J1112" s="9" t="str">
        <x:v>1. 选择幸运礼物数量1
2. 点击赠送
3. 查看金币余额</x:v>
      </x:c>
      <x:c r="K1112" s="9" t="str">
        <x:v>余额为90金币（计算结果 = 90 金币）</x:v>
      </x:c>
      <x:c r="L1112" s="10" t="str"/>
      <x:c r="M1112" s="10" t="str">
        <x:v>未测</x:v>
      </x:c>
      <x:c r="N1112" s="10" t="str"/>
      <x:c r="O1112" s="9" t="str">
        <x:v>1. 来源（当前证据）：liveshow-proto/MainBasis/统一需求文档.md；位置：行357、行367、行771、行759
2. 规则：BR-84cecace98056263
3. 未动态验证</x:v>
      </x:c>
    </x:row>
    <x:row r="1113" ht="85" customHeight="1">
      <x:c r="A1113" s="10" t="n">
        <x:v>1112</x:v>
      </x:c>
      <x:c r="B1113" s="10" t="str">
        <x:v>USER-03-0194</x:v>
      </x:c>
      <x:c r="C1113" s="10" t="str">
        <x:v>直播</x:v>
      </x:c>
      <x:c r="D1113" s="10" t="str">
        <x:v>直播间（普通房）（真实金币观众视角）</x:v>
      </x:c>
      <x:c r="E1113" s="10" t="str">
        <x:v>逻辑校验</x:v>
      </x:c>
      <x:c r="F1113" s="10" t="str">
        <x:v>P1</x:v>
      </x:c>
      <x:c r="G1113" s="9" t="str">
        <x:v>验证幸运单抽返奖5</x:v>
      </x:c>
      <x:c r="H1113" s="9" t="str">
        <x:v>资产数值</x:v>
      </x:c>
      <x:c r="I1113" s="9" t="str">
        <x:v>1. 执行角色为真实金币观众；当前处于直播间（普通房）页面
2. 当前余额100；幸运礼物单价10；本次独立开奖的测试响应为5金币，已在测试环境准备</x:v>
      </x:c>
      <x:c r="J1113" s="9" t="str">
        <x:v>1. 选择幸运礼物数量1
2. 点击赠送
3. 查看金币余额</x:v>
      </x:c>
      <x:c r="K1113" s="9" t="str">
        <x:v>余额为95金币（计算结果 = 95 金币）</x:v>
      </x:c>
      <x:c r="L1113" s="10" t="str"/>
      <x:c r="M1113" s="10" t="str">
        <x:v>未测</x:v>
      </x:c>
      <x:c r="N1113" s="10" t="str"/>
      <x:c r="O1113" s="9" t="str">
        <x:v>1. 来源（当前证据）：liveshow-proto/MainBasis/统一需求文档.md；位置：行357、行367、行771、行759
2. 规则：BR-69017ace725a9cbc
3. 未动态验证</x:v>
      </x:c>
    </x:row>
    <x:row r="1114" ht="85" customHeight="1">
      <x:c r="A1114" s="10" t="n">
        <x:v>1113</x:v>
      </x:c>
      <x:c r="B1114" s="10" t="str">
        <x:v>USER-03-0195</x:v>
      </x:c>
      <x:c r="C1114" s="10" t="str">
        <x:v>直播</x:v>
      </x:c>
      <x:c r="D1114" s="10" t="str">
        <x:v>直播间（普通房）（真实金币观众视角）</x:v>
      </x:c>
      <x:c r="E1114" s="10" t="str">
        <x:v>逻辑校验</x:v>
      </x:c>
      <x:c r="F1114" s="10" t="str">
        <x:v>P1</x:v>
      </x:c>
      <x:c r="G1114" s="9" t="str">
        <x:v>验证幸运单抽返奖10</x:v>
      </x:c>
      <x:c r="H1114" s="9" t="str">
        <x:v>资产数值</x:v>
      </x:c>
      <x:c r="I1114" s="9" t="str">
        <x:v>1. 执行角色为真实金币观众；当前处于直播间（普通房）页面
2. 当前余额100；幸运礼物单价10；本次独立开奖的测试响应为10金币，已在测试环境准备</x:v>
      </x:c>
      <x:c r="J1114" s="9" t="str">
        <x:v>1. 选择幸运礼物数量1
2. 点击赠送
3. 查看金币余额</x:v>
      </x:c>
      <x:c r="K1114" s="9" t="str">
        <x:v>余额为100金币（计算结果 = 100 金币）</x:v>
      </x:c>
      <x:c r="L1114" s="10" t="str"/>
      <x:c r="M1114" s="10" t="str">
        <x:v>未测</x:v>
      </x:c>
      <x:c r="N1114" s="10" t="str"/>
      <x:c r="O1114" s="9" t="str">
        <x:v>1. 来源（当前证据）：liveshow-proto/MainBasis/统一需求文档.md；位置：行357、行367、行771、行759
2. 规则：BR-4b1ee287797607e5
3. 未动态验证</x:v>
      </x:c>
    </x:row>
    <x:row r="1115" ht="85" customHeight="1">
      <x:c r="A1115" s="10" t="n">
        <x:v>1114</x:v>
      </x:c>
      <x:c r="B1115" s="10" t="str">
        <x:v>USER-03-0196</x:v>
      </x:c>
      <x:c r="C1115" s="10" t="str">
        <x:v>直播</x:v>
      </x:c>
      <x:c r="D1115" s="10" t="str">
        <x:v>直播间（普通房）（真实金币观众视角）</x:v>
      </x:c>
      <x:c r="E1115" s="10" t="str">
        <x:v>逻辑校验</x:v>
      </x:c>
      <x:c r="F1115" s="10" t="str">
        <x:v>P1</x:v>
      </x:c>
      <x:c r="G1115" s="9" t="str">
        <x:v>验证幸运单抽返奖50</x:v>
      </x:c>
      <x:c r="H1115" s="9" t="str">
        <x:v>资产数值</x:v>
      </x:c>
      <x:c r="I1115" s="9" t="str">
        <x:v>1. 执行角色为真实金币观众；当前处于直播间（普通房）页面
2. 当前余额100；幸运礼物单价10；本次独立开奖的测试响应为50金币，已在测试环境准备</x:v>
      </x:c>
      <x:c r="J1115" s="9" t="str">
        <x:v>1. 选择幸运礼物数量1
2. 点击赠送
3. 查看金币余额</x:v>
      </x:c>
      <x:c r="K1115" s="9" t="str">
        <x:v>余额为140金币（计算结果 = 140 金币）</x:v>
      </x:c>
      <x:c r="L1115" s="10" t="str"/>
      <x:c r="M1115" s="10" t="str">
        <x:v>未测</x:v>
      </x:c>
      <x:c r="N1115" s="10" t="str"/>
      <x:c r="O1115" s="9" t="str">
        <x:v>1. 来源（当前证据）：liveshow-proto/MainBasis/统一需求文档.md；位置：行357、行367、行771、行759
2. 规则：BR-52eac47c32587f29
3. 未动态验证</x:v>
      </x:c>
    </x:row>
    <x:row r="1116" ht="85" customHeight="1">
      <x:c r="A1116" s="10" t="n">
        <x:v>1115</x:v>
      </x:c>
      <x:c r="B1116" s="10" t="str">
        <x:v>USER-03-0197</x:v>
      </x:c>
      <x:c r="C1116" s="10" t="str">
        <x:v>直播</x:v>
      </x:c>
      <x:c r="D1116" s="10" t="str">
        <x:v>直播间（普通房）（真实金币观众视角）</x:v>
      </x:c>
      <x:c r="E1116" s="10" t="str">
        <x:v>逻辑校验</x:v>
      </x:c>
      <x:c r="F1116" s="10" t="str">
        <x:v>P1</x:v>
      </x:c>
      <x:c r="G1116" s="9" t="str">
        <x:v>验证幸运单抽返奖100</x:v>
      </x:c>
      <x:c r="H1116" s="9" t="str">
        <x:v>资产数值</x:v>
      </x:c>
      <x:c r="I1116" s="9" t="str">
        <x:v>1. 执行角色为真实金币观众；当前处于直播间（普通房）页面
2. 当前余额100；幸运礼物单价10；本次独立开奖的测试响应为100金币，已在测试环境准备</x:v>
      </x:c>
      <x:c r="J1116" s="9" t="str">
        <x:v>1. 选择幸运礼物数量1
2. 点击赠送
3. 查看金币余额</x:v>
      </x:c>
      <x:c r="K1116" s="9" t="str">
        <x:v>余额为190金币（计算结果 = 190 金币）</x:v>
      </x:c>
      <x:c r="L1116" s="10" t="str"/>
      <x:c r="M1116" s="10" t="str">
        <x:v>未测</x:v>
      </x:c>
      <x:c r="N1116" s="10" t="str"/>
      <x:c r="O1116" s="9" t="str">
        <x:v>1. 来源（当前证据）：liveshow-proto/MainBasis/统一需求文档.md；位置：行357、行367、行771、行759
2. 规则：BR-25b854757e840f3e
3. 未动态验证</x:v>
      </x:c>
    </x:row>
    <x:row r="1117" ht="85" customHeight="1">
      <x:c r="A1117" s="10" t="n">
        <x:v>1116</x:v>
      </x:c>
      <x:c r="B1117" s="10" t="str">
        <x:v>USER-03-0198</x:v>
      </x:c>
      <x:c r="C1117" s="10" t="str">
        <x:v>直播</x:v>
      </x:c>
      <x:c r="D1117" s="10" t="str">
        <x:v>直播间（普通房）（真实金币观众视角）</x:v>
      </x:c>
      <x:c r="E1117" s="10" t="str">
        <x:v>逻辑校验</x:v>
      </x:c>
      <x:c r="F1117" s="10" t="str">
        <x:v>P1</x:v>
      </x:c>
      <x:c r="G1117" s="9" t="str">
        <x:v>验证幸运单抽返奖1000</x:v>
      </x:c>
      <x:c r="H1117" s="9" t="str">
        <x:v>资产数值</x:v>
      </x:c>
      <x:c r="I1117" s="9" t="str">
        <x:v>1. 执行角色为真实金币观众；当前处于直播间（普通房）页面
2. 当前余额100；幸运礼物单价10；本次独立开奖的测试响应为1000金币，已在测试环境准备</x:v>
      </x:c>
      <x:c r="J1117" s="9" t="str">
        <x:v>1. 选择幸运礼物数量1
2. 点击赠送
3. 查看金币余额</x:v>
      </x:c>
      <x:c r="K1117" s="9" t="str">
        <x:v>余额为1090金币（计算结果 = 1090 金币）</x:v>
      </x:c>
      <x:c r="L1117" s="10" t="str"/>
      <x:c r="M1117" s="10" t="str">
        <x:v>未测</x:v>
      </x:c>
      <x:c r="N1117" s="10" t="str"/>
      <x:c r="O1117" s="9" t="str">
        <x:v>1. 来源（当前证据）：liveshow-proto/MainBasis/统一需求文档.md；位置：行357、行367、行771、行759
2. 规则：BR-50daa7ef360567b6
3. 未动态验证</x:v>
      </x:c>
    </x:row>
    <x:row r="1118" ht="85" customHeight="1">
      <x:c r="A1118" s="10" t="n">
        <x:v>1117</x:v>
      </x:c>
      <x:c r="B1118" s="10" t="str">
        <x:v>USER-03-0199</x:v>
      </x:c>
      <x:c r="C1118" s="10" t="str">
        <x:v>直播</x:v>
      </x:c>
      <x:c r="D1118" s="10" t="str">
        <x:v>直播间（普通房）（真实金币观众视角）</x:v>
      </x:c>
      <x:c r="E1118" s="10" t="str">
        <x:v>逻辑校验</x:v>
      </x:c>
      <x:c r="F1118" s="10" t="str">
        <x:v>P1</x:v>
      </x:c>
      <x:c r="G1118" s="9" t="str">
        <x:v>验证幸运10连抽独立扣返</x:v>
      </x:c>
      <x:c r="H1118" s="9" t="str">
        <x:v>资产数值</x:v>
      </x:c>
      <x:c r="I1118" s="9" t="str">
        <x:v>1. 执行角色为真实金币观众；当前处于直播间（普通房）页面
2. 当前余额100；幸运礼物单价10；本组10次开奖测试响应均为0</x:v>
      </x:c>
      <x:c r="J1118" s="9" t="str">
        <x:v>1. 选择幸运礼物数量10
2. 点击赠送
3. 查看金币余额</x:v>
      </x:c>
      <x:c r="K1118" s="9" t="str">
        <x:v>余额为0金币（计算结果 = 0 金币）</x:v>
      </x:c>
      <x:c r="L1118" s="10" t="str"/>
      <x:c r="M1118" s="10" t="str">
        <x:v>未测</x:v>
      </x:c>
      <x:c r="N1118" s="10" t="str"/>
      <x:c r="O1118" s="9" t="str">
        <x:v>1. 来源（当前证据）：liveshow-proto/MainBasis/统一需求文档.md；位置：行358、行367、行771、行759
2. 规则：BR-5e10bcdf8eddb131
3. 未动态验证</x:v>
      </x:c>
    </x:row>
    <x:row r="1119" ht="85" customHeight="1">
      <x:c r="A1119" s="10" t="n">
        <x:v>1118</x:v>
      </x:c>
      <x:c r="B1119" s="10" t="str">
        <x:v>USER-03-0200</x:v>
      </x:c>
      <x:c r="C1119" s="10" t="str">
        <x:v>直播</x:v>
      </x:c>
      <x:c r="D1119" s="10" t="str">
        <x:v>直播间（普通房）（真实金币观众视角）</x:v>
      </x:c>
      <x:c r="E1119" s="10" t="str">
        <x:v>逻辑校验</x:v>
      </x:c>
      <x:c r="F1119" s="10" t="str">
        <x:v>P1</x:v>
      </x:c>
      <x:c r="G1119" s="9" t="str">
        <x:v>验证幸运100连抽独立扣返</x:v>
      </x:c>
      <x:c r="H1119" s="9" t="str">
        <x:v>资产数值</x:v>
      </x:c>
      <x:c r="I1119" s="9" t="str">
        <x:v>1. 执行角色为真实金币观众；当前处于直播间（普通房）页面
2. 当前余额1000；幸运礼物单价10；本组100次开奖测试响应均为0</x:v>
      </x:c>
      <x:c r="J1119" s="9" t="str">
        <x:v>1. 选择幸运礼物数量100
2. 点击赠送
3. 查看金币余额</x:v>
      </x:c>
      <x:c r="K1119" s="9" t="str">
        <x:v>余额为0金币（计算结果 = 0 金币）</x:v>
      </x:c>
      <x:c r="L1119" s="10" t="str"/>
      <x:c r="M1119" s="10" t="str">
        <x:v>未测</x:v>
      </x:c>
      <x:c r="N1119" s="10" t="str"/>
      <x:c r="O1119" s="9" t="str">
        <x:v>1. 来源（当前证据）：liveshow-proto/MainBasis/统一需求文档.md；位置：行359、行367、行771、行759
2. 规则：BR-29a69bd3e108429b
3. 未动态验证</x:v>
      </x:c>
    </x:row>
    <x:row r="1120" ht="85" customHeight="1">
      <x:c r="A1120" s="10" t="n">
        <x:v>1119</x:v>
      </x:c>
      <x:c r="B1120" s="10" t="str">
        <x:v>USER-05-0229</x:v>
      </x:c>
      <x:c r="C1120" s="10" t="str">
        <x:v>我的</x:v>
      </x:c>
      <x:c r="D1120" s="10" t="str">
        <x:v>我的装扮（真实金币用户视角）</x:v>
      </x:c>
      <x:c r="E1120" s="10" t="str">
        <x:v>功能需求</x:v>
      </x:c>
      <x:c r="F1120" s="10" t="str">
        <x:v>P2</x:v>
      </x:c>
      <x:c r="G1120" s="9" t="str">
        <x:v>验证到期自动停止装扮展示</x:v>
      </x:c>
      <x:c r="H1120" s="9" t="str">
        <x:v>到期装扮可见性</x:v>
      </x:c>
      <x:c r="I1120" s="9" t="str">
        <x:v>1. 执行角色为真实金币用户；当前处于我的装扮页面
2. 装扮A佩戴中且刚超过配置有效期</x:v>
      </x:c>
      <x:c r="J1120" s="9" t="str">
        <x:v>1. 查看当前头像装扮</x:v>
      </x:c>
      <x:c r="K1120" s="9" t="str">
        <x:v>A自动停止展示</x:v>
      </x:c>
      <x:c r="L1120" s="10" t="str"/>
      <x:c r="M1120" s="10" t="str">
        <x:v>未测</x:v>
      </x:c>
      <x:c r="N1120" s="10" t="str"/>
      <x:c r="O1120" s="9" t="str">
        <x:v>1. 来源（当前证据）：liveshow-proto/MainBasis/统一需求文档.md；位置：行391、行729
2. 规则：BR-47c6418e87a522ef
3. 未动态验证</x:v>
      </x:c>
    </x:row>
    <x:row r="1121" ht="85" customHeight="1">
      <x:c r="A1121" s="10" t="n">
        <x:v>1120</x:v>
      </x:c>
      <x:c r="B1121" s="10" t="str">
        <x:v>USER-04-0134</x:v>
      </x:c>
      <x:c r="C1121" s="10" t="str">
        <x:v>消息与社交</x:v>
      </x:c>
      <x:c r="D1121" s="10" t="str">
        <x:v>用户主页（已登录普通用户视角）</x:v>
      </x:c>
      <x:c r="E1121" s="10" t="str">
        <x:v>功能需求</x:v>
      </x:c>
      <x:c r="F1121" s="10" t="str">
        <x:v>P1</x:v>
      </x:c>
      <x:c r="G1121" s="9" t="str">
        <x:v>验证好友申请待处理禁止重复</x:v>
      </x:c>
      <x:c r="H1121" s="9" t="str">
        <x:v>申请处理</x:v>
      </x:c>
      <x:c r="I1121" s="9" t="str">
        <x:v>1. 执行角色为已登录普通用户；当前处于用户主页页面
2. 当前与B已有一笔待处理好友申请</x:v>
      </x:c>
      <x:c r="J1121" s="9" t="str">
        <x:v>1. 点击申请好友</x:v>
      </x:c>
      <x:c r="K1121" s="9" t="str">
        <x:v>不生成第二笔待处理申请</x:v>
      </x:c>
      <x:c r="L1121" s="10" t="str"/>
      <x:c r="M1121" s="10" t="str">
        <x:v>未测</x:v>
      </x:c>
      <x:c r="N1121" s="10" t="str"/>
      <x:c r="O1121" s="9" t="str">
        <x:v>1. 来源（当前证据）：liveshow-proto/MainBasis/统一需求文档.md；位置：行876、行1040
2. 规则：BR-12afad6c8256042d
3. 未动态验证</x:v>
      </x:c>
    </x:row>
    <x:row r="1122" ht="85" customHeight="1">
      <x:c r="A1122" s="10" t="n">
        <x:v>1121</x:v>
      </x:c>
      <x:c r="B1122" s="10" t="str">
        <x:v>USER-04-0135</x:v>
      </x:c>
      <x:c r="C1122" s="10" t="str">
        <x:v>消息与社交</x:v>
      </x:c>
      <x:c r="D1122" s="10" t="str">
        <x:v>用户主页（已登录普通用户视角）</x:v>
      </x:c>
      <x:c r="E1122" s="10" t="str">
        <x:v>功能需求</x:v>
      </x:c>
      <x:c r="F1122" s="10" t="str">
        <x:v>P1</x:v>
      </x:c>
      <x:c r="G1122" s="9" t="str">
        <x:v>验证查看对象粉丝与关注计数</x:v>
      </x:c>
      <x:c r="H1122" s="9" t="str">
        <x:v>主页粉丝关注计数</x:v>
      </x:c>
      <x:c r="I1122" s="9" t="str">
        <x:v>1. 执行角色为已登录普通用户；当前处于用户主页页面
2. B当前被3人关注并关注4人</x:v>
      </x:c>
      <x:c r="J1122" s="9" t="str">
        <x:v>1. 查看B主页社交统计</x:v>
      </x:c>
      <x:c r="K1122" s="9" t="str">
        <x:v>粉丝为3、关注为4</x:v>
      </x:c>
      <x:c r="L1122" s="10" t="str"/>
      <x:c r="M1122" s="10" t="str">
        <x:v>未测</x:v>
      </x:c>
      <x:c r="N1122" s="10" t="str"/>
      <x:c r="O1122" s="9" t="str">
        <x:v>1. 来源（当前证据）：liveshow-proto/MainBasis/统一需求文档.md；位置：行1043、行1040
2. 规则：BR-9cc2e3211c2ec8de
3. 未动态验证</x:v>
      </x:c>
    </x:row>
    <x:row r="1123" ht="85" customHeight="1">
      <x:c r="A1123" s="10" t="n">
        <x:v>1122</x:v>
      </x:c>
      <x:c r="B1123" s="10" t="str">
        <x:v>USER-04-0136</x:v>
      </x:c>
      <x:c r="C1123" s="10" t="str">
        <x:v>消息与社交</x:v>
      </x:c>
      <x:c r="D1123" s="10" t="str">
        <x:v>用户主页（已登录普通用户视角）</x:v>
      </x:c>
      <x:c r="E1123" s="10" t="str">
        <x:v>功能需求</x:v>
      </x:c>
      <x:c r="F1123" s="10" t="str">
        <x:v>P1</x:v>
      </x:c>
      <x:c r="G1123" s="9" t="str">
        <x:v>验证查看对象累计送出</x:v>
      </x:c>
      <x:c r="H1123" s="9" t="str">
        <x:v>资产数值</x:v>
      </x:c>
      <x:c r="I1123" s="9" t="str">
        <x:v>1. 执行角色为已登录普通用户；当前处于用户主页页面
2. B有效成功赠礼100金币，另有失败20金币</x:v>
      </x:c>
      <x:c r="J1123" s="9" t="str">
        <x:v>1. 查看B送出值</x:v>
      </x:c>
      <x:c r="K1123" s="9" t="str">
        <x:v>累计送出为100金币</x:v>
      </x:c>
      <x:c r="L1123" s="10" t="str"/>
      <x:c r="M1123" s="10" t="str">
        <x:v>未测</x:v>
      </x:c>
      <x:c r="N1123" s="10" t="str"/>
      <x:c r="O1123" s="9" t="str">
        <x:v>1. 来源（当前证据）：liveshow-proto/MainBasis/统一需求文档.md；位置：行1044、行1046、行1040
2. 规则：BR-855c78aef0949339
3. 未动态验证</x:v>
      </x:c>
    </x:row>
    <x:row r="1124" ht="85" customHeight="1">
      <x:c r="A1124" s="10" t="n">
        <x:v>1123</x:v>
      </x:c>
      <x:c r="B1124" s="10" t="str">
        <x:v>USER-02-0160</x:v>
      </x:c>
      <x:c r="C1124" s="10" t="str">
        <x:v>首页与福利</x:v>
      </x:c>
      <x:c r="D1124" s="10" t="str">
        <x:v>首页（已登录普通用户视角）</x:v>
      </x:c>
      <x:c r="E1124" s="10" t="str">
        <x:v>功能需求</x:v>
      </x:c>
      <x:c r="F1124" s="10" t="str">
        <x:v>P1</x:v>
      </x:c>
      <x:c r="G1124" s="9" t="str">
        <x:v>验证拉黑主播不展示首页卡片</x:v>
      </x:c>
      <x:c r="H1124" s="9" t="str">
        <x:v>拉黑主播卡片过滤</x:v>
      </x:c>
      <x:c r="I1124" s="9" t="str">
        <x:v>1. 执行角色为已登录普通用户；当前处于首页页面
2. 当前与主播B有任一方向拉黑；B正在直播</x:v>
      </x:c>
      <x:c r="J1124" s="9" t="str">
        <x:v>1. 刷新首页</x:v>
      </x:c>
      <x:c r="K1124" s="9" t="str">
        <x:v>不展示B直播卡片</x:v>
      </x:c>
      <x:c r="L1124" s="10" t="str"/>
      <x:c r="M1124" s="10" t="str">
        <x:v>未测</x:v>
      </x:c>
      <x:c r="N1124" s="10" t="str"/>
      <x:c r="O1124" s="9" t="str">
        <x:v>1. 来源（当前证据）：liveshow-proto/MainBasis/统一需求文档.md；位置：行948、行518
2. 规则：BR-a9a92db123310f50
3. 未动态验证</x:v>
      </x:c>
    </x:row>
    <x:row r="1125" ht="85" customHeight="1">
      <x:c r="A1125" s="10" t="n">
        <x:v>1124</x:v>
      </x:c>
      <x:c r="B1125" s="10" t="str">
        <x:v>USER-02-0161</x:v>
      </x:c>
      <x:c r="C1125" s="10" t="str">
        <x:v>首页与福利</x:v>
      </x:c>
      <x:c r="D1125" s="10" t="str">
        <x:v>搜索结果（已登录普通用户视角）</x:v>
      </x:c>
      <x:c r="E1125" s="10" t="str">
        <x:v>功能需求</x:v>
      </x:c>
      <x:c r="F1125" s="10" t="str">
        <x:v>P1</x:v>
      </x:c>
      <x:c r="G1125" s="9" t="str">
        <x:v>验证拉黑账号不能检索</x:v>
      </x:c>
      <x:c r="H1125" s="9" t="str">
        <x:v>拉黑账号搜索过滤</x:v>
      </x:c>
      <x:c r="I1125" s="9" t="str">
        <x:v>1. 执行角色为已登录普通用户；当前处于搜索结果页面
2. 当前与B有任一方向拉黑</x:v>
      </x:c>
      <x:c r="J1125" s="9" t="str">
        <x:v>1. 输入B完整用户ID并搜索</x:v>
      </x:c>
      <x:c r="K1125" s="9" t="str">
        <x:v>结果不展示B</x:v>
      </x:c>
      <x:c r="L1125" s="10" t="str"/>
      <x:c r="M1125" s="10" t="str">
        <x:v>未测</x:v>
      </x:c>
      <x:c r="N1125" s="10" t="str"/>
      <x:c r="O1125" s="9" t="str">
        <x:v>1. 来源（当前证据）：liveshow-proto/MainBasis/统一需求文档.md；位置：行1946、行948、行583
2. 规则：BR-cd0b2ed07b868a49
3. 未动态验证</x:v>
      </x:c>
    </x:row>
    <x:row r="1126" ht="85" customHeight="1">
      <x:c r="A1126" s="10" t="n">
        <x:v>1125</x:v>
      </x:c>
      <x:c r="B1126" s="10" t="str">
        <x:v>USER-04-0137</x:v>
      </x:c>
      <x:c r="C1126" s="10" t="str">
        <x:v>消息与社交</x:v>
      </x:c>
      <x:c r="D1126" s="10" t="str">
        <x:v>粉丝团群聊（有效粉丝团成员视角）</x:v>
      </x:c>
      <x:c r="E1126" s="10" t="str">
        <x:v>功能需求</x:v>
      </x:c>
      <x:c r="F1126" s="10" t="str">
        <x:v>P1</x:v>
      </x:c>
      <x:c r="G1126" s="9" t="str">
        <x:v>验证同群拉黑禁止查看主页</x:v>
      </x:c>
      <x:c r="H1126" s="9" t="str">
        <x:v>账号关系</x:v>
      </x:c>
      <x:c r="I1126" s="9" t="str">
        <x:v>1. 执行角色为有效粉丝团成员；当前处于粉丝团群聊页面
2. A与B有拉黑关系；当前A与B同在第三方粉丝群</x:v>
      </x:c>
      <x:c r="J1126" s="9" t="str">
        <x:v>1. 点击B主页</x:v>
      </x:c>
      <x:c r="K1126" s="9" t="str">
        <x:v>不能查看B主页</x:v>
      </x:c>
      <x:c r="L1126" s="10" t="str"/>
      <x:c r="M1126" s="10" t="str">
        <x:v>未测</x:v>
      </x:c>
      <x:c r="N1126" s="10" t="str"/>
      <x:c r="O1126" s="9" t="str">
        <x:v>1. 来源（当前证据）：liveshow-proto/MainBasis/统一需求文档.md；位置：行950、行897
2. 规则：BR-3dd4a864c70e6339
3. 未动态验证</x:v>
      </x:c>
    </x:row>
    <x:row r="1127" ht="85" customHeight="1">
      <x:c r="A1127" s="10" t="n">
        <x:v>1126</x:v>
      </x:c>
      <x:c r="B1127" s="10" t="str">
        <x:v>USER-06-0066</x:v>
      </x:c>
      <x:c r="C1127" s="10" t="str">
        <x:v>公会关系</x:v>
      </x:c>
      <x:c r="D1127" s="10" t="str">
        <x:v>公会中心（已登录普通用户视角）</x:v>
      </x:c>
      <x:c r="E1127" s="10" t="str">
        <x:v>功能需求</x:v>
      </x:c>
      <x:c r="F1127" s="10" t="str">
        <x:v>P2</x:v>
      </x:c>
      <x:c r="G1127" s="9" t="str">
        <x:v>验证公会卡片资料：公会头像</x:v>
      </x:c>
      <x:c r="H1127" s="9" t="str">
        <x:v>公会头像</x:v>
      </x:c>
      <x:c r="I1127" s="9" t="str">
        <x:v>1. 执行角色为已登录普通用户；当前处于公会中心页面
2. 当前公会A资料与Banner均为已知配置</x:v>
      </x:c>
      <x:c r="J1127" s="9" t="str">
        <x:v>1. 查看A公会卡片</x:v>
      </x:c>
      <x:c r="K1127" s="9" t="str">
        <x:v>头像对应当前公会A</x:v>
      </x:c>
      <x:c r="L1127" s="10" t="str"/>
      <x:c r="M1127" s="10" t="str">
        <x:v>未测</x:v>
      </x:c>
      <x:c r="N1127" s="10" t="str"/>
      <x:c r="O1127" s="9" t="str">
        <x:v>1. 来源（当前证据）：liveshow-proto/MainBasis/统一需求文档.md；位置：行961、行963、行964、行965、行959
2. 规则：BR-6d5ed26b468e8160
3. 未动态验证</x:v>
      </x:c>
    </x:row>
    <x:row r="1128" ht="85" customHeight="1">
      <x:c r="A1128" s="10" t="n">
        <x:v>1127</x:v>
      </x:c>
      <x:c r="B1128" s="10" t="str">
        <x:v>USER-06-0067</x:v>
      </x:c>
      <x:c r="C1128" s="10" t="str">
        <x:v>公会关系</x:v>
      </x:c>
      <x:c r="D1128" s="10" t="str">
        <x:v>公会中心（已登录普通用户视角）</x:v>
      </x:c>
      <x:c r="E1128" s="10" t="str">
        <x:v>功能需求</x:v>
      </x:c>
      <x:c r="F1128" s="10" t="str">
        <x:v>P2</x:v>
      </x:c>
      <x:c r="G1128" s="9" t="str">
        <x:v>验证公会卡片资料：公会名称</x:v>
      </x:c>
      <x:c r="H1128" s="9" t="str">
        <x:v>公会名称</x:v>
      </x:c>
      <x:c r="I1128" s="9" t="str">
        <x:v>1. 执行角色为已登录普通用户；当前处于公会中心页面
2. 当前公会A资料与Banner均为已知配置</x:v>
      </x:c>
      <x:c r="J1128" s="9" t="str">
        <x:v>1. 查看A公会卡片</x:v>
      </x:c>
      <x:c r="K1128" s="9" t="str">
        <x:v>名称对应当前公会A</x:v>
      </x:c>
      <x:c r="L1128" s="10" t="str"/>
      <x:c r="M1128" s="10" t="str">
        <x:v>未测</x:v>
      </x:c>
      <x:c r="N1128" s="10" t="str"/>
      <x:c r="O1128" s="9" t="str">
        <x:v>1. 来源（当前证据）：liveshow-proto/MainBasis/统一需求文档.md；位置：行961、行963、行964、行965、行959
2. 规则：BR-521596057faaa225
3. 未动态验证</x:v>
      </x:c>
    </x:row>
    <x:row r="1129" ht="85" customHeight="1">
      <x:c r="A1129" s="10" t="n">
        <x:v>1128</x:v>
      </x:c>
      <x:c r="B1129" s="10" t="str">
        <x:v>USER-06-0068</x:v>
      </x:c>
      <x:c r="C1129" s="10" t="str">
        <x:v>公会关系</x:v>
      </x:c>
      <x:c r="D1129" s="10" t="str">
        <x:v>公会中心（已登录普通用户视角）</x:v>
      </x:c>
      <x:c r="E1129" s="10" t="str">
        <x:v>功能需求</x:v>
      </x:c>
      <x:c r="F1129" s="10" t="str">
        <x:v>P2</x:v>
      </x:c>
      <x:c r="G1129" s="9" t="str">
        <x:v>验证公会卡片资料：公会标识</x:v>
      </x:c>
      <x:c r="H1129" s="9" t="str">
        <x:v>公会标识</x:v>
      </x:c>
      <x:c r="I1129" s="9" t="str">
        <x:v>1. 执行角色为已登录普通用户；当前处于公会中心页面
2. 当前公会A资料与Banner均为已知配置</x:v>
      </x:c>
      <x:c r="J1129" s="9" t="str">
        <x:v>1. 查看A公会卡片</x:v>
      </x:c>
      <x:c r="K1129" s="9" t="str">
        <x:v>ID对应当前公会A</x:v>
      </x:c>
      <x:c r="L1129" s="10" t="str"/>
      <x:c r="M1129" s="10" t="str">
        <x:v>未测</x:v>
      </x:c>
      <x:c r="N1129" s="10" t="str"/>
      <x:c r="O1129" s="9" t="str">
        <x:v>1. 来源（当前证据）：liveshow-proto/MainBasis/统一需求文档.md；位置：行961、行963、行964、行965、行959
2. 规则：BR-81ab5784fa39e78e
3. 未动态验证</x:v>
      </x:c>
    </x:row>
    <x:row r="1130" ht="85" customHeight="1">
      <x:c r="A1130" s="10" t="n">
        <x:v>1129</x:v>
      </x:c>
      <x:c r="B1130" s="10" t="str">
        <x:v>USER-06-0069</x:v>
      </x:c>
      <x:c r="C1130" s="10" t="str">
        <x:v>公会关系</x:v>
      </x:c>
      <x:c r="D1130" s="10" t="str">
        <x:v>公会中心（已登录普通用户视角）</x:v>
      </x:c>
      <x:c r="E1130" s="10" t="str">
        <x:v>功能需求</x:v>
      </x:c>
      <x:c r="F1130" s="10" t="str">
        <x:v>P2</x:v>
      </x:c>
      <x:c r="G1130" s="9" t="str">
        <x:v>验证公会卡片资料：公会简介</x:v>
      </x:c>
      <x:c r="H1130" s="9" t="str">
        <x:v>公会简介</x:v>
      </x:c>
      <x:c r="I1130" s="9" t="str">
        <x:v>1. 执行角色为已登录普通用户；当前处于公会中心页面
2. 当前公会A资料与Banner均为已知配置</x:v>
      </x:c>
      <x:c r="J1130" s="9" t="str">
        <x:v>1. 查看A公会卡片</x:v>
      </x:c>
      <x:c r="K1130" s="9" t="str">
        <x:v>简介对应当前公会A</x:v>
      </x:c>
      <x:c r="L1130" s="10" t="str"/>
      <x:c r="M1130" s="10" t="str">
        <x:v>未测</x:v>
      </x:c>
      <x:c r="N1130" s="10" t="str"/>
      <x:c r="O1130" s="9" t="str">
        <x:v>1. 来源（当前证据）：liveshow-proto/MainBasis/统一需求文档.md；位置：行961、行963、行964、行965、行959
2. 规则：BR-1346ad4feb42280a
3. 未动态验证</x:v>
      </x:c>
    </x:row>
    <x:row r="1131" ht="85" customHeight="1">
      <x:c r="A1131" s="10" t="n">
        <x:v>1130</x:v>
      </x:c>
      <x:c r="B1131" s="10" t="str">
        <x:v>USER-06-0070</x:v>
      </x:c>
      <x:c r="C1131" s="10" t="str">
        <x:v>公会关系</x:v>
      </x:c>
      <x:c r="D1131" s="10" t="str">
        <x:v>公会中心（已登录普通用户视角）</x:v>
      </x:c>
      <x:c r="E1131" s="10" t="str">
        <x:v>功能需求</x:v>
      </x:c>
      <x:c r="F1131" s="10" t="str">
        <x:v>P1</x:v>
      </x:c>
      <x:c r="G1131" s="9" t="str">
        <x:v>验证公会卡片资料：主播人数</x:v>
      </x:c>
      <x:c r="H1131" s="9" t="str">
        <x:v>主播人数</x:v>
      </x:c>
      <x:c r="I1131" s="9" t="str">
        <x:v>1. 执行角色为已登录普通用户；当前处于公会中心页面
2. 当前公会A资料与Banner均为已知配置</x:v>
      </x:c>
      <x:c r="J1131" s="9" t="str">
        <x:v>1. 查看A公会卡片</x:v>
      </x:c>
      <x:c r="K1131" s="9" t="str">
        <x:v>人数为A当前主播人数</x:v>
      </x:c>
      <x:c r="L1131" s="10" t="str"/>
      <x:c r="M1131" s="10" t="str">
        <x:v>未测</x:v>
      </x:c>
      <x:c r="N1131" s="10" t="str"/>
      <x:c r="O1131" s="9" t="str">
        <x:v>1. 来源（当前证据）：liveshow-proto/MainBasis/统一需求文档.md；位置：行961、行963、行964、行965、行959
2. 规则：BR-525432e85408a89b
3. 未动态验证</x:v>
      </x:c>
    </x:row>
    <x:row r="1132" ht="85" customHeight="1">
      <x:c r="A1132" s="10" t="n">
        <x:v>1131</x:v>
      </x:c>
      <x:c r="B1132" s="10" t="str">
        <x:v>USER-06-0071</x:v>
      </x:c>
      <x:c r="C1132" s="10" t="str">
        <x:v>公会关系</x:v>
      </x:c>
      <x:c r="D1132" s="10" t="str">
        <x:v>公会详情（已登录普通用户视角）</x:v>
      </x:c>
      <x:c r="E1132" s="10" t="str">
        <x:v>功能需求</x:v>
      </x:c>
      <x:c r="F1132" s="10" t="str">
        <x:v>P1</x:v>
      </x:c>
      <x:c r="G1132" s="9" t="str">
        <x:v>验证处理时间有值才展示</x:v>
      </x:c>
      <x:c r="H1132" s="9" t="str">
        <x:v>实际处理时间可见性</x:v>
      </x:c>
      <x:c r="I1132" s="9" t="str">
        <x:v>1. 执行角色为已登录普通用户；当前处于公会详情页面
2. 本账号对公会A存在已处理和待处理两笔申请</x:v>
      </x:c>
      <x:c r="J1132" s="9" t="str">
        <x:v>1. 查看已处理申请</x:v>
      </x:c>
      <x:c r="K1132" s="9" t="str">
        <x:v>展示其处理时间</x:v>
      </x:c>
      <x:c r="L1132" s="10" t="str"/>
      <x:c r="M1132" s="10" t="str">
        <x:v>未测</x:v>
      </x:c>
      <x:c r="N1132" s="10" t="str"/>
      <x:c r="O1132" s="9" t="str">
        <x:v>1. 来源（当前证据）：liveshow-proto/MainBasis/统一需求文档.md；位置：行1012、行1006
2. 规则：BR-e2b44b3f819fe472
3. 未动态验证</x:v>
      </x:c>
    </x:row>
    <x:row r="1133" ht="85" customHeight="1">
      <x:c r="A1133" s="10" t="n">
        <x:v>1132</x:v>
      </x:c>
      <x:c r="B1133" s="10" t="str">
        <x:v>USER-06-0072</x:v>
      </x:c>
      <x:c r="C1133" s="10" t="str">
        <x:v>公会关系</x:v>
      </x:c>
      <x:c r="D1133" s="10" t="str">
        <x:v>公会详情（已登录普通用户视角）</x:v>
      </x:c>
      <x:c r="E1133" s="10" t="str">
        <x:v>功能需求</x:v>
      </x:c>
      <x:c r="F1133" s="10" t="str">
        <x:v>P1</x:v>
      </x:c>
      <x:c r="G1133" s="9" t="str">
        <x:v>验证待处理不造处理时间</x:v>
      </x:c>
      <x:c r="H1133" s="9" t="str">
        <x:v>待处理时间隐藏</x:v>
      </x:c>
      <x:c r="I1133" s="9" t="str">
        <x:v>1. 执行角色为已登录普通用户；当前处于公会详情页面
2. 本账号对公会A存在已处理和待处理两笔申请</x:v>
      </x:c>
      <x:c r="J1133" s="9" t="str">
        <x:v>1. 查看待处理申请</x:v>
      </x:c>
      <x:c r="K1133" s="9" t="str">
        <x:v>不展示虚构处理时间</x:v>
      </x:c>
      <x:c r="L1133" s="10" t="str"/>
      <x:c r="M1133" s="10" t="str">
        <x:v>未测</x:v>
      </x:c>
      <x:c r="N1133" s="10" t="str"/>
      <x:c r="O1133" s="9" t="str">
        <x:v>1. 来源（当前证据）：liveshow-proto/MainBasis/统一需求文档.md；位置：行1012、行1006
2. 规则：BR-fd1dea76d533e065
3. 未动态验证</x:v>
      </x:c>
    </x:row>
    <x:row r="1134" ht="85" customHeight="1">
      <x:c r="A1134" s="10" t="n">
        <x:v>1133</x:v>
      </x:c>
      <x:c r="B1134" s="10" t="str">
        <x:v>USER-07-0158</x:v>
      </x:c>
      <x:c r="C1134" s="10" t="str">
        <x:v>主播中心</x:v>
      </x:c>
      <x:c r="D1134" s="10" t="str">
        <x:v>直播数据（已认证主播视角）</x:v>
      </x:c>
      <x:c r="E1134" s="10" t="str">
        <x:v>功能需求</x:v>
      </x:c>
      <x:c r="F1134" s="10" t="str">
        <x:v>P1</x:v>
      </x:c>
      <x:c r="G1134" s="9" t="str">
        <x:v>验证统计有效直播时长</x:v>
      </x:c>
      <x:c r="H1134" s="9" t="str">
        <x:v>有效直播时长合计</x:v>
      </x:c>
      <x:c r="I1134" s="9" t="str">
        <x:v>1. 执行角色为已认证主播；当前处于直播数据页面
2. 所选范围有两场有效时长1小时与2小时</x:v>
      </x:c>
      <x:c r="J1134" s="9" t="str">
        <x:v>1. 查看开播时长</x:v>
      </x:c>
      <x:c r="K1134" s="9" t="str">
        <x:v>总有效时长为3小时</x:v>
      </x:c>
      <x:c r="L1134" s="10" t="str"/>
      <x:c r="M1134" s="10" t="str">
        <x:v>未测</x:v>
      </x:c>
      <x:c r="N1134" s="10" t="str"/>
      <x:c r="O1134" s="9" t="str">
        <x:v>1. 来源（当前证据）：liveshow-proto/MainBasis/统一需求文档.md；位置：行1252、行1248
2. 规则：BR-3f029be409bbd0e9
3. 未动态验证</x:v>
      </x:c>
    </x:row>
    <x:row r="1135" ht="85" customHeight="1">
      <x:c r="A1135" s="10" t="n">
        <x:v>1134</x:v>
      </x:c>
      <x:c r="B1135" s="10" t="str">
        <x:v>USER-07-0159</x:v>
      </x:c>
      <x:c r="C1135" s="10" t="str">
        <x:v>主播中心</x:v>
      </x:c>
      <x:c r="D1135" s="10" t="str">
        <x:v>直播数据（已认证主播视角）</x:v>
      </x:c>
      <x:c r="E1135" s="10" t="str">
        <x:v>功能需求</x:v>
      </x:c>
      <x:c r="F1135" s="10" t="str">
        <x:v>P1</x:v>
      </x:c>
      <x:c r="G1135" s="9" t="str">
        <x:v>验证统计观众人次</x:v>
      </x:c>
      <x:c r="H1135" s="9" t="str">
        <x:v>场次观众人次合计</x:v>
      </x:c>
      <x:c r="I1135" s="9" t="str">
        <x:v>1. 执行角色为已认证主播；当前处于直播数据页面
2. 同一观众在所选范围成功进入3次</x:v>
      </x:c>
      <x:c r="J1135" s="9" t="str">
        <x:v>1. 查看观众人次</x:v>
      </x:c>
      <x:c r="K1135" s="9" t="str">
        <x:v>计入3人次</x:v>
      </x:c>
      <x:c r="L1135" s="10" t="str"/>
      <x:c r="M1135" s="10" t="str">
        <x:v>未测</x:v>
      </x:c>
      <x:c r="N1135" s="10" t="str"/>
      <x:c r="O1135" s="9" t="str">
        <x:v>1. 来源（当前证据）：liveshow-proto/MainBasis/统一需求文档.md；位置：行1253、行1248
2. 规则：BR-85be2ccce6021169
3. 未动态验证</x:v>
      </x:c>
    </x:row>
    <x:row r="1136" ht="85" customHeight="1">
      <x:c r="A1136" s="10" t="n">
        <x:v>1135</x:v>
      </x:c>
      <x:c r="B1136" s="10" t="str">
        <x:v>USER-07-0160</x:v>
      </x:c>
      <x:c r="C1136" s="10" t="str">
        <x:v>主播中心</x:v>
      </x:c>
      <x:c r="D1136" s="10" t="str">
        <x:v>直播数据（已认证主播视角）</x:v>
      </x:c>
      <x:c r="E1136" s="10" t="str">
        <x:v>功能需求</x:v>
      </x:c>
      <x:c r="F1136" s="10" t="str">
        <x:v>P1</x:v>
      </x:c>
      <x:c r="G1136" s="9" t="str">
        <x:v>验证送礼人数去重</x:v>
      </x:c>
      <x:c r="H1136" s="9" t="str">
        <x:v>送礼账号去重人数</x:v>
      </x:c>
      <x:c r="I1136" s="9" t="str">
        <x:v>1. 执行角色为已认证主播；当前处于直播数据页面
2. A本周期送礼3次，B送礼1次；无其他成功赠送人</x:v>
      </x:c>
      <x:c r="J1136" s="9" t="str">
        <x:v>1. 查看送礼人数</x:v>
      </x:c>
      <x:c r="K1136" s="9" t="str">
        <x:v>送礼人数为2</x:v>
      </x:c>
      <x:c r="L1136" s="10" t="str"/>
      <x:c r="M1136" s="10" t="str">
        <x:v>未测</x:v>
      </x:c>
      <x:c r="N1136" s="10" t="str"/>
      <x:c r="O1136" s="9" t="str">
        <x:v>1. 来源（当前证据）：liveshow-proto/MainBasis/统一需求文档.md；位置：行1254、行1248
2. 规则：BR-2b6a45a1c8cf9b5a
3. 未动态验证</x:v>
      </x:c>
    </x:row>
    <x:row r="1137" ht="85" customHeight="1">
      <x:c r="A1137" s="10" t="n">
        <x:v>1136</x:v>
      </x:c>
      <x:c r="B1137" s="10" t="str">
        <x:v>USER-08-0060</x:v>
      </x:c>
      <x:c r="C1137" s="10" t="str">
        <x:v>钱包与账单</x:v>
      </x:c>
      <x:c r="D1137" s="10" t="str">
        <x:v>余额充值（真实金币用户视角）</x:v>
      </x:c>
      <x:c r="E1137" s="10" t="str">
        <x:v>功能需求</x:v>
      </x:c>
      <x:c r="F1137" s="10" t="str">
        <x:v>P2</x:v>
      </x:c>
      <x:c r="G1137" s="9" t="str">
        <x:v>验证首充标记按配置</x:v>
      </x:c>
      <x:c r="H1137" s="9" t="str">
        <x:v>首充优惠配置标记</x:v>
      </x:c>
      <x:c r="I1137" s="9" t="str">
        <x:v>1. 执行角色为真实金币用户；当前处于余额充值页面
2. 当前可购套餐A被后台标记首充特惠</x:v>
      </x:c>
      <x:c r="J1137" s="9" t="str">
        <x:v>1. 查看套餐A</x:v>
      </x:c>
      <x:c r="K1137" s="9" t="str">
        <x:v>显示首充特惠标记</x:v>
      </x:c>
      <x:c r="L1137" s="10" t="str"/>
      <x:c r="M1137" s="10" t="str">
        <x:v>未测</x:v>
      </x:c>
      <x:c r="N1137" s="10" t="str"/>
      <x:c r="O1137" s="9" t="str">
        <x:v>1. 来源（当前证据）：liveshow-proto/MainBasis/统一需求文档.md；位置：行1298、行1290
2. 规则：BR-a50684fc001e8999
3. 未动态验证</x:v>
      </x:c>
    </x:row>
    <x:row r="1138" ht="85" customHeight="1">
      <x:c r="A1138" s="10" t="n">
        <x:v>1137</x:v>
      </x:c>
      <x:c r="B1138" s="10" t="str">
        <x:v>USER-08-0061</x:v>
      </x:c>
      <x:c r="C1138" s="10" t="str">
        <x:v>钱包与账单</x:v>
      </x:c>
      <x:c r="D1138" s="10" t="str">
        <x:v>余额充值（真实金币用户视角）</x:v>
      </x:c>
      <x:c r="E1138" s="10" t="str">
        <x:v>功能需求</x:v>
      </x:c>
      <x:c r="F1138" s="10" t="str">
        <x:v>P2</x:v>
      </x:c>
      <x:c r="G1138" s="9" t="str">
        <x:v>验证活动倒计时对应结束时间</x:v>
      </x:c>
      <x:c r="H1138" s="9" t="str">
        <x:v>套餐活动剩余时间</x:v>
      </x:c>
      <x:c r="I1138" s="9" t="str">
        <x:v>1. 执行角色为真实金币用户；当前处于余额充值页面
2. 活动结束时间比当前时间晚1小时，设备与服务端时钟一致</x:v>
      </x:c>
      <x:c r="J1138" s="9" t="str">
        <x:v>1. 查看活动剩余时间</x:v>
      </x:c>
      <x:c r="K1138" s="9" t="str">
        <x:v>倒计时从01:00:00附近开始递减</x:v>
      </x:c>
      <x:c r="L1138" s="10" t="str"/>
      <x:c r="M1138" s="10" t="str">
        <x:v>未测</x:v>
      </x:c>
      <x:c r="N1138" s="10" t="str"/>
      <x:c r="O1138" s="9" t="str">
        <x:v>1. 来源（当前证据）：liveshow-proto/MainBasis/统一需求文档.md；位置：行1299、行1290
2. 规则：BR-a1c706c337826359
3. 未动态验证</x:v>
      </x:c>
    </x:row>
    <x:row r="1139" ht="85" customHeight="1">
      <x:c r="A1139" s="10" t="n">
        <x:v>1138</x:v>
      </x:c>
      <x:c r="B1139" s="10" t="str">
        <x:v>USER-08-0062</x:v>
      </x:c>
      <x:c r="C1139" s="10" t="str">
        <x:v>钱包与账单</x:v>
      </x:c>
      <x:c r="D1139" s="10" t="str">
        <x:v>余额充值（真实金币用户视角）</x:v>
      </x:c>
      <x:c r="E1139" s="10" t="str">
        <x:v>功能需求</x:v>
      </x:c>
      <x:c r="F1139" s="10" t="str">
        <x:v>P2</x:v>
      </x:c>
      <x:c r="G1139" s="9" t="str">
        <x:v>验证充值套餐封面按配置</x:v>
      </x:c>
      <x:c r="H1139" s="9" t="str">
        <x:v>充值套餐封面来源</x:v>
      </x:c>
      <x:c r="I1139" s="9" t="str">
        <x:v>1. 执行角色为真实金币用户；当前处于余额充值页面
2. A套餐配置封面图已知</x:v>
      </x:c>
      <x:c r="J1139" s="9" t="str">
        <x:v>1. 查看套餐A</x:v>
      </x:c>
      <x:c r="K1139" s="9" t="str">
        <x:v>展示后台配置的A封面</x:v>
      </x:c>
      <x:c r="L1139" s="10" t="str"/>
      <x:c r="M1139" s="10" t="str">
        <x:v>未测</x:v>
      </x:c>
      <x:c r="N1139" s="10" t="str"/>
      <x:c r="O1139" s="9" t="str">
        <x:v>1. 来源（当前证据）：liveshow-proto/MainBasis/统一需求文档.md；位置：行1294、行1290
2. 规则：BR-fee1d93c71126bbf
3. 未动态验证</x:v>
      </x:c>
    </x:row>
    <x:row r="1140" ht="130" customHeight="1">
      <x:c r="A1140" s="10" t="n">
        <x:v>1139</x:v>
      </x:c>
      <x:c r="B1140" s="10" t="str">
        <x:v>USER-03-0201</x:v>
      </x:c>
      <x:c r="C1140" s="10" t="str">
        <x:v>直播</x:v>
      </x:c>
      <x:c r="D1140" s="10" t="str">
        <x:v>本场贡献-贡献榜（普通观众视角）</x:v>
      </x:c>
      <x:c r="E1140" s="10" t="str">
        <x:v>功能需求</x:v>
      </x:c>
      <x:c r="F1140" s="10" t="str">
        <x:v>P2</x:v>
      </x:c>
      <x:c r="G1140" s="9" t="str">
        <x:v>验证本场贡献排序首条件</x:v>
      </x:c>
      <x:c r="H1140" s="9" t="str">
        <x:v>排列次序</x:v>
      </x:c>
      <x:c r="I1140" s="9" t="str">
        <x:v>1. 执行角色为普通观众；当前处于本场贡献-贡献榜页面
2. 测试环境已准备本场真实金币贡献；数据不涉及运营虚拟金币；当前场次仍在直播
3. A贡献200、粉丝1级、财富1级；B贡献100、粉丝10级、财富10级</x:v>
      </x:c>
      <x:c r="J1140" s="9" t="str">
        <x:v>1. 查看本场贡献榜</x:v>
      </x:c>
      <x:c r="K1140" s="9" t="str">
        <x:v>A排在B前</x:v>
      </x:c>
      <x:c r="L1140" s="10" t="str"/>
      <x:c r="M1140" s="10" t="str">
        <x:v>未测</x:v>
      </x:c>
      <x:c r="N1140" s="10" t="str"/>
      <x:c r="O1140" s="9" t="str">
        <x:v>1. 来源（当前证据）：liveshow-proto/MainBasis/统一需求文档.md；位置：行1715、行1713
2. 规则：BR-551d4e9227281d48
3. 未动态验证</x:v>
      </x:c>
    </x:row>
    <x:row r="1141" ht="130" customHeight="1">
      <x:c r="A1141" s="10" t="n">
        <x:v>1140</x:v>
      </x:c>
      <x:c r="B1141" s="10" t="str">
        <x:v>USER-03-0202</x:v>
      </x:c>
      <x:c r="C1141" s="10" t="str">
        <x:v>直播</x:v>
      </x:c>
      <x:c r="D1141" s="10" t="str">
        <x:v>本场贡献-贡献榜（普通观众视角）</x:v>
      </x:c>
      <x:c r="E1141" s="10" t="str">
        <x:v>功能需求</x:v>
      </x:c>
      <x:c r="F1141" s="10" t="str">
        <x:v>P2</x:v>
      </x:c>
      <x:c r="G1141" s="9" t="str">
        <x:v>验证本场贡献相同按本团等级</x:v>
      </x:c>
      <x:c r="H1141" s="9" t="str">
        <x:v>排列次序</x:v>
      </x:c>
      <x:c r="I1141" s="9" t="str">
        <x:v>1. 执行角色为普通观众；当前处于本场贡献-贡献榜页面
2. 测试环境已准备本场真实金币贡献；数据不涉及运营虚拟金币；当前场次仍在直播
3. A与B贡献100；A本主播粉丝团5级、财富1级；B本团3级、财富10级</x:v>
      </x:c>
      <x:c r="J1141" s="9" t="str">
        <x:v>1. 查看本场贡献榜</x:v>
      </x:c>
      <x:c r="K1141" s="9" t="str">
        <x:v>A排在B前</x:v>
      </x:c>
      <x:c r="L1141" s="10" t="str"/>
      <x:c r="M1141" s="10" t="str">
        <x:v>未测</x:v>
      </x:c>
      <x:c r="N1141" s="10" t="str"/>
      <x:c r="O1141" s="9" t="str">
        <x:v>1. 来源（当前证据）：liveshow-proto/MainBasis/统一需求文档.md；位置：行1715、行1713
2. 规则：BR-65f87597810fa684
3. 未动态验证</x:v>
      </x:c>
    </x:row>
    <x:row r="1142" ht="115" customHeight="1">
      <x:c r="A1142" s="10" t="n">
        <x:v>1141</x:v>
      </x:c>
      <x:c r="B1142" s="10" t="str">
        <x:v>USER-03-0203</x:v>
      </x:c>
      <x:c r="C1142" s="10" t="str">
        <x:v>直播</x:v>
      </x:c>
      <x:c r="D1142" s="10" t="str">
        <x:v>本场贡献-贡献榜（普通观众视角）</x:v>
      </x:c>
      <x:c r="E1142" s="10" t="str">
        <x:v>功能需求</x:v>
      </x:c>
      <x:c r="F1142" s="10" t="str">
        <x:v>P2</x:v>
      </x:c>
      <x:c r="G1142" s="9" t="str">
        <x:v>验证本场贡献及团等级相同按财富</x:v>
      </x:c>
      <x:c r="H1142" s="9" t="str">
        <x:v>排列次序</x:v>
      </x:c>
      <x:c r="I1142" s="9" t="str">
        <x:v>1. 执行角色为普通观众；当前处于本场贡献-贡献榜页面
2. 测试环境已准备本场真实金币贡献；数据不涉及运营虚拟金币；当前场次仍在直播
3. A与B贡献100、本团等级3；A财富5级，B财富2级</x:v>
      </x:c>
      <x:c r="J1142" s="9" t="str">
        <x:v>1. 查看本场贡献榜</x:v>
      </x:c>
      <x:c r="K1142" s="9" t="str">
        <x:v>A排在B前</x:v>
      </x:c>
      <x:c r="L1142" s="10" t="str"/>
      <x:c r="M1142" s="10" t="str">
        <x:v>未测</x:v>
      </x:c>
      <x:c r="N1142" s="10" t="str"/>
      <x:c r="O1142" s="9" t="str">
        <x:v>1. 来源（当前证据）：liveshow-proto/MainBasis/统一需求文档.md；位置：行1715、行1713
2. 规则：BR-cd2cb39218e84d96
3. 未动态验证</x:v>
      </x:c>
    </x:row>
    <x:row r="1143" ht="130" customHeight="1">
      <x:c r="A1143" s="10" t="n">
        <x:v>1142</x:v>
      </x:c>
      <x:c r="B1143" s="10" t="str">
        <x:v>USER-03-0204</x:v>
      </x:c>
      <x:c r="C1143" s="10" t="str">
        <x:v>直播</x:v>
      </x:c>
      <x:c r="D1143" s="10" t="str">
        <x:v>本场贡献-贡献榜（普通观众视角）</x:v>
      </x:c>
      <x:c r="E1143" s="10" t="str">
        <x:v>功能需求</x:v>
      </x:c>
      <x:c r="F1143" s="10" t="str">
        <x:v>P2</x:v>
      </x:c>
      <x:c r="G1143" s="9" t="str">
        <x:v>验证本场完全同分按数字ID</x:v>
      </x:c>
      <x:c r="H1143" s="9" t="str">
        <x:v>排列次序</x:v>
      </x:c>
      <x:c r="I1143" s="9" t="str">
        <x:v>1. 执行角色为普通观众；当前处于本场贡献-贡献榜页面
2. 测试环境已准备本场真实金币贡献；数据不涉及运营虚拟金币；当前场次仍在直播
3. ID为U2与U10的用户本场贡献、粉丝等级、财富等级完全相同</x:v>
      </x:c>
      <x:c r="J1143" s="9" t="str">
        <x:v>1. 查看本场贡献榜</x:v>
      </x:c>
      <x:c r="K1143" s="9" t="str">
        <x:v>U2排在U10前</x:v>
      </x:c>
      <x:c r="L1143" s="10" t="str"/>
      <x:c r="M1143" s="10" t="str">
        <x:v>未测</x:v>
      </x:c>
      <x:c r="N1143" s="10" t="str"/>
      <x:c r="O1143" s="9" t="str">
        <x:v>1. 来源（当前证据）：liveshow-proto/MainBasis/统一需求文档.md；位置：行1715、行1713
2. 规则：BR-e0c861f08e85777b
3. 未动态验证</x:v>
      </x:c>
    </x:row>
    <x:row r="1144" ht="115" customHeight="1">
      <x:c r="A1144" s="10" t="n">
        <x:v>1143</x:v>
      </x:c>
      <x:c r="B1144" s="10" t="str">
        <x:v>USER-03-0205</x:v>
      </x:c>
      <x:c r="C1144" s="10" t="str">
        <x:v>直播</x:v>
      </x:c>
      <x:c r="D1144" s="10" t="str">
        <x:v>本场贡献-贡献榜（普通观众视角）</x:v>
      </x:c>
      <x:c r="E1144" s="10" t="str">
        <x:v>功能需求</x:v>
      </x:c>
      <x:c r="F1144" s="10" t="str">
        <x:v>P2</x:v>
      </x:c>
      <x:c r="G1144" s="9" t="str">
        <x:v>验证本场同分名次不并列</x:v>
      </x:c>
      <x:c r="H1144" s="9" t="str">
        <x:v>排列次序</x:v>
      </x:c>
      <x:c r="I1144" s="9" t="str">
        <x:v>1. 执行角色为普通观众；当前处于本场贡献-贡献榜页面
2. 测试环境已准备本场真实金币贡献；数据不涉及运营虚拟金币；当前场次仍在直播
3. A与B本场贡献、粉丝等级、财富等级相同；排序后相邻</x:v>
      </x:c>
      <x:c r="J1144" s="9" t="str">
        <x:v>1. 查看两人的名次</x:v>
      </x:c>
      <x:c r="K1144" s="9" t="str">
        <x:v>两人分配连续的不同名次</x:v>
      </x:c>
      <x:c r="L1144" s="10" t="str"/>
      <x:c r="M1144" s="10" t="str">
        <x:v>未测</x:v>
      </x:c>
      <x:c r="N1144" s="10" t="str"/>
      <x:c r="O1144" s="9" t="str">
        <x:v>1. 来源（当前证据）：liveshow-proto/MainBasis/统一需求文档.md；位置：行1715、行1713
2. 规则：BR-33fc23217a28e29a
3. 未动态验证</x:v>
      </x:c>
    </x:row>
    <x:row r="1145" ht="130" customHeight="1">
      <x:c r="A1145" s="10" t="n">
        <x:v>1144</x:v>
      </x:c>
      <x:c r="B1145" s="10" t="str">
        <x:v>USER-03-0206</x:v>
      </x:c>
      <x:c r="C1145" s="10" t="str">
        <x:v>直播</x:v>
      </x:c>
      <x:c r="D1145" s="10" t="str">
        <x:v>本场贡献-贡献榜（普通观众视角）</x:v>
      </x:c>
      <x:c r="E1145" s="10" t="str">
        <x:v>功能需求</x:v>
      </x:c>
      <x:c r="F1145" s="10" t="str">
        <x:v>P2</x:v>
      </x:c>
      <x:c r="G1145" s="9" t="str">
        <x:v>验证本场第九十九名边界：第99名保留</x:v>
      </x:c>
      <x:c r="H1145" s="9" t="str">
        <x:v>第99名保留</x:v>
      </x:c>
      <x:c r="I1145" s="9" t="str">
        <x:v>1. 执行角色为普通观众；当前处于本场贡献-贡献榜页面
2. 测试环境已准备本场真实金币贡献；数据不涉及运营虚拟金币；当前场次仍在直播
3. 共100名有贡献用户；前98名贡献更高；末两人贡献及粉丝等级相同；A财富5级、B财富2级</x:v>
      </x:c>
      <x:c r="J1145" s="9" t="str">
        <x:v>1. 查看榜单末尾</x:v>
      </x:c>
      <x:c r="K1145" s="9" t="str">
        <x:v>第99名展示A</x:v>
      </x:c>
      <x:c r="L1145" s="10" t="str"/>
      <x:c r="M1145" s="10" t="str">
        <x:v>未测</x:v>
      </x:c>
      <x:c r="N1145" s="10" t="str"/>
      <x:c r="O1145" s="9" t="str">
        <x:v>1. 来源（当前证据）：liveshow-proto/MainBasis/统一需求文档.md；位置：行1715、行1714、行1713
2. 规则：BR-d9b5cbf294b5bbe1
3. 未动态验证</x:v>
      </x:c>
    </x:row>
    <x:row r="1146" ht="130" customHeight="1">
      <x:c r="A1146" s="10" t="n">
        <x:v>1145</x:v>
      </x:c>
      <x:c r="B1146" s="10" t="str">
        <x:v>USER-03-0207</x:v>
      </x:c>
      <x:c r="C1146" s="10" t="str">
        <x:v>直播</x:v>
      </x:c>
      <x:c r="D1146" s="10" t="str">
        <x:v>本场贡献-贡献榜（普通观众视角）</x:v>
      </x:c>
      <x:c r="E1146" s="10" t="str">
        <x:v>功能需求</x:v>
      </x:c>
      <x:c r="F1146" s="10" t="str">
        <x:v>P2</x:v>
      </x:c>
      <x:c r="G1146" s="9" t="str">
        <x:v>验证本场第九十九名边界：第100名排除</x:v>
      </x:c>
      <x:c r="H1146" s="9" t="str">
        <x:v>第100名排除</x:v>
      </x:c>
      <x:c r="I1146" s="9" t="str">
        <x:v>1. 执行角色为普通观众；当前处于本场贡献-贡献榜页面
2. 测试环境已准备本场真实金币贡献；数据不涉及运营虚拟金币；当前场次仍在直播
3. 共100名有贡献用户；前98名贡献更高；末两人贡献及粉丝等级相同；A财富5级、B财富2级</x:v>
      </x:c>
      <x:c r="J1146" s="9" t="str">
        <x:v>1. 查看榜单末尾</x:v>
      </x:c>
      <x:c r="K1146" s="9" t="str">
        <x:v>榜单不展示B</x:v>
      </x:c>
      <x:c r="L1146" s="10" t="str"/>
      <x:c r="M1146" s="10" t="str">
        <x:v>未测</x:v>
      </x:c>
      <x:c r="N1146" s="10" t="str"/>
      <x:c r="O1146" s="9" t="str">
        <x:v>1. 来源（当前证据）：liveshow-proto/MainBasis/统一需求文档.md；位置：行1715、行1714、行1713
2. 规则：BR-3cd1ba9b9f8bdfd2
3. 未动态验证</x:v>
      </x:c>
    </x:row>
    <x:row r="1147" ht="130" customHeight="1">
      <x:c r="A1147" s="10" t="n">
        <x:v>1146</x:v>
      </x:c>
      <x:c r="B1147" s="10" t="str">
        <x:v>USER-03-0208</x:v>
      </x:c>
      <x:c r="C1147" s="10" t="str">
        <x:v>直播</x:v>
      </x:c>
      <x:c r="D1147" s="10" t="str">
        <x:v>本场贡献-贡献榜（普通观众视角）</x:v>
      </x:c>
      <x:c r="E1147" s="10" t="str">
        <x:v>功能需求</x:v>
      </x:c>
      <x:c r="F1147" s="10" t="str">
        <x:v>P2</x:v>
      </x:c>
      <x:c r="G1147" s="9" t="str">
        <x:v>验证本场缺少粉丝等级按零排序</x:v>
      </x:c>
      <x:c r="H1147" s="9" t="str">
        <x:v>排列次序</x:v>
      </x:c>
      <x:c r="I1147" s="9" t="str">
        <x:v>1. 执行角色为普通观众；当前处于本场贡献-贡献榜页面
2. 测试环境已准备本场真实金币贡献；数据不涉及运营虚拟金币；当前场次仍在直播
3. A与B贡献相同；A没有粉丝等级，B粉丝1级；其他排序条件一致</x:v>
      </x:c>
      <x:c r="J1147" s="9" t="str">
        <x:v>1. 查看本场贡献榜</x:v>
      </x:c>
      <x:c r="K1147" s="9" t="str">
        <x:v>B排在A前</x:v>
      </x:c>
      <x:c r="L1147" s="10" t="str"/>
      <x:c r="M1147" s="10" t="str">
        <x:v>未测</x:v>
      </x:c>
      <x:c r="N1147" s="10" t="str"/>
      <x:c r="O1147" s="9" t="str">
        <x:v>1. 来源（当前证据）：liveshow-proto/MainBasis/统一需求文档.md；位置：行1715、行1718、行1713
2. 规则：BR-fdc9ed6166480ff8
3. 未动态验证</x:v>
      </x:c>
    </x:row>
    <x:row r="1148" ht="115" customHeight="1">
      <x:c r="A1148" s="10" t="n">
        <x:v>1147</x:v>
      </x:c>
      <x:c r="B1148" s="10" t="str">
        <x:v>USER-03-0209</x:v>
      </x:c>
      <x:c r="C1148" s="10" t="str">
        <x:v>直播</x:v>
      </x:c>
      <x:c r="D1148" s="10" t="str">
        <x:v>本场贡献-贡献榜（普通观众视角）</x:v>
      </x:c>
      <x:c r="E1148" s="10" t="str">
        <x:v>功能需求</x:v>
      </x:c>
      <x:c r="F1148" s="10" t="str">
        <x:v>P2</x:v>
      </x:c>
      <x:c r="G1148" s="9" t="str">
        <x:v>验证本场缺少财富等级按零排序</x:v>
      </x:c>
      <x:c r="H1148" s="9" t="str">
        <x:v>排列次序</x:v>
      </x:c>
      <x:c r="I1148" s="9" t="str">
        <x:v>1. 执行角色为普通观众；当前处于本场贡献-贡献榜页面
2. 测试环境已准备本场真实金币贡献；数据不涉及运营虚拟金币；当前场次仍在直播
3. A与B贡献及粉丝等级相同；A没有财富等级，B财富1级</x:v>
      </x:c>
      <x:c r="J1148" s="9" t="str">
        <x:v>1. 查看本场贡献榜</x:v>
      </x:c>
      <x:c r="K1148" s="9" t="str">
        <x:v>B排在A前</x:v>
      </x:c>
      <x:c r="L1148" s="10" t="str"/>
      <x:c r="M1148" s="10" t="str">
        <x:v>未测</x:v>
      </x:c>
      <x:c r="N1148" s="10" t="str"/>
      <x:c r="O1148" s="9" t="str">
        <x:v>1. 来源（当前证据）：liveshow-proto/MainBasis/统一需求文档.md；位置：行1715、行1718、行1713
2. 规则：BR-cf008f22a10b5eb6
3. 未动态验证</x:v>
      </x:c>
    </x:row>
    <x:row r="1149" ht="115" customHeight="1">
      <x:c r="A1149" s="10" t="n">
        <x:v>1148</x:v>
      </x:c>
      <x:c r="B1149" s="10" t="str">
        <x:v>USER-03-0210</x:v>
      </x:c>
      <x:c r="C1149" s="10" t="str">
        <x:v>直播</x:v>
      </x:c>
      <x:c r="D1149" s="10" t="str">
        <x:v>本场贡献-贡献榜（普通观众视角）</x:v>
      </x:c>
      <x:c r="E1149" s="10" t="str">
        <x:v>功能需求</x:v>
      </x:c>
      <x:c r="F1149" s="10" t="str">
        <x:v>P1</x:v>
      </x:c>
      <x:c r="G1149" s="9" t="str">
        <x:v>验证本场失败赠送不贡献</x:v>
      </x:c>
      <x:c r="H1149" s="9" t="str">
        <x:v>失败赠送本场贡献排除</x:v>
      </x:c>
      <x:c r="I1149" s="9" t="str">
        <x:v>1. 执行角色为普通观众；当前处于本场贡献-贡献榜页面
2. 测试环境已准备本场真实金币贡献；数据不涉及运营虚拟金币；当前场次仍在直播
3. A当前贡献100；一次50金币赠送请求已失败</x:v>
      </x:c>
      <x:c r="J1149" s="9" t="str">
        <x:v>1. 刷新本场贡献榜</x:v>
      </x:c>
      <x:c r="K1149" s="9" t="str">
        <x:v>A贡献仍为100</x:v>
      </x:c>
      <x:c r="L1149" s="10" t="str"/>
      <x:c r="M1149" s="10" t="str">
        <x:v>未测</x:v>
      </x:c>
      <x:c r="N1149" s="10" t="str"/>
      <x:c r="O1149" s="9" t="str">
        <x:v>1. 来源（当前证据）：liveshow-proto/MainBasis/统一需求文档.md；位置：行1719、行1713
2. 规则：BR-6b1c7a4fe74bd91a
3. 未动态验证</x:v>
      </x:c>
    </x:row>
    <x:row r="1150" ht="115" customHeight="1">
      <x:c r="A1150" s="10" t="n">
        <x:v>1149</x:v>
      </x:c>
      <x:c r="B1150" s="10" t="str">
        <x:v>USER-03-0211</x:v>
      </x:c>
      <x:c r="C1150" s="10" t="str">
        <x:v>直播</x:v>
      </x:c>
      <x:c r="D1150" s="10" t="str">
        <x:v>本场贡献-贡献榜（普通观众视角）</x:v>
      </x:c>
      <x:c r="E1150" s="10" t="str">
        <x:v>功能需求</x:v>
      </x:c>
      <x:c r="F1150" s="10" t="str">
        <x:v>P1</x:v>
      </x:c>
      <x:c r="G1150" s="9" t="str">
        <x:v>验证本场撤销赠送不贡献</x:v>
      </x:c>
      <x:c r="H1150" s="9" t="str">
        <x:v>撤销赠送本场贡献排除</x:v>
      </x:c>
      <x:c r="I1150" s="9" t="str">
        <x:v>1. 执行角色为普通观众；当前处于本场贡献-贡献榜页面
2. 测试环境已准备本场真实金币贡献；数据不涉及运营虚拟金币；当前场次仍在直播
3. A只有一笔已撤销赠送且没有其他有效贡献</x:v>
      </x:c>
      <x:c r="J1150" s="9" t="str">
        <x:v>1. 刷新本场贡献榜</x:v>
      </x:c>
      <x:c r="K1150" s="9" t="str">
        <x:v>该笔撤销赠送不计入A贡献</x:v>
      </x:c>
      <x:c r="L1150" s="10" t="str"/>
      <x:c r="M1150" s="10" t="str">
        <x:v>未测</x:v>
      </x:c>
      <x:c r="N1150" s="10" t="str"/>
      <x:c r="O1150" s="9" t="str">
        <x:v>1. 来源（当前证据）：liveshow-proto/MainBasis/统一需求文档.md；位置：行1719、行1713
2. 规则：BR-45de95b4b713d2b2
3. 未动态验证</x:v>
      </x:c>
    </x:row>
    <x:row r="1151" ht="115" customHeight="1">
      <x:c r="A1151" s="10" t="n">
        <x:v>1150</x:v>
      </x:c>
      <x:c r="B1151" s="10" t="str">
        <x:v>USER-03-0212</x:v>
      </x:c>
      <x:c r="C1151" s="10" t="str">
        <x:v>直播</x:v>
      </x:c>
      <x:c r="D1151" s="10" t="str">
        <x:v>本场贡献-贡献榜（普通观众视角）</x:v>
      </x:c>
      <x:c r="E1151" s="10" t="str">
        <x:v>功能需求</x:v>
      </x:c>
      <x:c r="F1151" s="10" t="str">
        <x:v>P1</x:v>
      </x:c>
      <x:c r="G1151" s="9" t="str">
        <x:v>验证本场消费冲正重排</x:v>
      </x:c>
      <x:c r="H1151" s="9" t="str">
        <x:v>排列次序</x:v>
      </x:c>
      <x:c r="I1151" s="9" t="str">
        <x:v>1. 执行角色为普通观众；当前处于本场贡献-贡献榜页面
2. 测试环境已准备本场真实金币贡献；数据不涉及运营虚拟金币；当前场次仍在直播
3. A原贡献200，B贡献150；A其中100金币有效消费已完成冲正</x:v>
      </x:c>
      <x:c r="J1151" s="9" t="str">
        <x:v>1. 刷新本场贡献榜</x:v>
      </x:c>
      <x:c r="K1151" s="9" t="str">
        <x:v>B排在A前</x:v>
      </x:c>
      <x:c r="L1151" s="10" t="str"/>
      <x:c r="M1151" s="10" t="str">
        <x:v>未测</x:v>
      </x:c>
      <x:c r="N1151" s="10" t="str"/>
      <x:c r="O1151" s="9" t="str">
        <x:v>1. 来源（当前证据）：liveshow-proto/MainBasis/统一需求文档.md；位置：行1715、行1719、行1713
2. 规则：BR-121d8875e177937d
3. 未动态验证</x:v>
      </x:c>
    </x:row>
    <x:row r="1152" ht="130" customHeight="1">
      <x:c r="A1152" s="10" t="n">
        <x:v>1151</x:v>
      </x:c>
      <x:c r="B1152" s="10" t="str">
        <x:v>USER-03-0213</x:v>
      </x:c>
      <x:c r="C1152" s="10" t="str">
        <x:v>直播</x:v>
      </x:c>
      <x:c r="D1152" s="10" t="str">
        <x:v>本场贡献-贡献榜（普通观众视角）</x:v>
      </x:c>
      <x:c r="E1152" s="10" t="str">
        <x:v>功能需求</x:v>
      </x:c>
      <x:c r="F1152" s="10" t="str">
        <x:v>P1</x:v>
      </x:c>
      <x:c r="G1152" s="9" t="str">
        <x:v>验证本场充值退款保留贡献</x:v>
      </x:c>
      <x:c r="H1152" s="9" t="str">
        <x:v>充值退款本场贡献保持</x:v>
      </x:c>
      <x:c r="I1152" s="9" t="str">
        <x:v>1. 执行角色为普通观众；当前处于本场贡献-贡献榜页面
2. 测试环境已准备本场真实金币贡献；数据不涉及运营虚拟金币；当前场次仍在直播
3. A本场成功赠礼100金币；对应充值现已退款；没有赠礼消费冲正</x:v>
      </x:c>
      <x:c r="J1152" s="9" t="str">
        <x:v>1. 刷新本场贡献榜</x:v>
      </x:c>
      <x:c r="K1152" s="9" t="str">
        <x:v>A本场贡献仍为100</x:v>
      </x:c>
      <x:c r="L1152" s="10" t="str"/>
      <x:c r="M1152" s="10" t="str">
        <x:v>未测</x:v>
      </x:c>
      <x:c r="N1152" s="10" t="str"/>
      <x:c r="O1152" s="9" t="str">
        <x:v>1. 来源（当前证据）：liveshow-proto/MainBasis/统一需求文档.md；位置：行1719、行1713
2. 规则：BR-7992999c67d8e512
3. 未动态验证</x:v>
      </x:c>
    </x:row>
    <x:row r="1153" ht="100" customHeight="1">
      <x:c r="A1153" s="10" t="n">
        <x:v>1152</x:v>
      </x:c>
      <x:c r="B1153" s="10" t="str">
        <x:v>USER-03-0214</x:v>
      </x:c>
      <x:c r="C1153" s="10" t="str">
        <x:v>直播</x:v>
      </x:c>
      <x:c r="D1153" s="10" t="str">
        <x:v>本场贡献-贡献榜（普通观众视角）</x:v>
      </x:c>
      <x:c r="E1153" s="10" t="str">
        <x:v>功能需求</x:v>
      </x:c>
      <x:c r="F1153" s="10" t="str">
        <x:v>P2</x:v>
      </x:c>
      <x:c r="G1153" s="9" t="str">
        <x:v>验证注销贡献名称脱敏</x:v>
      </x:c>
      <x:c r="H1153" s="9" t="str">
        <x:v>注销账号榜单名称</x:v>
      </x:c>
      <x:c r="I1153" s="9" t="str">
        <x:v>1. 执行角色为普通观众；当前处于本场贡献-贡献榜页面
2. 测试环境已准备本场真实金币贡献；数据不涉及运营虚拟金币；当前场次仍在直播
3. 本场贡献用户A已完成注销</x:v>
      </x:c>
      <x:c r="J1153" s="9" t="str">
        <x:v>1. 刷新本场贡献榜</x:v>
      </x:c>
      <x:c r="K1153" s="9" t="str">
        <x:v>A名称显示“账号已注销”</x:v>
      </x:c>
      <x:c r="L1153" s="10" t="str"/>
      <x:c r="M1153" s="10" t="str">
        <x:v>未测</x:v>
      </x:c>
      <x:c r="N1153" s="10" t="str"/>
      <x:c r="O1153" s="9" t="str">
        <x:v>1. 来源（当前证据）：liveshow-proto/MainBasis/统一需求文档.md；位置：行1720、行1713
2. 规则：BR-da49961bef681eaf
3. 未动态验证</x:v>
      </x:c>
    </x:row>
    <x:row r="1154" ht="100" customHeight="1">
      <x:c r="A1154" s="10" t="n">
        <x:v>1153</x:v>
      </x:c>
      <x:c r="B1154" s="10" t="str">
        <x:v>USER-03-0215</x:v>
      </x:c>
      <x:c r="C1154" s="10" t="str">
        <x:v>直播</x:v>
      </x:c>
      <x:c r="D1154" s="10" t="str">
        <x:v>本场贡献-贡献榜（普通观众视角）</x:v>
      </x:c>
      <x:c r="E1154" s="10" t="str">
        <x:v>功能需求</x:v>
      </x:c>
      <x:c r="F1154" s="10" t="str">
        <x:v>P1</x:v>
      </x:c>
      <x:c r="G1154" s="9" t="str">
        <x:v>验证注销贡献数值保留</x:v>
      </x:c>
      <x:c r="H1154" s="9" t="str">
        <x:v>注销账号历史贡献保持</x:v>
      </x:c>
      <x:c r="I1154" s="9" t="str">
        <x:v>1. 执行角色为普通观众；当前处于本场贡献-贡献榜页面
2. 测试环境已准备本场真实金币贡献；数据不涉及运营虚拟金币；当前场次仍在直播
3. A本场贡献100后已完成注销</x:v>
      </x:c>
      <x:c r="J1154" s="9" t="str">
        <x:v>1. 刷新本场贡献榜</x:v>
      </x:c>
      <x:c r="K1154" s="9" t="str">
        <x:v>A历史贡献仍为100</x:v>
      </x:c>
      <x:c r="L1154" s="10" t="str"/>
      <x:c r="M1154" s="10" t="str">
        <x:v>未测</x:v>
      </x:c>
      <x:c r="N1154" s="10" t="str"/>
      <x:c r="O1154" s="9" t="str">
        <x:v>1. 来源（当前证据）：liveshow-proto/MainBasis/统一需求文档.md；位置：行1720、行1713
2. 规则：BR-65287bf08c7f0013
3. 未动态验证</x:v>
      </x:c>
    </x:row>
    <x:row r="1155" ht="100" customHeight="1">
      <x:c r="A1155" s="10" t="n">
        <x:v>1154</x:v>
      </x:c>
      <x:c r="B1155" s="10" t="str">
        <x:v>USER-03-0216</x:v>
      </x:c>
      <x:c r="C1155" s="10" t="str">
        <x:v>直播</x:v>
      </x:c>
      <x:c r="D1155" s="10" t="str">
        <x:v>本场贡献-贡献榜（普通观众视角）</x:v>
      </x:c>
      <x:c r="E1155" s="10" t="str">
        <x:v>功能需求</x:v>
      </x:c>
      <x:c r="F1155" s="10" t="str">
        <x:v>P1</x:v>
      </x:c>
      <x:c r="G1155" s="9" t="str">
        <x:v>验证注销贡献账号不能进主页</x:v>
      </x:c>
      <x:c r="H1155" s="9" t="str">
        <x:v>注销榜单账号主页限制</x:v>
      </x:c>
      <x:c r="I1155" s="9" t="str">
        <x:v>1. 执行角色为普通观众；当前处于本场贡献-贡献榜页面
2. 测试环境已准备本场真实金币贡献；数据不涉及运营虚拟金币；当前场次仍在直播
3. 本场贡献用户A已完成注销</x:v>
      </x:c>
      <x:c r="J1155" s="9" t="str">
        <x:v>1. 点击A的用户信息</x:v>
      </x:c>
      <x:c r="K1155" s="9" t="str">
        <x:v>不能进入A主页</x:v>
      </x:c>
      <x:c r="L1155" s="10" t="str"/>
      <x:c r="M1155" s="10" t="str">
        <x:v>未测</x:v>
      </x:c>
      <x:c r="N1155" s="10" t="str"/>
      <x:c r="O1155" s="9" t="str">
        <x:v>1. 来源（当前证据）：liveshow-proto/MainBasis/统一需求文档.md；位置：行1720、行1713
2. 规则：BR-2a29d9a4053a8e72
3. 未动态验证</x:v>
      </x:c>
    </x:row>
    <x:row r="1156" ht="130" customHeight="1">
      <x:c r="A1156" s="10" t="n">
        <x:v>1155</x:v>
      </x:c>
      <x:c r="B1156" s="10" t="str">
        <x:v>USER-03-0217</x:v>
      </x:c>
      <x:c r="C1156" s="10" t="str">
        <x:v>直播</x:v>
      </x:c>
      <x:c r="D1156" s="10" t="str">
        <x:v>本场贡献-贡献榜（本场主播视角）</x:v>
      </x:c>
      <x:c r="E1156" s="10" t="str">
        <x:v>功能需求</x:v>
      </x:c>
      <x:c r="F1156" s="10" t="str">
        <x:v>P2</x:v>
      </x:c>
      <x:c r="G1156" s="9" t="str">
        <x:v>验证本场贡献排序首条件</x:v>
      </x:c>
      <x:c r="H1156" s="9" t="str">
        <x:v>排列次序</x:v>
      </x:c>
      <x:c r="I1156" s="9" t="str">
        <x:v>1. 执行角色为本场主播；当前处于本场贡献-贡献榜页面
2. 测试环境已准备本场真实金币贡献；数据不涉及运营虚拟金币；当前场次仍在直播
3. A贡献200、粉丝1级、财富1级；B贡献100、粉丝10级、财富10级</x:v>
      </x:c>
      <x:c r="J1156" s="9" t="str">
        <x:v>1. 查看本场贡献榜</x:v>
      </x:c>
      <x:c r="K1156" s="9" t="str">
        <x:v>A排在B前</x:v>
      </x:c>
      <x:c r="L1156" s="10" t="str"/>
      <x:c r="M1156" s="10" t="str">
        <x:v>未测</x:v>
      </x:c>
      <x:c r="N1156" s="10" t="str"/>
      <x:c r="O1156" s="9" t="str">
        <x:v>1. 来源（当前证据）：liveshow-proto/MainBasis/统一需求文档.md；位置：行1751、行1748
2. 规则：BR-e367d354687e102a
3. 未动态验证</x:v>
      </x:c>
    </x:row>
    <x:row r="1157" ht="130" customHeight="1">
      <x:c r="A1157" s="10" t="n">
        <x:v>1156</x:v>
      </x:c>
      <x:c r="B1157" s="10" t="str">
        <x:v>USER-03-0218</x:v>
      </x:c>
      <x:c r="C1157" s="10" t="str">
        <x:v>直播</x:v>
      </x:c>
      <x:c r="D1157" s="10" t="str">
        <x:v>本场贡献-贡献榜（本场主播视角）</x:v>
      </x:c>
      <x:c r="E1157" s="10" t="str">
        <x:v>功能需求</x:v>
      </x:c>
      <x:c r="F1157" s="10" t="str">
        <x:v>P2</x:v>
      </x:c>
      <x:c r="G1157" s="9" t="str">
        <x:v>验证本场贡献相同按本团等级</x:v>
      </x:c>
      <x:c r="H1157" s="9" t="str">
        <x:v>排列次序</x:v>
      </x:c>
      <x:c r="I1157" s="9" t="str">
        <x:v>1. 执行角色为本场主播；当前处于本场贡献-贡献榜页面
2. 测试环境已准备本场真实金币贡献；数据不涉及运营虚拟金币；当前场次仍在直播
3. A与B贡献100；A本主播粉丝团5级、财富1级；B本团3级、财富10级</x:v>
      </x:c>
      <x:c r="J1157" s="9" t="str">
        <x:v>1. 查看本场贡献榜</x:v>
      </x:c>
      <x:c r="K1157" s="9" t="str">
        <x:v>A排在B前</x:v>
      </x:c>
      <x:c r="L1157" s="10" t="str"/>
      <x:c r="M1157" s="10" t="str">
        <x:v>未测</x:v>
      </x:c>
      <x:c r="N1157" s="10" t="str"/>
      <x:c r="O1157" s="9" t="str">
        <x:v>1. 来源（当前证据）：liveshow-proto/MainBasis/统一需求文档.md；位置：行1751、行1748
2. 规则：BR-4edc4d5fa742e148
3. 未动态验证</x:v>
      </x:c>
    </x:row>
    <x:row r="1158" ht="115" customHeight="1">
      <x:c r="A1158" s="10" t="n">
        <x:v>1157</x:v>
      </x:c>
      <x:c r="B1158" s="10" t="str">
        <x:v>USER-03-0219</x:v>
      </x:c>
      <x:c r="C1158" s="10" t="str">
        <x:v>直播</x:v>
      </x:c>
      <x:c r="D1158" s="10" t="str">
        <x:v>本场贡献-贡献榜（本场主播视角）</x:v>
      </x:c>
      <x:c r="E1158" s="10" t="str">
        <x:v>功能需求</x:v>
      </x:c>
      <x:c r="F1158" s="10" t="str">
        <x:v>P2</x:v>
      </x:c>
      <x:c r="G1158" s="9" t="str">
        <x:v>验证本场贡献及团等级相同按财富</x:v>
      </x:c>
      <x:c r="H1158" s="9" t="str">
        <x:v>排列次序</x:v>
      </x:c>
      <x:c r="I1158" s="9" t="str">
        <x:v>1. 执行角色为本场主播；当前处于本场贡献-贡献榜页面
2. 测试环境已准备本场真实金币贡献；数据不涉及运营虚拟金币；当前场次仍在直播
3. A与B贡献100、本团等级3；A财富5级，B财富2级</x:v>
      </x:c>
      <x:c r="J1158" s="9" t="str">
        <x:v>1. 查看本场贡献榜</x:v>
      </x:c>
      <x:c r="K1158" s="9" t="str">
        <x:v>A排在B前</x:v>
      </x:c>
      <x:c r="L1158" s="10" t="str"/>
      <x:c r="M1158" s="10" t="str">
        <x:v>未测</x:v>
      </x:c>
      <x:c r="N1158" s="10" t="str"/>
      <x:c r="O1158" s="9" t="str">
        <x:v>1. 来源（当前证据）：liveshow-proto/MainBasis/统一需求文档.md；位置：行1751、行1748
2. 规则：BR-bf1988243afb5547
3. 未动态验证</x:v>
      </x:c>
    </x:row>
    <x:row r="1159" ht="130" customHeight="1">
      <x:c r="A1159" s="10" t="n">
        <x:v>1158</x:v>
      </x:c>
      <x:c r="B1159" s="10" t="str">
        <x:v>USER-03-0220</x:v>
      </x:c>
      <x:c r="C1159" s="10" t="str">
        <x:v>直播</x:v>
      </x:c>
      <x:c r="D1159" s="10" t="str">
        <x:v>本场贡献-贡献榜（本场主播视角）</x:v>
      </x:c>
      <x:c r="E1159" s="10" t="str">
        <x:v>功能需求</x:v>
      </x:c>
      <x:c r="F1159" s="10" t="str">
        <x:v>P2</x:v>
      </x:c>
      <x:c r="G1159" s="9" t="str">
        <x:v>验证本场完全同分按数字ID</x:v>
      </x:c>
      <x:c r="H1159" s="9" t="str">
        <x:v>排列次序</x:v>
      </x:c>
      <x:c r="I1159" s="9" t="str">
        <x:v>1. 执行角色为本场主播；当前处于本场贡献-贡献榜页面
2. 测试环境已准备本场真实金币贡献；数据不涉及运营虚拟金币；当前场次仍在直播
3. ID为U2与U10的用户本场贡献、粉丝等级、财富等级完全相同</x:v>
      </x:c>
      <x:c r="J1159" s="9" t="str">
        <x:v>1. 查看本场贡献榜</x:v>
      </x:c>
      <x:c r="K1159" s="9" t="str">
        <x:v>U2排在U10前</x:v>
      </x:c>
      <x:c r="L1159" s="10" t="str"/>
      <x:c r="M1159" s="10" t="str">
        <x:v>未测</x:v>
      </x:c>
      <x:c r="N1159" s="10" t="str"/>
      <x:c r="O1159" s="9" t="str">
        <x:v>1. 来源（当前证据）：liveshow-proto/MainBasis/统一需求文档.md；位置：行1751、行1748
2. 规则：BR-247e7b115fff07f8
3. 未动态验证</x:v>
      </x:c>
    </x:row>
    <x:row r="1160" ht="115" customHeight="1">
      <x:c r="A1160" s="10" t="n">
        <x:v>1159</x:v>
      </x:c>
      <x:c r="B1160" s="10" t="str">
        <x:v>USER-03-0221</x:v>
      </x:c>
      <x:c r="C1160" s="10" t="str">
        <x:v>直播</x:v>
      </x:c>
      <x:c r="D1160" s="10" t="str">
        <x:v>本场贡献-贡献榜（本场主播视角）</x:v>
      </x:c>
      <x:c r="E1160" s="10" t="str">
        <x:v>功能需求</x:v>
      </x:c>
      <x:c r="F1160" s="10" t="str">
        <x:v>P2</x:v>
      </x:c>
      <x:c r="G1160" s="9" t="str">
        <x:v>验证本场同分名次不并列</x:v>
      </x:c>
      <x:c r="H1160" s="9" t="str">
        <x:v>排列次序</x:v>
      </x:c>
      <x:c r="I1160" s="9" t="str">
        <x:v>1. 执行角色为本场主播；当前处于本场贡献-贡献榜页面
2. 测试环境已准备本场真实金币贡献；数据不涉及运营虚拟金币；当前场次仍在直播
3. A与B本场贡献、粉丝等级、财富等级相同；排序后相邻</x:v>
      </x:c>
      <x:c r="J1160" s="9" t="str">
        <x:v>1. 查看两人的名次</x:v>
      </x:c>
      <x:c r="K1160" s="9" t="str">
        <x:v>两人分配连续的不同名次</x:v>
      </x:c>
      <x:c r="L1160" s="10" t="str"/>
      <x:c r="M1160" s="10" t="str">
        <x:v>未测</x:v>
      </x:c>
      <x:c r="N1160" s="10" t="str"/>
      <x:c r="O1160" s="9" t="str">
        <x:v>1. 来源（当前证据）：liveshow-proto/MainBasis/统一需求文档.md；位置：行1751、行1748
2. 规则：BR-f7b8dc73ffa34c68
3. 未动态验证</x:v>
      </x:c>
    </x:row>
    <x:row r="1161" ht="130" customHeight="1">
      <x:c r="A1161" s="10" t="n">
        <x:v>1160</x:v>
      </x:c>
      <x:c r="B1161" s="10" t="str">
        <x:v>USER-03-0222</x:v>
      </x:c>
      <x:c r="C1161" s="10" t="str">
        <x:v>直播</x:v>
      </x:c>
      <x:c r="D1161" s="10" t="str">
        <x:v>本场贡献-贡献榜（本场主播视角）</x:v>
      </x:c>
      <x:c r="E1161" s="10" t="str">
        <x:v>功能需求</x:v>
      </x:c>
      <x:c r="F1161" s="10" t="str">
        <x:v>P2</x:v>
      </x:c>
      <x:c r="G1161" s="9" t="str">
        <x:v>验证本场第九十九名边界：第99名保留</x:v>
      </x:c>
      <x:c r="H1161" s="9" t="str">
        <x:v>第99名保留</x:v>
      </x:c>
      <x:c r="I1161" s="9" t="str">
        <x:v>1. 执行角色为本场主播；当前处于本场贡献-贡献榜页面
2. 测试环境已准备本场真实金币贡献；数据不涉及运营虚拟金币；当前场次仍在直播
3. 共100名有贡献用户；前98名贡献更高；末两人贡献及粉丝等级相同；A财富5级、B财富2级</x:v>
      </x:c>
      <x:c r="J1161" s="9" t="str">
        <x:v>1. 查看榜单末尾</x:v>
      </x:c>
      <x:c r="K1161" s="9" t="str">
        <x:v>第99名展示A</x:v>
      </x:c>
      <x:c r="L1161" s="10" t="str"/>
      <x:c r="M1161" s="10" t="str">
        <x:v>未测</x:v>
      </x:c>
      <x:c r="N1161" s="10" t="str"/>
      <x:c r="O1161" s="9" t="str">
        <x:v>1. 来源（当前证据）：liveshow-proto/MainBasis/统一需求文档.md；位置：行1751、行1750、行1748
2. 规则：BR-15b12f658c1c3073
3. 未动态验证</x:v>
      </x:c>
    </x:row>
    <x:row r="1162" ht="130" customHeight="1">
      <x:c r="A1162" s="10" t="n">
        <x:v>1161</x:v>
      </x:c>
      <x:c r="B1162" s="10" t="str">
        <x:v>USER-03-0223</x:v>
      </x:c>
      <x:c r="C1162" s="10" t="str">
        <x:v>直播</x:v>
      </x:c>
      <x:c r="D1162" s="10" t="str">
        <x:v>本场贡献-贡献榜（本场主播视角）</x:v>
      </x:c>
      <x:c r="E1162" s="10" t="str">
        <x:v>功能需求</x:v>
      </x:c>
      <x:c r="F1162" s="10" t="str">
        <x:v>P2</x:v>
      </x:c>
      <x:c r="G1162" s="9" t="str">
        <x:v>验证本场第九十九名边界：第100名排除</x:v>
      </x:c>
      <x:c r="H1162" s="9" t="str">
        <x:v>第100名排除</x:v>
      </x:c>
      <x:c r="I1162" s="9" t="str">
        <x:v>1. 执行角色为本场主播；当前处于本场贡献-贡献榜页面
2. 测试环境已准备本场真实金币贡献；数据不涉及运营虚拟金币；当前场次仍在直播
3. 共100名有贡献用户；前98名贡献更高；末两人贡献及粉丝等级相同；A财富5级、B财富2级</x:v>
      </x:c>
      <x:c r="J1162" s="9" t="str">
        <x:v>1. 查看榜单末尾</x:v>
      </x:c>
      <x:c r="K1162" s="9" t="str">
        <x:v>榜单不展示B</x:v>
      </x:c>
      <x:c r="L1162" s="10" t="str"/>
      <x:c r="M1162" s="10" t="str">
        <x:v>未测</x:v>
      </x:c>
      <x:c r="N1162" s="10" t="str"/>
      <x:c r="O1162" s="9" t="str">
        <x:v>1. 来源（当前证据）：liveshow-proto/MainBasis/统一需求文档.md；位置：行1751、行1750、行1748
2. 规则：BR-e2fb51c6443437d0
3. 未动态验证</x:v>
      </x:c>
    </x:row>
    <x:row r="1163" ht="130" customHeight="1">
      <x:c r="A1163" s="10" t="n">
        <x:v>1162</x:v>
      </x:c>
      <x:c r="B1163" s="10" t="str">
        <x:v>USER-03-0224</x:v>
      </x:c>
      <x:c r="C1163" s="10" t="str">
        <x:v>直播</x:v>
      </x:c>
      <x:c r="D1163" s="10" t="str">
        <x:v>本场贡献-贡献榜（本场主播视角）</x:v>
      </x:c>
      <x:c r="E1163" s="10" t="str">
        <x:v>功能需求</x:v>
      </x:c>
      <x:c r="F1163" s="10" t="str">
        <x:v>P2</x:v>
      </x:c>
      <x:c r="G1163" s="9" t="str">
        <x:v>验证本场缺少粉丝等级按零排序</x:v>
      </x:c>
      <x:c r="H1163" s="9" t="str">
        <x:v>排列次序</x:v>
      </x:c>
      <x:c r="I1163" s="9" t="str">
        <x:v>1. 执行角色为本场主播；当前处于本场贡献-贡献榜页面
2. 测试环境已准备本场真实金币贡献；数据不涉及运营虚拟金币；当前场次仍在直播
3. A与B贡献相同；A没有粉丝等级，B粉丝1级；其他排序条件一致</x:v>
      </x:c>
      <x:c r="J1163" s="9" t="str">
        <x:v>1. 查看本场贡献榜</x:v>
      </x:c>
      <x:c r="K1163" s="9" t="str">
        <x:v>B排在A前</x:v>
      </x:c>
      <x:c r="L1163" s="10" t="str"/>
      <x:c r="M1163" s="10" t="str">
        <x:v>未测</x:v>
      </x:c>
      <x:c r="N1163" s="10" t="str"/>
      <x:c r="O1163" s="9" t="str">
        <x:v>1. 来源（当前证据）：liveshow-proto/MainBasis/统一需求文档.md；位置：行1751、行1755、行1748
2. 规则：BR-8be38790e79a7413
3. 未动态验证</x:v>
      </x:c>
    </x:row>
    <x:row r="1164" ht="115" customHeight="1">
      <x:c r="A1164" s="10" t="n">
        <x:v>1163</x:v>
      </x:c>
      <x:c r="B1164" s="10" t="str">
        <x:v>USER-03-0225</x:v>
      </x:c>
      <x:c r="C1164" s="10" t="str">
        <x:v>直播</x:v>
      </x:c>
      <x:c r="D1164" s="10" t="str">
        <x:v>本场贡献-贡献榜（本场主播视角）</x:v>
      </x:c>
      <x:c r="E1164" s="10" t="str">
        <x:v>功能需求</x:v>
      </x:c>
      <x:c r="F1164" s="10" t="str">
        <x:v>P2</x:v>
      </x:c>
      <x:c r="G1164" s="9" t="str">
        <x:v>验证本场缺少财富等级按零排序</x:v>
      </x:c>
      <x:c r="H1164" s="9" t="str">
        <x:v>排列次序</x:v>
      </x:c>
      <x:c r="I1164" s="9" t="str">
        <x:v>1. 执行角色为本场主播；当前处于本场贡献-贡献榜页面
2. 测试环境已准备本场真实金币贡献；数据不涉及运营虚拟金币；当前场次仍在直播
3. A与B贡献及粉丝等级相同；A没有财富等级，B财富1级</x:v>
      </x:c>
      <x:c r="J1164" s="9" t="str">
        <x:v>1. 查看本场贡献榜</x:v>
      </x:c>
      <x:c r="K1164" s="9" t="str">
        <x:v>B排在A前</x:v>
      </x:c>
      <x:c r="L1164" s="10" t="str"/>
      <x:c r="M1164" s="10" t="str">
        <x:v>未测</x:v>
      </x:c>
      <x:c r="N1164" s="10" t="str"/>
      <x:c r="O1164" s="9" t="str">
        <x:v>1. 来源（当前证据）：liveshow-proto/MainBasis/统一需求文档.md；位置：行1751、行1755、行1748
2. 规则：BR-5640a9efd4563d28
3. 未动态验证</x:v>
      </x:c>
    </x:row>
    <x:row r="1165" ht="115" customHeight="1">
      <x:c r="A1165" s="10" t="n">
        <x:v>1164</x:v>
      </x:c>
      <x:c r="B1165" s="10" t="str">
        <x:v>USER-03-0226</x:v>
      </x:c>
      <x:c r="C1165" s="10" t="str">
        <x:v>直播</x:v>
      </x:c>
      <x:c r="D1165" s="10" t="str">
        <x:v>本场贡献-贡献榜（本场主播视角）</x:v>
      </x:c>
      <x:c r="E1165" s="10" t="str">
        <x:v>功能需求</x:v>
      </x:c>
      <x:c r="F1165" s="10" t="str">
        <x:v>P1</x:v>
      </x:c>
      <x:c r="G1165" s="9" t="str">
        <x:v>验证本场失败赠送不贡献</x:v>
      </x:c>
      <x:c r="H1165" s="9" t="str">
        <x:v>失败赠送本场贡献排除</x:v>
      </x:c>
      <x:c r="I1165" s="9" t="str">
        <x:v>1. 执行角色为本场主播；当前处于本场贡献-贡献榜页面
2. 测试环境已准备本场真实金币贡献；数据不涉及运营虚拟金币；当前场次仍在直播
3. A当前贡献100；一次50金币赠送请求已失败</x:v>
      </x:c>
      <x:c r="J1165" s="9" t="str">
        <x:v>1. 刷新本场贡献榜</x:v>
      </x:c>
      <x:c r="K1165" s="9" t="str">
        <x:v>A贡献仍为100</x:v>
      </x:c>
      <x:c r="L1165" s="10" t="str"/>
      <x:c r="M1165" s="10" t="str">
        <x:v>未测</x:v>
      </x:c>
      <x:c r="N1165" s="10" t="str"/>
      <x:c r="O1165" s="9" t="str">
        <x:v>1. 来源（当前证据）：liveshow-proto/MainBasis/统一需求文档.md；位置：行1757、行1748
2. 规则：BR-c22b860eb013b377
3. 未动态验证</x:v>
      </x:c>
    </x:row>
    <x:row r="1166" ht="115" customHeight="1">
      <x:c r="A1166" s="10" t="n">
        <x:v>1165</x:v>
      </x:c>
      <x:c r="B1166" s="10" t="str">
        <x:v>USER-03-0227</x:v>
      </x:c>
      <x:c r="C1166" s="10" t="str">
        <x:v>直播</x:v>
      </x:c>
      <x:c r="D1166" s="10" t="str">
        <x:v>本场贡献-贡献榜（本场主播视角）</x:v>
      </x:c>
      <x:c r="E1166" s="10" t="str">
        <x:v>功能需求</x:v>
      </x:c>
      <x:c r="F1166" s="10" t="str">
        <x:v>P1</x:v>
      </x:c>
      <x:c r="G1166" s="9" t="str">
        <x:v>验证本场撤销赠送不贡献</x:v>
      </x:c>
      <x:c r="H1166" s="9" t="str">
        <x:v>撤销赠送本场贡献排除</x:v>
      </x:c>
      <x:c r="I1166" s="9" t="str">
        <x:v>1. 执行角色为本场主播；当前处于本场贡献-贡献榜页面
2. 测试环境已准备本场真实金币贡献；数据不涉及运营虚拟金币；当前场次仍在直播
3. A只有一笔已撤销赠送且没有其他有效贡献</x:v>
      </x:c>
      <x:c r="J1166" s="9" t="str">
        <x:v>1. 刷新本场贡献榜</x:v>
      </x:c>
      <x:c r="K1166" s="9" t="str">
        <x:v>该笔撤销赠送不计入A贡献</x:v>
      </x:c>
      <x:c r="L1166" s="10" t="str"/>
      <x:c r="M1166" s="10" t="str">
        <x:v>未测</x:v>
      </x:c>
      <x:c r="N1166" s="10" t="str"/>
      <x:c r="O1166" s="9" t="str">
        <x:v>1. 来源（当前证据）：liveshow-proto/MainBasis/统一需求文档.md；位置：行1757、行1748
2. 规则：BR-fbcd2ef484733657
3. 未动态验证</x:v>
      </x:c>
    </x:row>
    <x:row r="1167" ht="115" customHeight="1">
      <x:c r="A1167" s="10" t="n">
        <x:v>1166</x:v>
      </x:c>
      <x:c r="B1167" s="10" t="str">
        <x:v>USER-03-0228</x:v>
      </x:c>
      <x:c r="C1167" s="10" t="str">
        <x:v>直播</x:v>
      </x:c>
      <x:c r="D1167" s="10" t="str">
        <x:v>本场贡献-贡献榜（本场主播视角）</x:v>
      </x:c>
      <x:c r="E1167" s="10" t="str">
        <x:v>功能需求</x:v>
      </x:c>
      <x:c r="F1167" s="10" t="str">
        <x:v>P1</x:v>
      </x:c>
      <x:c r="G1167" s="9" t="str">
        <x:v>验证本场消费冲正重排</x:v>
      </x:c>
      <x:c r="H1167" s="9" t="str">
        <x:v>排列次序</x:v>
      </x:c>
      <x:c r="I1167" s="9" t="str">
        <x:v>1. 执行角色为本场主播；当前处于本场贡献-贡献榜页面
2. 测试环境已准备本场真实金币贡献；数据不涉及运营虚拟金币；当前场次仍在直播
3. A原贡献200，B贡献150；A其中100金币有效消费已完成冲正</x:v>
      </x:c>
      <x:c r="J1167" s="9" t="str">
        <x:v>1. 刷新本场贡献榜</x:v>
      </x:c>
      <x:c r="K1167" s="9" t="str">
        <x:v>B排在A前</x:v>
      </x:c>
      <x:c r="L1167" s="10" t="str"/>
      <x:c r="M1167" s="10" t="str">
        <x:v>未测</x:v>
      </x:c>
      <x:c r="N1167" s="10" t="str"/>
      <x:c r="O1167" s="9" t="str">
        <x:v>1. 来源（当前证据）：liveshow-proto/MainBasis/统一需求文档.md；位置：行1751、行1757、行1748
2. 规则：BR-23084c7314504230
3. 未动态验证</x:v>
      </x:c>
    </x:row>
    <x:row r="1168" ht="130" customHeight="1">
      <x:c r="A1168" s="10" t="n">
        <x:v>1167</x:v>
      </x:c>
      <x:c r="B1168" s="10" t="str">
        <x:v>USER-03-0229</x:v>
      </x:c>
      <x:c r="C1168" s="10" t="str">
        <x:v>直播</x:v>
      </x:c>
      <x:c r="D1168" s="10" t="str">
        <x:v>本场贡献-贡献榜（本场主播视角）</x:v>
      </x:c>
      <x:c r="E1168" s="10" t="str">
        <x:v>功能需求</x:v>
      </x:c>
      <x:c r="F1168" s="10" t="str">
        <x:v>P1</x:v>
      </x:c>
      <x:c r="G1168" s="9" t="str">
        <x:v>验证本场充值退款保留贡献</x:v>
      </x:c>
      <x:c r="H1168" s="9" t="str">
        <x:v>充值退款本场贡献保持</x:v>
      </x:c>
      <x:c r="I1168" s="9" t="str">
        <x:v>1. 执行角色为本场主播；当前处于本场贡献-贡献榜页面
2. 测试环境已准备本场真实金币贡献；数据不涉及运营虚拟金币；当前场次仍在直播
3. A本场成功赠礼100金币；对应充值现已退款；没有赠礼消费冲正</x:v>
      </x:c>
      <x:c r="J1168" s="9" t="str">
        <x:v>1. 刷新本场贡献榜</x:v>
      </x:c>
      <x:c r="K1168" s="9" t="str">
        <x:v>A本场贡献仍为100</x:v>
      </x:c>
      <x:c r="L1168" s="10" t="str"/>
      <x:c r="M1168" s="10" t="str">
        <x:v>未测</x:v>
      </x:c>
      <x:c r="N1168" s="10" t="str"/>
      <x:c r="O1168" s="9" t="str">
        <x:v>1. 来源（当前证据）：liveshow-proto/MainBasis/统一需求文档.md；位置：行1757、行1748
2. 规则：BR-6944d81d7e4f778a
3. 未动态验证</x:v>
      </x:c>
    </x:row>
    <x:row r="1169" ht="100" customHeight="1">
      <x:c r="A1169" s="10" t="n">
        <x:v>1168</x:v>
      </x:c>
      <x:c r="B1169" s="10" t="str">
        <x:v>USER-03-0230</x:v>
      </x:c>
      <x:c r="C1169" s="10" t="str">
        <x:v>直播</x:v>
      </x:c>
      <x:c r="D1169" s="10" t="str">
        <x:v>本场贡献-贡献榜（本场主播视角）</x:v>
      </x:c>
      <x:c r="E1169" s="10" t="str">
        <x:v>功能需求</x:v>
      </x:c>
      <x:c r="F1169" s="10" t="str">
        <x:v>P2</x:v>
      </x:c>
      <x:c r="G1169" s="9" t="str">
        <x:v>验证注销贡献名称脱敏</x:v>
      </x:c>
      <x:c r="H1169" s="9" t="str">
        <x:v>注销账号榜单名称</x:v>
      </x:c>
      <x:c r="I1169" s="9" t="str">
        <x:v>1. 执行角色为本场主播；当前处于本场贡献-贡献榜页面
2. 测试环境已准备本场真实金币贡献；数据不涉及运营虚拟金币；当前场次仍在直播
3. 本场贡献用户A已完成注销</x:v>
      </x:c>
      <x:c r="J1169" s="9" t="str">
        <x:v>1. 刷新本场贡献榜</x:v>
      </x:c>
      <x:c r="K1169" s="9" t="str">
        <x:v>A名称显示“账号已注销”</x:v>
      </x:c>
      <x:c r="L1169" s="10" t="str"/>
      <x:c r="M1169" s="10" t="str">
        <x:v>未测</x:v>
      </x:c>
      <x:c r="N1169" s="10" t="str"/>
      <x:c r="O1169" s="9" t="str">
        <x:v>1. 来源（当前证据）：liveshow-proto/MainBasis/统一需求文档.md；位置：行1758、行1748
2. 规则：BR-4eaffbd827d60546
3. 未动态验证</x:v>
      </x:c>
    </x:row>
    <x:row r="1170" ht="100" customHeight="1">
      <x:c r="A1170" s="10" t="n">
        <x:v>1169</x:v>
      </x:c>
      <x:c r="B1170" s="10" t="str">
        <x:v>USER-03-0231</x:v>
      </x:c>
      <x:c r="C1170" s="10" t="str">
        <x:v>直播</x:v>
      </x:c>
      <x:c r="D1170" s="10" t="str">
        <x:v>本场贡献-贡献榜（本场主播视角）</x:v>
      </x:c>
      <x:c r="E1170" s="10" t="str">
        <x:v>功能需求</x:v>
      </x:c>
      <x:c r="F1170" s="10" t="str">
        <x:v>P1</x:v>
      </x:c>
      <x:c r="G1170" s="9" t="str">
        <x:v>验证注销贡献数值保留</x:v>
      </x:c>
      <x:c r="H1170" s="9" t="str">
        <x:v>注销账号历史贡献保持</x:v>
      </x:c>
      <x:c r="I1170" s="9" t="str">
        <x:v>1. 执行角色为本场主播；当前处于本场贡献-贡献榜页面
2. 测试环境已准备本场真实金币贡献；数据不涉及运营虚拟金币；当前场次仍在直播
3. A本场贡献100后已完成注销</x:v>
      </x:c>
      <x:c r="J1170" s="9" t="str">
        <x:v>1. 刷新本场贡献榜</x:v>
      </x:c>
      <x:c r="K1170" s="9" t="str">
        <x:v>A历史贡献仍为100</x:v>
      </x:c>
      <x:c r="L1170" s="10" t="str"/>
      <x:c r="M1170" s="10" t="str">
        <x:v>未测</x:v>
      </x:c>
      <x:c r="N1170" s="10" t="str"/>
      <x:c r="O1170" s="9" t="str">
        <x:v>1. 来源（当前证据）：liveshow-proto/MainBasis/统一需求文档.md；位置：行1758、行1748
2. 规则：BR-c3147a54d7938c10
3. 未动态验证</x:v>
      </x:c>
    </x:row>
    <x:row r="1171" ht="100" customHeight="1">
      <x:c r="A1171" s="10" t="n">
        <x:v>1170</x:v>
      </x:c>
      <x:c r="B1171" s="10" t="str">
        <x:v>USER-03-0232</x:v>
      </x:c>
      <x:c r="C1171" s="10" t="str">
        <x:v>直播</x:v>
      </x:c>
      <x:c r="D1171" s="10" t="str">
        <x:v>本场贡献-贡献榜（本场主播视角）</x:v>
      </x:c>
      <x:c r="E1171" s="10" t="str">
        <x:v>功能需求</x:v>
      </x:c>
      <x:c r="F1171" s="10" t="str">
        <x:v>P1</x:v>
      </x:c>
      <x:c r="G1171" s="9" t="str">
        <x:v>验证注销贡献账号不能进主页</x:v>
      </x:c>
      <x:c r="H1171" s="9" t="str">
        <x:v>注销榜单账号主页限制</x:v>
      </x:c>
      <x:c r="I1171" s="9" t="str">
        <x:v>1. 执行角色为本场主播；当前处于本场贡献-贡献榜页面
2. 测试环境已准备本场真实金币贡献；数据不涉及运营虚拟金币；当前场次仍在直播
3. 本场贡献用户A已完成注销</x:v>
      </x:c>
      <x:c r="J1171" s="9" t="str">
        <x:v>1. 点击A的用户信息</x:v>
      </x:c>
      <x:c r="K1171" s="9" t="str">
        <x:v>不能进入A主页</x:v>
      </x:c>
      <x:c r="L1171" s="10" t="str"/>
      <x:c r="M1171" s="10" t="str">
        <x:v>未测</x:v>
      </x:c>
      <x:c r="N1171" s="10" t="str"/>
      <x:c r="O1171" s="9" t="str">
        <x:v>1. 来源（当前证据）：liveshow-proto/MainBasis/统一需求文档.md；位置：行1758、行1748
2. 规则：BR-34bc843628025bce
3. 未动态验证</x:v>
      </x:c>
    </x:row>
    <x:row r="1172" ht="100" customHeight="1">
      <x:c r="A1172" s="10" t="n">
        <x:v>1171</x:v>
      </x:c>
      <x:c r="B1172" s="10" t="str">
        <x:v>USER-03-0233</x:v>
      </x:c>
      <x:c r="C1172" s="10" t="str">
        <x:v>直播</x:v>
      </x:c>
      <x:c r="D1172" s="10" t="str">
        <x:v>本场贡献-贡献榜（普通观众视角）</x:v>
      </x:c>
      <x:c r="E1172" s="10" t="str">
        <x:v>功能需求</x:v>
      </x:c>
      <x:c r="F1172" s="10" t="str">
        <x:v>P2</x:v>
      </x:c>
      <x:c r="G1172" s="9" t="str">
        <x:v>验证本人上榜置底名次</x:v>
      </x:c>
      <x:c r="H1172" s="9" t="str">
        <x:v>本人排名数值</x:v>
      </x:c>
      <x:c r="I1172" s="9" t="str">
        <x:v>1. 执行角色为普通观众；当前处于本场贡献-贡献榜页面
2. 测试环境已准备本场真实金币贡献；数据不涉及运营虚拟金币；当前场次仍在直播
3. 本人当前第5名</x:v>
      </x:c>
      <x:c r="J1172" s="9" t="str">
        <x:v>1. 查看榜单底部</x:v>
      </x:c>
      <x:c r="K1172" s="9" t="str">
        <x:v>固定区域显示本人排名5</x:v>
      </x:c>
      <x:c r="L1172" s="10" t="str"/>
      <x:c r="M1172" s="10" t="str">
        <x:v>未测</x:v>
      </x:c>
      <x:c r="N1172" s="10" t="str"/>
      <x:c r="O1172" s="9" t="str">
        <x:v>1. 来源（当前证据）：liveshow-proto/MainBasis/统一需求文档.md；位置：行1717、行1713
2. 规则：BR-05585577a6b61842
3. 未动态验证</x:v>
      </x:c>
    </x:row>
    <x:row r="1173" ht="100" customHeight="1">
      <x:c r="A1173" s="10" t="n">
        <x:v>1172</x:v>
      </x:c>
      <x:c r="B1173" s="10" t="str">
        <x:v>USER-03-0234</x:v>
      </x:c>
      <x:c r="C1173" s="10" t="str">
        <x:v>直播</x:v>
      </x:c>
      <x:c r="D1173" s="10" t="str">
        <x:v>本场贡献-贡献榜（普通观众视角）</x:v>
      </x:c>
      <x:c r="E1173" s="10" t="str">
        <x:v>功能需求</x:v>
      </x:c>
      <x:c r="F1173" s="10" t="str">
        <x:v>P2</x:v>
      </x:c>
      <x:c r="G1173" s="9" t="str">
        <x:v>验证本人未上榜置底横线</x:v>
      </x:c>
      <x:c r="H1173" s="9" t="str">
        <x:v>未上榜排名占位</x:v>
      </x:c>
      <x:c r="I1173" s="9" t="str">
        <x:v>1. 执行角色为普通观众；当前处于本场贡献-贡献榜页面
2. 测试环境已准备本场真实金币贡献；数据不涉及运营虚拟金币；当前场次仍在直播
3. 本人当前排在第100名</x:v>
      </x:c>
      <x:c r="J1173" s="9" t="str">
        <x:v>1. 查看榜单底部</x:v>
      </x:c>
      <x:c r="K1173" s="9" t="str">
        <x:v>本人排名显示“-”</x:v>
      </x:c>
      <x:c r="L1173" s="10" t="str"/>
      <x:c r="M1173" s="10" t="str">
        <x:v>未测</x:v>
      </x:c>
      <x:c r="N1173" s="10" t="str"/>
      <x:c r="O1173" s="9" t="str">
        <x:v>1. 来源（当前证据）：liveshow-proto/MainBasis/统一需求文档.md；位置：行1717、行1713
2. 规则：BR-c423ffaeda1ee6fe
3. 未动态验证</x:v>
      </x:c>
    </x:row>
    <x:row r="1174" ht="100" customHeight="1">
      <x:c r="A1174" s="10" t="n">
        <x:v>1173</x:v>
      </x:c>
      <x:c r="B1174" s="10" t="str">
        <x:v>USER-03-0235</x:v>
      </x:c>
      <x:c r="C1174" s="10" t="str">
        <x:v>直播</x:v>
      </x:c>
      <x:c r="D1174" s="10" t="str">
        <x:v>本场贡献-贡献榜（普通观众视角）</x:v>
      </x:c>
      <x:c r="E1174" s="10" t="str">
        <x:v>功能需求</x:v>
      </x:c>
      <x:c r="F1174" s="10" t="str">
        <x:v>P2</x:v>
      </x:c>
      <x:c r="G1174" s="9" t="str">
        <x:v>验证滚动保留本人区域</x:v>
      </x:c>
      <x:c r="H1174" s="9" t="str">
        <x:v>本人排名固定区域</x:v>
      </x:c>
      <x:c r="I1174" s="9" t="str">
        <x:v>1. 执行角色为普通观众；当前处于本场贡献-贡献榜页面
2. 测试环境已准备本场真实金币贡献；数据不涉及运营虚拟金币；当前场次仍在直播
3. 榜单具有可滚动内容</x:v>
      </x:c>
      <x:c r="J1174" s="9" t="str">
        <x:v>1. 滚动榜单至中部</x:v>
      </x:c>
      <x:c r="K1174" s="9" t="str">
        <x:v>本人排名区域仍固定在底部</x:v>
      </x:c>
      <x:c r="L1174" s="10" t="str"/>
      <x:c r="M1174" s="10" t="str">
        <x:v>未测</x:v>
      </x:c>
      <x:c r="N1174" s="10" t="str"/>
      <x:c r="O1174" s="9" t="str">
        <x:v>1. 来源（当前证据）：liveshow-proto/MainBasis/统一需求文档.md；位置：行1721、行1713
2. 规则：BR-4aa44c519e9f4e11
3. 未动态验证</x:v>
      </x:c>
    </x:row>
    <x:row r="1175" ht="100" customHeight="1">
      <x:c r="A1175" s="10" t="n">
        <x:v>1174</x:v>
      </x:c>
      <x:c r="B1175" s="10" t="str">
        <x:v>USER-03-0236</x:v>
      </x:c>
      <x:c r="C1175" s="10" t="str">
        <x:v>直播</x:v>
      </x:c>
      <x:c r="D1175" s="10" t="str">
        <x:v>本场贡献-贡献榜（普通观众视角）</x:v>
      </x:c>
      <x:c r="E1175" s="10" t="str">
        <x:v>功能需求</x:v>
      </x:c>
      <x:c r="F1175" s="10" t="str">
        <x:v>P2</x:v>
      </x:c>
      <x:c r="G1175" s="9" t="str">
        <x:v>验证贡献用户资料卡入口</x:v>
      </x:c>
      <x:c r="H1175" s="9" t="str">
        <x:v>贡献账号资料卡目标</x:v>
      </x:c>
      <x:c r="I1175" s="9" t="str">
        <x:v>1. 执行角色为普通观众；当前处于本场贡献-贡献榜页面
2. 测试环境已准备本场真实金币贡献；数据不涉及运营虚拟金币；当前场次仍在直播
3. A在本场贡献榜且账号有效</x:v>
      </x:c>
      <x:c r="J1175" s="9" t="str">
        <x:v>1. 点击A用户行</x:v>
      </x:c>
      <x:c r="K1175" s="9" t="str">
        <x:v>打开A用户资料卡</x:v>
      </x:c>
      <x:c r="L1175" s="10" t="str"/>
      <x:c r="M1175" s="10" t="str">
        <x:v>未测</x:v>
      </x:c>
      <x:c r="N1175" s="10" t="str"/>
      <x:c r="O1175" s="9" t="str">
        <x:v>1. 来源（当前证据）：liveshow-proto/MainBasis/统一需求文档.md；位置：行1722、行1713
2. 规则：BR-c833e7b5e30448cf
3. 未动态验证</x:v>
      </x:c>
    </x:row>
    <x:row r="1176" ht="115" customHeight="1">
      <x:c r="A1176" s="10" t="n">
        <x:v>1175</x:v>
      </x:c>
      <x:c r="B1176" s="10" t="str">
        <x:v>USER-03-0237</x:v>
      </x:c>
      <x:c r="C1176" s="10" t="str">
        <x:v>直播</x:v>
      </x:c>
      <x:c r="D1176" s="10" t="str">
        <x:v>本场贡献-收到礼物（普通观众视角）</x:v>
      </x:c>
      <x:c r="E1176" s="10" t="str">
        <x:v>功能需求</x:v>
      </x:c>
      <x:c r="F1176" s="10" t="str">
        <x:v>P2</x:v>
      </x:c>
      <x:c r="G1176" s="9" t="str">
        <x:v>验证本场礼物信息：礼物名称</x:v>
      </x:c>
      <x:c r="H1176" s="9" t="str">
        <x:v>礼物名称</x:v>
      </x:c>
      <x:c r="I1176" s="9" t="str">
        <x:v>1. 执行角色为普通观众；当前处于本场贡献-收到礼物页面
2. 测试环境已准备本场真实金币贡献；数据不涉及运营虚拟金币；当前场次仍在直播
3. 礼物玫瑰本场成功送出3件；其他场次成功5件</x:v>
      </x:c>
      <x:c r="J1176" s="9" t="str">
        <x:v>1. 查看礼物记录</x:v>
      </x:c>
      <x:c r="K1176" s="9" t="str">
        <x:v>礼物名称显示玫瑰</x:v>
      </x:c>
      <x:c r="L1176" s="10" t="str"/>
      <x:c r="M1176" s="10" t="str">
        <x:v>未测</x:v>
      </x:c>
      <x:c r="N1176" s="10" t="str"/>
      <x:c r="O1176" s="9" t="str">
        <x:v>1. 来源（当前证据）：liveshow-proto/MainBasis/统一需求文档.md；位置：行1726、行1725
2. 规则：BR-b9e5d9ba2ad47999
3. 未动态验证</x:v>
      </x:c>
    </x:row>
    <x:row r="1177" ht="115" customHeight="1">
      <x:c r="A1177" s="10" t="n">
        <x:v>1176</x:v>
      </x:c>
      <x:c r="B1177" s="10" t="str">
        <x:v>USER-03-0238</x:v>
      </x:c>
      <x:c r="C1177" s="10" t="str">
        <x:v>直播</x:v>
      </x:c>
      <x:c r="D1177" s="10" t="str">
        <x:v>本场贡献-收到礼物（普通观众视角）</x:v>
      </x:c>
      <x:c r="E1177" s="10" t="str">
        <x:v>功能需求</x:v>
      </x:c>
      <x:c r="F1177" s="10" t="str">
        <x:v>P2</x:v>
      </x:c>
      <x:c r="G1177" s="9" t="str">
        <x:v>验证本场礼物信息：礼物图标</x:v>
      </x:c>
      <x:c r="H1177" s="9" t="str">
        <x:v>礼物图标</x:v>
      </x:c>
      <x:c r="I1177" s="9" t="str">
        <x:v>1. 执行角色为普通观众；当前处于本场贡献-收到礼物页面
2. 测试环境已准备本场真实金币贡献；数据不涉及运营虚拟金币；当前场次仍在直播
3. 礼物玫瑰本场成功送出3件；其他场次成功5件</x:v>
      </x:c>
      <x:c r="J1177" s="9" t="str">
        <x:v>1. 查看礼物记录</x:v>
      </x:c>
      <x:c r="K1177" s="9" t="str">
        <x:v>显示玫瑰对应图标</x:v>
      </x:c>
      <x:c r="L1177" s="10" t="str"/>
      <x:c r="M1177" s="10" t="str">
        <x:v>未测</x:v>
      </x:c>
      <x:c r="N1177" s="10" t="str"/>
      <x:c r="O1177" s="9" t="str">
        <x:v>1. 来源（当前证据）：liveshow-proto/MainBasis/统一需求文档.md；位置：行1726、行1725
2. 规则：BR-825bb8ad1eb577dd
3. 未动态验证</x:v>
      </x:c>
    </x:row>
    <x:row r="1178" ht="115" customHeight="1">
      <x:c r="A1178" s="10" t="n">
        <x:v>1177</x:v>
      </x:c>
      <x:c r="B1178" s="10" t="str">
        <x:v>USER-03-0239</x:v>
      </x:c>
      <x:c r="C1178" s="10" t="str">
        <x:v>直播</x:v>
      </x:c>
      <x:c r="D1178" s="10" t="str">
        <x:v>本场贡献-收到礼物（普通观众视角）</x:v>
      </x:c>
      <x:c r="E1178" s="10" t="str">
        <x:v>功能需求</x:v>
      </x:c>
      <x:c r="F1178" s="10" t="str">
        <x:v>P1</x:v>
      </x:c>
      <x:c r="G1178" s="9" t="str">
        <x:v>验证本场礼物信息：本场数量</x:v>
      </x:c>
      <x:c r="H1178" s="9" t="str">
        <x:v>本场数量</x:v>
      </x:c>
      <x:c r="I1178" s="9" t="str">
        <x:v>1. 执行角色为普通观众；当前处于本场贡献-收到礼物页面
2. 测试环境已准备本场真实金币贡献；数据不涉及运营虚拟金币；当前场次仍在直播
3. 礼物玫瑰本场成功送出3件；其他场次成功5件</x:v>
      </x:c>
      <x:c r="J1178" s="9" t="str">
        <x:v>1. 查看礼物记录</x:v>
      </x:c>
      <x:c r="K1178" s="9" t="str">
        <x:v>玫瑰本场数量为3</x:v>
      </x:c>
      <x:c r="L1178" s="10" t="str"/>
      <x:c r="M1178" s="10" t="str">
        <x:v>未测</x:v>
      </x:c>
      <x:c r="N1178" s="10" t="str"/>
      <x:c r="O1178" s="9" t="str">
        <x:v>1. 来源（当前证据）：liveshow-proto/MainBasis/统一需求文档.md；位置：行1726、行1725
2. 规则：BR-270249c92ce2a9bb
3. 未动态验证</x:v>
      </x:c>
    </x:row>
    <x:row r="1179" ht="115" customHeight="1">
      <x:c r="A1179" s="10" t="n">
        <x:v>1178</x:v>
      </x:c>
      <x:c r="B1179" s="10" t="str">
        <x:v>USER-03-0240</x:v>
      </x:c>
      <x:c r="C1179" s="10" t="str">
        <x:v>直播</x:v>
      </x:c>
      <x:c r="D1179" s="10" t="str">
        <x:v>本场贡献-收到礼物（普通观众视角）</x:v>
      </x:c>
      <x:c r="E1179" s="10" t="str">
        <x:v>功能需求</x:v>
      </x:c>
      <x:c r="F1179" s="10" t="str">
        <x:v>P1</x:v>
      </x:c>
      <x:c r="G1179" s="9" t="str">
        <x:v>验证本场赠送人范围</x:v>
      </x:c>
      <x:c r="H1179" s="9" t="str">
        <x:v>本场赠送账号范围</x:v>
      </x:c>
      <x:c r="I1179" s="9" t="str">
        <x:v>1. 执行角色为普通观众；当前处于本场贡献-收到礼物页面
2. 测试环境已准备本场真实金币贡献；数据不涉及运营虚拟金币；当前场次仍在直播
3. A本场成功赠礼；B只有上场同礼物记录</x:v>
      </x:c>
      <x:c r="J1179" s="9" t="str">
        <x:v>1. 查看赠送用户</x:v>
      </x:c>
      <x:c r="K1179" s="9" t="str">
        <x:v>本场赠送人包含A，不包含仅上场赠送的B</x:v>
      </x:c>
      <x:c r="L1179" s="10" t="str"/>
      <x:c r="M1179" s="10" t="str">
        <x:v>未测</x:v>
      </x:c>
      <x:c r="N1179" s="10" t="str"/>
      <x:c r="O1179" s="9" t="str">
        <x:v>1. 来源（当前证据）：liveshow-proto/MainBasis/统一需求文档.md；位置：行1727、行1725
2. 规则：BR-08ea0cdcc7ff8ab4
3. 未动态验证</x:v>
      </x:c>
    </x:row>
    <x:row r="1180" ht="115" customHeight="1">
      <x:c r="A1180" s="10" t="n">
        <x:v>1179</x:v>
      </x:c>
      <x:c r="B1180" s="10" t="str">
        <x:v>USER-03-0241</x:v>
      </x:c>
      <x:c r="C1180" s="10" t="str">
        <x:v>直播</x:v>
      </x:c>
      <x:c r="D1180" s="10" t="str">
        <x:v>本场贡献-收到礼物（普通观众视角）</x:v>
      </x:c>
      <x:c r="E1180" s="10" t="str">
        <x:v>功能需求</x:v>
      </x:c>
      <x:c r="F1180" s="10" t="str">
        <x:v>P1</x:v>
      </x:c>
      <x:c r="G1180" s="9" t="str">
        <x:v>验证失败记录不入礼物记录</x:v>
      </x:c>
      <x:c r="H1180" s="9" t="str">
        <x:v>失败赠送记录过滤</x:v>
      </x:c>
      <x:c r="I1180" s="9" t="str">
        <x:v>1. 执行角色为普通观众；当前处于本场贡献-收到礼物页面
2. 测试环境已准备本场真实金币贡献；数据不涉及运营虚拟金币；当前场次仍在直播
3. 本场该礼物只有一笔失败记录</x:v>
      </x:c>
      <x:c r="J1180" s="9" t="str">
        <x:v>1. 刷新礼物记录</x:v>
      </x:c>
      <x:c r="K1180" s="9" t="str">
        <x:v>不展示该失败赠送记录</x:v>
      </x:c>
      <x:c r="L1180" s="10" t="str"/>
      <x:c r="M1180" s="10" t="str">
        <x:v>未测</x:v>
      </x:c>
      <x:c r="N1180" s="10" t="str"/>
      <x:c r="O1180" s="9" t="str">
        <x:v>1. 来源（当前证据）：liveshow-proto/MainBasis/统一需求文档.md；位置：行1729、行1725
2. 规则：BR-e44555e66adc101b
3. 未动态验证</x:v>
      </x:c>
    </x:row>
    <x:row r="1181" ht="115" customHeight="1">
      <x:c r="A1181" s="10" t="n">
        <x:v>1180</x:v>
      </x:c>
      <x:c r="B1181" s="10" t="str">
        <x:v>USER-03-0242</x:v>
      </x:c>
      <x:c r="C1181" s="10" t="str">
        <x:v>直播</x:v>
      </x:c>
      <x:c r="D1181" s="10" t="str">
        <x:v>本场贡献-收到礼物（普通观众视角）</x:v>
      </x:c>
      <x:c r="E1181" s="10" t="str">
        <x:v>功能需求</x:v>
      </x:c>
      <x:c r="F1181" s="10" t="str">
        <x:v>P1</x:v>
      </x:c>
      <x:c r="G1181" s="9" t="str">
        <x:v>验证撤销记录不入礼物记录</x:v>
      </x:c>
      <x:c r="H1181" s="9" t="str">
        <x:v>撤销赠送记录过滤</x:v>
      </x:c>
      <x:c r="I1181" s="9" t="str">
        <x:v>1. 执行角色为普通观众；当前处于本场贡献-收到礼物页面
2. 测试环境已准备本场真实金币贡献；数据不涉及运营虚拟金币；当前场次仍在直播
3. 本场该礼物只有一笔撤销记录</x:v>
      </x:c>
      <x:c r="J1181" s="9" t="str">
        <x:v>1. 刷新礼物记录</x:v>
      </x:c>
      <x:c r="K1181" s="9" t="str">
        <x:v>不展示该撤销赠送记录</x:v>
      </x:c>
      <x:c r="L1181" s="10" t="str"/>
      <x:c r="M1181" s="10" t="str">
        <x:v>未测</x:v>
      </x:c>
      <x:c r="N1181" s="10" t="str"/>
      <x:c r="O1181" s="9" t="str">
        <x:v>1. 来源（当前证据）：liveshow-proto/MainBasis/统一需求文档.md；位置：行1729、行1725
2. 规则：BR-ddde887020d9ba80
3. 未动态验证</x:v>
      </x:c>
    </x:row>
    <x:row r="1182" ht="100" customHeight="1">
      <x:c r="A1182" s="10" t="n">
        <x:v>1181</x:v>
      </x:c>
      <x:c r="B1182" s="10" t="str">
        <x:v>USER-03-0243</x:v>
      </x:c>
      <x:c r="C1182" s="10" t="str">
        <x:v>直播</x:v>
      </x:c>
      <x:c r="D1182" s="10" t="str">
        <x:v>本场贡献-收到礼物（普通观众视角）</x:v>
      </x:c>
      <x:c r="E1182" s="10" t="str">
        <x:v>功能需求</x:v>
      </x:c>
      <x:c r="F1182" s="10" t="str">
        <x:v>P1</x:v>
      </x:c>
      <x:c r="G1182" s="9" t="str">
        <x:v>验证礼物切回同场排名</x:v>
      </x:c>
      <x:c r="H1182" s="9" t="str">
        <x:v>礼物榜场次归属保持</x:v>
      </x:c>
      <x:c r="I1182" s="9" t="str">
        <x:v>1. 执行角色为普通观众；当前处于本场贡献-收到礼物页面
2. 测试环境已准备本场真实金币贡献；数据不涉及运营虚拟金币；当前场次仍在直播
3. 当前查看场次S的礼物记录</x:v>
      </x:c>
      <x:c r="J1182" s="9" t="str">
        <x:v>1. 切换至贡献榜</x:v>
      </x:c>
      <x:c r="K1182" s="9" t="str">
        <x:v>贡献榜仍对应场次S</x:v>
      </x:c>
      <x:c r="L1182" s="10" t="str"/>
      <x:c r="M1182" s="10" t="str">
        <x:v>未测</x:v>
      </x:c>
      <x:c r="N1182" s="10" t="str"/>
      <x:c r="O1182" s="9" t="str">
        <x:v>1. 来源（当前证据）：liveshow-proto/MainBasis/统一需求文档.md；位置：行1730、行1725
2. 规则：BR-22770155f7e9aaab
3. 未动态验证</x:v>
      </x:c>
    </x:row>
    <x:row r="1183" ht="100" customHeight="1">
      <x:c r="A1183" s="10" t="n">
        <x:v>1182</x:v>
      </x:c>
      <x:c r="B1183" s="10" t="str">
        <x:v>USER-03-0244</x:v>
      </x:c>
      <x:c r="C1183" s="10" t="str">
        <x:v>直播</x:v>
      </x:c>
      <x:c r="D1183" s="10" t="str">
        <x:v>本场贡献-收到礼物（普通观众视角）</x:v>
      </x:c>
      <x:c r="E1183" s="10" t="str">
        <x:v>功能需求</x:v>
      </x:c>
      <x:c r="F1183" s="10" t="str">
        <x:v>P2</x:v>
      </x:c>
      <x:c r="G1183" s="9" t="str">
        <x:v>验证礼物赠送人资料卡</x:v>
      </x:c>
      <x:c r="H1183" s="9" t="str">
        <x:v>送礼人资料卡目标</x:v>
      </x:c>
      <x:c r="I1183" s="9" t="str">
        <x:v>1. 执行角色为普通观众；当前处于本场贡献-收到礼物页面
2. 测试环境已准备本场真实金币贡献；数据不涉及运营虚拟金币；当前场次仍在直播
3. 本场礼物存在有效赠送人A</x:v>
      </x:c>
      <x:c r="J1183" s="9" t="str">
        <x:v>1. 点击赠送用户A</x:v>
      </x:c>
      <x:c r="K1183" s="9" t="str">
        <x:v>打开A用户资料卡</x:v>
      </x:c>
      <x:c r="L1183" s="10" t="str"/>
      <x:c r="M1183" s="10" t="str">
        <x:v>未测</x:v>
      </x:c>
      <x:c r="N1183" s="10" t="str"/>
      <x:c r="O1183" s="9" t="str">
        <x:v>1. 来源（当前证据）：liveshow-proto/MainBasis/统一需求文档.md；位置：行1730、行1725
2. 规则：BR-b32014c77c4eafef
3. 未动态验证</x:v>
      </x:c>
    </x:row>
    <x:row r="1184" ht="130" customHeight="1">
      <x:c r="A1184" s="10" t="n">
        <x:v>1183</x:v>
      </x:c>
      <x:c r="B1184" s="10" t="str">
        <x:v>USER-03-0245</x:v>
      </x:c>
      <x:c r="C1184" s="10" t="str">
        <x:v>直播</x:v>
      </x:c>
      <x:c r="D1184" s="10" t="str">
        <x:v>在线观众-观众列表（本场主播视角）</x:v>
      </x:c>
      <x:c r="E1184" s="10" t="str">
        <x:v>功能需求</x:v>
      </x:c>
      <x:c r="F1184" s="10" t="str">
        <x:v>P2</x:v>
      </x:c>
      <x:c r="G1184" s="9" t="str">
        <x:v>验证在线贡献首条件</x:v>
      </x:c>
      <x:c r="H1184" s="9" t="str">
        <x:v>排列次序</x:v>
      </x:c>
      <x:c r="I1184" s="9" t="str">
        <x:v>1. 执行角色为本场主播；当前处于在线观众-观众列表页面
2. 测试环境已准备本场真实金币贡献；数据不涉及运营虚拟金币；当前场次仍在直播
3. A贡献200、粉丝1级、财富1级；B贡献100、粉丝10级、财富10级</x:v>
      </x:c>
      <x:c r="J1184" s="9" t="str">
        <x:v>1. 切换按贡献</x:v>
      </x:c>
      <x:c r="K1184" s="9" t="str">
        <x:v>A排在B前</x:v>
      </x:c>
      <x:c r="L1184" s="10" t="str"/>
      <x:c r="M1184" s="10" t="str">
        <x:v>未测</x:v>
      </x:c>
      <x:c r="N1184" s="10" t="str"/>
      <x:c r="O1184" s="9" t="str">
        <x:v>1. 来源（当前证据）：liveshow-proto/MainBasis/统一需求文档.md；位置：行1772、行1762
2. 规则：BR-bfd7c5cd1bcaaefa
3. 未动态验证</x:v>
      </x:c>
    </x:row>
    <x:row r="1185" ht="115" customHeight="1">
      <x:c r="A1185" s="10" t="n">
        <x:v>1184</x:v>
      </x:c>
      <x:c r="B1185" s="10" t="str">
        <x:v>USER-03-0246</x:v>
      </x:c>
      <x:c r="C1185" s="10" t="str">
        <x:v>直播</x:v>
      </x:c>
      <x:c r="D1185" s="10" t="str">
        <x:v>在线观众-观众列表（本场主播视角）</x:v>
      </x:c>
      <x:c r="E1185" s="10" t="str">
        <x:v>功能需求</x:v>
      </x:c>
      <x:c r="F1185" s="10" t="str">
        <x:v>P2</x:v>
      </x:c>
      <x:c r="G1185" s="9" t="str">
        <x:v>验证在线贡献同分按粉丝</x:v>
      </x:c>
      <x:c r="H1185" s="9" t="str">
        <x:v>排列次序</x:v>
      </x:c>
      <x:c r="I1185" s="9" t="str">
        <x:v>1. 执行角色为本场主播；当前处于在线观众-观众列表页面
2. 测试环境已准备本场真实金币贡献；数据不涉及运营虚拟金币；当前场次仍在直播
3. A与B贡献100；A本团5级、财富1级；B本团3级、财富10级</x:v>
      </x:c>
      <x:c r="J1185" s="9" t="str">
        <x:v>1. 切换按贡献</x:v>
      </x:c>
      <x:c r="K1185" s="9" t="str">
        <x:v>A排在B前</x:v>
      </x:c>
      <x:c r="L1185" s="10" t="str"/>
      <x:c r="M1185" s="10" t="str">
        <x:v>未测</x:v>
      </x:c>
      <x:c r="N1185" s="10" t="str"/>
      <x:c r="O1185" s="9" t="str">
        <x:v>1. 来源（当前证据）：liveshow-proto/MainBasis/统一需求文档.md；位置：行1772、行1762
2. 规则：BR-e74fde25a7c51fca
3. 未动态验证</x:v>
      </x:c>
    </x:row>
    <x:row r="1186" ht="115" customHeight="1">
      <x:c r="A1186" s="10" t="n">
        <x:v>1185</x:v>
      </x:c>
      <x:c r="B1186" s="10" t="str">
        <x:v>USER-03-0247</x:v>
      </x:c>
      <x:c r="C1186" s="10" t="str">
        <x:v>直播</x:v>
      </x:c>
      <x:c r="D1186" s="10" t="str">
        <x:v>在线观众-观众列表（本场主播视角）</x:v>
      </x:c>
      <x:c r="E1186" s="10" t="str">
        <x:v>功能需求</x:v>
      </x:c>
      <x:c r="F1186" s="10" t="str">
        <x:v>P2</x:v>
      </x:c>
      <x:c r="G1186" s="9" t="str">
        <x:v>验证在线贡献粉丝同分按财富</x:v>
      </x:c>
      <x:c r="H1186" s="9" t="str">
        <x:v>排列次序</x:v>
      </x:c>
      <x:c r="I1186" s="9" t="str">
        <x:v>1. 执行角色为本场主播；当前处于在线观众-观众列表页面
2. 测试环境已准备本场真实金币贡献；数据不涉及运营虚拟金币；当前场次仍在直播
3. A与B贡献100、本团3级；A财富5级，B财富2级</x:v>
      </x:c>
      <x:c r="J1186" s="9" t="str">
        <x:v>1. 切换按贡献</x:v>
      </x:c>
      <x:c r="K1186" s="9" t="str">
        <x:v>A排在B前</x:v>
      </x:c>
      <x:c r="L1186" s="10" t="str"/>
      <x:c r="M1186" s="10" t="str">
        <x:v>未测</x:v>
      </x:c>
      <x:c r="N1186" s="10" t="str"/>
      <x:c r="O1186" s="9" t="str">
        <x:v>1. 来源（当前证据）：liveshow-proto/MainBasis/统一需求文档.md；位置：行1772、行1762
2. 规则：BR-2a43dde7498fb6ed
3. 未动态验证</x:v>
      </x:c>
    </x:row>
    <x:row r="1187" ht="115" customHeight="1">
      <x:c r="A1187" s="10" t="n">
        <x:v>1186</x:v>
      </x:c>
      <x:c r="B1187" s="10" t="str">
        <x:v>USER-03-0248</x:v>
      </x:c>
      <x:c r="C1187" s="10" t="str">
        <x:v>直播</x:v>
      </x:c>
      <x:c r="D1187" s="10" t="str">
        <x:v>在线观众-观众列表（本场主播视角）</x:v>
      </x:c>
      <x:c r="E1187" s="10" t="str">
        <x:v>功能需求</x:v>
      </x:c>
      <x:c r="F1187" s="10" t="str">
        <x:v>P2</x:v>
      </x:c>
      <x:c r="G1187" s="9" t="str">
        <x:v>验证在线贡献完全同分按ID</x:v>
      </x:c>
      <x:c r="H1187" s="9" t="str">
        <x:v>排列次序</x:v>
      </x:c>
      <x:c r="I1187" s="9" t="str">
        <x:v>1. 执行角色为本场主播；当前处于在线观众-观众列表页面
2. 测试环境已准备本场真实金币贡献；数据不涉及运营虚拟金币；当前场次仍在直播
3. U2与U10贡献、粉丝等级、财富等级相同</x:v>
      </x:c>
      <x:c r="J1187" s="9" t="str">
        <x:v>1. 切换按贡献</x:v>
      </x:c>
      <x:c r="K1187" s="9" t="str">
        <x:v>U2排在U10前</x:v>
      </x:c>
      <x:c r="L1187" s="10" t="str"/>
      <x:c r="M1187" s="10" t="str">
        <x:v>未测</x:v>
      </x:c>
      <x:c r="N1187" s="10" t="str"/>
      <x:c r="O1187" s="9" t="str">
        <x:v>1. 来源（当前证据）：liveshow-proto/MainBasis/统一需求文档.md；位置：行1772、行1762
2. 规则：BR-e225d6f26ff616f1
3. 未动态验证</x:v>
      </x:c>
    </x:row>
    <x:row r="1188" ht="115" customHeight="1">
      <x:c r="A1188" s="10" t="n">
        <x:v>1187</x:v>
      </x:c>
      <x:c r="B1188" s="10" t="str">
        <x:v>USER-03-0249</x:v>
      </x:c>
      <x:c r="C1188" s="10" t="str">
        <x:v>直播</x:v>
      </x:c>
      <x:c r="D1188" s="10" t="str">
        <x:v>在线观众-观众列表（本场主播视角）</x:v>
      </x:c>
      <x:c r="E1188" s="10" t="str">
        <x:v>功能需求</x:v>
      </x:c>
      <x:c r="F1188" s="10" t="str">
        <x:v>P2</x:v>
      </x:c>
      <x:c r="G1188" s="9" t="str">
        <x:v>验证在线时长同分按贡献</x:v>
      </x:c>
      <x:c r="H1188" s="9" t="str">
        <x:v>排列次序</x:v>
      </x:c>
      <x:c r="I1188" s="9" t="str">
        <x:v>1. 执行角色为本场主播；当前处于在线观众-观众列表页面
2. 测试环境已准备本场真实金币贡献；数据不涉及运营虚拟金币；当前场次仍在直播
3. A与B在线10分钟；A贡献200，B贡献100</x:v>
      </x:c>
      <x:c r="J1188" s="9" t="str">
        <x:v>1. 切换按停留时长</x:v>
      </x:c>
      <x:c r="K1188" s="9" t="str">
        <x:v>A排在B前</x:v>
      </x:c>
      <x:c r="L1188" s="10" t="str"/>
      <x:c r="M1188" s="10" t="str">
        <x:v>未测</x:v>
      </x:c>
      <x:c r="N1188" s="10" t="str"/>
      <x:c r="O1188" s="9" t="str">
        <x:v>1. 来源（当前证据）：liveshow-proto/MainBasis/统一需求文档.md；位置：行1773、行1762
2. 规则：BR-0671eec00677e498
3. 未动态验证</x:v>
      </x:c>
    </x:row>
    <x:row r="1189" ht="115" customHeight="1">
      <x:c r="A1189" s="10" t="n">
        <x:v>1188</x:v>
      </x:c>
      <x:c r="B1189" s="10" t="str">
        <x:v>USER-03-0250</x:v>
      </x:c>
      <x:c r="C1189" s="10" t="str">
        <x:v>直播</x:v>
      </x:c>
      <x:c r="D1189" s="10" t="str">
        <x:v>在线观众-观众列表（本场主播视角）</x:v>
      </x:c>
      <x:c r="E1189" s="10" t="str">
        <x:v>功能需求</x:v>
      </x:c>
      <x:c r="F1189" s="10" t="str">
        <x:v>P2</x:v>
      </x:c>
      <x:c r="G1189" s="9" t="str">
        <x:v>验证在线时长贡献同分按粉丝</x:v>
      </x:c>
      <x:c r="H1189" s="9" t="str">
        <x:v>排列次序</x:v>
      </x:c>
      <x:c r="I1189" s="9" t="str">
        <x:v>1. 执行角色为本场主播；当前处于在线观众-观众列表页面
2. 测试环境已准备本场真实金币贡献；数据不涉及运营虚拟金币；当前场次仍在直播
3. A与B在线10分钟、贡献100；A本团5级，B本团3级</x:v>
      </x:c>
      <x:c r="J1189" s="9" t="str">
        <x:v>1. 切换按停留时长</x:v>
      </x:c>
      <x:c r="K1189" s="9" t="str">
        <x:v>A排在B前</x:v>
      </x:c>
      <x:c r="L1189" s="10" t="str"/>
      <x:c r="M1189" s="10" t="str">
        <x:v>未测</x:v>
      </x:c>
      <x:c r="N1189" s="10" t="str"/>
      <x:c r="O1189" s="9" t="str">
        <x:v>1. 来源（当前证据）：liveshow-proto/MainBasis/统一需求文档.md；位置：行1773、行1762
2. 规则：BR-c2b2cfbd8a4d58ed
3. 未动态验证</x:v>
      </x:c>
    </x:row>
    <x:row r="1190" ht="115" customHeight="1">
      <x:c r="A1190" s="10" t="n">
        <x:v>1189</x:v>
      </x:c>
      <x:c r="B1190" s="10" t="str">
        <x:v>USER-03-0251</x:v>
      </x:c>
      <x:c r="C1190" s="10" t="str">
        <x:v>直播</x:v>
      </x:c>
      <x:c r="D1190" s="10" t="str">
        <x:v>在线观众-观众列表（本场主播视角）</x:v>
      </x:c>
      <x:c r="E1190" s="10" t="str">
        <x:v>功能需求</x:v>
      </x:c>
      <x:c r="F1190" s="10" t="str">
        <x:v>P2</x:v>
      </x:c>
      <x:c r="G1190" s="9" t="str">
        <x:v>验证在线时长贡献粉丝同分按财富</x:v>
      </x:c>
      <x:c r="H1190" s="9" t="str">
        <x:v>排列次序</x:v>
      </x:c>
      <x:c r="I1190" s="9" t="str">
        <x:v>1. 执行角色为本场主播；当前处于在线观众-观众列表页面
2. 测试环境已准备本场真实金币贡献；数据不涉及运营虚拟金币；当前场次仍在直播
3. A与B在线10分钟、贡献100、本团3级；A财富5级，B财富2级</x:v>
      </x:c>
      <x:c r="J1190" s="9" t="str">
        <x:v>1. 切换按停留时长</x:v>
      </x:c>
      <x:c r="K1190" s="9" t="str">
        <x:v>A排在B前</x:v>
      </x:c>
      <x:c r="L1190" s="10" t="str"/>
      <x:c r="M1190" s="10" t="str">
        <x:v>未测</x:v>
      </x:c>
      <x:c r="N1190" s="10" t="str"/>
      <x:c r="O1190" s="9" t="str">
        <x:v>1. 来源（当前证据）：liveshow-proto/MainBasis/统一需求文档.md；位置：行1773、行1762
2. 规则：BR-53114a6005e160fe
3. 未动态验证</x:v>
      </x:c>
    </x:row>
    <x:row r="1191" ht="115" customHeight="1">
      <x:c r="A1191" s="10" t="n">
        <x:v>1190</x:v>
      </x:c>
      <x:c r="B1191" s="10" t="str">
        <x:v>USER-03-0252</x:v>
      </x:c>
      <x:c r="C1191" s="10" t="str">
        <x:v>直播</x:v>
      </x:c>
      <x:c r="D1191" s="10" t="str">
        <x:v>在线观众-观众列表（本场主播视角）</x:v>
      </x:c>
      <x:c r="E1191" s="10" t="str">
        <x:v>功能需求</x:v>
      </x:c>
      <x:c r="F1191" s="10" t="str">
        <x:v>P2</x:v>
      </x:c>
      <x:c r="G1191" s="9" t="str">
        <x:v>验证在线全部同分按ID</x:v>
      </x:c>
      <x:c r="H1191" s="9" t="str">
        <x:v>排列次序</x:v>
      </x:c>
      <x:c r="I1191" s="9" t="str">
        <x:v>1. 执行角色为本场主播；当前处于在线观众-观众列表页面
2. 测试环境已准备本场真实金币贡献；数据不涉及运营虚拟金币；当前场次仍在直播
3. U2与U10在线时长、贡献、粉丝等级、财富等级全部相同</x:v>
      </x:c>
      <x:c r="J1191" s="9" t="str">
        <x:v>1. 切换按停留时长</x:v>
      </x:c>
      <x:c r="K1191" s="9" t="str">
        <x:v>U2排在U10前</x:v>
      </x:c>
      <x:c r="L1191" s="10" t="str"/>
      <x:c r="M1191" s="10" t="str">
        <x:v>未测</x:v>
      </x:c>
      <x:c r="N1191" s="10" t="str"/>
      <x:c r="O1191" s="9" t="str">
        <x:v>1. 来源（当前证据）：liveshow-proto/MainBasis/统一需求文档.md；位置：行1773、行1762
2. 规则：BR-f981b6a77430bd71
3. 未动态验证</x:v>
      </x:c>
    </x:row>
    <x:row r="1192" ht="115" customHeight="1">
      <x:c r="A1192" s="10" t="n">
        <x:v>1191</x:v>
      </x:c>
      <x:c r="B1192" s="10" t="str">
        <x:v>USER-03-0253</x:v>
      </x:c>
      <x:c r="C1192" s="10" t="str">
        <x:v>直播</x:v>
      </x:c>
      <x:c r="D1192" s="10" t="str">
        <x:v>在线观众-观众列表（本场主播视角）</x:v>
      </x:c>
      <x:c r="E1192" s="10" t="str">
        <x:v>功能需求</x:v>
      </x:c>
      <x:c r="F1192" s="10" t="str">
        <x:v>P2</x:v>
      </x:c>
      <x:c r="G1192" s="9" t="str">
        <x:v>验证在线缺少粉丝等级按零</x:v>
      </x:c>
      <x:c r="H1192" s="9" t="str">
        <x:v>排列次序</x:v>
      </x:c>
      <x:c r="I1192" s="9" t="str">
        <x:v>1. 执行角色为本场主播；当前处于在线观众-观众列表页面
2. 测试环境已准备本场真实金币贡献；数据不涉及运营虚拟金币；当前场次仍在直播
3. A与B贡献相同；A无粉丝等级，B粉丝1级</x:v>
      </x:c>
      <x:c r="J1192" s="9" t="str">
        <x:v>1. 切换按贡献</x:v>
      </x:c>
      <x:c r="K1192" s="9" t="str">
        <x:v>B排在A前</x:v>
      </x:c>
      <x:c r="L1192" s="10" t="str"/>
      <x:c r="M1192" s="10" t="str">
        <x:v>未测</x:v>
      </x:c>
      <x:c r="N1192" s="10" t="str"/>
      <x:c r="O1192" s="9" t="str">
        <x:v>1. 来源（当前证据）：liveshow-proto/MainBasis/统一需求文档.md；位置：行1772、行1774、行1762
2. 规则：BR-1e5bb4793041e28b
3. 未动态验证</x:v>
      </x:c>
    </x:row>
    <x:row r="1193" ht="115" customHeight="1">
      <x:c r="A1193" s="10" t="n">
        <x:v>1192</x:v>
      </x:c>
      <x:c r="B1193" s="10" t="str">
        <x:v>USER-03-0254</x:v>
      </x:c>
      <x:c r="C1193" s="10" t="str">
        <x:v>直播</x:v>
      </x:c>
      <x:c r="D1193" s="10" t="str">
        <x:v>在线观众-观众列表（本场主播视角）</x:v>
      </x:c>
      <x:c r="E1193" s="10" t="str">
        <x:v>功能需求</x:v>
      </x:c>
      <x:c r="F1193" s="10" t="str">
        <x:v>P2</x:v>
      </x:c>
      <x:c r="G1193" s="9" t="str">
        <x:v>验证在线缺少财富等级按零</x:v>
      </x:c>
      <x:c r="H1193" s="9" t="str">
        <x:v>排列次序</x:v>
      </x:c>
      <x:c r="I1193" s="9" t="str">
        <x:v>1. 执行角色为本场主播；当前处于在线观众-观众列表页面
2. 测试环境已准备本场真实金币贡献；数据不涉及运营虚拟金币；当前场次仍在直播
3. A与B贡献及粉丝等级相同；A无财富等级，B财富1级</x:v>
      </x:c>
      <x:c r="J1193" s="9" t="str">
        <x:v>1. 切换按贡献</x:v>
      </x:c>
      <x:c r="K1193" s="9" t="str">
        <x:v>B排在A前</x:v>
      </x:c>
      <x:c r="L1193" s="10" t="str"/>
      <x:c r="M1193" s="10" t="str">
        <x:v>未测</x:v>
      </x:c>
      <x:c r="N1193" s="10" t="str"/>
      <x:c r="O1193" s="9" t="str">
        <x:v>1. 来源（当前证据）：liveshow-proto/MainBasis/统一需求文档.md；位置：行1772、行1774、行1762
2. 规则：BR-615456fc52e90638
3. 未动态验证</x:v>
      </x:c>
    </x:row>
    <x:row r="1194" ht="100" customHeight="1">
      <x:c r="A1194" s="10" t="n">
        <x:v>1193</x:v>
      </x:c>
      <x:c r="B1194" s="10" t="str">
        <x:v>USER-03-0255</x:v>
      </x:c>
      <x:c r="C1194" s="10" t="str">
        <x:v>直播</x:v>
      </x:c>
      <x:c r="D1194" s="10" t="str">
        <x:v>在线观众-观众列表（本场主播视角）</x:v>
      </x:c>
      <x:c r="E1194" s="10" t="str">
        <x:v>功能需求</x:v>
      </x:c>
      <x:c r="F1194" s="10" t="str">
        <x:v>P1</x:v>
      </x:c>
      <x:c r="G1194" s="9" t="str">
        <x:v>验证在线排序保留房管身份</x:v>
      </x:c>
      <x:c r="H1194" s="9" t="str">
        <x:v>数据保持</x:v>
      </x:c>
      <x:c r="I1194" s="9" t="str">
        <x:v>1. 执行角色为本场主播；当前处于在线观众-观众列表页面
2. 测试环境已准备本场真实金币贡献；数据不涉及运营虚拟金币；当前场次仍在直播
3. A为已授权房管</x:v>
      </x:c>
      <x:c r="J1194" s="9" t="str">
        <x:v>1. 切换按停留时长</x:v>
      </x:c>
      <x:c r="K1194" s="9" t="str">
        <x:v>A仍保留房管身份</x:v>
      </x:c>
      <x:c r="L1194" s="10" t="str"/>
      <x:c r="M1194" s="10" t="str">
        <x:v>未测</x:v>
      </x:c>
      <x:c r="N1194" s="10" t="str"/>
      <x:c r="O1194" s="9" t="str">
        <x:v>1. 来源（当前证据）：liveshow-proto/MainBasis/统一需求文档.md；位置：行1774、行1762
2. 规则：BR-2c0a18907ae2ccf2
3. 未动态验证</x:v>
      </x:c>
    </x:row>
    <x:row r="1195" ht="100" customHeight="1">
      <x:c r="A1195" s="10" t="n">
        <x:v>1194</x:v>
      </x:c>
      <x:c r="B1195" s="10" t="str">
        <x:v>USER-03-0256</x:v>
      </x:c>
      <x:c r="C1195" s="10" t="str">
        <x:v>直播</x:v>
      </x:c>
      <x:c r="D1195" s="10" t="str">
        <x:v>在线观众-观众列表（本场主播视角）</x:v>
      </x:c>
      <x:c r="E1195" s="10" t="str">
        <x:v>功能需求</x:v>
      </x:c>
      <x:c r="F1195" s="10" t="str">
        <x:v>P1</x:v>
      </x:c>
      <x:c r="G1195" s="9" t="str">
        <x:v>验证在线排序保留禁言</x:v>
      </x:c>
      <x:c r="H1195" s="9" t="str">
        <x:v>数据保持</x:v>
      </x:c>
      <x:c r="I1195" s="9" t="str">
        <x:v>1. 执行角色为本场主播；当前处于在线观众-观众列表页面
2. 测试环境已准备本场真实金币贡献；数据不涉及运营虚拟金币；当前场次仍在直播
3. A处于本场禁言</x:v>
      </x:c>
      <x:c r="J1195" s="9" t="str">
        <x:v>1. 切换按停留时长</x:v>
      </x:c>
      <x:c r="K1195" s="9" t="str">
        <x:v>A仍保留本场禁言状态</x:v>
      </x:c>
      <x:c r="L1195" s="10" t="str"/>
      <x:c r="M1195" s="10" t="str">
        <x:v>未测</x:v>
      </x:c>
      <x:c r="N1195" s="10" t="str"/>
      <x:c r="O1195" s="9" t="str">
        <x:v>1. 来源（当前证据）：liveshow-proto/MainBasis/统一需求文档.md；位置：行1774、行1762
2. 规则：BR-a49fd87d9e7089e2
3. 未动态验证</x:v>
      </x:c>
    </x:row>
    <x:row r="1196" ht="85" customHeight="1">
      <x:c r="A1196" s="10" t="n">
        <x:v>1195</x:v>
      </x:c>
      <x:c r="B1196" s="10" t="str">
        <x:v>USER-03-0257</x:v>
      </x:c>
      <x:c r="C1196" s="10" t="str">
        <x:v>直播</x:v>
      </x:c>
      <x:c r="D1196" s="10" t="str">
        <x:v>在线观众-观众列表（本场主播视角）</x:v>
      </x:c>
      <x:c r="E1196" s="10" t="str">
        <x:v>功能需求</x:v>
      </x:c>
      <x:c r="F1196" s="10" t="str">
        <x:v>P2</x:v>
      </x:c>
      <x:c r="G1196" s="9" t="str">
        <x:v>验证在线切换保留弹层</x:v>
      </x:c>
      <x:c r="H1196" s="9" t="str">
        <x:v>在线观众弹层保持</x:v>
      </x:c>
      <x:c r="I1196" s="9" t="str">
        <x:v>1. 执行角色为本场主播；当前处于在线观众-观众列表页面
2. 测试环境已准备本场真实金币贡献；数据不涉及运营虚拟金币；当前场次仍在直播</x:v>
      </x:c>
      <x:c r="J1196" s="9" t="str">
        <x:v>1. 切换按停留时长</x:v>
      </x:c>
      <x:c r="K1196" s="9" t="str">
        <x:v>当前在线观众弹层保持打开</x:v>
      </x:c>
      <x:c r="L1196" s="10" t="str"/>
      <x:c r="M1196" s="10" t="str">
        <x:v>未测</x:v>
      </x:c>
      <x:c r="N1196" s="10" t="str"/>
      <x:c r="O1196" s="9" t="str">
        <x:v>1. 来源（当前证据）：liveshow-proto/MainBasis/统一需求文档.md；位置：行1777、行1762
2. 规则：BR-d868f83f6af87417
3. 未动态验证</x:v>
      </x:c>
    </x:row>
    <x:row r="1197" ht="115" customHeight="1">
      <x:c r="A1197" s="10" t="n">
        <x:v>1196</x:v>
      </x:c>
      <x:c r="B1197" s="10" t="str">
        <x:v>USER-03-0258</x:v>
      </x:c>
      <x:c r="C1197" s="10" t="str">
        <x:v>直播</x:v>
      </x:c>
      <x:c r="D1197" s="10" t="str">
        <x:v>在线观众-观众列表（本场主播视角）</x:v>
      </x:c>
      <x:c r="E1197" s="10" t="str">
        <x:v>功能需求</x:v>
      </x:c>
      <x:c r="F1197" s="10" t="str">
        <x:v>P1</x:v>
      </x:c>
      <x:c r="G1197" s="9" t="str">
        <x:v>验证离开重进累计停留</x:v>
      </x:c>
      <x:c r="H1197" s="9" t="str">
        <x:v>多次进房累计在线时长</x:v>
      </x:c>
      <x:c r="I1197" s="9" t="str">
        <x:v>1. 执行角色为本场主播；当前处于在线观众-观众列表页面
2. 测试环境已准备本场真实金币贡献；数据不涉及运营虚拟金币；当前场次仍在直播
3. A本场首次在线10分钟后退出，现重进累计再在线5分钟</x:v>
      </x:c>
      <x:c r="J1197" s="9" t="str">
        <x:v>1. 查看A停留时长</x:v>
      </x:c>
      <x:c r="K1197" s="9" t="str">
        <x:v>A本场在线累计时长为15分钟（计算结果 = 15 分钟）</x:v>
      </x:c>
      <x:c r="L1197" s="10" t="str"/>
      <x:c r="M1197" s="10" t="str">
        <x:v>未测</x:v>
      </x:c>
      <x:c r="N1197" s="10" t="str"/>
      <x:c r="O1197" s="9" t="str">
        <x:v>1. 来源（当前证据）：liveshow-proto/MainBasis/统一需求文档.md；位置：行1767、行1762
2. 规则：BR-de9433d01d1f308d
3. 未动态验证</x:v>
      </x:c>
    </x:row>
    <x:row r="1198" ht="115" customHeight="1">
      <x:c r="A1198" s="10" t="n">
        <x:v>1197</x:v>
      </x:c>
      <x:c r="B1198" s="10" t="str">
        <x:v>USER-03-0259</x:v>
      </x:c>
      <x:c r="C1198" s="10" t="str">
        <x:v>直播</x:v>
      </x:c>
      <x:c r="D1198" s="10" t="str">
        <x:v>在线观众-观众列表（本场主播视角）</x:v>
      </x:c>
      <x:c r="E1198" s="10" t="str">
        <x:v>功能需求</x:v>
      </x:c>
      <x:c r="F1198" s="10" t="str">
        <x:v>P2</x:v>
      </x:c>
      <x:c r="G1198" s="9" t="str">
        <x:v>验证财富等级缺失隐藏</x:v>
      </x:c>
      <x:c r="H1198" s="9" t="str">
        <x:v>缺失财富等级隐藏</x:v>
      </x:c>
      <x:c r="I1198" s="9" t="str">
        <x:v>1. 执行角色为本场主播；当前处于在线观众-观众列表页面
2. 测试环境已准备本场真实金币贡献；数据不涉及运营虚拟金币；当前场次仍在直播
3. A仍在线但服务端未提供财富等级</x:v>
      </x:c>
      <x:c r="J1198" s="9" t="str">
        <x:v>1. 查看A用户行</x:v>
      </x:c>
      <x:c r="K1198" s="9" t="str">
        <x:v>不显示A财富等级</x:v>
      </x:c>
      <x:c r="L1198" s="10" t="str"/>
      <x:c r="M1198" s="10" t="str">
        <x:v>未测</x:v>
      </x:c>
      <x:c r="N1198" s="10" t="str"/>
      <x:c r="O1198" s="9" t="str">
        <x:v>1. 来源（当前证据）：liveshow-proto/MainBasis/统一需求文档.md；位置：行1765、行1762
2. 规则：BR-3dbe24582ba9892b
3. 未动态验证</x:v>
      </x:c>
    </x:row>
    <x:row r="1199" ht="115" customHeight="1">
      <x:c r="A1199" s="10" t="n">
        <x:v>1198</x:v>
      </x:c>
      <x:c r="B1199" s="10" t="str">
        <x:v>USER-03-0260</x:v>
      </x:c>
      <x:c r="C1199" s="10" t="str">
        <x:v>直播</x:v>
      </x:c>
      <x:c r="D1199" s="10" t="str">
        <x:v>在线观众-观众列表（本场主播视角）</x:v>
      </x:c>
      <x:c r="E1199" s="10" t="str">
        <x:v>功能需求</x:v>
      </x:c>
      <x:c r="F1199" s="10" t="str">
        <x:v>P1</x:v>
      </x:c>
      <x:c r="G1199" s="9" t="str">
        <x:v>验证有效团籍身份显示：有效团籍灯牌</x:v>
      </x:c>
      <x:c r="H1199" s="9" t="str">
        <x:v>有效团籍灯牌</x:v>
      </x:c>
      <x:c r="I1199" s="9" t="str">
        <x:v>1. 执行角色为本场主播；当前处于在线观众-观众列表页面
2. 测试环境已准备本场真实金币贡献；数据不涉及运营虚拟金币；当前场次仍在直播
3. A属于当前主播粉丝团且身份数据完整</x:v>
      </x:c>
      <x:c r="J1199" s="9" t="str">
        <x:v>1. 查看A用户行</x:v>
      </x:c>
      <x:c r="K1199" s="9" t="str">
        <x:v>展示A的灯牌</x:v>
      </x:c>
      <x:c r="L1199" s="10" t="str"/>
      <x:c r="M1199" s="10" t="str">
        <x:v>未测</x:v>
      </x:c>
      <x:c r="N1199" s="10" t="str"/>
      <x:c r="O1199" s="9" t="str">
        <x:v>1. 来源（当前证据）：liveshow-proto/MainBasis/统一需求文档.md；位置：行1766、行1762
2. 规则：BR-4164cf314a1cc596
3. 未动态验证</x:v>
      </x:c>
    </x:row>
    <x:row r="1200" ht="115" customHeight="1">
      <x:c r="A1200" s="10" t="n">
        <x:v>1199</x:v>
      </x:c>
      <x:c r="B1200" s="10" t="str">
        <x:v>USER-03-0261</x:v>
      </x:c>
      <x:c r="C1200" s="10" t="str">
        <x:v>直播</x:v>
      </x:c>
      <x:c r="D1200" s="10" t="str">
        <x:v>在线观众-观众列表（本场主播视角）</x:v>
      </x:c>
      <x:c r="E1200" s="10" t="str">
        <x:v>功能需求</x:v>
      </x:c>
      <x:c r="F1200" s="10" t="str">
        <x:v>P1</x:v>
      </x:c>
      <x:c r="G1200" s="9" t="str">
        <x:v>验证有效团籍身份显示：有效团籍等级</x:v>
      </x:c>
      <x:c r="H1200" s="9" t="str">
        <x:v>有效团籍等级</x:v>
      </x:c>
      <x:c r="I1200" s="9" t="str">
        <x:v>1. 执行角色为本场主播；当前处于在线观众-观众列表页面
2. 测试环境已准备本场真实金币贡献；数据不涉及运营虚拟金币；当前场次仍在直播
3. A属于当前主播粉丝团且身份数据完整</x:v>
      </x:c>
      <x:c r="J1200" s="9" t="str">
        <x:v>1. 查看A用户行</x:v>
      </x:c>
      <x:c r="K1200" s="9" t="str">
        <x:v>展示A的粉丝等级</x:v>
      </x:c>
      <x:c r="L1200" s="10" t="str"/>
      <x:c r="M1200" s="10" t="str">
        <x:v>未测</x:v>
      </x:c>
      <x:c r="N1200" s="10" t="str"/>
      <x:c r="O1200" s="9" t="str">
        <x:v>1. 来源（当前证据）：liveshow-proto/MainBasis/统一需求文档.md；位置：行1766、行1762
2. 规则：BR-b3911d1aa83e2204
3. 未动态验证</x:v>
      </x:c>
    </x:row>
    <x:row r="1201" ht="115" customHeight="1">
      <x:c r="A1201" s="10" t="n">
        <x:v>1200</x:v>
      </x:c>
      <x:c r="B1201" s="10" t="str">
        <x:v>USER-03-0262</x:v>
      </x:c>
      <x:c r="C1201" s="10" t="str">
        <x:v>直播</x:v>
      </x:c>
      <x:c r="D1201" s="10" t="str">
        <x:v>在线观众-观众列表（本场主播视角）</x:v>
      </x:c>
      <x:c r="E1201" s="10" t="str">
        <x:v>功能需求</x:v>
      </x:c>
      <x:c r="F1201" s="10" t="str">
        <x:v>P1</x:v>
      </x:c>
      <x:c r="G1201" s="9" t="str">
        <x:v>验证有效团籍身份显示：有效团籍亲密度</x:v>
      </x:c>
      <x:c r="H1201" s="9" t="str">
        <x:v>有效团籍亲密度</x:v>
      </x:c>
      <x:c r="I1201" s="9" t="str">
        <x:v>1. 执行角色为本场主播；当前处于在线观众-观众列表页面
2. 测试环境已准备本场真实金币贡献；数据不涉及运营虚拟金币；当前场次仍在直播
3. A属于当前主播粉丝团且身份数据完整</x:v>
      </x:c>
      <x:c r="J1201" s="9" t="str">
        <x:v>1. 查看A用户行</x:v>
      </x:c>
      <x:c r="K1201" s="9" t="str">
        <x:v>展示A的亲密度</x:v>
      </x:c>
      <x:c r="L1201" s="10" t="str"/>
      <x:c r="M1201" s="10" t="str">
        <x:v>未测</x:v>
      </x:c>
      <x:c r="N1201" s="10" t="str"/>
      <x:c r="O1201" s="9" t="str">
        <x:v>1. 来源（当前证据）：liveshow-proto/MainBasis/统一需求文档.md；位置：行1766、行1762
2. 规则：BR-4c3424bef4f16e7c
3. 未动态验证</x:v>
      </x:c>
    </x:row>
    <x:row r="1202" ht="100" customHeight="1">
      <x:c r="A1202" s="10" t="n">
        <x:v>1201</x:v>
      </x:c>
      <x:c r="B1202" s="10" t="str">
        <x:v>USER-03-0263</x:v>
      </x:c>
      <x:c r="C1202" s="10" t="str">
        <x:v>直播</x:v>
      </x:c>
      <x:c r="D1202" s="10" t="str">
        <x:v>在线观众-观众列表（本场主播视角）</x:v>
      </x:c>
      <x:c r="E1202" s="10" t="str">
        <x:v>功能需求</x:v>
      </x:c>
      <x:c r="F1202" s="10" t="str">
        <x:v>P1</x:v>
      </x:c>
      <x:c r="G1202" s="9" t="str">
        <x:v>验证无有效团籍身份隐藏：无团籍灯牌隐藏</x:v>
      </x:c>
      <x:c r="H1202" s="9" t="str">
        <x:v>无团籍灯牌隐藏</x:v>
      </x:c>
      <x:c r="I1202" s="9" t="str">
        <x:v>1. 执行角色为本场主播；当前处于在线观众-观众列表页面
2. 测试环境已准备本场真实金币贡献；数据不涉及运营虚拟金币；当前场次仍在直播
3. A不属于当前主播粉丝团</x:v>
      </x:c>
      <x:c r="J1202" s="9" t="str">
        <x:v>1. 查看A用户行</x:v>
      </x:c>
      <x:c r="K1202" s="9" t="str">
        <x:v>不展示当前主播灯牌</x:v>
      </x:c>
      <x:c r="L1202" s="10" t="str"/>
      <x:c r="M1202" s="10" t="str">
        <x:v>未测</x:v>
      </x:c>
      <x:c r="N1202" s="10" t="str"/>
      <x:c r="O1202" s="9" t="str">
        <x:v>1. 来源（当前证据）：liveshow-proto/MainBasis/统一需求文档.md；位置：行1766、行1762
2. 规则：BR-64232ca6e8424c34
3. 未动态验证</x:v>
      </x:c>
    </x:row>
    <x:row r="1203" ht="100" customHeight="1">
      <x:c r="A1203" s="10" t="n">
        <x:v>1202</x:v>
      </x:c>
      <x:c r="B1203" s="10" t="str">
        <x:v>USER-03-0264</x:v>
      </x:c>
      <x:c r="C1203" s="10" t="str">
        <x:v>直播</x:v>
      </x:c>
      <x:c r="D1203" s="10" t="str">
        <x:v>在线观众-观众列表（本场主播视角）</x:v>
      </x:c>
      <x:c r="E1203" s="10" t="str">
        <x:v>功能需求</x:v>
      </x:c>
      <x:c r="F1203" s="10" t="str">
        <x:v>P1</x:v>
      </x:c>
      <x:c r="G1203" s="9" t="str">
        <x:v>验证无有效团籍身份隐藏：无团籍等级隐藏</x:v>
      </x:c>
      <x:c r="H1203" s="9" t="str">
        <x:v>无团籍等级隐藏</x:v>
      </x:c>
      <x:c r="I1203" s="9" t="str">
        <x:v>1. 执行角色为本场主播；当前处于在线观众-观众列表页面
2. 测试环境已准备本场真实金币贡献；数据不涉及运营虚拟金币；当前场次仍在直播
3. A不属于当前主播粉丝团</x:v>
      </x:c>
      <x:c r="J1203" s="9" t="str">
        <x:v>1. 查看A用户行</x:v>
      </x:c>
      <x:c r="K1203" s="9" t="str">
        <x:v>不展示当前主播粉丝等级</x:v>
      </x:c>
      <x:c r="L1203" s="10" t="str"/>
      <x:c r="M1203" s="10" t="str">
        <x:v>未测</x:v>
      </x:c>
      <x:c r="N1203" s="10" t="str"/>
      <x:c r="O1203" s="9" t="str">
        <x:v>1. 来源（当前证据）：liveshow-proto/MainBasis/统一需求文档.md；位置：行1766、行1762
2. 规则：BR-aaaf8b5e3ada0ea9
3. 未动态验证</x:v>
      </x:c>
    </x:row>
    <x:row r="1204" ht="100" customHeight="1">
      <x:c r="A1204" s="10" t="n">
        <x:v>1203</x:v>
      </x:c>
      <x:c r="B1204" s="10" t="str">
        <x:v>USER-03-0265</x:v>
      </x:c>
      <x:c r="C1204" s="10" t="str">
        <x:v>直播</x:v>
      </x:c>
      <x:c r="D1204" s="10" t="str">
        <x:v>在线观众-观众列表（本场主播视角）</x:v>
      </x:c>
      <x:c r="E1204" s="10" t="str">
        <x:v>功能需求</x:v>
      </x:c>
      <x:c r="F1204" s="10" t="str">
        <x:v>P1</x:v>
      </x:c>
      <x:c r="G1204" s="9" t="str">
        <x:v>验证无有效团籍身份隐藏：无团籍亲密度隐藏</x:v>
      </x:c>
      <x:c r="H1204" s="9" t="str">
        <x:v>无团籍亲密度隐藏</x:v>
      </x:c>
      <x:c r="I1204" s="9" t="str">
        <x:v>1. 执行角色为本场主播；当前处于在线观众-观众列表页面
2. 测试环境已准备本场真实金币贡献；数据不涉及运营虚拟金币；当前场次仍在直播
3. A不属于当前主播粉丝团</x:v>
      </x:c>
      <x:c r="J1204" s="9" t="str">
        <x:v>1. 查看A用户行</x:v>
      </x:c>
      <x:c r="K1204" s="9" t="str">
        <x:v>不展示当前主播亲密度</x:v>
      </x:c>
      <x:c r="L1204" s="10" t="str"/>
      <x:c r="M1204" s="10" t="str">
        <x:v>未测</x:v>
      </x:c>
      <x:c r="N1204" s="10" t="str"/>
      <x:c r="O1204" s="9" t="str">
        <x:v>1. 来源（当前证据）：liveshow-proto/MainBasis/统一需求文档.md；位置：行1766、行1762
2. 规则：BR-44b1d74936c6a1e6
3. 未动态验证</x:v>
      </x:c>
    </x:row>
    <x:row r="1205" ht="100" customHeight="1">
      <x:c r="A1205" s="10" t="n">
        <x:v>1204</x:v>
      </x:c>
      <x:c r="B1205" s="10" t="str">
        <x:v>USER-03-0266</x:v>
      </x:c>
      <x:c r="C1205" s="10" t="str">
        <x:v>直播</x:v>
      </x:c>
      <x:c r="D1205" s="10" t="str">
        <x:v>在线观众-观众列表（本场主播视角）</x:v>
      </x:c>
      <x:c r="E1205" s="10" t="str">
        <x:v>功能需求</x:v>
      </x:c>
      <x:c r="F1205" s="10" t="str">
        <x:v>P1</x:v>
      </x:c>
      <x:c r="G1205" s="9" t="str">
        <x:v>验证在线当前禁言标识</x:v>
      </x:c>
      <x:c r="H1205" s="9" t="str">
        <x:v>在线用户禁言标记</x:v>
      </x:c>
      <x:c r="I1205" s="9" t="str">
        <x:v>1. 执行角色为本场主播；当前处于在线观众-观众列表页面
2. 测试环境已准备本场真实金币贡献；数据不涉及运营虚拟金币；当前场次仍在直播
3. A在线且被本场禁言</x:v>
      </x:c>
      <x:c r="J1205" s="9" t="str">
        <x:v>1. 查看A用户行</x:v>
      </x:c>
      <x:c r="K1205" s="9" t="str">
        <x:v>展示A禁言标识</x:v>
      </x:c>
      <x:c r="L1205" s="10" t="str"/>
      <x:c r="M1205" s="10" t="str">
        <x:v>未测</x:v>
      </x:c>
      <x:c r="N1205" s="10" t="str"/>
      <x:c r="O1205" s="9" t="str">
        <x:v>1. 来源（当前证据）：liveshow-proto/MainBasis/统一需求文档.md；位置：行1769、行1762
2. 规则：BR-891cf331aafbe9d6
3. 未动态验证</x:v>
      </x:c>
    </x:row>
    <x:row r="1206" ht="115" customHeight="1">
      <x:c r="A1206" s="10" t="n">
        <x:v>1205</x:v>
      </x:c>
      <x:c r="B1206" s="10" t="str">
        <x:v>USER-03-0267</x:v>
      </x:c>
      <x:c r="C1206" s="10" t="str">
        <x:v>直播</x:v>
      </x:c>
      <x:c r="D1206" s="10" t="str">
        <x:v>在线观众-观众列表（本场主播视角）</x:v>
      </x:c>
      <x:c r="E1206" s="10" t="str">
        <x:v>功能需求</x:v>
      </x:c>
      <x:c r="F1206" s="10" t="str">
        <x:v>P2</x:v>
      </x:c>
      <x:c r="G1206" s="9" t="str">
        <x:v>验证在线私信对象</x:v>
      </x:c>
      <x:c r="H1206" s="9" t="str">
        <x:v>在线用户私信对象</x:v>
      </x:c>
      <x:c r="I1206" s="9" t="str">
        <x:v>1. 执行角色为本场主播；当前处于在线观众-观众列表页面
2. 测试环境已准备本场真实金币贡献；数据不涉及运营虚拟金币；当前场次仍在直播
3. A在线且与主播为好友、双方未拉黑</x:v>
      </x:c>
      <x:c r="J1206" s="9" t="str">
        <x:v>1. 点击A私信</x:v>
      </x:c>
      <x:c r="K1206" s="9" t="str">
        <x:v>进入与A的单聊</x:v>
      </x:c>
      <x:c r="L1206" s="10" t="str"/>
      <x:c r="M1206" s="10" t="str">
        <x:v>未测</x:v>
      </x:c>
      <x:c r="N1206" s="10" t="str"/>
      <x:c r="O1206" s="9" t="str">
        <x:v>1. 来源（当前证据）：liveshow-proto/MainBasis/统一需求文档.md；位置：行1778、行1762
2. 规则：BR-ef928643c29551a7
3. 未动态验证</x:v>
      </x:c>
    </x:row>
    <x:row r="1207" ht="85" customHeight="1">
      <x:c r="A1207" s="10" t="n">
        <x:v>1206</x:v>
      </x:c>
      <x:c r="B1207" s="10" t="str">
        <x:v>USER-03-0268</x:v>
      </x:c>
      <x:c r="C1207" s="10" t="str">
        <x:v>直播</x:v>
      </x:c>
      <x:c r="D1207" s="10" t="str">
        <x:v>在线观众-观众列表（本场主播视角）</x:v>
      </x:c>
      <x:c r="E1207" s="10" t="str">
        <x:v>功能需求</x:v>
      </x:c>
      <x:c r="F1207" s="10" t="str">
        <x:v>P2</x:v>
      </x:c>
      <x:c r="G1207" s="9" t="str">
        <x:v>验证关闭观众弹层继续直播：关闭弹层去向</x:v>
      </x:c>
      <x:c r="H1207" s="9" t="str">
        <x:v>关闭弹层去向</x:v>
      </x:c>
      <x:c r="I1207" s="9" t="str">
        <x:v>1. 执行角色为本场主播；当前处于在线观众-观众列表页面
2. 测试环境已准备本场真实金币贡献；数据不涉及运营虚拟金币；当前场次仍在直播</x:v>
      </x:c>
      <x:c r="J1207" s="9" t="str">
        <x:v>1. 关闭在线观众弹层</x:v>
      </x:c>
      <x:c r="K1207" s="9" t="str">
        <x:v>返回直播间</x:v>
      </x:c>
      <x:c r="L1207" s="10" t="str"/>
      <x:c r="M1207" s="10" t="str">
        <x:v>未测</x:v>
      </x:c>
      <x:c r="N1207" s="10" t="str"/>
      <x:c r="O1207" s="9" t="str">
        <x:v>1. 来源（当前证据）：liveshow-proto/MainBasis/统一需求文档.md；位置：行1779、行1762
2. 规则：BR-b5781dd1bd9bc738
3. 未动态验证</x:v>
      </x:c>
    </x:row>
    <x:row r="1208" ht="85" customHeight="1">
      <x:c r="A1208" s="10" t="n">
        <x:v>1207</x:v>
      </x:c>
      <x:c r="B1208" s="10" t="str">
        <x:v>USER-03-0269</x:v>
      </x:c>
      <x:c r="C1208" s="10" t="str">
        <x:v>直播</x:v>
      </x:c>
      <x:c r="D1208" s="10" t="str">
        <x:v>在线观众-观众列表（本场主播视角）</x:v>
      </x:c>
      <x:c r="E1208" s="10" t="str">
        <x:v>功能需求</x:v>
      </x:c>
      <x:c r="F1208" s="10" t="str">
        <x:v>P1</x:v>
      </x:c>
      <x:c r="G1208" s="9" t="str">
        <x:v>验证关闭观众弹层继续直播：直播保持</x:v>
      </x:c>
      <x:c r="H1208" s="9" t="str">
        <x:v>直播保持</x:v>
      </x:c>
      <x:c r="I1208" s="9" t="str">
        <x:v>1. 执行角色为本场主播；当前处于在线观众-观众列表页面
2. 测试环境已准备本场真实金币贡献；数据不涉及运营虚拟金币；当前场次仍在直播</x:v>
      </x:c>
      <x:c r="J1208" s="9" t="str">
        <x:v>1. 关闭在线观众弹层</x:v>
      </x:c>
      <x:c r="K1208" s="9" t="str">
        <x:v>直播保持进行</x:v>
      </x:c>
      <x:c r="L1208" s="10" t="str"/>
      <x:c r="M1208" s="10" t="str">
        <x:v>未测</x:v>
      </x:c>
      <x:c r="N1208" s="10" t="str"/>
      <x:c r="O1208" s="9" t="str">
        <x:v>1. 来源（当前证据）：liveshow-proto/MainBasis/统一需求文档.md；位置：行1779、行1762
2. 规则：BR-0d737cf310e1ec4a
3. 未动态验证</x:v>
      </x:c>
    </x:row>
    <x:row r="1209" ht="115" customHeight="1">
      <x:c r="A1209" s="10" t="n">
        <x:v>1208</x:v>
      </x:c>
      <x:c r="B1209" s="10" t="str">
        <x:v>USER-03-0270</x:v>
      </x:c>
      <x:c r="C1209" s="10" t="str">
        <x:v>直播</x:v>
      </x:c>
      <x:c r="D1209" s="10" t="str">
        <x:v>禁用用户（本场主播视角）</x:v>
      </x:c>
      <x:c r="E1209" s="10" t="str">
        <x:v>功能需求</x:v>
      </x:c>
      <x:c r="F1209" s="10" t="str">
        <x:v>P1</x:v>
      </x:c>
      <x:c r="G1209" s="9" t="str">
        <x:v>验证禁言列表仅本场有效记录</x:v>
      </x:c>
      <x:c r="H1209" s="9" t="str">
        <x:v>当前场次禁言列表范围</x:v>
      </x:c>
      <x:c r="I1209" s="9" t="str">
        <x:v>1. 执行角色为本场主播；当前处于禁用用户页面
2. 测试环境已准备本场真实金币贡献；数据不涉及运营虚拟金币；当前场次仍在直播
3. A本场仍被禁言；B禁言已解除；C仅上场被禁言</x:v>
      </x:c>
      <x:c r="J1209" s="9" t="str">
        <x:v>1. 查看禁言列表</x:v>
      </x:c>
      <x:c r="K1209" s="9" t="str">
        <x:v>列表仅包含A，不包含B和C</x:v>
      </x:c>
      <x:c r="L1209" s="10" t="str"/>
      <x:c r="M1209" s="10" t="str">
        <x:v>未测</x:v>
      </x:c>
      <x:c r="N1209" s="10" t="str"/>
      <x:c r="O1209" s="9" t="str">
        <x:v>1. 来源（当前证据）：liveshow-proto/MainBasis/统一需求文档.md；位置：行1786、行1782
2. 规则：BR-6a81161853fb7ba1
3. 未动态验证</x:v>
      </x:c>
    </x:row>
    <x:row r="1210" ht="115" customHeight="1">
      <x:c r="A1210" s="10" t="n">
        <x:v>1209</x:v>
      </x:c>
      <x:c r="B1210" s="10" t="str">
        <x:v>USER-03-0271</x:v>
      </x:c>
      <x:c r="C1210" s="10" t="str">
        <x:v>直播</x:v>
      </x:c>
      <x:c r="D1210" s="10" t="str">
        <x:v>禁用用户（本场主播视角）</x:v>
      </x:c>
      <x:c r="E1210" s="10" t="str">
        <x:v>功能需求</x:v>
      </x:c>
      <x:c r="F1210" s="10" t="str">
        <x:v>P1</x:v>
      </x:c>
      <x:c r="G1210" s="9" t="str">
        <x:v>验证禁言记录身份快照</x:v>
      </x:c>
      <x:c r="H1210" s="9" t="str">
        <x:v>禁言执行身份快照</x:v>
      </x:c>
      <x:c r="I1210" s="9" t="str">
        <x:v>1. 执行角色为本场主播；当前处于禁用用户页面
2. 测试环境已准备本场真实金币贡献；数据不涉及运营虚拟金币；当前场次仍在直播
3. A被禁言时为房管，随后取消房管</x:v>
      </x:c>
      <x:c r="J1210" s="9" t="str">
        <x:v>1. 查看A禁言记录</x:v>
      </x:c>
      <x:c r="K1210" s="9" t="str">
        <x:v>身份信息按执行禁言时记录展示</x:v>
      </x:c>
      <x:c r="L1210" s="10" t="str"/>
      <x:c r="M1210" s="10" t="str">
        <x:v>未测</x:v>
      </x:c>
      <x:c r="N1210" s="10" t="str"/>
      <x:c r="O1210" s="9" t="str">
        <x:v>1. 来源（当前证据）：liveshow-proto/MainBasis/统一需求文档.md；位置：行1783、行1782
2. 规则：BR-651b78fbf68a51f7
3. 未动态验证</x:v>
      </x:c>
    </x:row>
    <x:row r="1211" ht="100" customHeight="1">
      <x:c r="A1211" s="10" t="n">
        <x:v>1210</x:v>
      </x:c>
      <x:c r="B1211" s="10" t="str">
        <x:v>USER-03-0272</x:v>
      </x:c>
      <x:c r="C1211" s="10" t="str">
        <x:v>直播</x:v>
      </x:c>
      <x:c r="D1211" s="10" t="str">
        <x:v>禁用用户（本场主播视角）</x:v>
      </x:c>
      <x:c r="E1211" s="10" t="str">
        <x:v>功能需求</x:v>
      </x:c>
      <x:c r="F1211" s="10" t="str">
        <x:v>P1</x:v>
      </x:c>
      <x:c r="G1211" s="9" t="str">
        <x:v>验证主播执行禁言记录</x:v>
      </x:c>
      <x:c r="H1211" s="9" t="str">
        <x:v>主播禁言操作人</x:v>
      </x:c>
      <x:c r="I1211" s="9" t="str">
        <x:v>1. 执行角色为本场主播；当前处于禁用用户页面
2. 测试环境已准备本场真实金币贡献；数据不涉及运营虚拟金币；当前场次仍在直播
3. A由当前主播执行禁言</x:v>
      </x:c>
      <x:c r="J1211" s="9" t="str">
        <x:v>1. 查看A禁言记录</x:v>
      </x:c>
      <x:c r="K1211" s="9" t="str">
        <x:v>操作人为当前主播</x:v>
      </x:c>
      <x:c r="L1211" s="10" t="str"/>
      <x:c r="M1211" s="10" t="str">
        <x:v>未测</x:v>
      </x:c>
      <x:c r="N1211" s="10" t="str"/>
      <x:c r="O1211" s="9" t="str">
        <x:v>1. 来源（当前证据）：liveshow-proto/MainBasis/统一需求文档.md；位置：行1784、行1782
2. 规则：BR-56d177b8cb8b4559
3. 未动态验证</x:v>
      </x:c>
    </x:row>
    <x:row r="1212" ht="100" customHeight="1">
      <x:c r="A1212" s="10" t="n">
        <x:v>1211</x:v>
      </x:c>
      <x:c r="B1212" s="10" t="str">
        <x:v>USER-03-0273</x:v>
      </x:c>
      <x:c r="C1212" s="10" t="str">
        <x:v>直播</x:v>
      </x:c>
      <x:c r="D1212" s="10" t="str">
        <x:v>禁用用户（本场主播视角）</x:v>
      </x:c>
      <x:c r="E1212" s="10" t="str">
        <x:v>功能需求</x:v>
      </x:c>
      <x:c r="F1212" s="10" t="str">
        <x:v>P1</x:v>
      </x:c>
      <x:c r="G1212" s="9" t="str">
        <x:v>验证房管执行禁言记录</x:v>
      </x:c>
      <x:c r="H1212" s="9" t="str">
        <x:v>房管禁言操作人</x:v>
      </x:c>
      <x:c r="I1212" s="9" t="str">
        <x:v>1. 执行角色为本场主播；当前处于禁用用户页面
2. 测试环境已准备本场真实金币贡献；数据不涉及运营虚拟金币；当前场次仍在直播
3. A由房管B执行禁言</x:v>
      </x:c>
      <x:c r="J1212" s="9" t="str">
        <x:v>1. 查看A禁言记录</x:v>
      </x:c>
      <x:c r="K1212" s="9" t="str">
        <x:v>操作人为房管B</x:v>
      </x:c>
      <x:c r="L1212" s="10" t="str"/>
      <x:c r="M1212" s="10" t="str">
        <x:v>未测</x:v>
      </x:c>
      <x:c r="N1212" s="10" t="str"/>
      <x:c r="O1212" s="9" t="str">
        <x:v>1. 来源（当前证据）：liveshow-proto/MainBasis/统一需求文档.md；位置：行1784、行1782
2. 规则：BR-2ba3d8947aafefd8
3. 未动态验证</x:v>
      </x:c>
    </x:row>
    <x:row r="1213" ht="85" customHeight="1">
      <x:c r="A1213" s="10" t="n">
        <x:v>1212</x:v>
      </x:c>
      <x:c r="B1213" s="10" t="str">
        <x:v>USER-02-0162</x:v>
      </x:c>
      <x:c r="C1213" s="10" t="str">
        <x:v>首页与福利</x:v>
      </x:c>
      <x:c r="D1213" s="10" t="str">
        <x:v>贡献榜（普通用户视角）</x:v>
      </x:c>
      <x:c r="E1213" s="10" t="str">
        <x:v>功能需求</x:v>
      </x:c>
      <x:c r="F1213" s="10" t="str">
        <x:v>P2</x:v>
      </x:c>
      <x:c r="G1213" s="9" t="str">
        <x:v>验证贡献榜账号资料：榜单头像</x:v>
      </x:c>
      <x:c r="H1213" s="9" t="str">
        <x:v>榜单头像</x:v>
      </x:c>
      <x:c r="I1213" s="9" t="str">
        <x:v>1. 执行角色为普通用户；当前处于贡献榜页面
2. 榜内账号A昵称QA贡献、头像已上传、财富等级5</x:v>
      </x:c>
      <x:c r="J1213" s="9" t="str">
        <x:v>1. 查看账号A资料</x:v>
      </x:c>
      <x:c r="K1213" s="9" t="str">
        <x:v>显示A当前头像</x:v>
      </x:c>
      <x:c r="L1213" s="10" t="str"/>
      <x:c r="M1213" s="10" t="str">
        <x:v>未测</x:v>
      </x:c>
      <x:c r="N1213" s="10" t="str"/>
      <x:c r="O1213" s="9" t="str">
        <x:v>1. 来源（当前证据）：liveshow-proto/MainBasis/统一需求文档.md；位置：行560、行554
2. 规则：BR-e67bc5736bfb13d2
3. 未动态验证</x:v>
      </x:c>
    </x:row>
    <x:row r="1214" ht="85" customHeight="1">
      <x:c r="A1214" s="10" t="n">
        <x:v>1213</x:v>
      </x:c>
      <x:c r="B1214" s="10" t="str">
        <x:v>USER-02-0163</x:v>
      </x:c>
      <x:c r="C1214" s="10" t="str">
        <x:v>首页与福利</x:v>
      </x:c>
      <x:c r="D1214" s="10" t="str">
        <x:v>贡献榜（普通用户视角）</x:v>
      </x:c>
      <x:c r="E1214" s="10" t="str">
        <x:v>功能需求</x:v>
      </x:c>
      <x:c r="F1214" s="10" t="str">
        <x:v>P2</x:v>
      </x:c>
      <x:c r="G1214" s="9" t="str">
        <x:v>验证贡献榜账号资料：榜单昵称</x:v>
      </x:c>
      <x:c r="H1214" s="9" t="str">
        <x:v>榜单昵称</x:v>
      </x:c>
      <x:c r="I1214" s="9" t="str">
        <x:v>1. 执行角色为普通用户；当前处于贡献榜页面
2. 榜内账号A昵称QA贡献、头像已上传、财富等级5</x:v>
      </x:c>
      <x:c r="J1214" s="9" t="str">
        <x:v>1. 查看账号A资料</x:v>
      </x:c>
      <x:c r="K1214" s="9" t="str">
        <x:v>显示昵称QA贡献</x:v>
      </x:c>
      <x:c r="L1214" s="10" t="str"/>
      <x:c r="M1214" s="10" t="str">
        <x:v>未测</x:v>
      </x:c>
      <x:c r="N1214" s="10" t="str"/>
      <x:c r="O1214" s="9" t="str">
        <x:v>1. 来源（当前证据）：liveshow-proto/MainBasis/统一需求文档.md；位置：行560、行554
2. 规则：BR-d21f51787495c81d
3. 未动态验证</x:v>
      </x:c>
    </x:row>
    <x:row r="1215" ht="85" customHeight="1">
      <x:c r="A1215" s="10" t="n">
        <x:v>1214</x:v>
      </x:c>
      <x:c r="B1215" s="10" t="str">
        <x:v>USER-02-0164</x:v>
      </x:c>
      <x:c r="C1215" s="10" t="str">
        <x:v>首页与福利</x:v>
      </x:c>
      <x:c r="D1215" s="10" t="str">
        <x:v>贡献榜（普通用户视角）</x:v>
      </x:c>
      <x:c r="E1215" s="10" t="str">
        <x:v>功能需求</x:v>
      </x:c>
      <x:c r="F1215" s="10" t="str">
        <x:v>P2</x:v>
      </x:c>
      <x:c r="G1215" s="9" t="str">
        <x:v>验证贡献榜账号资料：榜单财富等级</x:v>
      </x:c>
      <x:c r="H1215" s="9" t="str">
        <x:v>榜单财富等级</x:v>
      </x:c>
      <x:c r="I1215" s="9" t="str">
        <x:v>1. 执行角色为普通用户；当前处于贡献榜页面
2. 榜内账号A昵称QA贡献、头像已上传、财富等级5</x:v>
      </x:c>
      <x:c r="J1215" s="9" t="str">
        <x:v>1. 查看账号A资料</x:v>
      </x:c>
      <x:c r="K1215" s="9" t="str">
        <x:v>显示财富等级5</x:v>
      </x:c>
      <x:c r="L1215" s="10" t="str"/>
      <x:c r="M1215" s="10" t="str">
        <x:v>未测</x:v>
      </x:c>
      <x:c r="N1215" s="10" t="str"/>
      <x:c r="O1215" s="9" t="str">
        <x:v>1. 来源（当前证据）：liveshow-proto/MainBasis/统一需求文档.md；位置：行560、行554
2. 规则：BR-9c155f257d71c022
3. 未动态验证</x:v>
      </x:c>
    </x:row>
    <x:row r="1216" ht="85" customHeight="1">
      <x:c r="A1216" s="10" t="n">
        <x:v>1215</x:v>
      </x:c>
      <x:c r="B1216" s="10" t="str">
        <x:v>USER-02-0165</x:v>
      </x:c>
      <x:c r="C1216" s="10" t="str">
        <x:v>首页与福利</x:v>
      </x:c>
      <x:c r="D1216" s="10" t="str">
        <x:v>搜索结果（普通用户视角）</x:v>
      </x:c>
      <x:c r="E1216" s="10" t="str">
        <x:v>功能需求</x:v>
      </x:c>
      <x:c r="F1216" s="10" t="str">
        <x:v>P2</x:v>
      </x:c>
      <x:c r="G1216" s="9" t="str">
        <x:v>验证搜索账号当前资料</x:v>
      </x:c>
      <x:c r="H1216" s="9" t="str">
        <x:v>搜索账号资料回显</x:v>
      </x:c>
      <x:c r="I1216" s="9" t="str">
        <x:v>1. 执行角色为普通用户；当前处于搜索结果页面
2. 搜索命中A；A已将昵称改为QA新名字并更新头像</x:v>
      </x:c>
      <x:c r="J1216" s="9" t="str">
        <x:v>1. 查看搜索命中账号A</x:v>
      </x:c>
      <x:c r="K1216" s="9" t="str">
        <x:v>显示A当前头像与昵称QA新名字</x:v>
      </x:c>
      <x:c r="L1216" s="10" t="str"/>
      <x:c r="M1216" s="10" t="str">
        <x:v>未测</x:v>
      </x:c>
      <x:c r="N1216" s="10" t="str"/>
      <x:c r="O1216" s="9" t="str">
        <x:v>1. 来源（当前证据）：liveshow-proto/MainBasis/统一需求文档.md；位置：行586、行583
2. 规则：BR-c63a3d82f83e689b
3. 未动态验证</x:v>
      </x:c>
    </x:row>
    <x:row r="1217" ht="85" customHeight="1">
      <x:c r="A1217" s="10" t="n">
        <x:v>1216</x:v>
      </x:c>
      <x:c r="B1217" s="10" t="str">
        <x:v>USER-02-0166</x:v>
      </x:c>
      <x:c r="C1217" s="10" t="str">
        <x:v>首页与福利</x:v>
      </x:c>
      <x:c r="D1217" s="10" t="str">
        <x:v>充值福利（普通用户视角）</x:v>
      </x:c>
      <x:c r="E1217" s="10" t="str">
        <x:v>功能需求</x:v>
      </x:c>
      <x:c r="F1217" s="10" t="str">
        <x:v>P1</x:v>
      </x:c>
      <x:c r="G1217" s="9" t="str">
        <x:v>验证签到周期展示：连续签到进度</x:v>
      </x:c>
      <x:c r="H1217" s="9" t="str">
        <x:v>连续签到进度</x:v>
      </x:c>
      <x:c r="I1217" s="9" t="str">
        <x:v>1. 执行角色为普通用户；当前处于充值福利页面
2. 当前连续签到2天，第3天为今日；奖励配置已提供</x:v>
      </x:c>
      <x:c r="J1217" s="9" t="str">
        <x:v>1. 查看签到周期</x:v>
      </x:c>
      <x:c r="K1217" s="9" t="str">
        <x:v>第1、2天标记为已签到</x:v>
      </x:c>
      <x:c r="L1217" s="10" t="str"/>
      <x:c r="M1217" s="10" t="str">
        <x:v>未测</x:v>
      </x:c>
      <x:c r="N1217" s="10" t="str"/>
      <x:c r="O1217" s="9" t="str">
        <x:v>1. 来源（当前证据）：liveshow-proto/MainBasis/统一需求文档.md；位置：行600、行595
2. 规则：BR-b8d1fab15c869b9a
3. 未动态验证</x:v>
      </x:c>
    </x:row>
    <x:row r="1218" ht="85" customHeight="1">
      <x:c r="A1218" s="10" t="n">
        <x:v>1217</x:v>
      </x:c>
      <x:c r="B1218" s="10" t="str">
        <x:v>USER-02-0167</x:v>
      </x:c>
      <x:c r="C1218" s="10" t="str">
        <x:v>首页与福利</x:v>
      </x:c>
      <x:c r="D1218" s="10" t="str">
        <x:v>充值福利（普通用户视角）</x:v>
      </x:c>
      <x:c r="E1218" s="10" t="str">
        <x:v>功能需求</x:v>
      </x:c>
      <x:c r="F1218" s="10" t="str">
        <x:v>P1</x:v>
      </x:c>
      <x:c r="G1218" s="9" t="str">
        <x:v>验证签到周期展示：今日签到位置</x:v>
      </x:c>
      <x:c r="H1218" s="9" t="str">
        <x:v>今日签到位置</x:v>
      </x:c>
      <x:c r="I1218" s="9" t="str">
        <x:v>1. 执行角色为普通用户；当前处于充值福利页面
2. 当前连续签到2天，第3天为今日；奖励配置已提供</x:v>
      </x:c>
      <x:c r="J1218" s="9" t="str">
        <x:v>1. 查看签到周期</x:v>
      </x:c>
      <x:c r="K1218" s="9" t="str">
        <x:v>第3天标记为今日</x:v>
      </x:c>
      <x:c r="L1218" s="10" t="str"/>
      <x:c r="M1218" s="10" t="str">
        <x:v>未测</x:v>
      </x:c>
      <x:c r="N1218" s="10" t="str"/>
      <x:c r="O1218" s="9" t="str">
        <x:v>1. 来源（当前证据）：liveshow-proto/MainBasis/统一需求文档.md；位置：行600、行595
2. 规则：BR-c3eb5edb58e6a75e
3. 未动态验证</x:v>
      </x:c>
    </x:row>
    <x:row r="1219" ht="85" customHeight="1">
      <x:c r="A1219" s="10" t="n">
        <x:v>1218</x:v>
      </x:c>
      <x:c r="B1219" s="10" t="str">
        <x:v>USER-02-0168</x:v>
      </x:c>
      <x:c r="C1219" s="10" t="str">
        <x:v>首页与福利</x:v>
      </x:c>
      <x:c r="D1219" s="10" t="str">
        <x:v>充值福利（普通用户视角）</x:v>
      </x:c>
      <x:c r="E1219" s="10" t="str">
        <x:v>功能需求</x:v>
      </x:c>
      <x:c r="F1219" s="10" t="str">
        <x:v>P1</x:v>
      </x:c>
      <x:c r="G1219" s="9" t="str">
        <x:v>验证签到周期展示：签到档位奖励</x:v>
      </x:c>
      <x:c r="H1219" s="9" t="str">
        <x:v>签到档位奖励</x:v>
      </x:c>
      <x:c r="I1219" s="9" t="str">
        <x:v>1. 执行角色为普通用户；当前处于充值福利页面
2. 当前连续签到2天，第3天为今日；奖励配置已提供</x:v>
      </x:c>
      <x:c r="J1219" s="9" t="str">
        <x:v>1. 查看签到周期</x:v>
      </x:c>
      <x:c r="K1219" s="9" t="str">
        <x:v>各日期奖励与当前配置对应</x:v>
      </x:c>
      <x:c r="L1219" s="10" t="str"/>
      <x:c r="M1219" s="10" t="str">
        <x:v>未测</x:v>
      </x:c>
      <x:c r="N1219" s="10" t="str"/>
      <x:c r="O1219" s="9" t="str">
        <x:v>1. 来源（当前证据）：liveshow-proto/MainBasis/统一需求文档.md；位置：行600、行595
2. 规则：BR-ac04c23e75daa6fa
3. 未动态验证</x:v>
      </x:c>
    </x:row>
    <x:row r="1220" ht="85" customHeight="1">
      <x:c r="A1220" s="10" t="n">
        <x:v>1219</x:v>
      </x:c>
      <x:c r="B1220" s="10" t="str">
        <x:v>USER-02-0169</x:v>
      </x:c>
      <x:c r="C1220" s="10" t="str">
        <x:v>首页与福利</x:v>
      </x:c>
      <x:c r="D1220" s="10" t="str">
        <x:v>充值福利（普通用户视角）</x:v>
      </x:c>
      <x:c r="E1220" s="10" t="str">
        <x:v>功能需求</x:v>
      </x:c>
      <x:c r="F1220" s="10" t="str">
        <x:v>P2</x:v>
      </x:c>
      <x:c r="G1220" s="9" t="str">
        <x:v>验证任务配置展示：任务名称</x:v>
      </x:c>
      <x:c r="H1220" s="9" t="str">
        <x:v>任务名称</x:v>
      </x:c>
      <x:c r="I1220" s="9" t="str">
        <x:v>1. 执行角色为普通用户；当前处于充值福利页面
2. 配置任务QA观看：目标10分钟、当前5分钟、奖励20金币</x:v>
      </x:c>
      <x:c r="J1220" s="9" t="str">
        <x:v>1. 查看QA观看任务</x:v>
      </x:c>
      <x:c r="K1220" s="9" t="str">
        <x:v>显示QA观看</x:v>
      </x:c>
      <x:c r="L1220" s="10" t="str"/>
      <x:c r="M1220" s="10" t="str">
        <x:v>未测</x:v>
      </x:c>
      <x:c r="N1220" s="10" t="str"/>
      <x:c r="O1220" s="9" t="str">
        <x:v>1. 来源（当前证据）：liveshow-proto/MainBasis/统一需求文档.md；位置：行602、行617、行595
2. 规则：BR-c0c01698fc5efd08
3. 未动态验证</x:v>
      </x:c>
    </x:row>
    <x:row r="1221" ht="85" customHeight="1">
      <x:c r="A1221" s="10" t="n">
        <x:v>1220</x:v>
      </x:c>
      <x:c r="B1221" s="10" t="str">
        <x:v>USER-02-0170</x:v>
      </x:c>
      <x:c r="C1221" s="10" t="str">
        <x:v>首页与福利</x:v>
      </x:c>
      <x:c r="D1221" s="10" t="str">
        <x:v>充值福利（普通用户视角）</x:v>
      </x:c>
      <x:c r="E1221" s="10" t="str">
        <x:v>功能需求</x:v>
      </x:c>
      <x:c r="F1221" s="10" t="str">
        <x:v>P1</x:v>
      </x:c>
      <x:c r="G1221" s="9" t="str">
        <x:v>验证任务配置展示：当前任务进度</x:v>
      </x:c>
      <x:c r="H1221" s="9" t="str">
        <x:v>当前任务进度</x:v>
      </x:c>
      <x:c r="I1221" s="9" t="str">
        <x:v>1. 执行角色为普通用户；当前处于充值福利页面
2. 配置任务QA观看：目标10分钟、当前5分钟、奖励20金币</x:v>
      </x:c>
      <x:c r="J1221" s="9" t="str">
        <x:v>1. 查看QA观看任务</x:v>
      </x:c>
      <x:c r="K1221" s="9" t="str">
        <x:v>显示当前5分钟</x:v>
      </x:c>
      <x:c r="L1221" s="10" t="str"/>
      <x:c r="M1221" s="10" t="str">
        <x:v>未测</x:v>
      </x:c>
      <x:c r="N1221" s="10" t="str"/>
      <x:c r="O1221" s="9" t="str">
        <x:v>1. 来源（当前证据）：liveshow-proto/MainBasis/统一需求文档.md；位置：行602、行617、行595
2. 规则：BR-3d5bbd96177da850
3. 未动态验证</x:v>
      </x:c>
    </x:row>
    <x:row r="1222" ht="85" customHeight="1">
      <x:c r="A1222" s="10" t="n">
        <x:v>1221</x:v>
      </x:c>
      <x:c r="B1222" s="10" t="str">
        <x:v>USER-02-0171</x:v>
      </x:c>
      <x:c r="C1222" s="10" t="str">
        <x:v>首页与福利</x:v>
      </x:c>
      <x:c r="D1222" s="10" t="str">
        <x:v>充值福利（普通用户视角）</x:v>
      </x:c>
      <x:c r="E1222" s="10" t="str">
        <x:v>功能需求</x:v>
      </x:c>
      <x:c r="F1222" s="10" t="str">
        <x:v>P1</x:v>
      </x:c>
      <x:c r="G1222" s="9" t="str">
        <x:v>验证任务配置展示：任务目标</x:v>
      </x:c>
      <x:c r="H1222" s="9" t="str">
        <x:v>任务目标</x:v>
      </x:c>
      <x:c r="I1222" s="9" t="str">
        <x:v>1. 执行角色为普通用户；当前处于充值福利页面
2. 配置任务QA观看：目标10分钟、当前5分钟、奖励20金币</x:v>
      </x:c>
      <x:c r="J1222" s="9" t="str">
        <x:v>1. 查看QA观看任务</x:v>
      </x:c>
      <x:c r="K1222" s="9" t="str">
        <x:v>显示目标10分钟</x:v>
      </x:c>
      <x:c r="L1222" s="10" t="str"/>
      <x:c r="M1222" s="10" t="str">
        <x:v>未测</x:v>
      </x:c>
      <x:c r="N1222" s="10" t="str"/>
      <x:c r="O1222" s="9" t="str">
        <x:v>1. 来源（当前证据）：liveshow-proto/MainBasis/统一需求文档.md；位置：行602、行617、行595
2. 规则：BR-6d727ff1bf757f0a
3. 未动态验证</x:v>
      </x:c>
    </x:row>
    <x:row r="1223" ht="85" customHeight="1">
      <x:c r="A1223" s="10" t="n">
        <x:v>1222</x:v>
      </x:c>
      <x:c r="B1223" s="10" t="str">
        <x:v>USER-02-0172</x:v>
      </x:c>
      <x:c r="C1223" s="10" t="str">
        <x:v>首页与福利</x:v>
      </x:c>
      <x:c r="D1223" s="10" t="str">
        <x:v>充值福利（普通用户视角）</x:v>
      </x:c>
      <x:c r="E1223" s="10" t="str">
        <x:v>功能需求</x:v>
      </x:c>
      <x:c r="F1223" s="10" t="str">
        <x:v>P1</x:v>
      </x:c>
      <x:c r="G1223" s="9" t="str">
        <x:v>验证任务配置展示：任务奖励</x:v>
      </x:c>
      <x:c r="H1223" s="9" t="str">
        <x:v>任务奖励</x:v>
      </x:c>
      <x:c r="I1223" s="9" t="str">
        <x:v>1. 执行角色为普通用户；当前处于充值福利页面
2. 配置任务QA观看：目标10分钟、当前5分钟、奖励20金币</x:v>
      </x:c>
      <x:c r="J1223" s="9" t="str">
        <x:v>1. 查看QA观看任务</x:v>
      </x:c>
      <x:c r="K1223" s="9" t="str">
        <x:v>显示奖励20金币</x:v>
      </x:c>
      <x:c r="L1223" s="10" t="str"/>
      <x:c r="M1223" s="10" t="str">
        <x:v>未测</x:v>
      </x:c>
      <x:c r="N1223" s="10" t="str"/>
      <x:c r="O1223" s="9" t="str">
        <x:v>1. 来源（当前证据）：liveshow-proto/MainBasis/统一需求文档.md；位置：行602、行617、行595
2. 规则：BR-5141377a9f2f4765
3. 未动态验证</x:v>
      </x:c>
    </x:row>
    <x:row r="1224" ht="85" customHeight="1">
      <x:c r="A1224" s="10" t="n">
        <x:v>1223</x:v>
      </x:c>
      <x:c r="B1224" s="10" t="str">
        <x:v>USER-02-0173</x:v>
      </x:c>
      <x:c r="C1224" s="10" t="str">
        <x:v>首页与福利</x:v>
      </x:c>
      <x:c r="D1224" s="10" t="str">
        <x:v>充值福利（普通用户视角）</x:v>
      </x:c>
      <x:c r="E1224" s="10" t="str">
        <x:v>功能需求</x:v>
      </x:c>
      <x:c r="F1224" s="10" t="str">
        <x:v>P1</x:v>
      </x:c>
      <x:c r="G1224" s="9" t="str">
        <x:v>验证邀请卡片奖励配置</x:v>
      </x:c>
      <x:c r="H1224" s="9" t="str">
        <x:v>资产数值</x:v>
      </x:c>
      <x:c r="I1224" s="9" t="str">
        <x:v>1. 执行角色为普通用户；当前处于充值福利页面
2. 当前每位有效邀请奖励配置为20金币</x:v>
      </x:c>
      <x:c r="J1224" s="9" t="str">
        <x:v>1. 查看邀请好友卡片</x:v>
      </x:c>
      <x:c r="K1224" s="9" t="str">
        <x:v>显示每位有效邀请奖励20金币</x:v>
      </x:c>
      <x:c r="L1224" s="10" t="str"/>
      <x:c r="M1224" s="10" t="str">
        <x:v>未测</x:v>
      </x:c>
      <x:c r="N1224" s="10" t="str"/>
      <x:c r="O1224" s="9" t="str">
        <x:v>1. 来源（当前证据）：liveshow-proto/MainBasis/统一需求文档.md；位置：行605、行595
2. 规则：BR-fb68e7b5cf3cdca2
3. 未动态验证</x:v>
      </x:c>
    </x:row>
    <x:row r="1225" ht="85" customHeight="1">
      <x:c r="A1225" s="10" t="n">
        <x:v>1224</x:v>
      </x:c>
      <x:c r="B1225" s="10" t="str">
        <x:v>USER-04-0138</x:v>
      </x:c>
      <x:c r="C1225" s="10" t="str">
        <x:v>消息与社交</x:v>
      </x:c>
      <x:c r="D1225" s="10" t="str">
        <x:v>消息（普通用户视角）</x:v>
      </x:c>
      <x:c r="E1225" s="10" t="str">
        <x:v>功能需求</x:v>
      </x:c>
      <x:c r="F1225" s="10" t="str">
        <x:v>P2</x:v>
      </x:c>
      <x:c r="G1225" s="9" t="str">
        <x:v>验证消息分类入口：消息分类集合</x:v>
      </x:c>
      <x:c r="H1225" s="9" t="str">
        <x:v>消息分类集合</x:v>
      </x:c>
      <x:c r="I1225" s="9" t="str">
        <x:v>1. 执行角色为普通用户；当前处于消息页面
2. 当前账号存在各类消息</x:v>
      </x:c>
      <x:c r="J1225" s="9" t="str">
        <x:v>1. 查看消息分类</x:v>
      </x:c>
      <x:c r="K1225" s="9" t="str">
        <x:v>可见入口集合为系统通知、互动通知、私信、粉丝团群聊</x:v>
      </x:c>
      <x:c r="L1225" s="10" t="str"/>
      <x:c r="M1225" s="10" t="str">
        <x:v>未测</x:v>
      </x:c>
      <x:c r="N1225" s="10" t="str"/>
      <x:c r="O1225" s="9" t="str">
        <x:v>1. 来源（当前证据）：liveshow-proto/MainBasis/统一需求文档.md；位置：行658、行654
2. 规则：BR-8b0a5412243c84de
3. 未动态验证</x:v>
      </x:c>
    </x:row>
    <x:row r="1226" ht="85" customHeight="1">
      <x:c r="A1226" s="10" t="n">
        <x:v>1225</x:v>
      </x:c>
      <x:c r="B1226" s="10" t="str">
        <x:v>USER-04-0139</x:v>
      </x:c>
      <x:c r="C1226" s="10" t="str">
        <x:v>消息与社交</x:v>
      </x:c>
      <x:c r="D1226" s="10" t="str">
        <x:v>系统通知（普通用户视角）</x:v>
      </x:c>
      <x:c r="E1226" s="10" t="str">
        <x:v>功能需求</x:v>
      </x:c>
      <x:c r="F1226" s="10" t="str">
        <x:v>P2</x:v>
      </x:c>
      <x:c r="G1226" s="9" t="str">
        <x:v>验证系统通知类型</x:v>
      </x:c>
      <x:c r="H1226" s="9" t="str">
        <x:v>系统通知类型内容</x:v>
      </x:c>
      <x:c r="I1226" s="9" t="str">
        <x:v>1. 执行角色为普通用户；当前处于系统通知页面
2. 已向本账号发送公会关系、主播身份、直播权限、平台系统四类通知</x:v>
      </x:c>
      <x:c r="J1226" s="9" t="str">
        <x:v>1. 查看系统通知列表</x:v>
      </x:c>
      <x:c r="K1226" s="9" t="str">
        <x:v>显示四类通知各自对应的内容</x:v>
      </x:c>
      <x:c r="L1226" s="10" t="str"/>
      <x:c r="M1226" s="10" t="str">
        <x:v>未测</x:v>
      </x:c>
      <x:c r="N1226" s="10" t="str"/>
      <x:c r="O1226" s="9" t="str">
        <x:v>1. 来源（当前证据）：liveshow-proto/MainBasis/统一需求文档.md；位置：行669、行667
2. 规则：BR-7e85f9ef1f7ca574
3. 未动态验证</x:v>
      </x:c>
    </x:row>
    <x:row r="1227" ht="85" customHeight="1">
      <x:c r="A1227" s="10" t="n">
        <x:v>1226</x:v>
      </x:c>
      <x:c r="B1227" s="10" t="str">
        <x:v>USER-04-0140</x:v>
      </x:c>
      <x:c r="C1227" s="10" t="str">
        <x:v>消息与社交</x:v>
      </x:c>
      <x:c r="D1227" s="10" t="str">
        <x:v>粉丝列表（普通用户视角）</x:v>
      </x:c>
      <x:c r="E1227" s="10" t="str">
        <x:v>功能需求</x:v>
      </x:c>
      <x:c r="F1227" s="10" t="str">
        <x:v>P2</x:v>
      </x:c>
      <x:c r="G1227" s="9" t="str">
        <x:v>验证粉丝当前资料：粉丝头像</x:v>
      </x:c>
      <x:c r="H1227" s="9" t="str">
        <x:v>粉丝头像</x:v>
      </x:c>
      <x:c r="I1227" s="9" t="str">
        <x:v>1. 执行角色为普通用户；当前处于粉丝列表页面
2. A当前关注我，昵称QA粉丝并已上传头像</x:v>
      </x:c>
      <x:c r="J1227" s="9" t="str">
        <x:v>1. 查看A用户行</x:v>
      </x:c>
      <x:c r="K1227" s="9" t="str">
        <x:v>显示A当前头像</x:v>
      </x:c>
      <x:c r="L1227" s="10" t="str"/>
      <x:c r="M1227" s="10" t="str">
        <x:v>未测</x:v>
      </x:c>
      <x:c r="N1227" s="10" t="str"/>
      <x:c r="O1227" s="9" t="str">
        <x:v>1. 来源（当前证据）：liveshow-proto/MainBasis/统一需求文档.md；位置：行711、行708
2. 规则：BR-049e1e45ba09e619
3. 未动态验证</x:v>
      </x:c>
    </x:row>
    <x:row r="1228" ht="85" customHeight="1">
      <x:c r="A1228" s="10" t="n">
        <x:v>1227</x:v>
      </x:c>
      <x:c r="B1228" s="10" t="str">
        <x:v>USER-04-0141</x:v>
      </x:c>
      <x:c r="C1228" s="10" t="str">
        <x:v>消息与社交</x:v>
      </x:c>
      <x:c r="D1228" s="10" t="str">
        <x:v>粉丝列表（普通用户视角）</x:v>
      </x:c>
      <x:c r="E1228" s="10" t="str">
        <x:v>功能需求</x:v>
      </x:c>
      <x:c r="F1228" s="10" t="str">
        <x:v>P2</x:v>
      </x:c>
      <x:c r="G1228" s="9" t="str">
        <x:v>验证粉丝当前资料：粉丝昵称</x:v>
      </x:c>
      <x:c r="H1228" s="9" t="str">
        <x:v>粉丝昵称</x:v>
      </x:c>
      <x:c r="I1228" s="9" t="str">
        <x:v>1. 执行角色为普通用户；当前处于粉丝列表页面
2. A当前关注我，昵称QA粉丝并已上传头像</x:v>
      </x:c>
      <x:c r="J1228" s="9" t="str">
        <x:v>1. 查看A用户行</x:v>
      </x:c>
      <x:c r="K1228" s="9" t="str">
        <x:v>显示昵称QA粉丝</x:v>
      </x:c>
      <x:c r="L1228" s="10" t="str"/>
      <x:c r="M1228" s="10" t="str">
        <x:v>未测</x:v>
      </x:c>
      <x:c r="N1228" s="10" t="str"/>
      <x:c r="O1228" s="9" t="str">
        <x:v>1. 来源（当前证据）：liveshow-proto/MainBasis/统一需求文档.md；位置：行711、行708
2. 规则：BR-d21355b35efb7d4d
3. 未动态验证</x:v>
      </x:c>
    </x:row>
    <x:row r="1229" ht="85" customHeight="1">
      <x:c r="A1229" s="10" t="n">
        <x:v>1228</x:v>
      </x:c>
      <x:c r="B1229" s="10" t="str">
        <x:v>USER-04-0142</x:v>
      </x:c>
      <x:c r="C1229" s="10" t="str">
        <x:v>消息与社交</x:v>
      </x:c>
      <x:c r="D1229" s="10" t="str">
        <x:v>粉丝列表（普通用户视角）</x:v>
      </x:c>
      <x:c r="E1229" s="10" t="str">
        <x:v>功能需求</x:v>
      </x:c>
      <x:c r="F1229" s="10" t="str">
        <x:v>P2</x:v>
      </x:c>
      <x:c r="G1229" s="9" t="str">
        <x:v>验证粉丝财富等级</x:v>
      </x:c>
      <x:c r="H1229" s="9" t="str">
        <x:v>粉丝财富等级值</x:v>
      </x:c>
      <x:c r="I1229" s="9" t="str">
        <x:v>1. 执行角色为普通用户；当前处于粉丝列表页面
2. A当前财富5级</x:v>
      </x:c>
      <x:c r="J1229" s="9" t="str">
        <x:v>1. 查看A用户行</x:v>
      </x:c>
      <x:c r="K1229" s="9" t="str">
        <x:v>显示A财富等级5</x:v>
      </x:c>
      <x:c r="L1229" s="10" t="str"/>
      <x:c r="M1229" s="10" t="str">
        <x:v>未测</x:v>
      </x:c>
      <x:c r="N1229" s="10" t="str"/>
      <x:c r="O1229" s="9" t="str">
        <x:v>1. 来源（当前证据）：liveshow-proto/MainBasis/统一需求文档.md；位置：行712、行708
2. 规则：BR-7536fb7f29e200e9
3. 未动态验证</x:v>
      </x:c>
    </x:row>
    <x:row r="1230" ht="85" customHeight="1">
      <x:c r="A1230" s="10" t="n">
        <x:v>1229</x:v>
      </x:c>
      <x:c r="B1230" s="10" t="str">
        <x:v>USER-04-0143</x:v>
      </x:c>
      <x:c r="C1230" s="10" t="str">
        <x:v>消息与社交</x:v>
      </x:c>
      <x:c r="D1230" s="10" t="str">
        <x:v>粉丝列表（普通用户视角）</x:v>
      </x:c>
      <x:c r="E1230" s="10" t="str">
        <x:v>功能需求</x:v>
      </x:c>
      <x:c r="F1230" s="10" t="str">
        <x:v>P2</x:v>
      </x:c>
      <x:c r="G1230" s="9" t="str">
        <x:v>验证粉丝当前勋章</x:v>
      </x:c>
      <x:c r="H1230" s="9" t="str">
        <x:v>粉丝当前佩戴勋章</x:v>
      </x:c>
      <x:c r="I1230" s="9" t="str">
        <x:v>1. 执行角色为普通用户；当前处于粉丝列表页面
2. A当前已佩戴勋章M</x:v>
      </x:c>
      <x:c r="J1230" s="9" t="str">
        <x:v>1. 查看A用户行</x:v>
      </x:c>
      <x:c r="K1230" s="9" t="str">
        <x:v>显示A当前勋章M</x:v>
      </x:c>
      <x:c r="L1230" s="10" t="str"/>
      <x:c r="M1230" s="10" t="str">
        <x:v>未测</x:v>
      </x:c>
      <x:c r="N1230" s="10" t="str"/>
      <x:c r="O1230" s="9" t="str">
        <x:v>1. 来源（当前证据）：liveshow-proto/MainBasis/统一需求文档.md；位置：行713、行708
2. 规则：BR-d2b461d12fdcde77
3. 未动态验证</x:v>
      </x:c>
    </x:row>
    <x:row r="1231" ht="85" customHeight="1">
      <x:c r="A1231" s="10" t="n">
        <x:v>1230</x:v>
      </x:c>
      <x:c r="B1231" s="10" t="str">
        <x:v>USER-05-0230</x:v>
      </x:c>
      <x:c r="C1231" s="10" t="str">
        <x:v>我的</x:v>
      </x:c>
      <x:c r="D1231" s="10" t="str">
        <x:v>我的关注（普通用户视角）</x:v>
      </x:c>
      <x:c r="E1231" s="10" t="str">
        <x:v>功能需求</x:v>
      </x:c>
      <x:c r="F1231" s="10" t="str">
        <x:v>P2</x:v>
      </x:c>
      <x:c r="G1231" s="9" t="str">
        <x:v>验证关注账号资料：关注头像</x:v>
      </x:c>
      <x:c r="H1231" s="9" t="str">
        <x:v>关注头像</x:v>
      </x:c>
      <x:c r="I1231" s="9" t="str">
        <x:v>1. 执行角色为普通用户；当前处于我的关注页面
2. A已被当前用户关注，昵称QA关注、头像有效，当前在播</x:v>
      </x:c>
      <x:c r="J1231" s="9" t="str">
        <x:v>1. 查看A用户行</x:v>
      </x:c>
      <x:c r="K1231" s="9" t="str">
        <x:v>显示A当前头像</x:v>
      </x:c>
      <x:c r="L1231" s="10" t="str"/>
      <x:c r="M1231" s="10" t="str">
        <x:v>未测</x:v>
      </x:c>
      <x:c r="N1231" s="10" t="str"/>
      <x:c r="O1231" s="9" t="str">
        <x:v>1. 来源（当前证据）：liveshow-proto/MainBasis/统一需求文档.md；位置：行722、行719
2. 规则：BR-b196f622c743e718
3. 未动态验证</x:v>
      </x:c>
    </x:row>
    <x:row r="1232" ht="85" customHeight="1">
      <x:c r="A1232" s="10" t="n">
        <x:v>1231</x:v>
      </x:c>
      <x:c r="B1232" s="10" t="str">
        <x:v>USER-05-0231</x:v>
      </x:c>
      <x:c r="C1232" s="10" t="str">
        <x:v>我的</x:v>
      </x:c>
      <x:c r="D1232" s="10" t="str">
        <x:v>我的关注（普通用户视角）</x:v>
      </x:c>
      <x:c r="E1232" s="10" t="str">
        <x:v>功能需求</x:v>
      </x:c>
      <x:c r="F1232" s="10" t="str">
        <x:v>P2</x:v>
      </x:c>
      <x:c r="G1232" s="9" t="str">
        <x:v>验证关注账号资料：关注昵称</x:v>
      </x:c>
      <x:c r="H1232" s="9" t="str">
        <x:v>关注昵称</x:v>
      </x:c>
      <x:c r="I1232" s="9" t="str">
        <x:v>1. 执行角色为普通用户；当前处于我的关注页面
2. A已被当前用户关注，昵称QA关注、头像有效，当前在播</x:v>
      </x:c>
      <x:c r="J1232" s="9" t="str">
        <x:v>1. 查看A用户行</x:v>
      </x:c>
      <x:c r="K1232" s="9" t="str">
        <x:v>显示昵称QA关注</x:v>
      </x:c>
      <x:c r="L1232" s="10" t="str"/>
      <x:c r="M1232" s="10" t="str">
        <x:v>未测</x:v>
      </x:c>
      <x:c r="N1232" s="10" t="str"/>
      <x:c r="O1232" s="9" t="str">
        <x:v>1. 来源（当前证据）：liveshow-proto/MainBasis/统一需求文档.md；位置：行722、行719
2. 规则：BR-f92da7506d7cb17e
3. 未动态验证</x:v>
      </x:c>
    </x:row>
    <x:row r="1233" ht="85" customHeight="1">
      <x:c r="A1233" s="10" t="n">
        <x:v>1232</x:v>
      </x:c>
      <x:c r="B1233" s="10" t="str">
        <x:v>USER-05-0232</x:v>
      </x:c>
      <x:c r="C1233" s="10" t="str">
        <x:v>我的</x:v>
      </x:c>
      <x:c r="D1233" s="10" t="str">
        <x:v>我的关注（普通用户视角）</x:v>
      </x:c>
      <x:c r="E1233" s="10" t="str">
        <x:v>功能需求</x:v>
      </x:c>
      <x:c r="F1233" s="10" t="str">
        <x:v>P2</x:v>
      </x:c>
      <x:c r="G1233" s="9" t="str">
        <x:v>验证关注账号资料：关注直播状态</x:v>
      </x:c>
      <x:c r="H1233" s="9" t="str">
        <x:v>关注直播状态</x:v>
      </x:c>
      <x:c r="I1233" s="9" t="str">
        <x:v>1. 执行角色为普通用户；当前处于我的关注页面
2. A已被当前用户关注，昵称QA关注、头像有效，当前在播</x:v>
      </x:c>
      <x:c r="J1233" s="9" t="str">
        <x:v>1. 查看A用户行</x:v>
      </x:c>
      <x:c r="K1233" s="9" t="str">
        <x:v>显示A在播</x:v>
      </x:c>
      <x:c r="L1233" s="10" t="str"/>
      <x:c r="M1233" s="10" t="str">
        <x:v>未测</x:v>
      </x:c>
      <x:c r="N1233" s="10" t="str"/>
      <x:c r="O1233" s="9" t="str">
        <x:v>1. 来源（当前证据）：liveshow-proto/MainBasis/统一需求文档.md；位置：行722、行719
2. 规则：BR-d97f395123d001ed
3. 未动态验证</x:v>
      </x:c>
    </x:row>
    <x:row r="1234" ht="85" customHeight="1">
      <x:c r="A1234" s="10" t="n">
        <x:v>1233</x:v>
      </x:c>
      <x:c r="B1234" s="10" t="str">
        <x:v>USER-05-0233</x:v>
      </x:c>
      <x:c r="C1234" s="10" t="str">
        <x:v>我的</x:v>
      </x:c>
      <x:c r="D1234" s="10" t="str">
        <x:v>我的装扮（普通用户视角）</x:v>
      </x:c>
      <x:c r="E1234" s="10" t="str">
        <x:v>功能需求</x:v>
      </x:c>
      <x:c r="F1234" s="10" t="str">
        <x:v>P2</x:v>
      </x:c>
      <x:c r="G1234" s="9" t="str">
        <x:v>验证本人装扮资料</x:v>
      </x:c>
      <x:c r="H1234" s="9" t="str">
        <x:v>本人装扮资料回显</x:v>
      </x:c>
      <x:c r="I1234" s="9" t="str">
        <x:v>1. 执行角色为普通用户；当前处于我的装扮页面
2. 当前账号已佩戴勋章M且上传头像P</x:v>
      </x:c>
      <x:c r="J1234" s="9" t="str">
        <x:v>1. 查看当前头像和勋章</x:v>
      </x:c>
      <x:c r="K1234" s="9" t="str">
        <x:v>显示头像P及已佩戴勋章M</x:v>
      </x:c>
      <x:c r="L1234" s="10" t="str"/>
      <x:c r="M1234" s="10" t="str">
        <x:v>未测</x:v>
      </x:c>
      <x:c r="N1234" s="10" t="str"/>
      <x:c r="O1234" s="9" t="str">
        <x:v>1. 来源（当前证据）：liveshow-proto/MainBasis/统一需求文档.md；位置：行731、行729
2. 规则：BR-e736deedde094955
3. 未动态验证</x:v>
      </x:c>
    </x:row>
    <x:row r="1235" ht="85" customHeight="1">
      <x:c r="A1235" s="10" t="n">
        <x:v>1234</x:v>
      </x:c>
      <x:c r="B1235" s="10" t="str">
        <x:v>USER-05-0234</x:v>
      </x:c>
      <x:c r="C1235" s="10" t="str">
        <x:v>我的</x:v>
      </x:c>
      <x:c r="D1235" s="10" t="str">
        <x:v>我的装扮（普通用户视角）</x:v>
      </x:c>
      <x:c r="E1235" s="10" t="str">
        <x:v>功能需求</x:v>
      </x:c>
      <x:c r="F1235" s="10" t="str">
        <x:v>P2</x:v>
      </x:c>
      <x:c r="G1235" s="9" t="str">
        <x:v>验证装扮分类：装扮分类集合</x:v>
      </x:c>
      <x:c r="H1235" s="9" t="str">
        <x:v>装扮分类集合</x:v>
      </x:c>
      <x:c r="I1235" s="9" t="str">
        <x:v>1. 执行角色为普通用户；当前处于我的装扮页面
2. 已进入我的装扮</x:v>
      </x:c>
      <x:c r="J1235" s="9" t="str">
        <x:v>1. 查看分类入口</x:v>
      </x:c>
      <x:c r="K1235" s="9" t="str">
        <x:v>分类集合为已拥有、装扮商城</x:v>
      </x:c>
      <x:c r="L1235" s="10" t="str"/>
      <x:c r="M1235" s="10" t="str">
        <x:v>未测</x:v>
      </x:c>
      <x:c r="N1235" s="10" t="str"/>
      <x:c r="O1235" s="9" t="str">
        <x:v>1. 来源（当前证据）：liveshow-proto/MainBasis/统一需求文档.md；位置：行732、行729
2. 规则：BR-7921d6c0b34edf9a
3. 未动态验证</x:v>
      </x:c>
    </x:row>
    <x:row r="1236" ht="85" customHeight="1">
      <x:c r="A1236" s="10" t="n">
        <x:v>1235</x:v>
      </x:c>
      <x:c r="B1236" s="10" t="str">
        <x:v>USER-03-0274</x:v>
      </x:c>
      <x:c r="C1236" s="10" t="str">
        <x:v>直播</x:v>
      </x:c>
      <x:c r="D1236" s="10" t="str">
        <x:v>直播间（主播）（本场主播视角）</x:v>
      </x:c>
      <x:c r="E1236" s="10" t="str">
        <x:v>功能需求</x:v>
      </x:c>
      <x:c r="F1236" s="10" t="str">
        <x:v>P2</x:v>
      </x:c>
      <x:c r="G1236" s="9" t="str">
        <x:v>验证主播在线人数</x:v>
      </x:c>
      <x:c r="H1236" s="9" t="str">
        <x:v>主播视角在线人数</x:v>
      </x:c>
      <x:c r="I1236" s="9" t="str">
        <x:v>1. 执行角色为本场主播；当前处于直播间（主播）页面
2. 本场当前在线观众为7人</x:v>
      </x:c>
      <x:c r="J1236" s="9" t="str">
        <x:v>1. 查看直播在线人数</x:v>
      </x:c>
      <x:c r="K1236" s="9" t="str">
        <x:v>显示当前在线人数7</x:v>
      </x:c>
      <x:c r="L1236" s="10" t="str"/>
      <x:c r="M1236" s="10" t="str">
        <x:v>未测</x:v>
      </x:c>
      <x:c r="N1236" s="10" t="str"/>
      <x:c r="O1236" s="9" t="str">
        <x:v>1. 来源（当前证据）：liveshow-proto/MainBasis/统一需求文档.md；位置：行799、行797
2. 规则：BR-e229120be50e2a97
3. 未动态验证</x:v>
      </x:c>
    </x:row>
    <x:row r="1237" ht="85" customHeight="1">
      <x:c r="A1237" s="10" t="n">
        <x:v>1236</x:v>
      </x:c>
      <x:c r="B1237" s="10" t="str">
        <x:v>USER-03-0275</x:v>
      </x:c>
      <x:c r="C1237" s="10" t="str">
        <x:v>直播</x:v>
      </x:c>
      <x:c r="D1237" s="10" t="str">
        <x:v>直播间（主播）（本场主播视角）</x:v>
      </x:c>
      <x:c r="E1237" s="10" t="str">
        <x:v>功能需求</x:v>
      </x:c>
      <x:c r="F1237" s="10" t="str">
        <x:v>P2</x:v>
      </x:c>
      <x:c r="G1237" s="9" t="str">
        <x:v>验证公屏消息类型</x:v>
      </x:c>
      <x:c r="H1237" s="9" t="str">
        <x:v>公屏消息分类内容</x:v>
      </x:c>
      <x:c r="I1237" s="9" t="str">
        <x:v>1. 执行角色为本场主播；当前处于直播间（主播）页面
2. 本场存在评论、进房、成功赠礼、系统消息</x:v>
      </x:c>
      <x:c r="J1237" s="9" t="str">
        <x:v>1. 查看公屏</x:v>
      </x:c>
      <x:c r="K1237" s="9" t="str">
        <x:v>显示对应四类消息内容</x:v>
      </x:c>
      <x:c r="L1237" s="10" t="str"/>
      <x:c r="M1237" s="10" t="str">
        <x:v>未测</x:v>
      </x:c>
      <x:c r="N1237" s="10" t="str"/>
      <x:c r="O1237" s="9" t="str">
        <x:v>1. 来源（当前证据）：liveshow-proto/MainBasis/统一需求文档.md；位置：行802、行797
2. 规则：BR-11df49b2b475fc53
3. 未动态验证</x:v>
      </x:c>
    </x:row>
    <x:row r="1238" ht="85" customHeight="1">
      <x:c r="A1238" s="10" t="n">
        <x:v>1237</x:v>
      </x:c>
      <x:c r="B1238" s="10" t="str">
        <x:v>USER-03-0276</x:v>
      </x:c>
      <x:c r="C1238" s="10" t="str">
        <x:v>直播</x:v>
      </x:c>
      <x:c r="D1238" s="10" t="str">
        <x:v>直播结束页（观众）（普通观众视角）</x:v>
      </x:c>
      <x:c r="E1238" s="10" t="str">
        <x:v>功能需求</x:v>
      </x:c>
      <x:c r="F1238" s="10" t="str">
        <x:v>P2</x:v>
      </x:c>
      <x:c r="G1238" s="9" t="str">
        <x:v>验证结束页提示</x:v>
      </x:c>
      <x:c r="H1238" s="9" t="str">
        <x:v>直播结束整理提示</x:v>
      </x:c>
      <x:c r="I1238" s="9" t="str">
        <x:v>1. 执行角色为普通观众；当前处于直播结束页（观众）页面
2. 对应场次刚结束且主播未新开播</x:v>
      </x:c>
      <x:c r="J1238" s="9" t="str">
        <x:v>1. 查看结束页提示</x:v>
      </x:c>
      <x:c r="K1238" s="9" t="str">
        <x:v>显示主播正在整理本场内容</x:v>
      </x:c>
      <x:c r="L1238" s="10" t="str"/>
      <x:c r="M1238" s="10" t="str">
        <x:v>未测</x:v>
      </x:c>
      <x:c r="N1238" s="10" t="str"/>
      <x:c r="O1238" s="9" t="str">
        <x:v>1. 来源（当前证据）：liveshow-proto/MainBasis/统一需求文档.md；位置：行839、行836
2. 规则：BR-7089909b4bc87716
3. 未动态验证</x:v>
      </x:c>
    </x:row>
    <x:row r="1239" ht="85" customHeight="1">
      <x:c r="A1239" s="10" t="n">
        <x:v>1238</x:v>
      </x:c>
      <x:c r="B1239" s="10" t="str">
        <x:v>USER-04-0144</x:v>
      </x:c>
      <x:c r="C1239" s="10" t="str">
        <x:v>消息与社交</x:v>
      </x:c>
      <x:c r="D1239" s="10" t="str">
        <x:v>好友列表（普通用户视角）</x:v>
      </x:c>
      <x:c r="E1239" s="10" t="str">
        <x:v>功能需求</x:v>
      </x:c>
      <x:c r="F1239" s="10" t="str">
        <x:v>P2</x:v>
      </x:c>
      <x:c r="G1239" s="9" t="str">
        <x:v>验证好友当前资料：好友头像</x:v>
      </x:c>
      <x:c r="H1239" s="9" t="str">
        <x:v>好友头像</x:v>
      </x:c>
      <x:c r="I1239" s="9" t="str">
        <x:v>1. 执行角色为普通用户；当前处于好友列表页面
2. A是当前好友，昵称QA好友、头像已上传</x:v>
      </x:c>
      <x:c r="J1239" s="9" t="str">
        <x:v>1. 查看A用户行</x:v>
      </x:c>
      <x:c r="K1239" s="9" t="str">
        <x:v>显示A当前头像</x:v>
      </x:c>
      <x:c r="L1239" s="10" t="str"/>
      <x:c r="M1239" s="10" t="str">
        <x:v>未测</x:v>
      </x:c>
      <x:c r="N1239" s="10" t="str"/>
      <x:c r="O1239" s="9" t="str">
        <x:v>1. 来源（当前证据）：liveshow-proto/MainBasis/统一需求文档.md；位置：行858、行855
2. 规则：BR-c3ff6e1cc1ab9f88
3. 未动态验证</x:v>
      </x:c>
    </x:row>
    <x:row r="1240" ht="85" customHeight="1">
      <x:c r="A1240" s="10" t="n">
        <x:v>1239</x:v>
      </x:c>
      <x:c r="B1240" s="10" t="str">
        <x:v>USER-04-0145</x:v>
      </x:c>
      <x:c r="C1240" s="10" t="str">
        <x:v>消息与社交</x:v>
      </x:c>
      <x:c r="D1240" s="10" t="str">
        <x:v>好友列表（普通用户视角）</x:v>
      </x:c>
      <x:c r="E1240" s="10" t="str">
        <x:v>功能需求</x:v>
      </x:c>
      <x:c r="F1240" s="10" t="str">
        <x:v>P2</x:v>
      </x:c>
      <x:c r="G1240" s="9" t="str">
        <x:v>验证好友当前资料：好友昵称</x:v>
      </x:c>
      <x:c r="H1240" s="9" t="str">
        <x:v>好友昵称</x:v>
      </x:c>
      <x:c r="I1240" s="9" t="str">
        <x:v>1. 执行角色为普通用户；当前处于好友列表页面
2. A是当前好友，昵称QA好友、头像已上传</x:v>
      </x:c>
      <x:c r="J1240" s="9" t="str">
        <x:v>1. 查看A用户行</x:v>
      </x:c>
      <x:c r="K1240" s="9" t="str">
        <x:v>显示昵称QA好友</x:v>
      </x:c>
      <x:c r="L1240" s="10" t="str"/>
      <x:c r="M1240" s="10" t="str">
        <x:v>未测</x:v>
      </x:c>
      <x:c r="N1240" s="10" t="str"/>
      <x:c r="O1240" s="9" t="str">
        <x:v>1. 来源（当前证据）：liveshow-proto/MainBasis/统一需求文档.md；位置：行858、行855
2. 规则：BR-1fbdcc3eee1bffde
3. 未动态验证</x:v>
      </x:c>
    </x:row>
    <x:row r="1241" ht="85" customHeight="1">
      <x:c r="A1241" s="10" t="n">
        <x:v>1240</x:v>
      </x:c>
      <x:c r="B1241" s="10" t="str">
        <x:v>USER-04-0146</x:v>
      </x:c>
      <x:c r="C1241" s="10" t="str">
        <x:v>消息与社交</x:v>
      </x:c>
      <x:c r="D1241" s="10" t="str">
        <x:v>好友列表（普通用户视角）</x:v>
      </x:c>
      <x:c r="E1241" s="10" t="str">
        <x:v>功能需求</x:v>
      </x:c>
      <x:c r="F1241" s="10" t="str">
        <x:v>P2</x:v>
      </x:c>
      <x:c r="G1241" s="9" t="str">
        <x:v>验证好友财富等级</x:v>
      </x:c>
      <x:c r="H1241" s="9" t="str">
        <x:v>好友财富等级展示</x:v>
      </x:c>
      <x:c r="I1241" s="9" t="str">
        <x:v>1. 执行角色为普通用户；当前处于好友列表页面
2. A为当前好友、财富5级</x:v>
      </x:c>
      <x:c r="J1241" s="9" t="str">
        <x:v>1. 查看A用户行</x:v>
      </x:c>
      <x:c r="K1241" s="9" t="str">
        <x:v>显示A财富等级5</x:v>
      </x:c>
      <x:c r="L1241" s="10" t="str"/>
      <x:c r="M1241" s="10" t="str">
        <x:v>未测</x:v>
      </x:c>
      <x:c r="N1241" s="10" t="str"/>
      <x:c r="O1241" s="9" t="str">
        <x:v>1. 来源（当前证据）：liveshow-proto/MainBasis/统一需求文档.md；位置：行859、行855
2. 规则：BR-7cf970e75b382577
3. 未动态验证</x:v>
      </x:c>
    </x:row>
    <x:row r="1242" ht="85" customHeight="1">
      <x:c r="A1242" s="10" t="n">
        <x:v>1241</x:v>
      </x:c>
      <x:c r="B1242" s="10" t="str">
        <x:v>USER-04-0147</x:v>
      </x:c>
      <x:c r="C1242" s="10" t="str">
        <x:v>消息与社交</x:v>
      </x:c>
      <x:c r="D1242" s="10" t="str">
        <x:v>好友列表（普通用户视角）</x:v>
      </x:c>
      <x:c r="E1242" s="10" t="str">
        <x:v>功能需求</x:v>
      </x:c>
      <x:c r="F1242" s="10" t="str">
        <x:v>P2</x:v>
      </x:c>
      <x:c r="G1242" s="9" t="str">
        <x:v>验证好友当前勋章</x:v>
      </x:c>
      <x:c r="H1242" s="9" t="str">
        <x:v>好友勋章展示</x:v>
      </x:c>
      <x:c r="I1242" s="9" t="str">
        <x:v>1. 执行角色为普通用户；当前处于好友列表页面
2. A为当前好友、当前佩戴勋章M</x:v>
      </x:c>
      <x:c r="J1242" s="9" t="str">
        <x:v>1. 查看A用户行</x:v>
      </x:c>
      <x:c r="K1242" s="9" t="str">
        <x:v>显示A当前勋章M</x:v>
      </x:c>
      <x:c r="L1242" s="10" t="str"/>
      <x:c r="M1242" s="10" t="str">
        <x:v>未测</x:v>
      </x:c>
      <x:c r="N1242" s="10" t="str"/>
      <x:c r="O1242" s="9" t="str">
        <x:v>1. 来源（当前证据）：liveshow-proto/MainBasis/统一需求文档.md；位置：行860、行855
2. 规则：BR-16f277536997d300
3. 未动态验证</x:v>
      </x:c>
    </x:row>
    <x:row r="1243" ht="85" customHeight="1">
      <x:c r="A1243" s="10" t="n">
        <x:v>1242</x:v>
      </x:c>
      <x:c r="B1243" s="10" t="str">
        <x:v>USER-04-0148</x:v>
      </x:c>
      <x:c r="C1243" s="10" t="str">
        <x:v>消息与社交</x:v>
      </x:c>
      <x:c r="D1243" s="10" t="str">
        <x:v>互动通知（普通用户视角）</x:v>
      </x:c>
      <x:c r="E1243" s="10" t="str">
        <x:v>功能需求</x:v>
      </x:c>
      <x:c r="F1243" s="10" t="str">
        <x:v>P2</x:v>
      </x:c>
      <x:c r="G1243" s="9" t="str">
        <x:v>验证互动通知类型</x:v>
      </x:c>
      <x:c r="H1243" s="9" t="str">
        <x:v>互动通知类型内容</x:v>
      </x:c>
      <x:c r="I1243" s="9" t="str">
        <x:v>1. 执行角色为普通用户；当前处于互动通知页面
2. 当前账号已收到关注、好友申请、申请通过、申请拒绝通知</x:v>
      </x:c>
      <x:c r="J1243" s="9" t="str">
        <x:v>1. 查看互动通知列表</x:v>
      </x:c>
      <x:c r="K1243" s="9" t="str">
        <x:v>显示各条对应的关注或好友处理内容</x:v>
      </x:c>
      <x:c r="L1243" s="10" t="str"/>
      <x:c r="M1243" s="10" t="str">
        <x:v>未测</x:v>
      </x:c>
      <x:c r="N1243" s="10" t="str"/>
      <x:c r="O1243" s="9" t="str">
        <x:v>1. 来源（当前证据）：liveshow-proto/MainBasis/统一需求文档.md；位置：行873、行871
2. 规则：BR-3cb28184022693fd
3. 未动态验证</x:v>
      </x:c>
    </x:row>
    <x:row r="1244" ht="85" customHeight="1">
      <x:c r="A1244" s="10" t="n">
        <x:v>1243</x:v>
      </x:c>
      <x:c r="B1244" s="10" t="str">
        <x:v>USER-04-0149</x:v>
      </x:c>
      <x:c r="C1244" s="10" t="str">
        <x:v>消息与社交</x:v>
      </x:c>
      <x:c r="D1244" s="10" t="str">
        <x:v>粉丝团群聊（粉丝团成员视角）</x:v>
      </x:c>
      <x:c r="E1244" s="10" t="str">
        <x:v>功能需求</x:v>
      </x:c>
      <x:c r="F1244" s="10" t="str">
        <x:v>P2</x:v>
      </x:c>
      <x:c r="G1244" s="9" t="str">
        <x:v>验证群直播卡片快照：分享封面快照</x:v>
      </x:c>
      <x:c r="H1244" s="9" t="str">
        <x:v>分享封面快照</x:v>
      </x:c>
      <x:c r="I1244" s="9" t="str">
        <x:v>1. 执行角色为粉丝团成员；当前处于粉丝团群聊页面
2. 群内分享场次S，封面P、主题QA直播，S正在直播</x:v>
      </x:c>
      <x:c r="J1244" s="9" t="str">
        <x:v>1. 查看场次S直播卡片</x:v>
      </x:c>
      <x:c r="K1244" s="9" t="str">
        <x:v>显示封面P</x:v>
      </x:c>
      <x:c r="L1244" s="10" t="str"/>
      <x:c r="M1244" s="10" t="str">
        <x:v>未测</x:v>
      </x:c>
      <x:c r="N1244" s="10" t="str"/>
      <x:c r="O1244" s="9" t="str">
        <x:v>1. 来源（当前证据）：liveshow-proto/MainBasis/统一需求文档.md；位置：行900、行897
2. 规则：BR-479158a83c9fc0e7
3. 未动态验证</x:v>
      </x:c>
    </x:row>
    <x:row r="1245" ht="85" customHeight="1">
      <x:c r="A1245" s="10" t="n">
        <x:v>1244</x:v>
      </x:c>
      <x:c r="B1245" s="10" t="str">
        <x:v>USER-04-0150</x:v>
      </x:c>
      <x:c r="C1245" s="10" t="str">
        <x:v>消息与社交</x:v>
      </x:c>
      <x:c r="D1245" s="10" t="str">
        <x:v>粉丝团群聊（粉丝团成员视角）</x:v>
      </x:c>
      <x:c r="E1245" s="10" t="str">
        <x:v>功能需求</x:v>
      </x:c>
      <x:c r="F1245" s="10" t="str">
        <x:v>P2</x:v>
      </x:c>
      <x:c r="G1245" s="9" t="str">
        <x:v>验证群直播卡片快照：分享主题快照</x:v>
      </x:c>
      <x:c r="H1245" s="9" t="str">
        <x:v>分享主题快照</x:v>
      </x:c>
      <x:c r="I1245" s="9" t="str">
        <x:v>1. 执行角色为粉丝团成员；当前处于粉丝团群聊页面
2. 群内分享场次S，封面P、主题QA直播，S正在直播</x:v>
      </x:c>
      <x:c r="J1245" s="9" t="str">
        <x:v>1. 查看场次S直播卡片</x:v>
      </x:c>
      <x:c r="K1245" s="9" t="str">
        <x:v>显示主题QA直播</x:v>
      </x:c>
      <x:c r="L1245" s="10" t="str"/>
      <x:c r="M1245" s="10" t="str">
        <x:v>未测</x:v>
      </x:c>
      <x:c r="N1245" s="10" t="str"/>
      <x:c r="O1245" s="9" t="str">
        <x:v>1. 来源（当前证据）：liveshow-proto/MainBasis/统一需求文档.md；位置：行900、行897
2. 规则：BR-7d072288d0d8209f
3. 未动态验证</x:v>
      </x:c>
    </x:row>
    <x:row r="1246" ht="85" customHeight="1">
      <x:c r="A1246" s="10" t="n">
        <x:v>1245</x:v>
      </x:c>
      <x:c r="B1246" s="10" t="str">
        <x:v>USER-04-0151</x:v>
      </x:c>
      <x:c r="C1246" s="10" t="str">
        <x:v>消息与社交</x:v>
      </x:c>
      <x:c r="D1246" s="10" t="str">
        <x:v>粉丝团群聊（粉丝团成员视角）</x:v>
      </x:c>
      <x:c r="E1246" s="10" t="str">
        <x:v>功能需求</x:v>
      </x:c>
      <x:c r="F1246" s="10" t="str">
        <x:v>P2</x:v>
      </x:c>
      <x:c r="G1246" s="9" t="str">
        <x:v>验证群直播卡片快照：分享场次状态</x:v>
      </x:c>
      <x:c r="H1246" s="9" t="str">
        <x:v>分享场次状态</x:v>
      </x:c>
      <x:c r="I1246" s="9" t="str">
        <x:v>1. 执行角色为粉丝团成员；当前处于粉丝团群聊页面
2. 群内分享场次S，封面P、主题QA直播，S正在直播</x:v>
      </x:c>
      <x:c r="J1246" s="9" t="str">
        <x:v>1. 查看场次S直播卡片</x:v>
      </x:c>
      <x:c r="K1246" s="9" t="str">
        <x:v>显示场次S正在直播</x:v>
      </x:c>
      <x:c r="L1246" s="10" t="str"/>
      <x:c r="M1246" s="10" t="str">
        <x:v>未测</x:v>
      </x:c>
      <x:c r="N1246" s="10" t="str"/>
      <x:c r="O1246" s="9" t="str">
        <x:v>1. 来源（当前证据）：liveshow-proto/MainBasis/统一需求文档.md；位置：行900、行897
2. 规则：BR-3a6cc0457c6568ae
3. 未动态验证</x:v>
      </x:c>
    </x:row>
    <x:row r="1247" ht="85" customHeight="1">
      <x:c r="A1247" s="10" t="n">
        <x:v>1246</x:v>
      </x:c>
      <x:c r="B1247" s="10" t="str">
        <x:v>USER-04-0152</x:v>
      </x:c>
      <x:c r="C1247" s="10" t="str">
        <x:v>消息与社交</x:v>
      </x:c>
      <x:c r="D1247" s="10" t="str">
        <x:v>群管理（成员）（粉丝团成员视角）</x:v>
      </x:c>
      <x:c r="E1247" s="10" t="str">
        <x:v>功能需求</x:v>
      </x:c>
      <x:c r="F1247" s="10" t="str">
        <x:v>P2</x:v>
      </x:c>
      <x:c r="G1247" s="9" t="str">
        <x:v>验证成员群公告内容</x:v>
      </x:c>
      <x:c r="H1247" s="9" t="str">
        <x:v>成员群公告正文</x:v>
      </x:c>
      <x:c r="I1247" s="9" t="str">
        <x:v>1. 执行角色为粉丝团成员；当前处于群管理（成员）页面
2. 当前粉丝群公告已保存为QA群公告</x:v>
      </x:c>
      <x:c r="J1247" s="9" t="str">
        <x:v>1. 查看群公告</x:v>
      </x:c>
      <x:c r="K1247" s="9" t="str">
        <x:v>显示QA群公告</x:v>
      </x:c>
      <x:c r="L1247" s="10" t="str"/>
      <x:c r="M1247" s="10" t="str">
        <x:v>未测</x:v>
      </x:c>
      <x:c r="N1247" s="10" t="str"/>
      <x:c r="O1247" s="9" t="str">
        <x:v>1. 来源（当前证据）：liveshow-proto/MainBasis/统一需求文档.md；位置：行912、行910
2. 规则：BR-bcf779fc81103ee6
3. 未动态验证</x:v>
      </x:c>
    </x:row>
    <x:row r="1248" ht="85" customHeight="1">
      <x:c r="A1248" s="10" t="n">
        <x:v>1247</x:v>
      </x:c>
      <x:c r="B1248" s="10" t="str">
        <x:v>USER-05-0235</x:v>
      </x:c>
      <x:c r="C1248" s="10" t="str">
        <x:v>我的</x:v>
      </x:c>
      <x:c r="D1248" s="10" t="str">
        <x:v>黑名单管理（普通用户视角）</x:v>
      </x:c>
      <x:c r="E1248" s="10" t="str">
        <x:v>功能需求</x:v>
      </x:c>
      <x:c r="F1248" s="10" t="str">
        <x:v>P2</x:v>
      </x:c>
      <x:c r="G1248" s="9" t="str">
        <x:v>验证黑名单资料：黑名单头像</x:v>
      </x:c>
      <x:c r="H1248" s="9" t="str">
        <x:v>黑名单头像</x:v>
      </x:c>
      <x:c r="I1248" s="9" t="str">
        <x:v>1. 执行角色为普通用户；当前处于黑名单管理页面
2. 已拉黑A，A当前昵称QA黑名单并上传头像</x:v>
      </x:c>
      <x:c r="J1248" s="9" t="str">
        <x:v>1. 查看A用户行</x:v>
      </x:c>
      <x:c r="K1248" s="9" t="str">
        <x:v>显示A当前头像</x:v>
      </x:c>
      <x:c r="L1248" s="10" t="str"/>
      <x:c r="M1248" s="10" t="str">
        <x:v>未测</x:v>
      </x:c>
      <x:c r="N1248" s="10" t="str"/>
      <x:c r="O1248" s="9" t="str">
        <x:v>1. 来源（当前证据）：liveshow-proto/MainBasis/统一需求文档.md；位置：行944、行942
2. 规则：BR-fbba64930885b871
3. 未动态验证</x:v>
      </x:c>
    </x:row>
    <x:row r="1249" ht="85" customHeight="1">
      <x:c r="A1249" s="10" t="n">
        <x:v>1248</x:v>
      </x:c>
      <x:c r="B1249" s="10" t="str">
        <x:v>USER-05-0236</x:v>
      </x:c>
      <x:c r="C1249" s="10" t="str">
        <x:v>我的</x:v>
      </x:c>
      <x:c r="D1249" s="10" t="str">
        <x:v>黑名单管理（普通用户视角）</x:v>
      </x:c>
      <x:c r="E1249" s="10" t="str">
        <x:v>功能需求</x:v>
      </x:c>
      <x:c r="F1249" s="10" t="str">
        <x:v>P2</x:v>
      </x:c>
      <x:c r="G1249" s="9" t="str">
        <x:v>验证黑名单资料：黑名单昵称</x:v>
      </x:c>
      <x:c r="H1249" s="9" t="str">
        <x:v>黑名单昵称</x:v>
      </x:c>
      <x:c r="I1249" s="9" t="str">
        <x:v>1. 执行角色为普通用户；当前处于黑名单管理页面
2. 已拉黑A，A当前昵称QA黑名单并上传头像</x:v>
      </x:c>
      <x:c r="J1249" s="9" t="str">
        <x:v>1. 查看A用户行</x:v>
      </x:c>
      <x:c r="K1249" s="9" t="str">
        <x:v>显示昵称QA黑名单</x:v>
      </x:c>
      <x:c r="L1249" s="10" t="str"/>
      <x:c r="M1249" s="10" t="str">
        <x:v>未测</x:v>
      </x:c>
      <x:c r="N1249" s="10" t="str"/>
      <x:c r="O1249" s="9" t="str">
        <x:v>1. 来源（当前证据）：liveshow-proto/MainBasis/统一需求文档.md；位置：行944、行942
2. 规则：BR-25606f8662166661
3. 未动态验证</x:v>
      </x:c>
    </x:row>
    <x:row r="1250" ht="85" customHeight="1">
      <x:c r="A1250" s="10" t="n">
        <x:v>1249</x:v>
      </x:c>
      <x:c r="B1250" s="10" t="str">
        <x:v>USER-06-0073</x:v>
      </x:c>
      <x:c r="C1250" s="10" t="str">
        <x:v>公会关系</x:v>
      </x:c>
      <x:c r="D1250" s="10" t="str">
        <x:v>我的公会（入会申请人视角）</x:v>
      </x:c>
      <x:c r="E1250" s="10" t="str">
        <x:v>功能需求</x:v>
      </x:c>
      <x:c r="F1250" s="10" t="str">
        <x:v>P2</x:v>
      </x:c>
      <x:c r="G1250" s="9" t="str">
        <x:v>验证申请记录公会头像</x:v>
      </x:c>
      <x:c r="H1250" s="9" t="str">
        <x:v>申请公会头像</x:v>
      </x:c>
      <x:c r="I1250" s="9" t="str">
        <x:v>1. 执行角色为入会申请人；当前处于我的公会页面
2. 当前申请属于公会G，其当前头像P</x:v>
      </x:c>
      <x:c r="J1250" s="9" t="str">
        <x:v>1. 查看G申请记录</x:v>
      </x:c>
      <x:c r="K1250" s="9" t="str">
        <x:v>显示公会头像P</x:v>
      </x:c>
      <x:c r="L1250" s="10" t="str"/>
      <x:c r="M1250" s="10" t="str">
        <x:v>未测</x:v>
      </x:c>
      <x:c r="N1250" s="10" t="str"/>
      <x:c r="O1250" s="9" t="str">
        <x:v>1. 来源（当前证据）：liveshow-proto/MainBasis/统一需求文档.md；位置：行995、行993
2. 规则：BR-5d24c029acddfb8b
3. 未动态验证</x:v>
      </x:c>
    </x:row>
    <x:row r="1251" ht="85" customHeight="1">
      <x:c r="A1251" s="10" t="n">
        <x:v>1250</x:v>
      </x:c>
      <x:c r="B1251" s="10" t="str">
        <x:v>USER-06-0074</x:v>
      </x:c>
      <x:c r="C1251" s="10" t="str">
        <x:v>公会关系</x:v>
      </x:c>
      <x:c r="D1251" s="10" t="str">
        <x:v>我的公会（入会申请人视角）</x:v>
      </x:c>
      <x:c r="E1251" s="10" t="str">
        <x:v>功能需求</x:v>
      </x:c>
      <x:c r="F1251" s="10" t="str">
        <x:v>P2</x:v>
      </x:c>
      <x:c r="G1251" s="9" t="str">
        <x:v>验证申请记录当前公会名</x:v>
      </x:c>
      <x:c r="H1251" s="9" t="str">
        <x:v>申请公会名称</x:v>
      </x:c>
      <x:c r="I1251" s="9" t="str">
        <x:v>1. 执行角色为入会申请人；当前处于我的公会页面
2. 公会G已改名为QA公会新名</x:v>
      </x:c>
      <x:c r="J1251" s="9" t="str">
        <x:v>1. 查看G申请记录</x:v>
      </x:c>
      <x:c r="K1251" s="9" t="str">
        <x:v>显示QA公会新名</x:v>
      </x:c>
      <x:c r="L1251" s="10" t="str"/>
      <x:c r="M1251" s="10" t="str">
        <x:v>未测</x:v>
      </x:c>
      <x:c r="N1251" s="10" t="str"/>
      <x:c r="O1251" s="9" t="str">
        <x:v>1. 来源（当前证据）：liveshow-proto/MainBasis/统一需求文档.md；位置：行996、行993
2. 规则：BR-98c5358535c57398
3. 未动态验证</x:v>
      </x:c>
    </x:row>
    <x:row r="1252" ht="85" customHeight="1">
      <x:c r="A1252" s="10" t="n">
        <x:v>1251</x:v>
      </x:c>
      <x:c r="B1252" s="10" t="str">
        <x:v>USER-06-0075</x:v>
      </x:c>
      <x:c r="C1252" s="10" t="str">
        <x:v>公会关系</x:v>
      </x:c>
      <x:c r="D1252" s="10" t="str">
        <x:v>我的公会（入会申请人视角）</x:v>
      </x:c>
      <x:c r="E1252" s="10" t="str">
        <x:v>功能需求</x:v>
      </x:c>
      <x:c r="F1252" s="10" t="str">
        <x:v>P2</x:v>
      </x:c>
      <x:c r="G1252" s="9" t="str">
        <x:v>验证申请记录公会ID</x:v>
      </x:c>
      <x:c r="H1252" s="9" t="str">
        <x:v>申请公会ID</x:v>
      </x:c>
      <x:c r="I1252" s="9" t="str">
        <x:v>1. 执行角色为入会申请人；当前处于我的公会页面
2. 公会G唯一ID为1001</x:v>
      </x:c>
      <x:c r="J1252" s="9" t="str">
        <x:v>1. 查看G申请记录</x:v>
      </x:c>
      <x:c r="K1252" s="9" t="str">
        <x:v>显示公会ID1001</x:v>
      </x:c>
      <x:c r="L1252" s="10" t="str"/>
      <x:c r="M1252" s="10" t="str">
        <x:v>未测</x:v>
      </x:c>
      <x:c r="N1252" s="10" t="str"/>
      <x:c r="O1252" s="9" t="str">
        <x:v>1. 来源（当前证据）：liveshow-proto/MainBasis/统一需求文档.md；位置：行997、行993
2. 规则：BR-acb4286090cb9b46
3. 未动态验证</x:v>
      </x:c>
    </x:row>
    <x:row r="1253" ht="85" customHeight="1">
      <x:c r="A1253" s="10" t="n">
        <x:v>1252</x:v>
      </x:c>
      <x:c r="B1253" s="10" t="str">
        <x:v>USER-06-0076</x:v>
      </x:c>
      <x:c r="C1253" s="10" t="str">
        <x:v>公会关系</x:v>
      </x:c>
      <x:c r="D1253" s="10" t="str">
        <x:v>公会详情（入会申请人视角）</x:v>
      </x:c>
      <x:c r="E1253" s="10" t="str">
        <x:v>功能需求</x:v>
      </x:c>
      <x:c r="F1253" s="10" t="str">
        <x:v>P2</x:v>
      </x:c>
      <x:c r="G1253" s="9" t="str">
        <x:v>验证关系详情公会资料：公会头像</x:v>
      </x:c>
      <x:c r="H1253" s="9" t="str">
        <x:v>公会头像</x:v>
      </x:c>
      <x:c r="I1253" s="9" t="str">
        <x:v>1. 执行角色为入会申请人；当前处于公会详情页面
2. 所选公会G当前昵称QA公会、ID1001、头像P</x:v>
      </x:c>
      <x:c r="J1253" s="9" t="str">
        <x:v>1. 查看公会资料</x:v>
      </x:c>
      <x:c r="K1253" s="9" t="str">
        <x:v>显示头像P</x:v>
      </x:c>
      <x:c r="L1253" s="10" t="str"/>
      <x:c r="M1253" s="10" t="str">
        <x:v>未测</x:v>
      </x:c>
      <x:c r="N1253" s="10" t="str"/>
      <x:c r="O1253" s="9" t="str">
        <x:v>1. 来源（当前证据）：liveshow-proto/MainBasis/统一需求文档.md；位置：行1008、行1006
2. 规则：BR-bac57e57ac18db00
3. 未动态验证</x:v>
      </x:c>
    </x:row>
    <x:row r="1254" ht="85" customHeight="1">
      <x:c r="A1254" s="10" t="n">
        <x:v>1253</x:v>
      </x:c>
      <x:c r="B1254" s="10" t="str">
        <x:v>USER-06-0077</x:v>
      </x:c>
      <x:c r="C1254" s="10" t="str">
        <x:v>公会关系</x:v>
      </x:c>
      <x:c r="D1254" s="10" t="str">
        <x:v>公会详情（入会申请人视角）</x:v>
      </x:c>
      <x:c r="E1254" s="10" t="str">
        <x:v>功能需求</x:v>
      </x:c>
      <x:c r="F1254" s="10" t="str">
        <x:v>P2</x:v>
      </x:c>
      <x:c r="G1254" s="9" t="str">
        <x:v>验证关系详情公会资料：公会名称</x:v>
      </x:c>
      <x:c r="H1254" s="9" t="str">
        <x:v>公会名称</x:v>
      </x:c>
      <x:c r="I1254" s="9" t="str">
        <x:v>1. 执行角色为入会申请人；当前处于公会详情页面
2. 所选公会G当前昵称QA公会、ID1001、头像P</x:v>
      </x:c>
      <x:c r="J1254" s="9" t="str">
        <x:v>1. 查看公会资料</x:v>
      </x:c>
      <x:c r="K1254" s="9" t="str">
        <x:v>显示名称QA公会</x:v>
      </x:c>
      <x:c r="L1254" s="10" t="str"/>
      <x:c r="M1254" s="10" t="str">
        <x:v>未测</x:v>
      </x:c>
      <x:c r="N1254" s="10" t="str"/>
      <x:c r="O1254" s="9" t="str">
        <x:v>1. 来源（当前证据）：liveshow-proto/MainBasis/统一需求文档.md；位置：行1008、行1006
2. 规则：BR-18cf06d1ab6b281e
3. 未动态验证</x:v>
      </x:c>
    </x:row>
    <x:row r="1255" ht="85" customHeight="1">
      <x:c r="A1255" s="10" t="n">
        <x:v>1254</x:v>
      </x:c>
      <x:c r="B1255" s="10" t="str">
        <x:v>USER-06-0078</x:v>
      </x:c>
      <x:c r="C1255" s="10" t="str">
        <x:v>公会关系</x:v>
      </x:c>
      <x:c r="D1255" s="10" t="str">
        <x:v>公会详情（入会申请人视角）</x:v>
      </x:c>
      <x:c r="E1255" s="10" t="str">
        <x:v>功能需求</x:v>
      </x:c>
      <x:c r="F1255" s="10" t="str">
        <x:v>P2</x:v>
      </x:c>
      <x:c r="G1255" s="9" t="str">
        <x:v>验证关系详情公会资料：公会ID</x:v>
      </x:c>
      <x:c r="H1255" s="9" t="str">
        <x:v>公会ID</x:v>
      </x:c>
      <x:c r="I1255" s="9" t="str">
        <x:v>1. 执行角色为入会申请人；当前处于公会详情页面
2. 所选公会G当前昵称QA公会、ID1001、头像P</x:v>
      </x:c>
      <x:c r="J1255" s="9" t="str">
        <x:v>1. 查看公会资料</x:v>
      </x:c>
      <x:c r="K1255" s="9" t="str">
        <x:v>显示ID1001</x:v>
      </x:c>
      <x:c r="L1255" s="10" t="str"/>
      <x:c r="M1255" s="10" t="str">
        <x:v>未测</x:v>
      </x:c>
      <x:c r="N1255" s="10" t="str"/>
      <x:c r="O1255" s="9" t="str">
        <x:v>1. 来源（当前证据）：liveshow-proto/MainBasis/统一需求文档.md；位置：行1008、行1006
2. 规则：BR-2e2d4c53681633b7
3. 未动态验证</x:v>
      </x:c>
    </x:row>
    <x:row r="1256" ht="85" customHeight="1">
      <x:c r="A1256" s="10" t="n">
        <x:v>1255</x:v>
      </x:c>
      <x:c r="B1256" s="10" t="str">
        <x:v>USER-06-0079</x:v>
      </x:c>
      <x:c r="C1256" s="10" t="str">
        <x:v>公会关系</x:v>
      </x:c>
      <x:c r="D1256" s="10" t="str">
        <x:v>公会详情（入会申请人视角）</x:v>
      </x:c>
      <x:c r="E1256" s="10" t="str">
        <x:v>功能需求</x:v>
      </x:c>
      <x:c r="F1256" s="10" t="str">
        <x:v>P1</x:v>
      </x:c>
      <x:c r="G1256" s="9" t="str">
        <x:v>验证关系申请提交时间</x:v>
      </x:c>
      <x:c r="H1256" s="9" t="str">
        <x:v>申请提交时间</x:v>
      </x:c>
      <x:c r="I1256" s="9" t="str">
        <x:v>1. 执行角色为入会申请人；当前处于公会详情页面
2. 该申请在显示时区的2026年9月15日10时00分提交</x:v>
      </x:c>
      <x:c r="J1256" s="9" t="str">
        <x:v>1. 查看加入申请时间轴</x:v>
      </x:c>
      <x:c r="K1256" s="9" t="str">
        <x:v>提交时间显示15/09/2026 10.00</x:v>
      </x:c>
      <x:c r="L1256" s="10" t="str"/>
      <x:c r="M1256" s="10" t="str">
        <x:v>未测</x:v>
      </x:c>
      <x:c r="N1256" s="10" t="str"/>
      <x:c r="O1256" s="9" t="str">
        <x:v>1. 来源（当前证据）：liveshow-proto/MainBasis/统一需求文档.md；位置：行1011、行1006、行498
2. 规则：BR-f6e277a541b014b2
3. 未动态验证</x:v>
      </x:c>
    </x:row>
    <x:row r="1257" ht="85" customHeight="1">
      <x:c r="A1257" s="10" t="n">
        <x:v>1256</x:v>
      </x:c>
      <x:c r="B1257" s="10" t="str">
        <x:v>USER-04-0153</x:v>
      </x:c>
      <x:c r="C1257" s="10" t="str">
        <x:v>消息与社交</x:v>
      </x:c>
      <x:c r="D1257" s="10" t="str">
        <x:v>主播主页（普通用户视角）</x:v>
      </x:c>
      <x:c r="E1257" s="10" t="str">
        <x:v>功能需求</x:v>
      </x:c>
      <x:c r="F1257" s="10" t="str">
        <x:v>P2</x:v>
      </x:c>
      <x:c r="G1257" s="9" t="str">
        <x:v>验证主播主页身份：主播账号资料</x:v>
      </x:c>
      <x:c r="H1257" s="9" t="str">
        <x:v>主播账号资料</x:v>
      </x:c>
      <x:c r="I1257" s="9" t="str">
        <x:v>1. 执行角色为普通用户；当前处于主播主页页面
2. 主播A资料有效、主播5级、财富3级、当前在播</x:v>
      </x:c>
      <x:c r="J1257" s="9" t="str">
        <x:v>1. 查看主播A资料</x:v>
      </x:c>
      <x:c r="K1257" s="9" t="str">
        <x:v>显示A当前账号资料</x:v>
      </x:c>
      <x:c r="L1257" s="10" t="str"/>
      <x:c r="M1257" s="10" t="str">
        <x:v>未测</x:v>
      </x:c>
      <x:c r="N1257" s="10" t="str"/>
      <x:c r="O1257" s="9" t="str">
        <x:v>1. 来源（当前证据）：liveshow-proto/MainBasis/统一需求文档.md；位置：行1057、行1055
2. 规则：BR-6ab2baf30e64bf4c
3. 未动态验证</x:v>
      </x:c>
    </x:row>
    <x:row r="1258" ht="85" customHeight="1">
      <x:c r="A1258" s="10" t="n">
        <x:v>1257</x:v>
      </x:c>
      <x:c r="B1258" s="10" t="str">
        <x:v>USER-04-0154</x:v>
      </x:c>
      <x:c r="C1258" s="10" t="str">
        <x:v>消息与社交</x:v>
      </x:c>
      <x:c r="D1258" s="10" t="str">
        <x:v>主播主页（普通用户视角）</x:v>
      </x:c>
      <x:c r="E1258" s="10" t="str">
        <x:v>功能需求</x:v>
      </x:c>
      <x:c r="F1258" s="10" t="str">
        <x:v>P2</x:v>
      </x:c>
      <x:c r="G1258" s="9" t="str">
        <x:v>验证主播主页身份：主播等级</x:v>
      </x:c>
      <x:c r="H1258" s="9" t="str">
        <x:v>主播等级</x:v>
      </x:c>
      <x:c r="I1258" s="9" t="str">
        <x:v>1. 执行角色为普通用户；当前处于主播主页页面
2. 主播A资料有效、主播5级、财富3级、当前在播</x:v>
      </x:c>
      <x:c r="J1258" s="9" t="str">
        <x:v>1. 查看主播A资料</x:v>
      </x:c>
      <x:c r="K1258" s="9" t="str">
        <x:v>显示主播5级</x:v>
      </x:c>
      <x:c r="L1258" s="10" t="str"/>
      <x:c r="M1258" s="10" t="str">
        <x:v>未测</x:v>
      </x:c>
      <x:c r="N1258" s="10" t="str"/>
      <x:c r="O1258" s="9" t="str">
        <x:v>1. 来源（当前证据）：liveshow-proto/MainBasis/统一需求文档.md；位置：行1057、行1055
2. 规则：BR-5148f380906c8d60
3. 未动态验证</x:v>
      </x:c>
    </x:row>
    <x:row r="1259" ht="85" customHeight="1">
      <x:c r="A1259" s="10" t="n">
        <x:v>1258</x:v>
      </x:c>
      <x:c r="B1259" s="10" t="str">
        <x:v>USER-04-0155</x:v>
      </x:c>
      <x:c r="C1259" s="10" t="str">
        <x:v>消息与社交</x:v>
      </x:c>
      <x:c r="D1259" s="10" t="str">
        <x:v>主播主页（普通用户视角）</x:v>
      </x:c>
      <x:c r="E1259" s="10" t="str">
        <x:v>功能需求</x:v>
      </x:c>
      <x:c r="F1259" s="10" t="str">
        <x:v>P2</x:v>
      </x:c>
      <x:c r="G1259" s="9" t="str">
        <x:v>验证主播主页身份：主播财富等级</x:v>
      </x:c>
      <x:c r="H1259" s="9" t="str">
        <x:v>主播财富等级</x:v>
      </x:c>
      <x:c r="I1259" s="9" t="str">
        <x:v>1. 执行角色为普通用户；当前处于主播主页页面
2. 主播A资料有效、主播5级、财富3级、当前在播</x:v>
      </x:c>
      <x:c r="J1259" s="9" t="str">
        <x:v>1. 查看主播A资料</x:v>
      </x:c>
      <x:c r="K1259" s="9" t="str">
        <x:v>显示财富3级</x:v>
      </x:c>
      <x:c r="L1259" s="10" t="str"/>
      <x:c r="M1259" s="10" t="str">
        <x:v>未测</x:v>
      </x:c>
      <x:c r="N1259" s="10" t="str"/>
      <x:c r="O1259" s="9" t="str">
        <x:v>1. 来源（当前证据）：liveshow-proto/MainBasis/统一需求文档.md；位置：行1057、行1055
2. 规则：BR-27ee4c01a520a3bc
3. 未动态验证</x:v>
      </x:c>
    </x:row>
    <x:row r="1260" ht="85" customHeight="1">
      <x:c r="A1260" s="10" t="n">
        <x:v>1259</x:v>
      </x:c>
      <x:c r="B1260" s="10" t="str">
        <x:v>USER-04-0156</x:v>
      </x:c>
      <x:c r="C1260" s="10" t="str">
        <x:v>消息与社交</x:v>
      </x:c>
      <x:c r="D1260" s="10" t="str">
        <x:v>主播主页（普通用户视角）</x:v>
      </x:c>
      <x:c r="E1260" s="10" t="str">
        <x:v>功能需求</x:v>
      </x:c>
      <x:c r="F1260" s="10" t="str">
        <x:v>P2</x:v>
      </x:c>
      <x:c r="G1260" s="9" t="str">
        <x:v>验证主播主页身份：主播直播状态</x:v>
      </x:c>
      <x:c r="H1260" s="9" t="str">
        <x:v>主播直播状态</x:v>
      </x:c>
      <x:c r="I1260" s="9" t="str">
        <x:v>1. 执行角色为普通用户；当前处于主播主页页面
2. 主播A资料有效、主播5级、财富3级、当前在播</x:v>
      </x:c>
      <x:c r="J1260" s="9" t="str">
        <x:v>1. 查看主播A资料</x:v>
      </x:c>
      <x:c r="K1260" s="9" t="str">
        <x:v>显示在播</x:v>
      </x:c>
      <x:c r="L1260" s="10" t="str"/>
      <x:c r="M1260" s="10" t="str">
        <x:v>未测</x:v>
      </x:c>
      <x:c r="N1260" s="10" t="str"/>
      <x:c r="O1260" s="9" t="str">
        <x:v>1. 来源（当前证据）：liveshow-proto/MainBasis/统一需求文档.md；位置：行1057、行1055
2. 规则：BR-b5f72a68fd261f2f
3. 未动态验证</x:v>
      </x:c>
    </x:row>
    <x:row r="1261" ht="85" customHeight="1">
      <x:c r="A1261" s="10" t="n">
        <x:v>1260</x:v>
      </x:c>
      <x:c r="B1261" s="10" t="str">
        <x:v>USER-04-0157</x:v>
      </x:c>
      <x:c r="C1261" s="10" t="str">
        <x:v>消息与社交</x:v>
      </x:c>
      <x:c r="D1261" s="10" t="str">
        <x:v>主播主页（普通用户视角）</x:v>
      </x:c>
      <x:c r="E1261" s="10" t="str">
        <x:v>功能需求</x:v>
      </x:c>
      <x:c r="F1261" s="10" t="str">
        <x:v>P2</x:v>
      </x:c>
      <x:c r="G1261" s="9" t="str">
        <x:v>验证主页粉丝团资料：粉丝团名称</x:v>
      </x:c>
      <x:c r="H1261" s="9" t="str">
        <x:v>粉丝团名称</x:v>
      </x:c>
      <x:c r="I1261" s="9" t="str">
        <x:v>1. 执行角色为普通用户；当前处于主播主页页面
2. 当前查看A；团名QA粉丝团、等级5、成员10人，本人已入团</x:v>
      </x:c>
      <x:c r="J1261" s="9" t="str">
        <x:v>1. 查看粉丝团信息</x:v>
      </x:c>
      <x:c r="K1261" s="9" t="str">
        <x:v>显示团名QA粉丝团</x:v>
      </x:c>
      <x:c r="L1261" s="10" t="str"/>
      <x:c r="M1261" s="10" t="str">
        <x:v>未测</x:v>
      </x:c>
      <x:c r="N1261" s="10" t="str"/>
      <x:c r="O1261" s="9" t="str">
        <x:v>1. 来源（当前证据）：liveshow-proto/MainBasis/统一需求文档.md；位置：行1060、行1055
2. 规则：BR-c6106afcd7b11846
3. 未动态验证</x:v>
      </x:c>
    </x:row>
    <x:row r="1262" ht="85" customHeight="1">
      <x:c r="A1262" s="10" t="n">
        <x:v>1261</x:v>
      </x:c>
      <x:c r="B1262" s="10" t="str">
        <x:v>USER-04-0158</x:v>
      </x:c>
      <x:c r="C1262" s="10" t="str">
        <x:v>消息与社交</x:v>
      </x:c>
      <x:c r="D1262" s="10" t="str">
        <x:v>主播主页（普通用户视角）</x:v>
      </x:c>
      <x:c r="E1262" s="10" t="str">
        <x:v>功能需求</x:v>
      </x:c>
      <x:c r="F1262" s="10" t="str">
        <x:v>P2</x:v>
      </x:c>
      <x:c r="G1262" s="9" t="str">
        <x:v>验证主页粉丝团资料：粉丝团等级</x:v>
      </x:c>
      <x:c r="H1262" s="9" t="str">
        <x:v>粉丝团等级</x:v>
      </x:c>
      <x:c r="I1262" s="9" t="str">
        <x:v>1. 执行角色为普通用户；当前处于主播主页页面
2. 当前查看A；团名QA粉丝团、等级5、成员10人，本人已入团</x:v>
      </x:c>
      <x:c r="J1262" s="9" t="str">
        <x:v>1. 查看粉丝团信息</x:v>
      </x:c>
      <x:c r="K1262" s="9" t="str">
        <x:v>显示等级5</x:v>
      </x:c>
      <x:c r="L1262" s="10" t="str"/>
      <x:c r="M1262" s="10" t="str">
        <x:v>未测</x:v>
      </x:c>
      <x:c r="N1262" s="10" t="str"/>
      <x:c r="O1262" s="9" t="str">
        <x:v>1. 来源（当前证据）：liveshow-proto/MainBasis/统一需求文档.md；位置：行1060、行1055
2. 规则：BR-1c6da8a502996d2a
3. 未动态验证</x:v>
      </x:c>
    </x:row>
    <x:row r="1263" ht="85" customHeight="1">
      <x:c r="A1263" s="10" t="n">
        <x:v>1262</x:v>
      </x:c>
      <x:c r="B1263" s="10" t="str">
        <x:v>USER-04-0159</x:v>
      </x:c>
      <x:c r="C1263" s="10" t="str">
        <x:v>消息与社交</x:v>
      </x:c>
      <x:c r="D1263" s="10" t="str">
        <x:v>主播主页（普通用户视角）</x:v>
      </x:c>
      <x:c r="E1263" s="10" t="str">
        <x:v>功能需求</x:v>
      </x:c>
      <x:c r="F1263" s="10" t="str">
        <x:v>P2</x:v>
      </x:c>
      <x:c r="G1263" s="9" t="str">
        <x:v>验证主页粉丝团资料：粉丝团人数</x:v>
      </x:c>
      <x:c r="H1263" s="9" t="str">
        <x:v>粉丝团人数</x:v>
      </x:c>
      <x:c r="I1263" s="9" t="str">
        <x:v>1. 执行角色为普通用户；当前处于主播主页页面
2. 当前查看A；团名QA粉丝团、等级5、成员10人，本人已入团</x:v>
      </x:c>
      <x:c r="J1263" s="9" t="str">
        <x:v>1. 查看粉丝团信息</x:v>
      </x:c>
      <x:c r="K1263" s="9" t="str">
        <x:v>显示10名成员</x:v>
      </x:c>
      <x:c r="L1263" s="10" t="str"/>
      <x:c r="M1263" s="10" t="str">
        <x:v>未测</x:v>
      </x:c>
      <x:c r="N1263" s="10" t="str"/>
      <x:c r="O1263" s="9" t="str">
        <x:v>1. 来源（当前证据）：liveshow-proto/MainBasis/统一需求文档.md；位置：行1060、行1055
2. 规则：BR-c505f11fa7138a94
3. 未动态验证</x:v>
      </x:c>
    </x:row>
    <x:row r="1264" ht="85" customHeight="1">
      <x:c r="A1264" s="10" t="n">
        <x:v>1263</x:v>
      </x:c>
      <x:c r="B1264" s="10" t="str">
        <x:v>USER-04-0160</x:v>
      </x:c>
      <x:c r="C1264" s="10" t="str">
        <x:v>消息与社交</x:v>
      </x:c>
      <x:c r="D1264" s="10" t="str">
        <x:v>主播主页（普通用户视角）</x:v>
      </x:c>
      <x:c r="E1264" s="10" t="str">
        <x:v>功能需求</x:v>
      </x:c>
      <x:c r="F1264" s="10" t="str">
        <x:v>P1</x:v>
      </x:c>
      <x:c r="G1264" s="9" t="str">
        <x:v>验证主页粉丝团资料：本人团籍状态</x:v>
      </x:c>
      <x:c r="H1264" s="9" t="str">
        <x:v>本人团籍状态</x:v>
      </x:c>
      <x:c r="I1264" s="9" t="str">
        <x:v>1. 执行角色为普通用户；当前处于主播主页页面
2. 当前查看A；团名QA粉丝团、等级5、成员10人，本人已入团</x:v>
      </x:c>
      <x:c r="J1264" s="9" t="str">
        <x:v>1. 查看粉丝团信息</x:v>
      </x:c>
      <x:c r="K1264" s="9" t="str">
        <x:v>显示本人已入团</x:v>
      </x:c>
      <x:c r="L1264" s="10" t="str"/>
      <x:c r="M1264" s="10" t="str">
        <x:v>未测</x:v>
      </x:c>
      <x:c r="N1264" s="10" t="str"/>
      <x:c r="O1264" s="9" t="str">
        <x:v>1. 来源（当前证据）：liveshow-proto/MainBasis/统一需求文档.md；位置：行1060、行1055
2. 规则：BR-db6037af46009152
3. 未动态验证</x:v>
      </x:c>
    </x:row>
    <x:row r="1265" ht="85" customHeight="1">
      <x:c r="A1265" s="10" t="n">
        <x:v>1264</x:v>
      </x:c>
      <x:c r="B1265" s="10" t="str">
        <x:v>USER-04-0161</x:v>
      </x:c>
      <x:c r="C1265" s="10" t="str">
        <x:v>消息与社交</x:v>
      </x:c>
      <x:c r="D1265" s="10" t="str">
        <x:v>礼物展馆（普通用户视角）</x:v>
      </x:c>
      <x:c r="E1265" s="10" t="str">
        <x:v>功能需求</x:v>
      </x:c>
      <x:c r="F1265" s="10" t="str">
        <x:v>P2</x:v>
      </x:c>
      <x:c r="G1265" s="9" t="str">
        <x:v>验证展馆礼物资料：展馆礼物名称</x:v>
      </x:c>
      <x:c r="H1265" s="9" t="str">
        <x:v>展馆礼物名称</x:v>
      </x:c>
      <x:c r="I1265" s="9" t="str">
        <x:v>1. 执行角色为普通用户；当前处于礼物展馆页面
2. 礼物目录有玫瑰及其图标</x:v>
      </x:c>
      <x:c r="J1265" s="9" t="str">
        <x:v>1. 查看玫瑰礼物</x:v>
      </x:c>
      <x:c r="K1265" s="9" t="str">
        <x:v>显示玫瑰名称</x:v>
      </x:c>
      <x:c r="L1265" s="10" t="str"/>
      <x:c r="M1265" s="10" t="str">
        <x:v>未测</x:v>
      </x:c>
      <x:c r="N1265" s="10" t="str"/>
      <x:c r="O1265" s="9" t="str">
        <x:v>1. 来源（当前证据）：liveshow-proto/MainBasis/统一需求文档.md；位置：行1076、行1073
2. 规则：BR-4892655b7c52b6c1
3. 未动态验证</x:v>
      </x:c>
    </x:row>
    <x:row r="1266" ht="85" customHeight="1">
      <x:c r="A1266" s="10" t="n">
        <x:v>1265</x:v>
      </x:c>
      <x:c r="B1266" s="10" t="str">
        <x:v>USER-04-0162</x:v>
      </x:c>
      <x:c r="C1266" s="10" t="str">
        <x:v>消息与社交</x:v>
      </x:c>
      <x:c r="D1266" s="10" t="str">
        <x:v>礼物展馆（普通用户视角）</x:v>
      </x:c>
      <x:c r="E1266" s="10" t="str">
        <x:v>功能需求</x:v>
      </x:c>
      <x:c r="F1266" s="10" t="str">
        <x:v>P2</x:v>
      </x:c>
      <x:c r="G1266" s="9" t="str">
        <x:v>验证展馆礼物资料：展馆礼物图标</x:v>
      </x:c>
      <x:c r="H1266" s="9" t="str">
        <x:v>展馆礼物图标</x:v>
      </x:c>
      <x:c r="I1266" s="9" t="str">
        <x:v>1. 执行角色为普通用户；当前处于礼物展馆页面
2. 礼物目录有玫瑰及其图标</x:v>
      </x:c>
      <x:c r="J1266" s="9" t="str">
        <x:v>1. 查看玫瑰礼物</x:v>
      </x:c>
      <x:c r="K1266" s="9" t="str">
        <x:v>显示玫瑰对应图标</x:v>
      </x:c>
      <x:c r="L1266" s="10" t="str"/>
      <x:c r="M1266" s="10" t="str">
        <x:v>未测</x:v>
      </x:c>
      <x:c r="N1266" s="10" t="str"/>
      <x:c r="O1266" s="9" t="str">
        <x:v>1. 来源（当前证据）：liveshow-proto/MainBasis/统一需求文档.md；位置：行1076、行1073
2. 规则：BR-0ac8e972c94f2f90
3. 未动态验证</x:v>
      </x:c>
    </x:row>
    <x:row r="1267" ht="85" customHeight="1">
      <x:c r="A1267" s="10" t="n">
        <x:v>1266</x:v>
      </x:c>
      <x:c r="B1267" s="10" t="str">
        <x:v>USER-05-0237</x:v>
      </x:c>
      <x:c r="C1267" s="10" t="str">
        <x:v>我的</x:v>
      </x:c>
      <x:c r="D1267" s="10" t="str">
        <x:v>我的粉丝团（粉丝团成员视角）</x:v>
      </x:c>
      <x:c r="E1267" s="10" t="str">
        <x:v>功能需求</x:v>
      </x:c>
      <x:c r="F1267" s="10" t="str">
        <x:v>P2</x:v>
      </x:c>
      <x:c r="G1267" s="9" t="str">
        <x:v>验证我的粉丝团名称</x:v>
      </x:c>
      <x:c r="H1267" s="9" t="str">
        <x:v>粉丝团名称展示</x:v>
      </x:c>
      <x:c r="I1267" s="9" t="str">
        <x:v>1. 执行角色为粉丝团成员；当前处于我的粉丝团页面
2. 当前已加入粉丝团，其名称为QA粉丝团</x:v>
      </x:c>
      <x:c r="J1267" s="9" t="str">
        <x:v>1. 查看该粉丝团卡片</x:v>
      </x:c>
      <x:c r="K1267" s="9" t="str">
        <x:v>显示QA粉丝团</x:v>
      </x:c>
      <x:c r="L1267" s="10" t="str"/>
      <x:c r="M1267" s="10" t="str">
        <x:v>未测</x:v>
      </x:c>
      <x:c r="N1267" s="10" t="str"/>
      <x:c r="O1267" s="9" t="str">
        <x:v>1. 来源（当前证据）：liveshow-proto/MainBasis/统一需求文档.md；位置：行1089、行1086
2. 规则：BR-d497c36d8897dc20
3. 未动态验证</x:v>
      </x:c>
    </x:row>
    <x:row r="1268" ht="85" customHeight="1">
      <x:c r="A1268" s="10" t="n">
        <x:v>1267</x:v>
      </x:c>
      <x:c r="B1268" s="10" t="str">
        <x:v>USER-05-0238</x:v>
      </x:c>
      <x:c r="C1268" s="10" t="str">
        <x:v>我的</x:v>
      </x:c>
      <x:c r="D1268" s="10" t="str">
        <x:v>我的粉丝团（粉丝团成员视角）</x:v>
      </x:c>
      <x:c r="E1268" s="10" t="str">
        <x:v>功能需求</x:v>
      </x:c>
      <x:c r="F1268" s="10" t="str">
        <x:v>P1</x:v>
      </x:c>
      <x:c r="G1268" s="9" t="str">
        <x:v>验证本人主播亲密度</x:v>
      </x:c>
      <x:c r="H1268" s="9" t="str">
        <x:v>本人亲密度值</x:v>
      </x:c>
      <x:c r="I1268" s="9" t="str">
        <x:v>1. 执行角色为粉丝团成员；当前处于我的粉丝团页面
2. 当前用户与A亲密度20；与B亲密度50</x:v>
      </x:c>
      <x:c r="J1268" s="9" t="str">
        <x:v>1. 查看A粉丝团卡片</x:v>
      </x:c>
      <x:c r="K1268" s="9" t="str">
        <x:v>显示本人对A亲密度20</x:v>
      </x:c>
      <x:c r="L1268" s="10" t="str"/>
      <x:c r="M1268" s="10" t="str">
        <x:v>未测</x:v>
      </x:c>
      <x:c r="N1268" s="10" t="str"/>
      <x:c r="O1268" s="9" t="str">
        <x:v>1. 来源（当前证据）：liveshow-proto/MainBasis/统一需求文档.md；位置：行1095、行1086
2. 规则：BR-afa1710afe68fe88
3. 未动态验证</x:v>
      </x:c>
    </x:row>
    <x:row r="1269" ht="85" customHeight="1">
      <x:c r="A1269" s="10" t="n">
        <x:v>1268</x:v>
      </x:c>
      <x:c r="B1269" s="10" t="str">
        <x:v>USER-07-0161</x:v>
      </x:c>
      <x:c r="C1269" s="10" t="str">
        <x:v>主播中心</x:v>
      </x:c>
      <x:c r="D1269" s="10" t="str">
        <x:v>房管管理（主播视角）</x:v>
      </x:c>
      <x:c r="E1269" s="10" t="str">
        <x:v>功能需求</x:v>
      </x:c>
      <x:c r="F1269" s="10" t="str">
        <x:v>P2</x:v>
      </x:c>
      <x:c r="G1269" s="9" t="str">
        <x:v>验证房管管理账号资料：房管头像</x:v>
      </x:c>
      <x:c r="H1269" s="9" t="str">
        <x:v>房管头像</x:v>
      </x:c>
      <x:c r="I1269" s="9" t="str">
        <x:v>1. 执行角色为主播；当前处于房管管理页面
2. 已授权A为房管，其昵称QA房管、ID2001、头像P</x:v>
      </x:c>
      <x:c r="J1269" s="9" t="str">
        <x:v>1. 查看A房管资料</x:v>
      </x:c>
      <x:c r="K1269" s="9" t="str">
        <x:v>显示头像P</x:v>
      </x:c>
      <x:c r="L1269" s="10" t="str"/>
      <x:c r="M1269" s="10" t="str">
        <x:v>未测</x:v>
      </x:c>
      <x:c r="N1269" s="10" t="str"/>
      <x:c r="O1269" s="9" t="str">
        <x:v>1. 来源（当前证据）：liveshow-proto/MainBasis/统一需求文档.md；位置：行1150、行1148
2. 规则：BR-2d88b79b8d419e4b
3. 未动态验证</x:v>
      </x:c>
    </x:row>
    <x:row r="1270" ht="85" customHeight="1">
      <x:c r="A1270" s="10" t="n">
        <x:v>1269</x:v>
      </x:c>
      <x:c r="B1270" s="10" t="str">
        <x:v>USER-07-0162</x:v>
      </x:c>
      <x:c r="C1270" s="10" t="str">
        <x:v>主播中心</x:v>
      </x:c>
      <x:c r="D1270" s="10" t="str">
        <x:v>房管管理（主播视角）</x:v>
      </x:c>
      <x:c r="E1270" s="10" t="str">
        <x:v>功能需求</x:v>
      </x:c>
      <x:c r="F1270" s="10" t="str">
        <x:v>P2</x:v>
      </x:c>
      <x:c r="G1270" s="9" t="str">
        <x:v>验证房管管理账号资料：房管昵称</x:v>
      </x:c>
      <x:c r="H1270" s="9" t="str">
        <x:v>房管昵称</x:v>
      </x:c>
      <x:c r="I1270" s="9" t="str">
        <x:v>1. 执行角色为主播；当前处于房管管理页面
2. 已授权A为房管，其昵称QA房管、ID2001、头像P</x:v>
      </x:c>
      <x:c r="J1270" s="9" t="str">
        <x:v>1. 查看A房管资料</x:v>
      </x:c>
      <x:c r="K1270" s="9" t="str">
        <x:v>显示昵称QA房管</x:v>
      </x:c>
      <x:c r="L1270" s="10" t="str"/>
      <x:c r="M1270" s="10" t="str">
        <x:v>未测</x:v>
      </x:c>
      <x:c r="N1270" s="10" t="str"/>
      <x:c r="O1270" s="9" t="str">
        <x:v>1. 来源（当前证据）：liveshow-proto/MainBasis/统一需求文档.md；位置：行1150、行1148
2. 规则：BR-b62d2df891f72950
3. 未动态验证</x:v>
      </x:c>
    </x:row>
    <x:row r="1271" ht="85" customHeight="1">
      <x:c r="A1271" s="10" t="n">
        <x:v>1270</x:v>
      </x:c>
      <x:c r="B1271" s="10" t="str">
        <x:v>USER-07-0163</x:v>
      </x:c>
      <x:c r="C1271" s="10" t="str">
        <x:v>主播中心</x:v>
      </x:c>
      <x:c r="D1271" s="10" t="str">
        <x:v>房管管理（主播视角）</x:v>
      </x:c>
      <x:c r="E1271" s="10" t="str">
        <x:v>功能需求</x:v>
      </x:c>
      <x:c r="F1271" s="10" t="str">
        <x:v>P2</x:v>
      </x:c>
      <x:c r="G1271" s="9" t="str">
        <x:v>验证房管管理账号资料：房管ID</x:v>
      </x:c>
      <x:c r="H1271" s="9" t="str">
        <x:v>房管ID</x:v>
      </x:c>
      <x:c r="I1271" s="9" t="str">
        <x:v>1. 执行角色为主播；当前处于房管管理页面
2. 已授权A为房管，其昵称QA房管、ID2001、头像P</x:v>
      </x:c>
      <x:c r="J1271" s="9" t="str">
        <x:v>1. 查看A房管资料</x:v>
      </x:c>
      <x:c r="K1271" s="9" t="str">
        <x:v>显示ID2001</x:v>
      </x:c>
      <x:c r="L1271" s="10" t="str"/>
      <x:c r="M1271" s="10" t="str">
        <x:v>未测</x:v>
      </x:c>
      <x:c r="N1271" s="10" t="str"/>
      <x:c r="O1271" s="9" t="str">
        <x:v>1. 来源（当前证据）：liveshow-proto/MainBasis/统一需求文档.md；位置：行1150、行1148
2. 规则：BR-5fa46808b91cde1c
3. 未动态验证</x:v>
      </x:c>
    </x:row>
    <x:row r="1272" ht="85" customHeight="1">
      <x:c r="A1272" s="10" t="n">
        <x:v>1271</x:v>
      </x:c>
      <x:c r="B1272" s="10" t="str">
        <x:v>USER-07-0164</x:v>
      </x:c>
      <x:c r="C1272" s="10" t="str">
        <x:v>主播中心</x:v>
      </x:c>
      <x:c r="D1272" s="10" t="str">
        <x:v>房管管理（主播视角）</x:v>
      </x:c>
      <x:c r="E1272" s="10" t="str">
        <x:v>功能需求</x:v>
      </x:c>
      <x:c r="F1272" s="10" t="str">
        <x:v>P1</x:v>
      </x:c>
      <x:c r="G1272" s="9" t="str">
        <x:v>验证房管管理账号资料：房管授权状态</x:v>
      </x:c>
      <x:c r="H1272" s="9" t="str">
        <x:v>房管授权状态</x:v>
      </x:c>
      <x:c r="I1272" s="9" t="str">
        <x:v>1. 执行角色为主播；当前处于房管管理页面
2. 已授权A为房管，其昵称QA房管、ID2001、头像P</x:v>
      </x:c>
      <x:c r="J1272" s="9" t="str">
        <x:v>1. 查看A房管资料</x:v>
      </x:c>
      <x:c r="K1272" s="9" t="str">
        <x:v>显示已授权</x:v>
      </x:c>
      <x:c r="L1272" s="10" t="str"/>
      <x:c r="M1272" s="10" t="str">
        <x:v>未测</x:v>
      </x:c>
      <x:c r="N1272" s="10" t="str"/>
      <x:c r="O1272" s="9" t="str">
        <x:v>1. 来源（当前证据）：liveshow-proto/MainBasis/统一需求文档.md；位置：行1150、行1148
2. 规则：BR-2f9d429b02ba2350
3. 未动态验证</x:v>
      </x:c>
    </x:row>
    <x:row r="1273" ht="85" customHeight="1">
      <x:c r="A1273" s="10" t="n">
        <x:v>1272</x:v>
      </x:c>
      <x:c r="B1273" s="10" t="str">
        <x:v>USER-07-0165</x:v>
      </x:c>
      <x:c r="C1273" s="10" t="str">
        <x:v>主播中心</x:v>
      </x:c>
      <x:c r="D1273" s="10" t="str">
        <x:v>公会通知（主播视角）</x:v>
      </x:c>
      <x:c r="E1273" s="10" t="str">
        <x:v>功能需求</x:v>
      </x:c>
      <x:c r="F1273" s="10" t="str">
        <x:v>P2</x:v>
      </x:c>
      <x:c r="G1273" s="9" t="str">
        <x:v>验证公会未读标记</x:v>
      </x:c>
      <x:c r="H1273" s="9" t="str">
        <x:v>公会通知未读标记</x:v>
      </x:c>
      <x:c r="I1273" s="9" t="str">
        <x:v>1. 执行角色为主播；当前处于公会通知页面
2. 存在尚未阅读的公会通知N</x:v>
      </x:c>
      <x:c r="J1273" s="9" t="str">
        <x:v>1. 查看通知N标题</x:v>
      </x:c>
      <x:c r="K1273" s="9" t="str">
        <x:v>显示未读提示点</x:v>
      </x:c>
      <x:c r="L1273" s="10" t="str"/>
      <x:c r="M1273" s="10" t="str">
        <x:v>未测</x:v>
      </x:c>
      <x:c r="N1273" s="10" t="str"/>
      <x:c r="O1273" s="9" t="str">
        <x:v>1. 来源（当前证据）：liveshow-proto/MainBasis/统一需求文档.md；位置：行1164、行1160
2. 规则：BR-1eab593c9fdf800e
3. 未动态验证</x:v>
      </x:c>
    </x:row>
    <x:row r="1274" ht="85" customHeight="1">
      <x:c r="A1274" s="10" t="n">
        <x:v>1273</x:v>
      </x:c>
      <x:c r="B1274" s="10" t="str">
        <x:v>USER-05-0239</x:v>
      </x:c>
      <x:c r="C1274" s="10" t="str">
        <x:v>我的</x:v>
      </x:c>
      <x:c r="D1274" s="10" t="str">
        <x:v>申请成为主播（入会申请人视角）</x:v>
      </x:c>
      <x:c r="E1274" s="10" t="str">
        <x:v>功能需求</x:v>
      </x:c>
      <x:c r="F1274" s="10" t="str">
        <x:v>P2</x:v>
      </x:c>
      <x:c r="G1274" s="9" t="str">
        <x:v>验证审核对应公会名</x:v>
      </x:c>
      <x:c r="H1274" s="9" t="str">
        <x:v>审核公会名称</x:v>
      </x:c>
      <x:c r="I1274" s="9" t="str">
        <x:v>1. 执行角色为入会申请人；当前处于申请成为主播页面
2. 向QA公会提交申请，当前公会初审中</x:v>
      </x:c>
      <x:c r="J1274" s="9" t="str">
        <x:v>1. 查看审核流程</x:v>
      </x:c>
      <x:c r="K1274" s="9" t="str">
        <x:v>显示对应公会名称QA公会</x:v>
      </x:c>
      <x:c r="L1274" s="10" t="str"/>
      <x:c r="M1274" s="10" t="str">
        <x:v>未测</x:v>
      </x:c>
      <x:c r="N1274" s="10" t="str"/>
      <x:c r="O1274" s="9" t="str">
        <x:v>1. 来源（当前证据）：liveshow-proto/MainBasis/统一需求文档.md；位置：行1174、行1170
2. 规则：BR-7fc586b22ebf94d0
3. 未动态验证</x:v>
      </x:c>
    </x:row>
    <x:row r="1275" ht="85" customHeight="1">
      <x:c r="A1275" s="10" t="n">
        <x:v>1274</x:v>
      </x:c>
      <x:c r="B1275" s="10" t="str">
        <x:v>USER-07-0166</x:v>
      </x:c>
      <x:c r="C1275" s="10" t="str">
        <x:v>主播中心</x:v>
      </x:c>
      <x:c r="D1275" s="10" t="str">
        <x:v>分成记录（主播视角）</x:v>
      </x:c>
      <x:c r="E1275" s="10" t="str">
        <x:v>功能需求</x:v>
      </x:c>
      <x:c r="F1275" s="10" t="str">
        <x:v>P2</x:v>
      </x:c>
      <x:c r="G1275" s="9" t="str">
        <x:v>验证分成日期展示</x:v>
      </x:c>
      <x:c r="H1275" s="9" t="str">
        <x:v>分成日期显示格式</x:v>
      </x:c>
      <x:c r="I1275" s="9" t="str">
        <x:v>1. 执行角色为主播；当前处于分成记录页面
2. 平台已上传当前主播2026年9月1日的分成记录</x:v>
      </x:c>
      <x:c r="J1275" s="9" t="str">
        <x:v>1. 查看该分成记录</x:v>
      </x:c>
      <x:c r="K1275" s="9" t="str">
        <x:v>分成日期显示01/09/2026</x:v>
      </x:c>
      <x:c r="L1275" s="10" t="str"/>
      <x:c r="M1275" s="10" t="str">
        <x:v>未测</x:v>
      </x:c>
      <x:c r="N1275" s="10" t="str"/>
      <x:c r="O1275" s="9" t="str">
        <x:v>1. 来源（当前证据）：liveshow-proto/MainBasis/统一需求文档.md；位置：行1280、行1278、行498
2. 规则：BR-7aa61847fa5fce8e
3. 未动态验证</x:v>
      </x:c>
    </x:row>
    <x:row r="1276" ht="85" customHeight="1">
      <x:c r="A1276" s="10" t="n">
        <x:v>1275</x:v>
      </x:c>
      <x:c r="B1276" s="10" t="str">
        <x:v>USER-08-0063</x:v>
      </x:c>
      <x:c r="C1276" s="10" t="str">
        <x:v>钱包与账单</x:v>
      </x:c>
      <x:c r="D1276" s="10" t="str">
        <x:v>余额明细（普通用户视角）</x:v>
      </x:c>
      <x:c r="E1276" s="10" t="str">
        <x:v>功能需求</x:v>
      </x:c>
      <x:c r="F1276" s="10" t="str">
        <x:v>P1</x:v>
      </x:c>
      <x:c r="G1276" s="9" t="str">
        <x:v>验证金币流水发生时间</x:v>
      </x:c>
      <x:c r="H1276" s="9" t="str">
        <x:v>流水时间展示格式</x:v>
      </x:c>
      <x:c r="I1276" s="9" t="str">
        <x:v>1. 执行角色为普通用户；当前处于余额明细页面
2. 当前金币流水在显示时区的发生时刻为2026年9月15日10时00分00秒</x:v>
      </x:c>
      <x:c r="J1276" s="9" t="str">
        <x:v>1. 查看该流水日期时间</x:v>
      </x:c>
      <x:c r="K1276" s="9" t="str">
        <x:v>发生时间显示15/09/2026 10.00</x:v>
      </x:c>
      <x:c r="L1276" s="10" t="str"/>
      <x:c r="M1276" s="10" t="str">
        <x:v>未测</x:v>
      </x:c>
      <x:c r="N1276" s="10" t="str"/>
      <x:c r="O1276" s="9" t="str">
        <x:v>1. 来源（当前证据）：liveshow-proto/MainBasis/统一需求文档.md；位置：行1315、行1311、行498
2. 规则：BR-b0dcf336bda65137
3. 未动态验证</x:v>
      </x:c>
    </x:row>
    <x:row r="1277" ht="85" customHeight="1">
      <x:c r="A1277" s="10" t="n">
        <x:v>1276</x:v>
      </x:c>
      <x:c r="B1277" s="10" t="str">
        <x:v>USER-08-0064</x:v>
      </x:c>
      <x:c r="C1277" s="10" t="str">
        <x:v>钱包与账单</x:v>
      </x:c>
      <x:c r="D1277" s="10" t="str">
        <x:v>支出订单详情（普通用户视角）</x:v>
      </x:c>
      <x:c r="E1277" s="10" t="str">
        <x:v>功能需求</x:v>
      </x:c>
      <x:c r="F1277" s="10" t="str">
        <x:v>P1</x:v>
      </x:c>
      <x:c r="G1277" s="9" t="str">
        <x:v>验证消费支付时间</x:v>
      </x:c>
      <x:c r="H1277" s="9" t="str">
        <x:v>支出支付时间格式</x:v>
      </x:c>
      <x:c r="I1277" s="9" t="str">
        <x:v>1. 执行角色为普通用户；当前处于支出订单详情页面
2. 该消费订单在显示时区的支付时刻为2026年9月15日10时00分00秒</x:v>
      </x:c>
      <x:c r="J1277" s="9" t="str">
        <x:v>1. 查看支付时间</x:v>
      </x:c>
      <x:c r="K1277" s="9" t="str">
        <x:v>支付时间显示15/09/2026 10.00</x:v>
      </x:c>
      <x:c r="L1277" s="10" t="str"/>
      <x:c r="M1277" s="10" t="str">
        <x:v>未测</x:v>
      </x:c>
      <x:c r="N1277" s="10" t="str"/>
      <x:c r="O1277" s="9" t="str">
        <x:v>1. 来源（当前证据）：liveshow-proto/MainBasis/统一需求文档.md；位置：行1338、行1334、行498
2. 规则：BR-e809ec7d28bdd535
3. 未动态验证</x:v>
      </x:c>
    </x:row>
    <x:row r="1278" ht="85" customHeight="1">
      <x:c r="A1278" s="10" t="n">
        <x:v>1277</x:v>
      </x:c>
      <x:c r="B1278" s="10" t="str">
        <x:v>USER-03-0277</x:v>
      </x:c>
      <x:c r="C1278" s="10" t="str">
        <x:v>直播</x:v>
      </x:c>
      <x:c r="D1278" s="10" t="str">
        <x:v>在线观众-观众列表（普通观众视角）</x:v>
      </x:c>
      <x:c r="E1278" s="10" t="str">
        <x:v>功能需求</x:v>
      </x:c>
      <x:c r="F1278" s="10" t="str">
        <x:v>P2</x:v>
      </x:c>
      <x:c r="G1278" s="9" t="str">
        <x:v>验证观众列表身份：在线头像</x:v>
      </x:c>
      <x:c r="H1278" s="9" t="str">
        <x:v>在线头像</x:v>
      </x:c>
      <x:c r="I1278" s="9" t="str">
        <x:v>1. 执行角色为普通观众；当前处于在线观众-观众列表页面
2. A仍在本场在线，昵称QA观众、头像P、身份普通观众</x:v>
      </x:c>
      <x:c r="J1278" s="9" t="str">
        <x:v>1. 查看A用户行</x:v>
      </x:c>
      <x:c r="K1278" s="9" t="str">
        <x:v>显示头像P</x:v>
      </x:c>
      <x:c r="L1278" s="10" t="str"/>
      <x:c r="M1278" s="10" t="str">
        <x:v>未测</x:v>
      </x:c>
      <x:c r="N1278" s="10" t="str"/>
      <x:c r="O1278" s="9" t="str">
        <x:v>1. 来源（当前证据）：liveshow-proto/MainBasis/统一需求文档.md；位置：行1668、行1667
2. 规则：BR-ff2e651ae6aa85f2
3. 未动态验证</x:v>
      </x:c>
    </x:row>
    <x:row r="1279" ht="85" customHeight="1">
      <x:c r="A1279" s="10" t="n">
        <x:v>1278</x:v>
      </x:c>
      <x:c r="B1279" s="10" t="str">
        <x:v>USER-03-0278</x:v>
      </x:c>
      <x:c r="C1279" s="10" t="str">
        <x:v>直播</x:v>
      </x:c>
      <x:c r="D1279" s="10" t="str">
        <x:v>在线观众-观众列表（普通观众视角）</x:v>
      </x:c>
      <x:c r="E1279" s="10" t="str">
        <x:v>功能需求</x:v>
      </x:c>
      <x:c r="F1279" s="10" t="str">
        <x:v>P2</x:v>
      </x:c>
      <x:c r="G1279" s="9" t="str">
        <x:v>验证观众列表身份：在线昵称</x:v>
      </x:c>
      <x:c r="H1279" s="9" t="str">
        <x:v>在线昵称</x:v>
      </x:c>
      <x:c r="I1279" s="9" t="str">
        <x:v>1. 执行角色为普通观众；当前处于在线观众-观众列表页面
2. A仍在本场在线，昵称QA观众、头像P、身份普通观众</x:v>
      </x:c>
      <x:c r="J1279" s="9" t="str">
        <x:v>1. 查看A用户行</x:v>
      </x:c>
      <x:c r="K1279" s="9" t="str">
        <x:v>显示昵称QA观众</x:v>
      </x:c>
      <x:c r="L1279" s="10" t="str"/>
      <x:c r="M1279" s="10" t="str">
        <x:v>未测</x:v>
      </x:c>
      <x:c r="N1279" s="10" t="str"/>
      <x:c r="O1279" s="9" t="str">
        <x:v>1. 来源（当前证据）：liveshow-proto/MainBasis/统一需求文档.md；位置：行1668、行1667
2. 规则：BR-6528c46f98e7385c
3. 未动态验证</x:v>
      </x:c>
    </x:row>
    <x:row r="1280" ht="85" customHeight="1">
      <x:c r="A1280" s="10" t="n">
        <x:v>1279</x:v>
      </x:c>
      <x:c r="B1280" s="10" t="str">
        <x:v>USER-03-0279</x:v>
      </x:c>
      <x:c r="C1280" s="10" t="str">
        <x:v>直播</x:v>
      </x:c>
      <x:c r="D1280" s="10" t="str">
        <x:v>在线观众-观众列表（普通观众视角）</x:v>
      </x:c>
      <x:c r="E1280" s="10" t="str">
        <x:v>功能需求</x:v>
      </x:c>
      <x:c r="F1280" s="10" t="str">
        <x:v>P2</x:v>
      </x:c>
      <x:c r="G1280" s="9" t="str">
        <x:v>验证观众列表身份：在线身份</x:v>
      </x:c>
      <x:c r="H1280" s="9" t="str">
        <x:v>在线身份</x:v>
      </x:c>
      <x:c r="I1280" s="9" t="str">
        <x:v>1. 执行角色为普通观众；当前处于在线观众-观众列表页面
2. A仍在本场在线，昵称QA观众、头像P、身份普通观众</x:v>
      </x:c>
      <x:c r="J1280" s="9" t="str">
        <x:v>1. 查看A用户行</x:v>
      </x:c>
      <x:c r="K1280" s="9" t="str">
        <x:v>显示普通观众身份</x:v>
      </x:c>
      <x:c r="L1280" s="10" t="str"/>
      <x:c r="M1280" s="10" t="str">
        <x:v>未测</x:v>
      </x:c>
      <x:c r="N1280" s="10" t="str"/>
      <x:c r="O1280" s="9" t="str">
        <x:v>1. 来源（当前证据）：liveshow-proto/MainBasis/统一需求文档.md；位置：行1668、行1667
2. 规则：BR-027781ef7ba2a9e8
3. 未动态验证</x:v>
      </x:c>
    </x:row>
    <x:row r="1281" ht="85" customHeight="1">
      <x:c r="A1281" s="10" t="n">
        <x:v>1280</x:v>
      </x:c>
      <x:c r="B1281" s="10" t="str">
        <x:v>USER-03-0280</x:v>
      </x:c>
      <x:c r="C1281" s="10" t="str">
        <x:v>直播</x:v>
      </x:c>
      <x:c r="D1281" s="10" t="str">
        <x:v>在线观众-观众列表（普通观众视角）</x:v>
      </x:c>
      <x:c r="E1281" s="10" t="str">
        <x:v>功能需求</x:v>
      </x:c>
      <x:c r="F1281" s="10" t="str">
        <x:v>P2</x:v>
      </x:c>
      <x:c r="G1281" s="9" t="str">
        <x:v>验证观众列表房管标识</x:v>
      </x:c>
      <x:c r="H1281" s="9" t="str">
        <x:v>在线观众房管标记</x:v>
      </x:c>
      <x:c r="I1281" s="9" t="str">
        <x:v>1. 执行角色为普通观众；当前处于在线观众-观众列表页面
2. A在线且已被当前主播授权房管</x:v>
      </x:c>
      <x:c r="J1281" s="9" t="str">
        <x:v>1. 查看A用户行</x:v>
      </x:c>
      <x:c r="K1281" s="9" t="str">
        <x:v>显示房管标识</x:v>
      </x:c>
      <x:c r="L1281" s="10" t="str"/>
      <x:c r="M1281" s="10" t="str">
        <x:v>未测</x:v>
      </x:c>
      <x:c r="N1281" s="10" t="str"/>
      <x:c r="O1281" s="9" t="str">
        <x:v>1. 来源（当前证据）：liveshow-proto/MainBasis/统一需求文档.md；位置：行1670、行1667
2. 规则：BR-8edeafaaed906ebe
3. 未动态验证</x:v>
      </x:c>
    </x:row>
    <x:row r="1282" ht="85" customHeight="1">
      <x:c r="A1282" s="10" t="n">
        <x:v>1281</x:v>
      </x:c>
      <x:c r="B1282" s="10" t="str">
        <x:v>USER-03-0281</x:v>
      </x:c>
      <x:c r="C1282" s="10" t="str">
        <x:v>直播</x:v>
      </x:c>
      <x:c r="D1282" s="10" t="str">
        <x:v>在线观众-房管列表（普通观众视角）</x:v>
      </x:c>
      <x:c r="E1282" s="10" t="str">
        <x:v>功能需求</x:v>
      </x:c>
      <x:c r="F1282" s="10" t="str">
        <x:v>P2</x:v>
      </x:c>
      <x:c r="G1282" s="9" t="str">
        <x:v>验证房管列表在线状态：房管账号集合</x:v>
      </x:c>
      <x:c r="H1282" s="9" t="str">
        <x:v>房管账号集合</x:v>
      </x:c>
      <x:c r="I1282" s="9" t="str">
        <x:v>1. 执行角色为普通观众；当前处于在线观众-房管列表页面
2. A为已授权房管且在线，B为已授权房管且离线</x:v>
      </x:c>
      <x:c r="J1282" s="9" t="str">
        <x:v>1. 查看房管列表</x:v>
      </x:c>
      <x:c r="K1282" s="9" t="str">
        <x:v>列表包含A和B对应账号资料</x:v>
      </x:c>
      <x:c r="L1282" s="10" t="str"/>
      <x:c r="M1282" s="10" t="str">
        <x:v>未测</x:v>
      </x:c>
      <x:c r="N1282" s="10" t="str"/>
      <x:c r="O1282" s="9" t="str">
        <x:v>1. 来源（当前证据）：liveshow-proto/MainBasis/统一需求文档.md；位置：行1678、行1677
2. 规则：BR-cd28ca984b130034
3. 未动态验证</x:v>
      </x:c>
    </x:row>
    <x:row r="1283" ht="85" customHeight="1">
      <x:c r="A1283" s="10" t="n">
        <x:v>1282</x:v>
      </x:c>
      <x:c r="B1283" s="10" t="str">
        <x:v>USER-03-0282</x:v>
      </x:c>
      <x:c r="C1283" s="10" t="str">
        <x:v>直播</x:v>
      </x:c>
      <x:c r="D1283" s="10" t="str">
        <x:v>在线观众-房管列表（普通观众视角）</x:v>
      </x:c>
      <x:c r="E1283" s="10" t="str">
        <x:v>功能需求</x:v>
      </x:c>
      <x:c r="F1283" s="10" t="str">
        <x:v>P2</x:v>
      </x:c>
      <x:c r="G1283" s="9" t="str">
        <x:v>验证房管列表在线状态：房管A在线</x:v>
      </x:c>
      <x:c r="H1283" s="9" t="str">
        <x:v>房管A在线</x:v>
      </x:c>
      <x:c r="I1283" s="9" t="str">
        <x:v>1. 执行角色为普通观众；当前处于在线观众-房管列表页面
2. A为已授权房管且在线，B为已授权房管且离线</x:v>
      </x:c>
      <x:c r="J1283" s="9" t="str">
        <x:v>1. 查看房管列表</x:v>
      </x:c>
      <x:c r="K1283" s="9" t="str">
        <x:v>A标记为在线</x:v>
      </x:c>
      <x:c r="L1283" s="10" t="str"/>
      <x:c r="M1283" s="10" t="str">
        <x:v>未测</x:v>
      </x:c>
      <x:c r="N1283" s="10" t="str"/>
      <x:c r="O1283" s="9" t="str">
        <x:v>1. 来源（当前证据）：liveshow-proto/MainBasis/统一需求文档.md；位置：行1678、行1677
2. 规则：BR-2977a2d53804059a
3. 未动态验证</x:v>
      </x:c>
    </x:row>
    <x:row r="1284" ht="85" customHeight="1">
      <x:c r="A1284" s="10" t="n">
        <x:v>1283</x:v>
      </x:c>
      <x:c r="B1284" s="10" t="str">
        <x:v>USER-03-0283</x:v>
      </x:c>
      <x:c r="C1284" s="10" t="str">
        <x:v>直播</x:v>
      </x:c>
      <x:c r="D1284" s="10" t="str">
        <x:v>在线观众-房管列表（普通观众视角）</x:v>
      </x:c>
      <x:c r="E1284" s="10" t="str">
        <x:v>功能需求</x:v>
      </x:c>
      <x:c r="F1284" s="10" t="str">
        <x:v>P2</x:v>
      </x:c>
      <x:c r="G1284" s="9" t="str">
        <x:v>验证房管列表在线状态：房管B离线</x:v>
      </x:c>
      <x:c r="H1284" s="9" t="str">
        <x:v>房管B离线</x:v>
      </x:c>
      <x:c r="I1284" s="9" t="str">
        <x:v>1. 执行角色为普通观众；当前处于在线观众-房管列表页面
2. A为已授权房管且在线，B为已授权房管且离线</x:v>
      </x:c>
      <x:c r="J1284" s="9" t="str">
        <x:v>1. 查看房管列表</x:v>
      </x:c>
      <x:c r="K1284" s="9" t="str">
        <x:v>B标记为离线</x:v>
      </x:c>
      <x:c r="L1284" s="10" t="str"/>
      <x:c r="M1284" s="10" t="str">
        <x:v>未测</x:v>
      </x:c>
      <x:c r="N1284" s="10" t="str"/>
      <x:c r="O1284" s="9" t="str">
        <x:v>1. 来源（当前证据）：liveshow-proto/MainBasis/统一需求文档.md；位置：行1678、行1677
2. 规则：BR-b492cb85c083397b
3. 未动态验证</x:v>
      </x:c>
    </x:row>
    <x:row r="1285" ht="85" customHeight="1">
      <x:c r="A1285" s="10" t="n">
        <x:v>1284</x:v>
      </x:c>
      <x:c r="B1285" s="10" t="str">
        <x:v>USER-03-0284</x:v>
      </x:c>
      <x:c r="C1285" s="10" t="str">
        <x:v>直播</x:v>
      </x:c>
      <x:c r="D1285" s="10" t="str">
        <x:v>用户资料卡-普通观众（普通观众视角）</x:v>
      </x:c>
      <x:c r="E1285" s="10" t="str">
        <x:v>功能需求</x:v>
      </x:c>
      <x:c r="F1285" s="10" t="str">
        <x:v>P2</x:v>
      </x:c>
      <x:c r="G1285" s="9" t="str">
        <x:v>验证观众资料卡字段：资料头像</x:v>
      </x:c>
      <x:c r="H1285" s="9" t="str">
        <x:v>资料头像</x:v>
      </x:c>
      <x:c r="I1285" s="9" t="str">
        <x:v>1. 执行角色为普通观众；当前处于用户资料卡-普通观众页面
2. 目标A头像P、昵称QA观众、ID2001、财富5级且有当前主播有效团籍</x:v>
      </x:c>
      <x:c r="J1285" s="9" t="str">
        <x:v>1. 查看A资料卡</x:v>
      </x:c>
      <x:c r="K1285" s="9" t="str">
        <x:v>显示A头像P</x:v>
      </x:c>
      <x:c r="L1285" s="10" t="str"/>
      <x:c r="M1285" s="10" t="str">
        <x:v>未测</x:v>
      </x:c>
      <x:c r="N1285" s="10" t="str"/>
      <x:c r="O1285" s="9" t="str">
        <x:v>1. 来源（当前证据）：liveshow-proto/MainBasis/统一需求文档.md；位置：行1688、行1687
2. 规则：BR-187ab4d000ef6866
3. 未动态验证</x:v>
      </x:c>
    </x:row>
    <x:row r="1286" ht="85" customHeight="1">
      <x:c r="A1286" s="10" t="n">
        <x:v>1285</x:v>
      </x:c>
      <x:c r="B1286" s="10" t="str">
        <x:v>USER-03-0285</x:v>
      </x:c>
      <x:c r="C1286" s="10" t="str">
        <x:v>直播</x:v>
      </x:c>
      <x:c r="D1286" s="10" t="str">
        <x:v>用户资料卡-普通观众（普通观众视角）</x:v>
      </x:c>
      <x:c r="E1286" s="10" t="str">
        <x:v>功能需求</x:v>
      </x:c>
      <x:c r="F1286" s="10" t="str">
        <x:v>P2</x:v>
      </x:c>
      <x:c r="G1286" s="9" t="str">
        <x:v>验证观众资料卡字段：资料昵称</x:v>
      </x:c>
      <x:c r="H1286" s="9" t="str">
        <x:v>资料昵称</x:v>
      </x:c>
      <x:c r="I1286" s="9" t="str">
        <x:v>1. 执行角色为普通观众；当前处于用户资料卡-普通观众页面
2. 目标A头像P、昵称QA观众、ID2001、财富5级且有当前主播有效团籍</x:v>
      </x:c>
      <x:c r="J1286" s="9" t="str">
        <x:v>1. 查看A资料卡</x:v>
      </x:c>
      <x:c r="K1286" s="9" t="str">
        <x:v>显示QA观众</x:v>
      </x:c>
      <x:c r="L1286" s="10" t="str"/>
      <x:c r="M1286" s="10" t="str">
        <x:v>未测</x:v>
      </x:c>
      <x:c r="N1286" s="10" t="str"/>
      <x:c r="O1286" s="9" t="str">
        <x:v>1. 来源（当前证据）：liveshow-proto/MainBasis/统一需求文档.md；位置：行1688、行1687
2. 规则：BR-41369346ceafe8f9
3. 未动态验证</x:v>
      </x:c>
    </x:row>
    <x:row r="1287" ht="85" customHeight="1">
      <x:c r="A1287" s="10" t="n">
        <x:v>1286</x:v>
      </x:c>
      <x:c r="B1287" s="10" t="str">
        <x:v>USER-03-0286</x:v>
      </x:c>
      <x:c r="C1287" s="10" t="str">
        <x:v>直播</x:v>
      </x:c>
      <x:c r="D1287" s="10" t="str">
        <x:v>用户资料卡-普通观众（普通观众视角）</x:v>
      </x:c>
      <x:c r="E1287" s="10" t="str">
        <x:v>功能需求</x:v>
      </x:c>
      <x:c r="F1287" s="10" t="str">
        <x:v>P2</x:v>
      </x:c>
      <x:c r="G1287" s="9" t="str">
        <x:v>验证观众资料卡字段：资料ID</x:v>
      </x:c>
      <x:c r="H1287" s="9" t="str">
        <x:v>资料ID</x:v>
      </x:c>
      <x:c r="I1287" s="9" t="str">
        <x:v>1. 执行角色为普通观众；当前处于用户资料卡-普通观众页面
2. 目标A头像P、昵称QA观众、ID2001、财富5级且有当前主播有效团籍</x:v>
      </x:c>
      <x:c r="J1287" s="9" t="str">
        <x:v>1. 查看A资料卡</x:v>
      </x:c>
      <x:c r="K1287" s="9" t="str">
        <x:v>显示ID2001</x:v>
      </x:c>
      <x:c r="L1287" s="10" t="str"/>
      <x:c r="M1287" s="10" t="str">
        <x:v>未测</x:v>
      </x:c>
      <x:c r="N1287" s="10" t="str"/>
      <x:c r="O1287" s="9" t="str">
        <x:v>1. 来源（当前证据）：liveshow-proto/MainBasis/统一需求文档.md；位置：行1688、行1687
2. 规则：BR-cfa3cfd49b334962
3. 未动态验证</x:v>
      </x:c>
    </x:row>
    <x:row r="1288" ht="85" customHeight="1">
      <x:c r="A1288" s="10" t="n">
        <x:v>1287</x:v>
      </x:c>
      <x:c r="B1288" s="10" t="str">
        <x:v>USER-03-0287</x:v>
      </x:c>
      <x:c r="C1288" s="10" t="str">
        <x:v>直播</x:v>
      </x:c>
      <x:c r="D1288" s="10" t="str">
        <x:v>用户资料卡-普通观众（普通观众视角）</x:v>
      </x:c>
      <x:c r="E1288" s="10" t="str">
        <x:v>功能需求</x:v>
      </x:c>
      <x:c r="F1288" s="10" t="str">
        <x:v>P2</x:v>
      </x:c>
      <x:c r="G1288" s="9" t="str">
        <x:v>验证观众资料卡字段：资料财富等级</x:v>
      </x:c>
      <x:c r="H1288" s="9" t="str">
        <x:v>资料财富等级</x:v>
      </x:c>
      <x:c r="I1288" s="9" t="str">
        <x:v>1. 执行角色为普通观众；当前处于用户资料卡-普通观众页面
2. 目标A头像P、昵称QA观众、ID2001、财富5级且有当前主播有效团籍</x:v>
      </x:c>
      <x:c r="J1288" s="9" t="str">
        <x:v>1. 查看A资料卡</x:v>
      </x:c>
      <x:c r="K1288" s="9" t="str">
        <x:v>显示财富5级</x:v>
      </x:c>
      <x:c r="L1288" s="10" t="str"/>
      <x:c r="M1288" s="10" t="str">
        <x:v>未测</x:v>
      </x:c>
      <x:c r="N1288" s="10" t="str"/>
      <x:c r="O1288" s="9" t="str">
        <x:v>1. 来源（当前证据）：liveshow-proto/MainBasis/统一需求文档.md；位置：行1688、行1687
2. 规则：BR-b6b6e67fd73cfe84
3. 未动态验证</x:v>
      </x:c>
    </x:row>
    <x:row r="1289" ht="85" customHeight="1">
      <x:c r="A1289" s="10" t="n">
        <x:v>1288</x:v>
      </x:c>
      <x:c r="B1289" s="10" t="str">
        <x:v>USER-03-0288</x:v>
      </x:c>
      <x:c r="C1289" s="10" t="str">
        <x:v>直播</x:v>
      </x:c>
      <x:c r="D1289" s="10" t="str">
        <x:v>用户资料卡-普通观众（普通观众视角）</x:v>
      </x:c>
      <x:c r="E1289" s="10" t="str">
        <x:v>功能需求</x:v>
      </x:c>
      <x:c r="F1289" s="10" t="str">
        <x:v>P2</x:v>
      </x:c>
      <x:c r="G1289" s="9" t="str">
        <x:v>验证观众资料卡字段：资料团籍身份</x:v>
      </x:c>
      <x:c r="H1289" s="9" t="str">
        <x:v>资料团籍身份</x:v>
      </x:c>
      <x:c r="I1289" s="9" t="str">
        <x:v>1. 执行角色为普通观众；当前处于用户资料卡-普通观众页面
2. 目标A头像P、昵称QA观众、ID2001、财富5级且有当前主播有效团籍</x:v>
      </x:c>
      <x:c r="J1289" s="9" t="str">
        <x:v>1. 查看A资料卡</x:v>
      </x:c>
      <x:c r="K1289" s="9" t="str">
        <x:v>显示当前主播粉丝团身份</x:v>
      </x:c>
      <x:c r="L1289" s="10" t="str"/>
      <x:c r="M1289" s="10" t="str">
        <x:v>未测</x:v>
      </x:c>
      <x:c r="N1289" s="10" t="str"/>
      <x:c r="O1289" s="9" t="str">
        <x:v>1. 来源（当前证据）：liveshow-proto/MainBasis/统一需求文档.md；位置：行1688、行1687
2. 规则：BR-48a997904527867d
3. 未动态验证</x:v>
      </x:c>
    </x:row>
    <x:row r="1290" ht="85" customHeight="1">
      <x:c r="A1290" s="10" t="n">
        <x:v>1289</x:v>
      </x:c>
      <x:c r="B1290" s="10" t="str">
        <x:v>USER-03-0289</x:v>
      </x:c>
      <x:c r="C1290" s="10" t="str">
        <x:v>直播</x:v>
      </x:c>
      <x:c r="D1290" s="10" t="str">
        <x:v>观众资料卡-主播（本场主播视角）</x:v>
      </x:c>
      <x:c r="E1290" s="10" t="str">
        <x:v>功能需求</x:v>
      </x:c>
      <x:c r="F1290" s="10" t="str">
        <x:v>P2</x:v>
      </x:c>
      <x:c r="G1290" s="9" t="str">
        <x:v>验证主播权限资料卡字段：资料头像</x:v>
      </x:c>
      <x:c r="H1290" s="9" t="str">
        <x:v>资料头像</x:v>
      </x:c>
      <x:c r="I1290" s="9" t="str">
        <x:v>1. 执行角色为本场主播；当前处于观众资料卡-主播页面
2. 目标A头像P、昵称QA观众、ID2001、财富5级且有当前主播有效团籍</x:v>
      </x:c>
      <x:c r="J1290" s="9" t="str">
        <x:v>1. 查看A资料卡</x:v>
      </x:c>
      <x:c r="K1290" s="9" t="str">
        <x:v>显示A头像P</x:v>
      </x:c>
      <x:c r="L1290" s="10" t="str"/>
      <x:c r="M1290" s="10" t="str">
        <x:v>未测</x:v>
      </x:c>
      <x:c r="N1290" s="10" t="str"/>
      <x:c r="O1290" s="9" t="str">
        <x:v>1. 来源（当前证据）：liveshow-proto/MainBasis/统一需求文档.md；位置：行1798、行1797
2. 规则：BR-ee958f87f1e36c29
3. 未动态验证</x:v>
      </x:c>
    </x:row>
    <x:row r="1291" ht="85" customHeight="1">
      <x:c r="A1291" s="10" t="n">
        <x:v>1290</x:v>
      </x:c>
      <x:c r="B1291" s="10" t="str">
        <x:v>USER-03-0290</x:v>
      </x:c>
      <x:c r="C1291" s="10" t="str">
        <x:v>直播</x:v>
      </x:c>
      <x:c r="D1291" s="10" t="str">
        <x:v>观众资料卡-主播（本场主播视角）</x:v>
      </x:c>
      <x:c r="E1291" s="10" t="str">
        <x:v>功能需求</x:v>
      </x:c>
      <x:c r="F1291" s="10" t="str">
        <x:v>P2</x:v>
      </x:c>
      <x:c r="G1291" s="9" t="str">
        <x:v>验证主播权限资料卡字段：资料昵称</x:v>
      </x:c>
      <x:c r="H1291" s="9" t="str">
        <x:v>资料昵称</x:v>
      </x:c>
      <x:c r="I1291" s="9" t="str">
        <x:v>1. 执行角色为本场主播；当前处于观众资料卡-主播页面
2. 目标A头像P、昵称QA观众、ID2001、财富5级且有当前主播有效团籍</x:v>
      </x:c>
      <x:c r="J1291" s="9" t="str">
        <x:v>1. 查看A资料卡</x:v>
      </x:c>
      <x:c r="K1291" s="9" t="str">
        <x:v>显示QA观众</x:v>
      </x:c>
      <x:c r="L1291" s="10" t="str"/>
      <x:c r="M1291" s="10" t="str">
        <x:v>未测</x:v>
      </x:c>
      <x:c r="N1291" s="10" t="str"/>
      <x:c r="O1291" s="9" t="str">
        <x:v>1. 来源（当前证据）：liveshow-proto/MainBasis/统一需求文档.md；位置：行1798、行1797
2. 规则：BR-4802df2aa6f127d0
3. 未动态验证</x:v>
      </x:c>
    </x:row>
    <x:row r="1292" ht="85" customHeight="1">
      <x:c r="A1292" s="10" t="n">
        <x:v>1291</x:v>
      </x:c>
      <x:c r="B1292" s="10" t="str">
        <x:v>USER-03-0291</x:v>
      </x:c>
      <x:c r="C1292" s="10" t="str">
        <x:v>直播</x:v>
      </x:c>
      <x:c r="D1292" s="10" t="str">
        <x:v>观众资料卡-主播（本场主播视角）</x:v>
      </x:c>
      <x:c r="E1292" s="10" t="str">
        <x:v>功能需求</x:v>
      </x:c>
      <x:c r="F1292" s="10" t="str">
        <x:v>P2</x:v>
      </x:c>
      <x:c r="G1292" s="9" t="str">
        <x:v>验证主播权限资料卡字段：资料ID</x:v>
      </x:c>
      <x:c r="H1292" s="9" t="str">
        <x:v>资料ID</x:v>
      </x:c>
      <x:c r="I1292" s="9" t="str">
        <x:v>1. 执行角色为本场主播；当前处于观众资料卡-主播页面
2. 目标A头像P、昵称QA观众、ID2001、财富5级且有当前主播有效团籍</x:v>
      </x:c>
      <x:c r="J1292" s="9" t="str">
        <x:v>1. 查看A资料卡</x:v>
      </x:c>
      <x:c r="K1292" s="9" t="str">
        <x:v>显示ID2001</x:v>
      </x:c>
      <x:c r="L1292" s="10" t="str"/>
      <x:c r="M1292" s="10" t="str">
        <x:v>未测</x:v>
      </x:c>
      <x:c r="N1292" s="10" t="str"/>
      <x:c r="O1292" s="9" t="str">
        <x:v>1. 来源（当前证据）：liveshow-proto/MainBasis/统一需求文档.md；位置：行1798、行1797
2. 规则：BR-a21cf8e96cb7e875
3. 未动态验证</x:v>
      </x:c>
    </x:row>
    <x:row r="1293" ht="85" customHeight="1">
      <x:c r="A1293" s="10" t="n">
        <x:v>1292</x:v>
      </x:c>
      <x:c r="B1293" s="10" t="str">
        <x:v>USER-03-0292</x:v>
      </x:c>
      <x:c r="C1293" s="10" t="str">
        <x:v>直播</x:v>
      </x:c>
      <x:c r="D1293" s="10" t="str">
        <x:v>观众资料卡-主播（本场主播视角）</x:v>
      </x:c>
      <x:c r="E1293" s="10" t="str">
        <x:v>功能需求</x:v>
      </x:c>
      <x:c r="F1293" s="10" t="str">
        <x:v>P2</x:v>
      </x:c>
      <x:c r="G1293" s="9" t="str">
        <x:v>验证主播权限资料卡字段：资料财富等级</x:v>
      </x:c>
      <x:c r="H1293" s="9" t="str">
        <x:v>资料财富等级</x:v>
      </x:c>
      <x:c r="I1293" s="9" t="str">
        <x:v>1. 执行角色为本场主播；当前处于观众资料卡-主播页面
2. 目标A头像P、昵称QA观众、ID2001、财富5级且有当前主播有效团籍</x:v>
      </x:c>
      <x:c r="J1293" s="9" t="str">
        <x:v>1. 查看A资料卡</x:v>
      </x:c>
      <x:c r="K1293" s="9" t="str">
        <x:v>显示财富5级</x:v>
      </x:c>
      <x:c r="L1293" s="10" t="str"/>
      <x:c r="M1293" s="10" t="str">
        <x:v>未测</x:v>
      </x:c>
      <x:c r="N1293" s="10" t="str"/>
      <x:c r="O1293" s="9" t="str">
        <x:v>1. 来源（当前证据）：liveshow-proto/MainBasis/统一需求文档.md；位置：行1798、行1797
2. 规则：BR-75302c535b36d079
3. 未动态验证</x:v>
      </x:c>
    </x:row>
    <x:row r="1294" ht="85" customHeight="1">
      <x:c r="A1294" s="10" t="n">
        <x:v>1293</x:v>
      </x:c>
      <x:c r="B1294" s="10" t="str">
        <x:v>USER-03-0293</x:v>
      </x:c>
      <x:c r="C1294" s="10" t="str">
        <x:v>直播</x:v>
      </x:c>
      <x:c r="D1294" s="10" t="str">
        <x:v>观众资料卡-主播（本场主播视角）</x:v>
      </x:c>
      <x:c r="E1294" s="10" t="str">
        <x:v>功能需求</x:v>
      </x:c>
      <x:c r="F1294" s="10" t="str">
        <x:v>P2</x:v>
      </x:c>
      <x:c r="G1294" s="9" t="str">
        <x:v>验证主播权限资料卡字段：资料团籍身份</x:v>
      </x:c>
      <x:c r="H1294" s="9" t="str">
        <x:v>资料团籍身份</x:v>
      </x:c>
      <x:c r="I1294" s="9" t="str">
        <x:v>1. 执行角色为本场主播；当前处于观众资料卡-主播页面
2. 目标A头像P、昵称QA观众、ID2001、财富5级且有当前主播有效团籍</x:v>
      </x:c>
      <x:c r="J1294" s="9" t="str">
        <x:v>1. 查看A资料卡</x:v>
      </x:c>
      <x:c r="K1294" s="9" t="str">
        <x:v>显示当前主播粉丝团身份</x:v>
      </x:c>
      <x:c r="L1294" s="10" t="str"/>
      <x:c r="M1294" s="10" t="str">
        <x:v>未测</x:v>
      </x:c>
      <x:c r="N1294" s="10" t="str"/>
      <x:c r="O1294" s="9" t="str">
        <x:v>1. 来源（当前证据）：liveshow-proto/MainBasis/统一需求文档.md；位置：行1798、行1797
2. 规则：BR-db7d6348e4b18858
3. 未动态验证</x:v>
      </x:c>
    </x:row>
    <x:row r="1295" ht="85" customHeight="1">
      <x:c r="A1295" s="10" t="n">
        <x:v>1294</x:v>
      </x:c>
      <x:c r="B1295" s="10" t="str">
        <x:v>USER-03-0294</x:v>
      </x:c>
      <x:c r="C1295" s="10" t="str">
        <x:v>直播</x:v>
      </x:c>
      <x:c r="D1295" s="10" t="str">
        <x:v>观众资料卡-主播（本场主播视角）</x:v>
      </x:c>
      <x:c r="E1295" s="10" t="str">
        <x:v>功能需求</x:v>
      </x:c>
      <x:c r="F1295" s="10" t="str">
        <x:v>P1</x:v>
      </x:c>
      <x:c r="G1295" s="9" t="str">
        <x:v>验证资料卡长期房管身份</x:v>
      </x:c>
      <x:c r="H1295" s="9" t="str">
        <x:v>跨场次房管身份</x:v>
      </x:c>
      <x:c r="I1295" s="9" t="str">
        <x:v>1. 执行角色为本场主播；当前处于观众资料卡-主播页面
2. A前一场已获授权，本场未取消</x:v>
      </x:c>
      <x:c r="J1295" s="9" t="str">
        <x:v>1. 查看A资料卡</x:v>
      </x:c>
      <x:c r="K1295" s="9" t="str">
        <x:v>显示A仍为本主播房管</x:v>
      </x:c>
      <x:c r="L1295" s="10" t="str"/>
      <x:c r="M1295" s="10" t="str">
        <x:v>未测</x:v>
      </x:c>
      <x:c r="N1295" s="10" t="str"/>
      <x:c r="O1295" s="9" t="str">
        <x:v>1. 来源（当前证据）：liveshow-proto/MainBasis/统一需求文档.md；位置：行1799、行1797
2. 规则：BR-1bc3fd75fb5e7543
3. 未动态验证</x:v>
      </x:c>
    </x:row>
    <x:row r="1296" ht="85" customHeight="1">
      <x:c r="A1296" s="10" t="n">
        <x:v>1295</x:v>
      </x:c>
      <x:c r="B1296" s="10" t="str">
        <x:v>USER-03-0295</x:v>
      </x:c>
      <x:c r="C1296" s="10" t="str">
        <x:v>直播</x:v>
      </x:c>
      <x:c r="D1296" s="10" t="str">
        <x:v>快捷答谢（本场主播视角）</x:v>
      </x:c>
      <x:c r="E1296" s="10" t="str">
        <x:v>功能需求</x:v>
      </x:c>
      <x:c r="F1296" s="10" t="str">
        <x:v>P2</x:v>
      </x:c>
      <x:c r="G1296" s="9" t="str">
        <x:v>验证答谢目标昵称</x:v>
      </x:c>
      <x:c r="H1296" s="9" t="str">
        <x:v>答谢昵称前缀</x:v>
      </x:c>
      <x:c r="I1296" s="9" t="str">
        <x:v>1. 执行角色为本场主播；当前处于快捷答谢页面
2. 当前答谢账号昵称QA观众</x:v>
      </x:c>
      <x:c r="J1296" s="9" t="str">
        <x:v>1. 查看答谢预填内容</x:v>
      </x:c>
      <x:c r="K1296" s="9" t="str">
        <x:v>显示以@QA观众开头</x:v>
      </x:c>
      <x:c r="L1296" s="10" t="str"/>
      <x:c r="M1296" s="10" t="str">
        <x:v>未测</x:v>
      </x:c>
      <x:c r="N1296" s="10" t="str"/>
      <x:c r="O1296" s="9" t="str">
        <x:v>1. 来源（当前证据）：liveshow-proto/MainBasis/统一需求文档.md；位置：行1810、行1809
2. 规则：BR-0eab4f075b13f4ae
3. 未动态验证</x:v>
      </x:c>
    </x:row>
    <x:row r="1297" ht="85" customHeight="1">
      <x:c r="A1297" s="10" t="n">
        <x:v>1296</x:v>
      </x:c>
      <x:c r="B1297" s="10" t="str">
        <x:v>USER-03-0296</x:v>
      </x:c>
      <x:c r="C1297" s="10" t="str">
        <x:v>直播</x:v>
      </x:c>
      <x:c r="D1297" s="10" t="str">
        <x:v>连麦主播（本场主播视角）</x:v>
      </x:c>
      <x:c r="E1297" s="10" t="str">
        <x:v>功能需求</x:v>
      </x:c>
      <x:c r="F1297" s="10" t="str">
        <x:v>P2</x:v>
      </x:c>
      <x:c r="G1297" s="9" t="str">
        <x:v>验证连麦列表主播资料：连麦头像</x:v>
      </x:c>
      <x:c r="H1297" s="9" t="str">
        <x:v>连麦头像</x:v>
      </x:c>
      <x:c r="I1297" s="9" t="str">
        <x:v>1. 执行角色为本场主播；当前处于连麦主播页面
2. 目标B普通房在播，未连麦且未拉黑，昵称QA主播、ID3001、头像P</x:v>
      </x:c>
      <x:c r="J1297" s="9" t="str">
        <x:v>1. 查看B主播行</x:v>
      </x:c>
      <x:c r="K1297" s="9" t="str">
        <x:v>显示头像P</x:v>
      </x:c>
      <x:c r="L1297" s="10" t="str"/>
      <x:c r="M1297" s="10" t="str">
        <x:v>未测</x:v>
      </x:c>
      <x:c r="N1297" s="10" t="str"/>
      <x:c r="O1297" s="9" t="str">
        <x:v>1. 来源（当前证据）：liveshow-proto/MainBasis/统一需求文档.md；位置：行1825、行1824
2. 规则：BR-e0a8fb6b3ba2a2ee
3. 未动态验证</x:v>
      </x:c>
    </x:row>
    <x:row r="1298" ht="85" customHeight="1">
      <x:c r="A1298" s="10" t="n">
        <x:v>1297</x:v>
      </x:c>
      <x:c r="B1298" s="10" t="str">
        <x:v>USER-03-0297</x:v>
      </x:c>
      <x:c r="C1298" s="10" t="str">
        <x:v>直播</x:v>
      </x:c>
      <x:c r="D1298" s="10" t="str">
        <x:v>连麦主播（本场主播视角）</x:v>
      </x:c>
      <x:c r="E1298" s="10" t="str">
        <x:v>功能需求</x:v>
      </x:c>
      <x:c r="F1298" s="10" t="str">
        <x:v>P2</x:v>
      </x:c>
      <x:c r="G1298" s="9" t="str">
        <x:v>验证连麦列表主播资料：连麦昵称</x:v>
      </x:c>
      <x:c r="H1298" s="9" t="str">
        <x:v>连麦昵称</x:v>
      </x:c>
      <x:c r="I1298" s="9" t="str">
        <x:v>1. 执行角色为本场主播；当前处于连麦主播页面
2. 目标B普通房在播，未连麦且未拉黑，昵称QA主播、ID3001、头像P</x:v>
      </x:c>
      <x:c r="J1298" s="9" t="str">
        <x:v>1. 查看B主播行</x:v>
      </x:c>
      <x:c r="K1298" s="9" t="str">
        <x:v>显示昵称QA主播</x:v>
      </x:c>
      <x:c r="L1298" s="10" t="str"/>
      <x:c r="M1298" s="10" t="str">
        <x:v>未测</x:v>
      </x:c>
      <x:c r="N1298" s="10" t="str"/>
      <x:c r="O1298" s="9" t="str">
        <x:v>1. 来源（当前证据）：liveshow-proto/MainBasis/统一需求文档.md；位置：行1825、行1824
2. 规则：BR-895e23d1e9ed2164
3. 未动态验证</x:v>
      </x:c>
    </x:row>
    <x:row r="1299" ht="85" customHeight="1">
      <x:c r="A1299" s="10" t="n">
        <x:v>1298</x:v>
      </x:c>
      <x:c r="B1299" s="10" t="str">
        <x:v>USER-03-0298</x:v>
      </x:c>
      <x:c r="C1299" s="10" t="str">
        <x:v>直播</x:v>
      </x:c>
      <x:c r="D1299" s="10" t="str">
        <x:v>连麦主播（本场主播视角）</x:v>
      </x:c>
      <x:c r="E1299" s="10" t="str">
        <x:v>功能需求</x:v>
      </x:c>
      <x:c r="F1299" s="10" t="str">
        <x:v>P2</x:v>
      </x:c>
      <x:c r="G1299" s="9" t="str">
        <x:v>验证连麦列表主播资料：连麦主播ID</x:v>
      </x:c>
      <x:c r="H1299" s="9" t="str">
        <x:v>连麦主播ID</x:v>
      </x:c>
      <x:c r="I1299" s="9" t="str">
        <x:v>1. 执行角色为本场主播；当前处于连麦主播页面
2. 目标B普通房在播，未连麦且未拉黑，昵称QA主播、ID3001、头像P</x:v>
      </x:c>
      <x:c r="J1299" s="9" t="str">
        <x:v>1. 查看B主播行</x:v>
      </x:c>
      <x:c r="K1299" s="9" t="str">
        <x:v>显示ID3001</x:v>
      </x:c>
      <x:c r="L1299" s="10" t="str"/>
      <x:c r="M1299" s="10" t="str">
        <x:v>未测</x:v>
      </x:c>
      <x:c r="N1299" s="10" t="str"/>
      <x:c r="O1299" s="9" t="str">
        <x:v>1. 来源（当前证据）：liveshow-proto/MainBasis/统一需求文档.md；位置：行1825、行1824
2. 规则：BR-a0f72e737a35df8a
3. 未动态验证</x:v>
      </x:c>
    </x:row>
    <x:row r="1300" ht="85" customHeight="1">
      <x:c r="A1300" s="10" t="n">
        <x:v>1299</x:v>
      </x:c>
      <x:c r="B1300" s="10" t="str">
        <x:v>USER-03-0299</x:v>
      </x:c>
      <x:c r="C1300" s="10" t="str">
        <x:v>直播</x:v>
      </x:c>
      <x:c r="D1300" s="10" t="str">
        <x:v>连麦主播（本场主播视角）</x:v>
      </x:c>
      <x:c r="E1300" s="10" t="str">
        <x:v>功能需求</x:v>
      </x:c>
      <x:c r="F1300" s="10" t="str">
        <x:v>P2</x:v>
      </x:c>
      <x:c r="G1300" s="9" t="str">
        <x:v>验证连麦列表主播资料：连麦直播状态</x:v>
      </x:c>
      <x:c r="H1300" s="9" t="str">
        <x:v>连麦直播状态</x:v>
      </x:c>
      <x:c r="I1300" s="9" t="str">
        <x:v>1. 执行角色为本场主播；当前处于连麦主播页面
2. 目标B普通房在播，未连麦且未拉黑，昵称QA主播、ID3001、头像P</x:v>
      </x:c>
      <x:c r="J1300" s="9" t="str">
        <x:v>1. 查看B主播行</x:v>
      </x:c>
      <x:c r="K1300" s="9" t="str">
        <x:v>显示B在播</x:v>
      </x:c>
      <x:c r="L1300" s="10" t="str"/>
      <x:c r="M1300" s="10" t="str">
        <x:v>未测</x:v>
      </x:c>
      <x:c r="N1300" s="10" t="str"/>
      <x:c r="O1300" s="9" t="str">
        <x:v>1. 来源（当前证据）：liveshow-proto/MainBasis/统一需求文档.md；位置：行1825、行1824
2. 规则：BR-36ecb4ebb98754eb
3. 未动态验证</x:v>
      </x:c>
    </x:row>
    <x:row r="1301" ht="85" customHeight="1">
      <x:c r="A1301" s="10" t="n">
        <x:v>1300</x:v>
      </x:c>
      <x:c r="B1301" s="10" t="str">
        <x:v>USER-03-0300</x:v>
      </x:c>
      <x:c r="C1301" s="10" t="str">
        <x:v>直播</x:v>
      </x:c>
      <x:c r="D1301" s="10" t="str">
        <x:v>连麦主播-搜索结果（本场主播视角）</x:v>
      </x:c>
      <x:c r="E1301" s="10" t="str">
        <x:v>功能需求</x:v>
      </x:c>
      <x:c r="F1301" s="10" t="str">
        <x:v>P2</x:v>
      </x:c>
      <x:c r="G1301" s="9" t="str">
        <x:v>验证连麦搜索结果身份：搜索主播身份</x:v>
      </x:c>
      <x:c r="H1301" s="9" t="str">
        <x:v>搜索主播身份</x:v>
      </x:c>
      <x:c r="I1301" s="9" t="str">
        <x:v>1. 执行角色为本场主播；当前处于连麦主播-搜索结果页面
2. 搜索命中可邀请的普通房主播B</x:v>
      </x:c>
      <x:c r="J1301" s="9" t="str">
        <x:v>1. 查看B搜索结果</x:v>
      </x:c>
      <x:c r="K1301" s="9" t="str">
        <x:v>显示B主播身份</x:v>
      </x:c>
      <x:c r="L1301" s="10" t="str"/>
      <x:c r="M1301" s="10" t="str">
        <x:v>未测</x:v>
      </x:c>
      <x:c r="N1301" s="10" t="str"/>
      <x:c r="O1301" s="9" t="str">
        <x:v>1. 来源（当前证据）：liveshow-proto/MainBasis/统一需求文档.md；位置：行1836、行1834
2. 规则：BR-c99b6d978e7b7c8d
3. 未动态验证</x:v>
      </x:c>
    </x:row>
    <x:row r="1302" ht="85" customHeight="1">
      <x:c r="A1302" s="10" t="n">
        <x:v>1301</x:v>
      </x:c>
      <x:c r="B1302" s="10" t="str">
        <x:v>USER-03-0301</x:v>
      </x:c>
      <x:c r="C1302" s="10" t="str">
        <x:v>直播</x:v>
      </x:c>
      <x:c r="D1302" s="10" t="str">
        <x:v>连麦主播-搜索结果（本场主播视角）</x:v>
      </x:c>
      <x:c r="E1302" s="10" t="str">
        <x:v>功能需求</x:v>
      </x:c>
      <x:c r="F1302" s="10" t="str">
        <x:v>P2</x:v>
      </x:c>
      <x:c r="G1302" s="9" t="str">
        <x:v>验证连麦搜索结果身份：搜索直播状态</x:v>
      </x:c>
      <x:c r="H1302" s="9" t="str">
        <x:v>搜索直播状态</x:v>
      </x:c>
      <x:c r="I1302" s="9" t="str">
        <x:v>1. 执行角色为本场主播；当前处于连麦主播-搜索结果页面
2. 搜索命中可邀请的普通房主播B</x:v>
      </x:c>
      <x:c r="J1302" s="9" t="str">
        <x:v>1. 查看B搜索结果</x:v>
      </x:c>
      <x:c r="K1302" s="9" t="str">
        <x:v>显示B在播</x:v>
      </x:c>
      <x:c r="L1302" s="10" t="str"/>
      <x:c r="M1302" s="10" t="str">
        <x:v>未测</x:v>
      </x:c>
      <x:c r="N1302" s="10" t="str"/>
      <x:c r="O1302" s="9" t="str">
        <x:v>1. 来源（当前证据）：liveshow-proto/MainBasis/统一需求文档.md；位置：行1836、行1834
2. 规则：BR-1d823a96c897ee4b
3. 未动态验证</x:v>
      </x:c>
    </x:row>
    <x:row r="1303" ht="85" customHeight="1">
      <x:c r="A1303" s="10" t="n">
        <x:v>1302</x:v>
      </x:c>
      <x:c r="B1303" s="10" t="str">
        <x:v>USER-03-0302</x:v>
      </x:c>
      <x:c r="C1303" s="10" t="str">
        <x:v>直播</x:v>
      </x:c>
      <x:c r="D1303" s="10" t="str">
        <x:v>连麦主播-搜索结果（本场主播视角）</x:v>
      </x:c>
      <x:c r="E1303" s="10" t="str">
        <x:v>功能需求</x:v>
      </x:c>
      <x:c r="F1303" s="10" t="str">
        <x:v>P2</x:v>
      </x:c>
      <x:c r="G1303" s="9" t="str">
        <x:v>验证连麦搜索结果身份：搜索邀请状态</x:v>
      </x:c>
      <x:c r="H1303" s="9" t="str">
        <x:v>搜索邀请状态</x:v>
      </x:c>
      <x:c r="I1303" s="9" t="str">
        <x:v>1. 执行角色为本场主播；当前处于连麦主播-搜索结果页面
2. 搜索命中可邀请的普通房主播B</x:v>
      </x:c>
      <x:c r="J1303" s="9" t="str">
        <x:v>1. 查看B搜索结果</x:v>
      </x:c>
      <x:c r="K1303" s="9" t="str">
        <x:v>显示B可邀请</x:v>
      </x:c>
      <x:c r="L1303" s="10" t="str"/>
      <x:c r="M1303" s="10" t="str">
        <x:v>未测</x:v>
      </x:c>
      <x:c r="N1303" s="10" t="str"/>
      <x:c r="O1303" s="9" t="str">
        <x:v>1. 来源（当前证据）：liveshow-proto/MainBasis/统一需求文档.md；位置：行1836、行1834
2. 规则：BR-07a972ccf5633a91
3. 未动态验证</x:v>
      </x:c>
    </x:row>
    <x:row r="1304" ht="85" customHeight="1">
      <x:c r="A1304" s="10" t="n">
        <x:v>1303</x:v>
      </x:c>
      <x:c r="B1304" s="10" t="str">
        <x:v>USER-03-0303</x:v>
      </x:c>
      <x:c r="C1304" s="10" t="str">
        <x:v>直播</x:v>
      </x:c>
      <x:c r="D1304" s="10" t="str">
        <x:v>收到连麦邀请（受邀主播视角）</x:v>
      </x:c>
      <x:c r="E1304" s="10" t="str">
        <x:v>功能需求</x:v>
      </x:c>
      <x:c r="F1304" s="10" t="str">
        <x:v>P2</x:v>
      </x:c>
      <x:c r="G1304" s="9" t="str">
        <x:v>验证连麦邀请提示资料：邀请头像</x:v>
      </x:c>
      <x:c r="H1304" s="9" t="str">
        <x:v>邀请头像</x:v>
      </x:c>
      <x:c r="I1304" s="9" t="str">
        <x:v>1. 执行角色为受邀主播；当前处于收到连麦邀请页面
2. 当前仅收到主播B的有效邀请，B昵称QA主播、头像P</x:v>
      </x:c>
      <x:c r="J1304" s="9" t="str">
        <x:v>1. 查看邀请提示</x:v>
      </x:c>
      <x:c r="K1304" s="9" t="str">
        <x:v>显示B头像P</x:v>
      </x:c>
      <x:c r="L1304" s="10" t="str"/>
      <x:c r="M1304" s="10" t="str">
        <x:v>未测</x:v>
      </x:c>
      <x:c r="N1304" s="10" t="str"/>
      <x:c r="O1304" s="9" t="str">
        <x:v>1. 来源（当前证据）：liveshow-proto/MainBasis/统一需求文档.md；位置：行1842、行1841
2. 规则：BR-0a57565a95c37804
3. 未动态验证</x:v>
      </x:c>
    </x:row>
    <x:row r="1305" ht="85" customHeight="1">
      <x:c r="A1305" s="10" t="n">
        <x:v>1304</x:v>
      </x:c>
      <x:c r="B1305" s="10" t="str">
        <x:v>USER-03-0304</x:v>
      </x:c>
      <x:c r="C1305" s="10" t="str">
        <x:v>直播</x:v>
      </x:c>
      <x:c r="D1305" s="10" t="str">
        <x:v>收到连麦邀请（受邀主播视角）</x:v>
      </x:c>
      <x:c r="E1305" s="10" t="str">
        <x:v>功能需求</x:v>
      </x:c>
      <x:c r="F1305" s="10" t="str">
        <x:v>P2</x:v>
      </x:c>
      <x:c r="G1305" s="9" t="str">
        <x:v>验证连麦邀请提示资料：邀请昵称</x:v>
      </x:c>
      <x:c r="H1305" s="9" t="str">
        <x:v>邀请昵称</x:v>
      </x:c>
      <x:c r="I1305" s="9" t="str">
        <x:v>1. 执行角色为受邀主播；当前处于收到连麦邀请页面
2. 当前仅收到主播B的有效邀请，B昵称QA主播、头像P</x:v>
      </x:c>
      <x:c r="J1305" s="9" t="str">
        <x:v>1. 查看邀请提示</x:v>
      </x:c>
      <x:c r="K1305" s="9" t="str">
        <x:v>显示QA主播</x:v>
      </x:c>
      <x:c r="L1305" s="10" t="str"/>
      <x:c r="M1305" s="10" t="str">
        <x:v>未测</x:v>
      </x:c>
      <x:c r="N1305" s="10" t="str"/>
      <x:c r="O1305" s="9" t="str">
        <x:v>1. 来源（当前证据）：liveshow-proto/MainBasis/统一需求文档.md；位置：行1842、行1841
2. 规则：BR-ab80e4092423229b
3. 未动态验证</x:v>
      </x:c>
    </x:row>
    <x:row r="1306" ht="85" customHeight="1">
      <x:c r="A1306" s="10" t="n">
        <x:v>1305</x:v>
      </x:c>
      <x:c r="B1306" s="10" t="str">
        <x:v>USER-03-0305</x:v>
      </x:c>
      <x:c r="C1306" s="10" t="str">
        <x:v>直播</x:v>
      </x:c>
      <x:c r="D1306" s="10" t="str">
        <x:v>收到连麦邀请（受邀主播视角）</x:v>
      </x:c>
      <x:c r="E1306" s="10" t="str">
        <x:v>功能需求</x:v>
      </x:c>
      <x:c r="F1306" s="10" t="str">
        <x:v>P2</x:v>
      </x:c>
      <x:c r="G1306" s="9" t="str">
        <x:v>验证连麦邀请提示资料：邀请数量</x:v>
      </x:c>
      <x:c r="H1306" s="9" t="str">
        <x:v>邀请数量</x:v>
      </x:c>
      <x:c r="I1306" s="9" t="str">
        <x:v>1. 执行角色为受邀主播；当前处于收到连麦邀请页面
2. 当前仅收到主播B的有效邀请，B昵称QA主播、头像P</x:v>
      </x:c>
      <x:c r="J1306" s="9" t="str">
        <x:v>1. 查看邀请提示</x:v>
      </x:c>
      <x:c r="K1306" s="9" t="str">
        <x:v>显示待处理邀请数量1</x:v>
      </x:c>
      <x:c r="L1306" s="10" t="str"/>
      <x:c r="M1306" s="10" t="str">
        <x:v>未测</x:v>
      </x:c>
      <x:c r="N1306" s="10" t="str"/>
      <x:c r="O1306" s="9" t="str">
        <x:v>1. 来源（当前证据）：liveshow-proto/MainBasis/统一需求文档.md；位置：行1842、行1841
2. 规则：BR-8f42360f234ee8fa
3. 未动态验证</x:v>
      </x:c>
    </x:row>
    <x:row r="1307" ht="85" customHeight="1">
      <x:c r="A1307" s="10" t="n">
        <x:v>1306</x:v>
      </x:c>
      <x:c r="B1307" s="10" t="str">
        <x:v>USER-04-0163</x:v>
      </x:c>
      <x:c r="C1307" s="10" t="str">
        <x:v>消息与社交</x:v>
      </x:c>
      <x:c r="D1307" s="10" t="str">
        <x:v>粉丝团群聊（粉丝团成员视角）</x:v>
      </x:c>
      <x:c r="E1307" s="10" t="str">
        <x:v>功能需求</x:v>
      </x:c>
      <x:c r="F1307" s="10" t="str">
        <x:v>P2</x:v>
      </x:c>
      <x:c r="G1307" s="9" t="str">
        <x:v>验证粉丝群会话摘要：会话团名</x:v>
      </x:c>
      <x:c r="H1307" s="9" t="str">
        <x:v>会话团名</x:v>
      </x:c>
      <x:c r="I1307" s="9" t="str">
        <x:v>1. 执行角色为粉丝团成员；当前处于粉丝团群聊页面
2. 所属团名QA团、主播头像P、最后消息QA消息，当前未读3条</x:v>
      </x:c>
      <x:c r="J1307" s="9" t="str">
        <x:v>1. 查看对应群会话</x:v>
      </x:c>
      <x:c r="K1307" s="9" t="str">
        <x:v>显示团名QA团</x:v>
      </x:c>
      <x:c r="L1307" s="10" t="str"/>
      <x:c r="M1307" s="10" t="str">
        <x:v>未测</x:v>
      </x:c>
      <x:c r="N1307" s="10" t="str"/>
      <x:c r="O1307" s="9" t="str">
        <x:v>1. 来源（当前证据）：liveshow-proto/MainBasis/统一需求文档.md；位置：行1925、行1923
2. 规则：BR-d31016bc7980e1e6
3. 未动态验证</x:v>
      </x:c>
    </x:row>
    <x:row r="1308" ht="85" customHeight="1">
      <x:c r="A1308" s="10" t="n">
        <x:v>1307</x:v>
      </x:c>
      <x:c r="B1308" s="10" t="str">
        <x:v>USER-04-0164</x:v>
      </x:c>
      <x:c r="C1308" s="10" t="str">
        <x:v>消息与社交</x:v>
      </x:c>
      <x:c r="D1308" s="10" t="str">
        <x:v>粉丝团群聊（粉丝团成员视角）</x:v>
      </x:c>
      <x:c r="E1308" s="10" t="str">
        <x:v>功能需求</x:v>
      </x:c>
      <x:c r="F1308" s="10" t="str">
        <x:v>P2</x:v>
      </x:c>
      <x:c r="G1308" s="9" t="str">
        <x:v>验证粉丝群会话摘要：会话主播头像</x:v>
      </x:c>
      <x:c r="H1308" s="9" t="str">
        <x:v>会话主播头像</x:v>
      </x:c>
      <x:c r="I1308" s="9" t="str">
        <x:v>1. 执行角色为粉丝团成员；当前处于粉丝团群聊页面
2. 所属团名QA团、主播头像P、最后消息QA消息，当前未读3条</x:v>
      </x:c>
      <x:c r="J1308" s="9" t="str">
        <x:v>1. 查看对应群会话</x:v>
      </x:c>
      <x:c r="K1308" s="9" t="str">
        <x:v>显示头像P</x:v>
      </x:c>
      <x:c r="L1308" s="10" t="str"/>
      <x:c r="M1308" s="10" t="str">
        <x:v>未测</x:v>
      </x:c>
      <x:c r="N1308" s="10" t="str"/>
      <x:c r="O1308" s="9" t="str">
        <x:v>1. 来源（当前证据）：liveshow-proto/MainBasis/统一需求文档.md；位置：行1925、行1923
2. 规则：BR-2dbb967ff1cc6bdb
3. 未动态验证</x:v>
      </x:c>
    </x:row>
    <x:row r="1309" ht="85" customHeight="1">
      <x:c r="A1309" s="10" t="n">
        <x:v>1308</x:v>
      </x:c>
      <x:c r="B1309" s="10" t="str">
        <x:v>USER-04-0165</x:v>
      </x:c>
      <x:c r="C1309" s="10" t="str">
        <x:v>消息与社交</x:v>
      </x:c>
      <x:c r="D1309" s="10" t="str">
        <x:v>粉丝团群聊（粉丝团成员视角）</x:v>
      </x:c>
      <x:c r="E1309" s="10" t="str">
        <x:v>功能需求</x:v>
      </x:c>
      <x:c r="F1309" s="10" t="str">
        <x:v>P2</x:v>
      </x:c>
      <x:c r="G1309" s="9" t="str">
        <x:v>验证粉丝群会话摘要：会话最后消息</x:v>
      </x:c>
      <x:c r="H1309" s="9" t="str">
        <x:v>会话最后消息</x:v>
      </x:c>
      <x:c r="I1309" s="9" t="str">
        <x:v>1. 执行角色为粉丝团成员；当前处于粉丝团群聊页面
2. 所属团名QA团、主播头像P、最后消息QA消息，当前未读3条</x:v>
      </x:c>
      <x:c r="J1309" s="9" t="str">
        <x:v>1. 查看对应群会话</x:v>
      </x:c>
      <x:c r="K1309" s="9" t="str">
        <x:v>显示QA消息</x:v>
      </x:c>
      <x:c r="L1309" s="10" t="str"/>
      <x:c r="M1309" s="10" t="str">
        <x:v>未测</x:v>
      </x:c>
      <x:c r="N1309" s="10" t="str"/>
      <x:c r="O1309" s="9" t="str">
        <x:v>1. 来源（当前证据）：liveshow-proto/MainBasis/统一需求文档.md；位置：行1925、行1923
2. 规则：BR-5384659a27cc80fe
3. 未动态验证</x:v>
      </x:c>
    </x:row>
    <x:row r="1310" ht="85" customHeight="1">
      <x:c r="A1310" s="10" t="n">
        <x:v>1309</x:v>
      </x:c>
      <x:c r="B1310" s="10" t="str">
        <x:v>USER-04-0166</x:v>
      </x:c>
      <x:c r="C1310" s="10" t="str">
        <x:v>消息与社交</x:v>
      </x:c>
      <x:c r="D1310" s="10" t="str">
        <x:v>粉丝团群聊（粉丝团成员视角）</x:v>
      </x:c>
      <x:c r="E1310" s="10" t="str">
        <x:v>功能需求</x:v>
      </x:c>
      <x:c r="F1310" s="10" t="str">
        <x:v>P2</x:v>
      </x:c>
      <x:c r="G1310" s="9" t="str">
        <x:v>验证粉丝群会话摘要：会话未读数</x:v>
      </x:c>
      <x:c r="H1310" s="9" t="str">
        <x:v>会话未读数</x:v>
      </x:c>
      <x:c r="I1310" s="9" t="str">
        <x:v>1. 执行角色为粉丝团成员；当前处于粉丝团群聊页面
2. 所属团名QA团、主播头像P、最后消息QA消息，当前未读3条</x:v>
      </x:c>
      <x:c r="J1310" s="9" t="str">
        <x:v>1. 查看对应群会话</x:v>
      </x:c>
      <x:c r="K1310" s="9" t="str">
        <x:v>显示未读3</x:v>
      </x:c>
      <x:c r="L1310" s="10" t="str"/>
      <x:c r="M1310" s="10" t="str">
        <x:v>未测</x:v>
      </x:c>
      <x:c r="N1310" s="10" t="str"/>
      <x:c r="O1310" s="9" t="str">
        <x:v>1. 来源（当前证据）：liveshow-proto/MainBasis/统一需求文档.md；位置：行1925、行1923
2. 规则：BR-2a2c43e64db6ed83
3. 未动态验证</x:v>
      </x:c>
    </x:row>
    <x:row r="1311" ht="85" customHeight="1">
      <x:c r="A1311" s="10" t="n">
        <x:v>1310</x:v>
      </x:c>
      <x:c r="B1311" s="10" t="str">
        <x:v>USER-02-0174</x:v>
      </x:c>
      <x:c r="C1311" s="10" t="str">
        <x:v>首页与福利</x:v>
      </x:c>
      <x:c r="D1311" s="10" t="str">
        <x:v>系统通知授权弹窗（普通用户视角）</x:v>
      </x:c>
      <x:c r="E1311" s="10" t="str">
        <x:v>功能需求</x:v>
      </x:c>
      <x:c r="F1311" s="10" t="str">
        <x:v>P2</x:v>
      </x:c>
      <x:c r="G1311" s="9" t="str">
        <x:v>验证允许通知后的设备状态</x:v>
      </x:c>
      <x:c r="H1311" s="9" t="str">
        <x:v>系统通知允许状态</x:v>
      </x:c>
      <x:c r="I1311" s="9" t="str">
        <x:v>1. 执行角色为普通用户；当前处于系统通知授权弹窗页面
2. 系统授权请求已调起</x:v>
      </x:c>
      <x:c r="J1311" s="9" t="str">
        <x:v>1. 点击允许
2. 进入设置页面</x:v>
      </x:c>
      <x:c r="K1311" s="9" t="str">
        <x:v>系统通知状态为已开启</x:v>
      </x:c>
      <x:c r="L1311" s="10" t="str"/>
      <x:c r="M1311" s="10" t="str">
        <x:v>未测</x:v>
      </x:c>
      <x:c r="N1311" s="10" t="str"/>
      <x:c r="O1311" s="9" t="str">
        <x:v>1. 来源（当前证据）：liveshow-proto/MainBasis/统一需求文档.md；位置：行1549、行1448、行1543
2. 规则：BR-c1ade976f2529c5b
3. 未动态验证</x:v>
      </x:c>
    </x:row>
    <x:row r="1312" ht="85" customHeight="1">
      <x:c r="A1312" s="10" t="n">
        <x:v>1311</x:v>
      </x:c>
      <x:c r="B1312" s="10" t="str">
        <x:v>USER-02-0175</x:v>
      </x:c>
      <x:c r="C1312" s="10" t="str">
        <x:v>首页与福利</x:v>
      </x:c>
      <x:c r="D1312" s="10" t="str">
        <x:v>系统通知授权弹窗（普通用户视角）</x:v>
      </x:c>
      <x:c r="E1312" s="10" t="str">
        <x:v>功能需求</x:v>
      </x:c>
      <x:c r="F1312" s="10" t="str">
        <x:v>P2</x:v>
      </x:c>
      <x:c r="G1312" s="9" t="str">
        <x:v>验证拒绝通知后的设备状态</x:v>
      </x:c>
      <x:c r="H1312" s="9" t="str">
        <x:v>系统通知拒绝状态</x:v>
      </x:c>
      <x:c r="I1312" s="9" t="str">
        <x:v>1. 执行角色为普通用户；当前处于系统通知授权弹窗页面
2. 系统授权请求已调起</x:v>
      </x:c>
      <x:c r="J1312" s="9" t="str">
        <x:v>1. 点击不允许
2. 进入设置页面</x:v>
      </x:c>
      <x:c r="K1312" s="9" t="str">
        <x:v>系统通知状态为已拒绝</x:v>
      </x:c>
      <x:c r="L1312" s="10" t="str"/>
      <x:c r="M1312" s="10" t="str">
        <x:v>未测</x:v>
      </x:c>
      <x:c r="N1312" s="10" t="str"/>
      <x:c r="O1312" s="9" t="str">
        <x:v>1. 来源（当前证据）：liveshow-proto/MainBasis/统一需求文档.md；位置：行1549、行1448、行1543
2. 规则：BR-141a2ac8144fc9a4
3. 未动态验证</x:v>
      </x:c>
    </x:row>
    <x:row r="1313" ht="85" customHeight="1">
      <x:c r="A1313" s="10" t="n">
        <x:v>1312</x:v>
      </x:c>
      <x:c r="B1313" s="10" t="str">
        <x:v>USER-05-0240</x:v>
      </x:c>
      <x:c r="C1313" s="10" t="str">
        <x:v>我的</x:v>
      </x:c>
      <x:c r="D1313" s="10" t="str">
        <x:v>我的（已通过主播认证的用户视角）</x:v>
      </x:c>
      <x:c r="E1313" s="10" t="str">
        <x:v>功能需求</x:v>
      </x:c>
      <x:c r="F1313" s="10" t="str">
        <x:v>P1</x:v>
      </x:c>
      <x:c r="G1313" s="9" t="str">
        <x:v>验证主播身份共用个人资料</x:v>
      </x:c>
      <x:c r="H1313" s="9" t="str">
        <x:v>共用账号昵称保持</x:v>
      </x:c>
      <x:c r="I1313" s="9" t="str">
        <x:v>1. 执行角色为已通过主播认证的用户；当前处于我的页面
2. 取得主播身份前昵称QA用户、余额50；认证过程没有资产或资料变更</x:v>
      </x:c>
      <x:c r="J1313" s="9" t="str">
        <x:v>1. 查看本人资料</x:v>
      </x:c>
      <x:c r="K1313" s="9" t="str">
        <x:v>昵称仍为QA用户</x:v>
      </x:c>
      <x:c r="L1313" s="10" t="str"/>
      <x:c r="M1313" s="10" t="str">
        <x:v>未测</x:v>
      </x:c>
      <x:c r="N1313" s="10" t="str"/>
      <x:c r="O1313" s="9" t="str">
        <x:v>1. 来源（当前证据）：liveshow-proto/MainBasis/统一需求文档.md；位置：行683、行677
2. 规则：BR-d1281d2a3c2540e8
3. 未动态验证</x:v>
      </x:c>
    </x:row>
    <x:row r="1314" ht="85" customHeight="1">
      <x:c r="A1314" s="10" t="n">
        <x:v>1313</x:v>
      </x:c>
      <x:c r="B1314" s="10" t="str">
        <x:v>USER-05-0241</x:v>
      </x:c>
      <x:c r="C1314" s="10" t="str">
        <x:v>我的</x:v>
      </x:c>
      <x:c r="D1314" s="10" t="str">
        <x:v>我的（已通过主播认证的用户视角）</x:v>
      </x:c>
      <x:c r="E1314" s="10" t="str">
        <x:v>功能需求</x:v>
      </x:c>
      <x:c r="F1314" s="10" t="str">
        <x:v>P1</x:v>
      </x:c>
      <x:c r="G1314" s="9" t="str">
        <x:v>验证主播身份共用金币资产</x:v>
      </x:c>
      <x:c r="H1314" s="9" t="str">
        <x:v>资产数值</x:v>
      </x:c>
      <x:c r="I1314" s="9" t="str">
        <x:v>1. 执行角色为已通过主播认证的用户；当前处于我的页面
2. 取得主播身份前昵称QA用户、余额50；认证过程没有资产或资料变更</x:v>
      </x:c>
      <x:c r="J1314" s="9" t="str">
        <x:v>1. 查看金币余额</x:v>
      </x:c>
      <x:c r="K1314" s="9" t="str">
        <x:v>真实金币余额仍为50</x:v>
      </x:c>
      <x:c r="L1314" s="10" t="str"/>
      <x:c r="M1314" s="10" t="str">
        <x:v>未测</x:v>
      </x:c>
      <x:c r="N1314" s="10" t="str"/>
      <x:c r="O1314" s="9" t="str">
        <x:v>1. 来源（当前证据）：liveshow-proto/MainBasis/统一需求文档.md；位置：行683、行677
2. 规则：BR-572f670406667f37
3. 未动态验证</x:v>
      </x:c>
    </x:row>
    <x:row r="1315" ht="85" customHeight="1">
      <x:c r="A1315" s="10" t="n">
        <x:v>1314</x:v>
      </x:c>
      <x:c r="B1315" s="10" t="str">
        <x:v>USER-04-0167</x:v>
      </x:c>
      <x:c r="C1315" s="10" t="str">
        <x:v>消息与社交</x:v>
      </x:c>
      <x:c r="D1315" s="10" t="str">
        <x:v>粉丝列表（普通用户视角）</x:v>
      </x:c>
      <x:c r="E1315" s="10" t="str">
        <x:v>功能需求</x:v>
      </x:c>
      <x:c r="F1315" s="10" t="str">
        <x:v>P2</x:v>
      </x:c>
      <x:c r="G1315" s="9" t="str">
        <x:v>验证搜索保留原相对顺序</x:v>
      </x:c>
      <x:c r="H1315" s="9" t="str">
        <x:v>排列次序</x:v>
      </x:c>
      <x:c r="I1315" s="9" t="str">
        <x:v>1. 执行角色为普通用户；当前处于粉丝列表页面
2. 初始A排在B前，A与B昵称都含QA</x:v>
      </x:c>
      <x:c r="J1315" s="9" t="str">
        <x:v>1. 输入QA进行搜索</x:v>
      </x:c>
      <x:c r="K1315" s="9" t="str">
        <x:v>A仍排在B前</x:v>
      </x:c>
      <x:c r="L1315" s="10" t="str"/>
      <x:c r="M1315" s="10" t="str">
        <x:v>未测</x:v>
      </x:c>
      <x:c r="N1315" s="10" t="str"/>
      <x:c r="O1315" s="9" t="str">
        <x:v>1. 来源（当前证据）：liveshow-proto/MainBasis/统一需求文档.md；位置：行715、行708
2. 规则：BR-af541362ef883ef4
3. 未动态验证</x:v>
      </x:c>
    </x:row>
    <x:row r="1316" ht="85" customHeight="1">
      <x:c r="A1316" s="10" t="n">
        <x:v>1315</x:v>
      </x:c>
      <x:c r="B1316" s="10" t="str">
        <x:v>USER-04-0168</x:v>
      </x:c>
      <x:c r="C1316" s="10" t="str">
        <x:v>消息与社交</x:v>
      </x:c>
      <x:c r="D1316" s="10" t="str">
        <x:v>好友列表（普通用户视角）</x:v>
      </x:c>
      <x:c r="E1316" s="10" t="str">
        <x:v>功能需求</x:v>
      </x:c>
      <x:c r="F1316" s="10" t="str">
        <x:v>P2</x:v>
      </x:c>
      <x:c r="G1316" s="9" t="str">
        <x:v>验证搜索保留原相对顺序</x:v>
      </x:c>
      <x:c r="H1316" s="9" t="str">
        <x:v>排列次序</x:v>
      </x:c>
      <x:c r="I1316" s="9" t="str">
        <x:v>1. 执行角色为普通用户；当前处于好友列表页面
2. 初始A排在B前，A与B昵称都含QA</x:v>
      </x:c>
      <x:c r="J1316" s="9" t="str">
        <x:v>1. 输入QA进行搜索</x:v>
      </x:c>
      <x:c r="K1316" s="9" t="str">
        <x:v>A仍排在B前</x:v>
      </x:c>
      <x:c r="L1316" s="10" t="str"/>
      <x:c r="M1316" s="10" t="str">
        <x:v>未测</x:v>
      </x:c>
      <x:c r="N1316" s="10" t="str"/>
      <x:c r="O1316" s="9" t="str">
        <x:v>1. 来源（当前证据）：liveshow-proto/MainBasis/统一需求文档.md；位置：行865、行855
2. 规则：BR-57104781b43c3453
3. 未动态验证</x:v>
      </x:c>
    </x:row>
    <x:row r="1317" ht="85" customHeight="1">
      <x:c r="A1317" s="10" t="n">
        <x:v>1316</x:v>
      </x:c>
      <x:c r="B1317" s="10" t="str">
        <x:v>USER-04-0169</x:v>
      </x:c>
      <x:c r="C1317" s="10" t="str">
        <x:v>消息与社交</x:v>
      </x:c>
      <x:c r="D1317" s="10" t="str">
        <x:v>群管理（群主）（所属主播视角）</x:v>
      </x:c>
      <x:c r="E1317" s="10" t="str">
        <x:v>功能需求</x:v>
      </x:c>
      <x:c r="F1317" s="10" t="str">
        <x:v>P1</x:v>
      </x:c>
      <x:c r="G1317" s="9" t="str">
        <x:v>验证主播群免打扰只改本人</x:v>
      </x:c>
      <x:c r="H1317" s="9" t="str">
        <x:v>群免打扰设置独立性</x:v>
      </x:c>
      <x:c r="I1317" s="9" t="str">
        <x:v>1. 执行角色为所属主播；当前处于群管理（群主）页面
2. 当前免打扰关闭，成员B偏好为关闭</x:v>
      </x:c>
      <x:c r="J1317" s="9" t="str">
        <x:v>1. 启用群消息免打扰</x:v>
      </x:c>
      <x:c r="K1317" s="9" t="str">
        <x:v>本主播对此群的免打扰变为开启</x:v>
      </x:c>
      <x:c r="L1317" s="10" t="str"/>
      <x:c r="M1317" s="10" t="str">
        <x:v>未测</x:v>
      </x:c>
      <x:c r="N1317" s="10" t="str"/>
      <x:c r="O1317" s="9" t="str">
        <x:v>1. 来源（当前证据）：liveshow-proto/MainBasis/统一需求文档.md；位置：行927、行920
2. 规则：BR-60a3088e64ed130b
3. 未动态验证</x:v>
      </x:c>
    </x:row>
    <x:row r="1318" ht="85" customHeight="1">
      <x:c r="A1318" s="10" t="n">
        <x:v>1317</x:v>
      </x:c>
      <x:c r="B1318" s="10" t="str">
        <x:v>USER-03-0306</x:v>
      </x:c>
      <x:c r="C1318" s="10" t="str">
        <x:v>直播</x:v>
      </x:c>
      <x:c r="D1318" s="10" t="str">
        <x:v>观众资料卡-主播（本场主播视角）</x:v>
      </x:c>
      <x:c r="E1318" s="10" t="str">
        <x:v>功能需求</x:v>
      </x:c>
      <x:c r="F1318" s="10" t="str">
        <x:v>P1</x:v>
      </x:c>
      <x:c r="G1318" s="9" t="str">
        <x:v>验证被踢出目标不可设房管</x:v>
      </x:c>
      <x:c r="H1318" s="9" t="str">
        <x:v>入口可用性</x:v>
      </x:c>
      <x:c r="I1318" s="9" t="str">
        <x:v>1. 执行角色为本场主播；当前处于观众资料卡-主播页面
2. 目标A已被本场踢出，房管人数未满</x:v>
      </x:c>
      <x:c r="J1318" s="9" t="str">
        <x:v>1. 点击设置房管</x:v>
      </x:c>
      <x:c r="K1318" s="9" t="str">
        <x:v>不能为A新增房管身份</x:v>
      </x:c>
      <x:c r="L1318" s="10" t="str"/>
      <x:c r="M1318" s="10" t="str">
        <x:v>未测</x:v>
      </x:c>
      <x:c r="N1318" s="10" t="str"/>
      <x:c r="O1318" s="9" t="str">
        <x:v>1. 来源（当前证据）：liveshow-proto/MainBasis/统一需求文档.md；位置：行1803、行1797
2. 规则：BR-469dbd589f1e24de
3. 未动态验证</x:v>
      </x:c>
    </x:row>
    <x:row r="1319" ht="85" customHeight="1">
      <x:c r="A1319" s="10" t="n">
        <x:v>1318</x:v>
      </x:c>
      <x:c r="B1319" s="10" t="str">
        <x:v>USER-03-0307</x:v>
      </x:c>
      <x:c r="C1319" s="10" t="str">
        <x:v>直播</x:v>
      </x:c>
      <x:c r="D1319" s="10" t="str">
        <x:v>观众资料卡-主播（本场主播视角）</x:v>
      </x:c>
      <x:c r="E1319" s="10" t="str">
        <x:v>功能需求</x:v>
      </x:c>
      <x:c r="F1319" s="10" t="str">
        <x:v>P1</x:v>
      </x:c>
      <x:c r="G1319" s="9" t="str">
        <x:v>验证有效巡房目标无拉黑</x:v>
      </x:c>
      <x:c r="H1319" s="9" t="str">
        <x:v>巡房人员拉黑入口</x:v>
      </x:c>
      <x:c r="I1319" s="9" t="str">
        <x:v>1. 执行角色为本场主播；当前处于观众资料卡-主播页面
2. 目标A正处于有效巡房会话</x:v>
      </x:c>
      <x:c r="J1319" s="9" t="str">
        <x:v>1. 查看A资料卡操作</x:v>
      </x:c>
      <x:c r="K1319" s="9" t="str">
        <x:v>不展示拉黑操作</x:v>
      </x:c>
      <x:c r="L1319" s="10" t="str"/>
      <x:c r="M1319" s="10" t="str">
        <x:v>未测</x:v>
      </x:c>
      <x:c r="N1319" s="10" t="str"/>
      <x:c r="O1319" s="9" t="str">
        <x:v>1. 来源（当前证据）：liveshow-proto/MainBasis/统一需求文档.md；位置：行1805、行1797
2. 规则：BR-5a61e1077c105b8a
3. 未动态验证</x:v>
      </x:c>
    </x:row>
    <x:row r="1320" ht="85" customHeight="1">
      <x:c r="A1320" s="10" t="n">
        <x:v>1319</x:v>
      </x:c>
      <x:c r="B1320" s="10" t="str">
        <x:v>USER-03-0308</x:v>
      </x:c>
      <x:c r="C1320" s="10" t="str">
        <x:v>直播</x:v>
      </x:c>
      <x:c r="D1320" s="10" t="str">
        <x:v>观众资料卡-主播（本场主播视角）</x:v>
      </x:c>
      <x:c r="E1320" s="10" t="str">
        <x:v>功能需求</x:v>
      </x:c>
      <x:c r="F1320" s="10" t="str">
        <x:v>P1</x:v>
      </x:c>
      <x:c r="G1320" s="9" t="str">
        <x:v>验证有效巡房目标无踢出</x:v>
      </x:c>
      <x:c r="H1320" s="9" t="str">
        <x:v>巡房目标踢出入口限制</x:v>
      </x:c>
      <x:c r="I1320" s="9" t="str">
        <x:v>1. 执行角色为本场主播；当前处于观众资料卡-主播页面
2. 目标A正处于有效巡房会话</x:v>
      </x:c>
      <x:c r="J1320" s="9" t="str">
        <x:v>1. 查看A资料卡操作</x:v>
      </x:c>
      <x:c r="K1320" s="9" t="str">
        <x:v>不展示踢出操作</x:v>
      </x:c>
      <x:c r="L1320" s="10" t="str"/>
      <x:c r="M1320" s="10" t="str">
        <x:v>未测</x:v>
      </x:c>
      <x:c r="N1320" s="10" t="str"/>
      <x:c r="O1320" s="9" t="str">
        <x:v>1. 来源（当前证据）：liveshow-proto/MainBasis/统一需求文档.md；位置：行1805、行1797
2. 规则：BR-433ff86d991f6be2
3. 未动态验证</x:v>
      </x:c>
    </x:row>
    <x:row r="1321" ht="85" customHeight="1">
      <x:c r="A1321" s="10" t="n">
        <x:v>1320</x:v>
      </x:c>
      <x:c r="B1321" s="10" t="str">
        <x:v>USER-03-0309</x:v>
      </x:c>
      <x:c r="C1321" s="10" t="str">
        <x:v>直播</x:v>
      </x:c>
      <x:c r="D1321" s="10" t="str">
        <x:v>恢复发言确认（本场主播视角）</x:v>
      </x:c>
      <x:c r="E1321" s="10" t="str">
        <x:v>功能需求</x:v>
      </x:c>
      <x:c r="F1321" s="10" t="str">
        <x:v>P1</x:v>
      </x:c>
      <x:c r="G1321" s="9" t="str">
        <x:v>验证目标已恢复不重复处理</x:v>
      </x:c>
      <x:c r="H1321" s="9" t="str">
        <x:v>恢复发言重复处理限制</x:v>
      </x:c>
      <x:c r="I1321" s="9" t="str">
        <x:v>1. 执行角色为本场主播；当前处于恢复发言确认页面
2. 恢复确认弹窗打开后，A已由房管恢复发言</x:v>
      </x:c>
      <x:c r="J1321" s="9" t="str">
        <x:v>1. 点击确认恢复发言</x:v>
      </x:c>
      <x:c r="K1321" s="9" t="str">
        <x:v>不再次执行恢复操作</x:v>
      </x:c>
      <x:c r="L1321" s="10" t="str"/>
      <x:c r="M1321" s="10" t="str">
        <x:v>未测</x:v>
      </x:c>
      <x:c r="N1321" s="10" t="str"/>
      <x:c r="O1321" s="9" t="str">
        <x:v>1. 来源（当前证据）：liveshow-proto/MainBasis/统一需求文档.md；位置：行1793、行1792
2. 规则：BR-c5a751bd84180ce4
3. 未动态验证</x:v>
      </x:c>
    </x:row>
    <x:row r="1322" ht="85" customHeight="1">
      <x:c r="A1322" s="10" t="n">
        <x:v>1321</x:v>
      </x:c>
      <x:c r="B1322" s="10" t="str">
        <x:v>USER-03-0310</x:v>
      </x:c>
      <x:c r="C1322" s="10" t="str">
        <x:v>直播</x:v>
      </x:c>
      <x:c r="D1322" s="10" t="str">
        <x:v>恢复发言确认（本场主播视角）</x:v>
      </x:c>
      <x:c r="E1322" s="10" t="str">
        <x:v>功能需求</x:v>
      </x:c>
      <x:c r="F1322" s="10" t="str">
        <x:v>P1</x:v>
      </x:c>
      <x:c r="G1322" s="9" t="str">
        <x:v>验证场次已结束不恢复旧禁言</x:v>
      </x:c>
      <x:c r="H1322" s="9" t="str">
        <x:v>旧场次禁言操作限制</x:v>
      </x:c>
      <x:c r="I1322" s="9" t="str">
        <x:v>1. 执行角色为本场主播；当前处于恢复发言确认页面
2. 恢复确认弹窗打开后，本场已经结束</x:v>
      </x:c>
      <x:c r="J1322" s="9" t="str">
        <x:v>1. 点击确认恢复发言</x:v>
      </x:c>
      <x:c r="K1322" s="9" t="str">
        <x:v>不执行旧场次恢复操作</x:v>
      </x:c>
      <x:c r="L1322" s="10" t="str"/>
      <x:c r="M1322" s="10" t="str">
        <x:v>未测</x:v>
      </x:c>
      <x:c r="N1322" s="10" t="str"/>
      <x:c r="O1322" s="9" t="str">
        <x:v>1. 来源（当前证据）：liveshow-proto/MainBasis/统一需求文档.md；位置：行1793、行1792
2. 规则：BR-303d6df48628fae3
3. 未动态验证</x:v>
      </x:c>
    </x:row>
    <x:row r="1323" ht="115" customHeight="1">
      <x:c r="A1323" s="10" t="n">
        <x:v>1322</x:v>
      </x:c>
      <x:c r="B1323" s="10" t="str">
        <x:v>USER-03-0311</x:v>
      </x:c>
      <x:c r="C1323" s="10" t="str">
        <x:v>直播</x:v>
      </x:c>
      <x:c r="D1323" s="10" t="str">
        <x:v>直播间-主播-密码房（密码房主播视角）</x:v>
      </x:c>
      <x:c r="E1323" s="10" t="str">
        <x:v>功能需求</x:v>
      </x:c>
      <x:c r="F1323" s="10" t="str">
        <x:v>P2</x:v>
      </x:c>
      <x:c r="G1323" s="9" t="str">
        <x:v>验证本场贡献多级排序</x:v>
      </x:c>
      <x:c r="H1323" s="9" t="str">
        <x:v>排列次序</x:v>
      </x:c>
      <x:c r="I1323" s="9" t="str">
        <x:v>1. 执行角色为密码房主播；当前处于直播间-主播-密码房页面
2. 当前场次真实金币贡献记录已准备，不涉及运营虚拟金币
3. A贡献200；B/C/D贡献100；B粉丝5级；C/D粉丝3级、财富2级；C的ID2，D的ID10</x:v>
      </x:c>
      <x:c r="J1323" s="9" t="str">
        <x:v>1. 打开本场贡献榜</x:v>
      </x:c>
      <x:c r="K1323" s="9" t="str">
        <x:v>顺序为A、B、C、D</x:v>
      </x:c>
      <x:c r="L1323" s="10" t="str"/>
      <x:c r="M1323" s="10" t="str">
        <x:v>未测</x:v>
      </x:c>
      <x:c r="N1323" s="10" t="str"/>
      <x:c r="O1323" s="9" t="str">
        <x:v>1. 来源（当前证据）：liveshow-proto/MainBasis/统一需求文档.md；位置：行815、行813
2. 规则：BR-892c596f641c6858
3. 未动态验证</x:v>
      </x:c>
    </x:row>
    <x:row r="1324" ht="100" customHeight="1">
      <x:c r="A1324" s="10" t="n">
        <x:v>1323</x:v>
      </x:c>
      <x:c r="B1324" s="10" t="str">
        <x:v>USER-03-0312</x:v>
      </x:c>
      <x:c r="C1324" s="10" t="str">
        <x:v>直播</x:v>
      </x:c>
      <x:c r="D1324" s="10" t="str">
        <x:v>直播间-主播-密码房（密码房主播视角）</x:v>
      </x:c>
      <x:c r="E1324" s="10" t="str">
        <x:v>功能需求</x:v>
      </x:c>
      <x:c r="F1324" s="10" t="str">
        <x:v>P2</x:v>
      </x:c>
      <x:c r="G1324" s="9" t="str">
        <x:v>验证本场榜单容量</x:v>
      </x:c>
      <x:c r="H1324" s="9" t="str">
        <x:v>本场榜单人数上限</x:v>
      </x:c>
      <x:c r="I1324" s="9" t="str">
        <x:v>1. 执行角色为密码房主播；当前处于直播间-主播-密码房页面
2. 当前场次真实金币贡献记录已准备，不涉及运营虚拟金币
3. 当前有100名有效贡献者，已按规定条件完成全排序</x:v>
      </x:c>
      <x:c r="J1324" s="9" t="str">
        <x:v>1. 打开本场贡献榜
2. 滚动到底部</x:v>
      </x:c>
      <x:c r="K1324" s="9" t="str">
        <x:v>只展示排序前99名</x:v>
      </x:c>
      <x:c r="L1324" s="10" t="str"/>
      <x:c r="M1324" s="10" t="str">
        <x:v>未测</x:v>
      </x:c>
      <x:c r="N1324" s="10" t="str"/>
      <x:c r="O1324" s="9" t="str">
        <x:v>1. 来源（当前证据）：liveshow-proto/MainBasis/统一需求文档.md；位置：行815、行813
2. 规则：BR-53dd5b571152728d
3. 未动态验证</x:v>
      </x:c>
    </x:row>
    <x:row r="1325" ht="115" customHeight="1">
      <x:c r="A1325" s="10" t="n">
        <x:v>1324</x:v>
      </x:c>
      <x:c r="B1325" s="10" t="str">
        <x:v>USER-03-0313</x:v>
      </x:c>
      <x:c r="C1325" s="10" t="str">
        <x:v>直播</x:v>
      </x:c>
      <x:c r="D1325" s="10" t="str">
        <x:v>直播间-主播-密码房（密码房主播视角）</x:v>
      </x:c>
      <x:c r="E1325" s="10" t="str">
        <x:v>功能需求</x:v>
      </x:c>
      <x:c r="F1325" s="10" t="str">
        <x:v>P2</x:v>
      </x:c>
      <x:c r="G1325" s="9" t="str">
        <x:v>验证在线贡献多级排序</x:v>
      </x:c>
      <x:c r="H1325" s="9" t="str">
        <x:v>排列次序</x:v>
      </x:c>
      <x:c r="I1325" s="9" t="str">
        <x:v>1. 执行角色为密码房主播；当前处于直播间-主播-密码房页面
2. 当前场次真实金币贡献记录已准备，不涉及运营虚拟金币
3. 在线A贡献200；B/C/D贡献100；B粉丝5级；C/D粉丝3级、财富2级；C的ID2，D的ID10</x:v>
      </x:c>
      <x:c r="J1325" s="9" t="str">
        <x:v>1. 打开在线观众
2. 切换按贡献</x:v>
      </x:c>
      <x:c r="K1325" s="9" t="str">
        <x:v>顺序为A、B、C、D</x:v>
      </x:c>
      <x:c r="L1325" s="10" t="str"/>
      <x:c r="M1325" s="10" t="str">
        <x:v>未测</x:v>
      </x:c>
      <x:c r="N1325" s="10" t="str"/>
      <x:c r="O1325" s="9" t="str">
        <x:v>1. 来源（当前证据）：liveshow-proto/MainBasis/统一需求文档.md；位置：行816、行813
2. 规则：BR-c71cda34bde83d59
3. 未动态验证</x:v>
      </x:c>
    </x:row>
    <x:row r="1326" ht="115" customHeight="1">
      <x:c r="A1326" s="10" t="n">
        <x:v>1325</x:v>
      </x:c>
      <x:c r="B1326" s="10" t="str">
        <x:v>USER-03-0314</x:v>
      </x:c>
      <x:c r="C1326" s="10" t="str">
        <x:v>直播</x:v>
      </x:c>
      <x:c r="D1326" s="10" t="str">
        <x:v>直播间-主播-密码房（密码房主播视角）</x:v>
      </x:c>
      <x:c r="E1326" s="10" t="str">
        <x:v>功能需求</x:v>
      </x:c>
      <x:c r="F1326" s="10" t="str">
        <x:v>P2</x:v>
      </x:c>
      <x:c r="G1326" s="9" t="str">
        <x:v>验证在线时长多级排序</x:v>
      </x:c>
      <x:c r="H1326" s="9" t="str">
        <x:v>排列次序</x:v>
      </x:c>
      <x:c r="I1326" s="9" t="str">
        <x:v>1. 执行角色为密码房主播；当前处于直播间-主播-密码房页面
2. 当前场次真实金币贡献记录已准备，不涉及运营虚拟金币
3. 在线A时长20分钟；B/C时长10分钟且贡献相同；B粉丝5级，C粉丝3级</x:v>
      </x:c>
      <x:c r="J1326" s="9" t="str">
        <x:v>1. 打开在线观众
2. 切换按停留时长</x:v>
      </x:c>
      <x:c r="K1326" s="9" t="str">
        <x:v>顺序为A、B、C</x:v>
      </x:c>
      <x:c r="L1326" s="10" t="str"/>
      <x:c r="M1326" s="10" t="str">
        <x:v>未测</x:v>
      </x:c>
      <x:c r="N1326" s="10" t="str"/>
      <x:c r="O1326" s="9" t="str">
        <x:v>1. 来源（当前证据）：liveshow-proto/MainBasis/统一需求文档.md；位置：行816、行813
2. 规则：BR-bd9332dd09b4cb07
3. 未动态验证</x:v>
      </x:c>
    </x:row>
    <x:row r="1327" ht="100" customHeight="1">
      <x:c r="A1327" s="10" t="n">
        <x:v>1326</x:v>
      </x:c>
      <x:c r="B1327" s="10" t="str">
        <x:v>USER-03-0315</x:v>
      </x:c>
      <x:c r="C1327" s="10" t="str">
        <x:v>直播</x:v>
      </x:c>
      <x:c r="D1327" s="10" t="str">
        <x:v>直播间-主播-密码房（密码房主播视角）</x:v>
      </x:c>
      <x:c r="E1327" s="10" t="str">
        <x:v>功能需求</x:v>
      </x:c>
      <x:c r="F1327" s="10" t="str">
        <x:v>P1</x:v>
      </x:c>
      <x:c r="G1327" s="9" t="str">
        <x:v>验证消费冲正更新排名</x:v>
      </x:c>
      <x:c r="H1327" s="9" t="str">
        <x:v>排列次序</x:v>
      </x:c>
      <x:c r="I1327" s="9" t="str">
        <x:v>1. 执行角色为密码房主播；当前处于直播间-主播-密码房页面
2. 当前场次真实金币贡献记录已准备，不涉及运营虚拟金币
3. A贡献200、B贡献150；A其中100金币消费已完成有效冲正</x:v>
      </x:c>
      <x:c r="J1327" s="9" t="str">
        <x:v>1. 打开本场贡献榜
2. 刷新榜单</x:v>
      </x:c>
      <x:c r="K1327" s="9" t="str">
        <x:v>B排在A前</x:v>
      </x:c>
      <x:c r="L1327" s="10" t="str"/>
      <x:c r="M1327" s="10" t="str">
        <x:v>未测</x:v>
      </x:c>
      <x:c r="N1327" s="10" t="str"/>
      <x:c r="O1327" s="9" t="str">
        <x:v>1. 来源（当前证据）：liveshow-proto/MainBasis/统一需求文档.md；位置：行820、行813
2. 规则：BR-007df9e1b22a06d4
3. 未动态验证</x:v>
      </x:c>
    </x:row>
    <x:row r="1328" ht="100" customHeight="1">
      <x:c r="A1328" s="10" t="n">
        <x:v>1327</x:v>
      </x:c>
      <x:c r="B1328" s="10" t="str">
        <x:v>USER-03-0316</x:v>
      </x:c>
      <x:c r="C1328" s="10" t="str">
        <x:v>直播</x:v>
      </x:c>
      <x:c r="D1328" s="10" t="str">
        <x:v>直播间-主播-密码房（密码房主播视角）</x:v>
      </x:c>
      <x:c r="E1328" s="10" t="str">
        <x:v>功能需求</x:v>
      </x:c>
      <x:c r="F1328" s="10" t="str">
        <x:v>P1</x:v>
      </x:c>
      <x:c r="G1328" s="9" t="str">
        <x:v>验证充值退款保留贡献</x:v>
      </x:c>
      <x:c r="H1328" s="9" t="str">
        <x:v>充值退款已送贡献保持</x:v>
      </x:c>
      <x:c r="I1328" s="9" t="str">
        <x:v>1. 执行角色为密码房主播；当前处于直播间-主播-密码房页面
2. 当前场次真实金币贡献记录已准备，不涉及运营虚拟金币
3. A本场赠礼100已完成；对应充值刚退款但赠礼未冲正</x:v>
      </x:c>
      <x:c r="J1328" s="9" t="str">
        <x:v>1. 打开本场贡献榜
2. 刷新榜单</x:v>
      </x:c>
      <x:c r="K1328" s="9" t="str">
        <x:v>A本场贡献仍为100</x:v>
      </x:c>
      <x:c r="L1328" s="10" t="str"/>
      <x:c r="M1328" s="10" t="str">
        <x:v>未测</x:v>
      </x:c>
      <x:c r="N1328" s="10" t="str"/>
      <x:c r="O1328" s="9" t="str">
        <x:v>1. 来源（当前证据）：liveshow-proto/MainBasis/统一需求文档.md；位置：行820、行813
2. 规则：BR-109b95654fb7b18d
3. 未动态验证</x:v>
      </x:c>
    </x:row>
    <x:row r="1329" ht="115" customHeight="1">
      <x:c r="A1329" s="10" t="n">
        <x:v>1328</x:v>
      </x:c>
      <x:c r="B1329" s="10" t="str">
        <x:v>USER-03-0317</x:v>
      </x:c>
      <x:c r="C1329" s="10" t="str">
        <x:v>直播</x:v>
      </x:c>
      <x:c r="D1329" s="10" t="str">
        <x:v>直播间-连麦中-主播（连麦中主播视角）</x:v>
      </x:c>
      <x:c r="E1329" s="10" t="str">
        <x:v>功能需求</x:v>
      </x:c>
      <x:c r="F1329" s="10" t="str">
        <x:v>P2</x:v>
      </x:c>
      <x:c r="G1329" s="9" t="str">
        <x:v>验证本场贡献多级排序</x:v>
      </x:c>
      <x:c r="H1329" s="9" t="str">
        <x:v>排列次序</x:v>
      </x:c>
      <x:c r="I1329" s="9" t="str">
        <x:v>1. 执行角色为连麦中主播；当前处于直播间-连麦中-主播页面
2. 当前场次真实金币贡献记录已准备，不涉及运营虚拟金币
3. A贡献200；B/C/D贡献100；B粉丝5级；C/D粉丝3级、财富2级；C的ID2，D的ID10</x:v>
      </x:c>
      <x:c r="J1329" s="9" t="str">
        <x:v>1. 打开本场贡献榜</x:v>
      </x:c>
      <x:c r="K1329" s="9" t="str">
        <x:v>顺序为A、B、C、D</x:v>
      </x:c>
      <x:c r="L1329" s="10" t="str"/>
      <x:c r="M1329" s="10" t="str">
        <x:v>未测</x:v>
      </x:c>
      <x:c r="N1329" s="10" t="str"/>
      <x:c r="O1329" s="9" t="str">
        <x:v>1. 来源（当前证据）：liveshow-proto/MainBasis/统一需求文档.md；位置：行828、行824
2. 规则：BR-e9920401291c7786
3. 未动态验证</x:v>
      </x:c>
    </x:row>
    <x:row r="1330" ht="100" customHeight="1">
      <x:c r="A1330" s="10" t="n">
        <x:v>1329</x:v>
      </x:c>
      <x:c r="B1330" s="10" t="str">
        <x:v>USER-03-0318</x:v>
      </x:c>
      <x:c r="C1330" s="10" t="str">
        <x:v>直播</x:v>
      </x:c>
      <x:c r="D1330" s="10" t="str">
        <x:v>直播间-连麦中-主播（连麦中主播视角）</x:v>
      </x:c>
      <x:c r="E1330" s="10" t="str">
        <x:v>功能需求</x:v>
      </x:c>
      <x:c r="F1330" s="10" t="str">
        <x:v>P2</x:v>
      </x:c>
      <x:c r="G1330" s="9" t="str">
        <x:v>验证本场榜单容量</x:v>
      </x:c>
      <x:c r="H1330" s="9" t="str">
        <x:v>本场榜单人数上限</x:v>
      </x:c>
      <x:c r="I1330" s="9" t="str">
        <x:v>1. 执行角色为连麦中主播；当前处于直播间-连麦中-主播页面
2. 当前场次真实金币贡献记录已准备，不涉及运营虚拟金币
3. 当前有100名有效贡献者，已按规定条件完成全排序</x:v>
      </x:c>
      <x:c r="J1330" s="9" t="str">
        <x:v>1. 打开本场贡献榜
2. 滚动到底部</x:v>
      </x:c>
      <x:c r="K1330" s="9" t="str">
        <x:v>只展示排序前99名</x:v>
      </x:c>
      <x:c r="L1330" s="10" t="str"/>
      <x:c r="M1330" s="10" t="str">
        <x:v>未测</x:v>
      </x:c>
      <x:c r="N1330" s="10" t="str"/>
      <x:c r="O1330" s="9" t="str">
        <x:v>1. 来源（当前证据）：liveshow-proto/MainBasis/统一需求文档.md；位置：行828、行824
2. 规则：BR-4ae7620e61f3d9df
3. 未动态验证</x:v>
      </x:c>
    </x:row>
    <x:row r="1331" ht="115" customHeight="1">
      <x:c r="A1331" s="10" t="n">
        <x:v>1330</x:v>
      </x:c>
      <x:c r="B1331" s="10" t="str">
        <x:v>USER-03-0319</x:v>
      </x:c>
      <x:c r="C1331" s="10" t="str">
        <x:v>直播</x:v>
      </x:c>
      <x:c r="D1331" s="10" t="str">
        <x:v>直播间-连麦中-主播（连麦中主播视角）</x:v>
      </x:c>
      <x:c r="E1331" s="10" t="str">
        <x:v>功能需求</x:v>
      </x:c>
      <x:c r="F1331" s="10" t="str">
        <x:v>P2</x:v>
      </x:c>
      <x:c r="G1331" s="9" t="str">
        <x:v>验证在线贡献多级排序</x:v>
      </x:c>
      <x:c r="H1331" s="9" t="str">
        <x:v>排列次序</x:v>
      </x:c>
      <x:c r="I1331" s="9" t="str">
        <x:v>1. 执行角色为连麦中主播；当前处于直播间-连麦中-主播页面
2. 当前场次真实金币贡献记录已准备，不涉及运营虚拟金币
3. 在线A贡献200；B/C/D贡献100；B粉丝5级；C/D粉丝3级、财富2级；C的ID2，D的ID10</x:v>
      </x:c>
      <x:c r="J1331" s="9" t="str">
        <x:v>1. 打开在线观众
2. 切换按贡献</x:v>
      </x:c>
      <x:c r="K1331" s="9" t="str">
        <x:v>顺序为A、B、C、D</x:v>
      </x:c>
      <x:c r="L1331" s="10" t="str"/>
      <x:c r="M1331" s="10" t="str">
        <x:v>未测</x:v>
      </x:c>
      <x:c r="N1331" s="10" t="str"/>
      <x:c r="O1331" s="9" t="str">
        <x:v>1. 来源（当前证据）：liveshow-proto/MainBasis/统一需求文档.md；位置：行829、行824
2. 规则：BR-383f63121650a7f4
3. 未动态验证</x:v>
      </x:c>
    </x:row>
    <x:row r="1332" ht="115" customHeight="1">
      <x:c r="A1332" s="10" t="n">
        <x:v>1331</x:v>
      </x:c>
      <x:c r="B1332" s="10" t="str">
        <x:v>USER-03-0320</x:v>
      </x:c>
      <x:c r="C1332" s="10" t="str">
        <x:v>直播</x:v>
      </x:c>
      <x:c r="D1332" s="10" t="str">
        <x:v>直播间-连麦中-主播（连麦中主播视角）</x:v>
      </x:c>
      <x:c r="E1332" s="10" t="str">
        <x:v>功能需求</x:v>
      </x:c>
      <x:c r="F1332" s="10" t="str">
        <x:v>P2</x:v>
      </x:c>
      <x:c r="G1332" s="9" t="str">
        <x:v>验证在线时长多级排序</x:v>
      </x:c>
      <x:c r="H1332" s="9" t="str">
        <x:v>排列次序</x:v>
      </x:c>
      <x:c r="I1332" s="9" t="str">
        <x:v>1. 执行角色为连麦中主播；当前处于直播间-连麦中-主播页面
2. 当前场次真实金币贡献记录已准备，不涉及运营虚拟金币
3. 在线A时长20分钟；B/C时长10分钟且贡献相同；B粉丝5级，C粉丝3级</x:v>
      </x:c>
      <x:c r="J1332" s="9" t="str">
        <x:v>1. 打开在线观众
2. 切换按停留时长</x:v>
      </x:c>
      <x:c r="K1332" s="9" t="str">
        <x:v>顺序为A、B、C</x:v>
      </x:c>
      <x:c r="L1332" s="10" t="str"/>
      <x:c r="M1332" s="10" t="str">
        <x:v>未测</x:v>
      </x:c>
      <x:c r="N1332" s="10" t="str"/>
      <x:c r="O1332" s="9" t="str">
        <x:v>1. 来源（当前证据）：liveshow-proto/MainBasis/统一需求文档.md；位置：行829、行824
2. 规则：BR-da8b4aebfa50bdb1
3. 未动态验证</x:v>
      </x:c>
    </x:row>
    <x:row r="1333" ht="100" customHeight="1">
      <x:c r="A1333" s="10" t="n">
        <x:v>1332</x:v>
      </x:c>
      <x:c r="B1333" s="10" t="str">
        <x:v>USER-03-0321</x:v>
      </x:c>
      <x:c r="C1333" s="10" t="str">
        <x:v>直播</x:v>
      </x:c>
      <x:c r="D1333" s="10" t="str">
        <x:v>直播间-连麦中-主播（连麦中主播视角）</x:v>
      </x:c>
      <x:c r="E1333" s="10" t="str">
        <x:v>功能需求</x:v>
      </x:c>
      <x:c r="F1333" s="10" t="str">
        <x:v>P1</x:v>
      </x:c>
      <x:c r="G1333" s="9" t="str">
        <x:v>验证消费冲正更新排名</x:v>
      </x:c>
      <x:c r="H1333" s="9" t="str">
        <x:v>排列次序</x:v>
      </x:c>
      <x:c r="I1333" s="9" t="str">
        <x:v>1. 执行角色为连麦中主播；当前处于直播间-连麦中-主播页面
2. 当前场次真实金币贡献记录已准备，不涉及运营虚拟金币
3. A贡献200、B贡献150；A其中100金币消费已完成有效冲正</x:v>
      </x:c>
      <x:c r="J1333" s="9" t="str">
        <x:v>1. 打开本场贡献榜
2. 刷新榜单</x:v>
      </x:c>
      <x:c r="K1333" s="9" t="str">
        <x:v>B排在A前</x:v>
      </x:c>
      <x:c r="L1333" s="10" t="str"/>
      <x:c r="M1333" s="10" t="str">
        <x:v>未测</x:v>
      </x:c>
      <x:c r="N1333" s="10" t="str"/>
      <x:c r="O1333" s="9" t="str">
        <x:v>1. 来源（当前证据）：liveshow-proto/MainBasis/统一需求文档.md；位置：行832、行824
2. 规则：BR-1eea7a53bcc8d6da
3. 未动态验证</x:v>
      </x:c>
    </x:row>
    <x:row r="1334" ht="100" customHeight="1">
      <x:c r="A1334" s="10" t="n">
        <x:v>1333</x:v>
      </x:c>
      <x:c r="B1334" s="10" t="str">
        <x:v>USER-03-0322</x:v>
      </x:c>
      <x:c r="C1334" s="10" t="str">
        <x:v>直播</x:v>
      </x:c>
      <x:c r="D1334" s="10" t="str">
        <x:v>直播间-连麦中-主播（连麦中主播视角）</x:v>
      </x:c>
      <x:c r="E1334" s="10" t="str">
        <x:v>功能需求</x:v>
      </x:c>
      <x:c r="F1334" s="10" t="str">
        <x:v>P1</x:v>
      </x:c>
      <x:c r="G1334" s="9" t="str">
        <x:v>验证充值退款保留贡献</x:v>
      </x:c>
      <x:c r="H1334" s="9" t="str">
        <x:v>充值退款已送贡献保持</x:v>
      </x:c>
      <x:c r="I1334" s="9" t="str">
        <x:v>1. 执行角色为连麦中主播；当前处于直播间-连麦中-主播页面
2. 当前场次真实金币贡献记录已准备，不涉及运营虚拟金币
3. A本场赠礼100已完成；对应充值刚退款但赠礼未冲正</x:v>
      </x:c>
      <x:c r="J1334" s="9" t="str">
        <x:v>1. 打开本场贡献榜
2. 刷新榜单</x:v>
      </x:c>
      <x:c r="K1334" s="9" t="str">
        <x:v>A本场贡献仍为100</x:v>
      </x:c>
      <x:c r="L1334" s="10" t="str"/>
      <x:c r="M1334" s="10" t="str">
        <x:v>未测</x:v>
      </x:c>
      <x:c r="N1334" s="10" t="str"/>
      <x:c r="O1334" s="9" t="str">
        <x:v>1. 来源（当前证据）：liveshow-proto/MainBasis/统一需求文档.md；位置：行832、行824
2. 规则：BR-d41f2eef30bf53e1
3. 未动态验证</x:v>
      </x:c>
    </x:row>
    <x:row r="1335" ht="85" customHeight="1">
      <x:c r="A1335" s="10" t="n">
        <x:v>1334</x:v>
      </x:c>
      <x:c r="B1335" s="10" t="str">
        <x:v>USER-03-0323</x:v>
      </x:c>
      <x:c r="C1335" s="10" t="str">
        <x:v>直播</x:v>
      </x:c>
      <x:c r="D1335" s="10" t="str">
        <x:v>直播间（普通房）（运营账号视角）</x:v>
      </x:c>
      <x:c r="E1335" s="10" t="str">
        <x:v>功能需求</x:v>
      </x:c>
      <x:c r="F1335" s="10" t="str">
        <x:v>P1</x:v>
      </x:c>
      <x:c r="G1335" s="9" t="str">
        <x:v>验证运营密码房免输密码</x:v>
      </x:c>
      <x:c r="H1335" s="9" t="str">
        <x:v>运营账号密码房免验证</x:v>
      </x:c>
      <x:c r="I1335" s="9" t="str">
        <x:v>1. 执行角色为运营账号；当前处于直播间（普通房）页面
2. 账号可用；目标为正在直播的密码房，当前不处于有效巡房会话</x:v>
      </x:c>
      <x:c r="J1335" s="9" t="str">
        <x:v>1. 进入目标密码房</x:v>
      </x:c>
      <x:c r="K1335" s="9" t="str">
        <x:v>无需输入密码即可观看</x:v>
      </x:c>
      <x:c r="L1335" s="10" t="str"/>
      <x:c r="M1335" s="10" t="str">
        <x:v>未测</x:v>
      </x:c>
      <x:c r="N1335" s="10" t="str"/>
      <x:c r="O1335" s="9" t="str">
        <x:v>1. 来源（当前证据）：liveshow-proto/MainBasis/统一需求文档.md；位置：行455、行759
2. 规则：BR-931627e45be3e2e8
3. 未动态验证</x:v>
      </x:c>
    </x:row>
    <x:row r="1336" ht="130" customHeight="1">
      <x:c r="A1336" s="10" t="n">
        <x:v>1335</x:v>
      </x:c>
      <x:c r="B1336" s="10" t="str">
        <x:v>USER-04-0170</x:v>
      </x:c>
      <x:c r="C1336" s="10" t="str">
        <x:v>消息与社交</x:v>
      </x:c>
      <x:c r="D1336" s="10" t="str">
        <x:v>系统通知（举报人视角）</x:v>
      </x:c>
      <x:c r="E1336" s="10" t="str">
        <x:v>功能需求</x:v>
      </x:c>
      <x:c r="F1336" s="10" t="str">
        <x:v>P1</x:v>
      </x:c>
      <x:c r="G1336" s="9" t="str">
        <x:v>验证直播举报不处置通知</x:v>
      </x:c>
      <x:c r="H1336" s="9" t="str">
        <x:v>举报处理通知正文</x:v>
      </x:c>
      <x:c r="I1336" s="9" t="str">
        <x:v>1. 执行角色为举报人；当前处于系统通知页面
2. 当前场次举报已被平台判定不处置</x:v>
      </x:c>
      <x:c r="J1336" s="9" t="str">
        <x:v>1. 刷新系统通知</x:v>
      </x:c>
      <x:c r="K1336" s="9" t="str">
        <x:v>收到“举报内容暂无可处置违规，感谢您的反馈”</x:v>
      </x:c>
      <x:c r="L1336" s="10" t="str">
        <x:v>FLOW-04F3866E</x:v>
      </x:c>
      <x:c r="M1336" s="10" t="str">
        <x:v>未测</x:v>
      </x:c>
      <x:c r="N1336" s="10" t="str"/>
      <x:c r="O1336" s="9" t="str">
        <x:v>1. 来源（当前证据）：liveshow-proto/MainBasis/统一需求文档.md；位置：行292、行667
2. 规则：BR-2cbcc16d31f61079
3. 未动态验证
4. 状态转换：ST-REPORT-LIVE-NONE；共同业务对象：直播场次举报；当前阶段：平台判定不处置后的用户App观察</x:v>
      </x:c>
    </x:row>
    <x:row r="1337" ht="130" customHeight="1">
      <x:c r="A1337" s="10" t="n">
        <x:v>1336</x:v>
      </x:c>
      <x:c r="B1337" s="10" t="str">
        <x:v>USER-04-0171</x:v>
      </x:c>
      <x:c r="C1337" s="10" t="str">
        <x:v>消息与社交</x:v>
      </x:c>
      <x:c r="D1337" s="10" t="str">
        <x:v>系统通知（举报人视角）</x:v>
      </x:c>
      <x:c r="E1337" s="10" t="str">
        <x:v>功能需求</x:v>
      </x:c>
      <x:c r="F1337" s="10" t="str">
        <x:v>P1</x:v>
      </x:c>
      <x:c r="G1337" s="9" t="str">
        <x:v>验证直播举报警告通知</x:v>
      </x:c>
      <x:c r="H1337" s="9" t="str">
        <x:v>举报处理通知正文</x:v>
      </x:c>
      <x:c r="I1337" s="9" t="str">
        <x:v>1. 执行角色为举报人；当前处于系统通知页面
2. 当前场次举报已被平台判定警告</x:v>
      </x:c>
      <x:c r="J1337" s="9" t="str">
        <x:v>1. 刷新系统通知</x:v>
      </x:c>
      <x:c r="K1337" s="9" t="str">
        <x:v>收到“举报成立，平台已依规处理”</x:v>
      </x:c>
      <x:c r="L1337" s="10" t="str">
        <x:v>FLOW-04F3866E</x:v>
      </x:c>
      <x:c r="M1337" s="10" t="str">
        <x:v>未测</x:v>
      </x:c>
      <x:c r="N1337" s="10" t="str"/>
      <x:c r="O1337" s="9" t="str">
        <x:v>1. 来源（当前证据）：liveshow-proto/MainBasis/统一需求文档.md；位置：行293、行667
2. 规则：BR-dd208c8f8423a74f
3. 未动态验证
4. 状态转换：ST-REPORT-LIVE-WARN；共同业务对象：直播场次举报；当前阶段：平台判定警告后的用户App观察</x:v>
      </x:c>
    </x:row>
    <x:row r="1338" ht="130" customHeight="1">
      <x:c r="A1338" s="10" t="n">
        <x:v>1337</x:v>
      </x:c>
      <x:c r="B1338" s="10" t="str">
        <x:v>USER-04-0172</x:v>
      </x:c>
      <x:c r="C1338" s="10" t="str">
        <x:v>消息与社交</x:v>
      </x:c>
      <x:c r="D1338" s="10" t="str">
        <x:v>系统通知（举报人视角）</x:v>
      </x:c>
      <x:c r="E1338" s="10" t="str">
        <x:v>功能需求</x:v>
      </x:c>
      <x:c r="F1338" s="10" t="str">
        <x:v>P1</x:v>
      </x:c>
      <x:c r="G1338" s="9" t="str">
        <x:v>验证直播举报关播通知</x:v>
      </x:c>
      <x:c r="H1338" s="9" t="str">
        <x:v>举报处理通知正文</x:v>
      </x:c>
      <x:c r="I1338" s="9" t="str">
        <x:v>1. 执行角色为举报人；当前处于系统通知页面
2. 当前场次举报已被平台判定关播</x:v>
      </x:c>
      <x:c r="J1338" s="9" t="str">
        <x:v>1. 刷新系统通知</x:v>
      </x:c>
      <x:c r="K1338" s="9" t="str">
        <x:v>收到“举报成立，平台已依规处理”</x:v>
      </x:c>
      <x:c r="L1338" s="10" t="str">
        <x:v>FLOW-04F3866E</x:v>
      </x:c>
      <x:c r="M1338" s="10" t="str">
        <x:v>未测</x:v>
      </x:c>
      <x:c r="N1338" s="10" t="str"/>
      <x:c r="O1338" s="9" t="str">
        <x:v>1. 来源（当前证据）：liveshow-proto/MainBasis/统一需求文档.md；位置：行294、行667
2. 规则：BR-0fe3cd9589b77099
3. 未动态验证
4. 状态转换：ST-REPORT-LIVE-END；共同业务对象：直播场次举报；当前阶段：平台判定关播后的用户App观察</x:v>
      </x:c>
    </x:row>
    <x:row r="1339" ht="130" customHeight="1">
      <x:c r="A1339" s="10" t="n">
        <x:v>1338</x:v>
      </x:c>
      <x:c r="B1339" s="10" t="str">
        <x:v>USER-04-0173</x:v>
      </x:c>
      <x:c r="C1339" s="10" t="str">
        <x:v>消息与社交</x:v>
      </x:c>
      <x:c r="D1339" s="10" t="str">
        <x:v>系统通知（举报人视角）</x:v>
      </x:c>
      <x:c r="E1339" s="10" t="str">
        <x:v>功能需求</x:v>
      </x:c>
      <x:c r="F1339" s="10" t="str">
        <x:v>P1</x:v>
      </x:c>
      <x:c r="G1339" s="9" t="str">
        <x:v>验证直播举报关闭权限通知</x:v>
      </x:c>
      <x:c r="H1339" s="9" t="str">
        <x:v>举报处理通知正文</x:v>
      </x:c>
      <x:c r="I1339" s="9" t="str">
        <x:v>1. 执行角色为举报人；当前处于系统通知页面
2. 当前场次举报已被平台判定关闭直播权限</x:v>
      </x:c>
      <x:c r="J1339" s="9" t="str">
        <x:v>1. 刷新系统通知</x:v>
      </x:c>
      <x:c r="K1339" s="9" t="str">
        <x:v>收到“举报成立，平台已依规处理”</x:v>
      </x:c>
      <x:c r="L1339" s="10" t="str">
        <x:v>FLOW-04F3866E</x:v>
      </x:c>
      <x:c r="M1339" s="10" t="str">
        <x:v>未测</x:v>
      </x:c>
      <x:c r="N1339" s="10" t="str"/>
      <x:c r="O1339" s="9" t="str">
        <x:v>1. 来源（当前证据）：liveshow-proto/MainBasis/统一需求文档.md；位置：行295、行667
2. 规则：BR-047fd2e184809d41
3. 未动态验证
4. 状态转换：ST-REPORT-LIVE-DISABLE；共同业务对象：直播场次举报；当前阶段：平台判定关闭直播权限后的用户App观察</x:v>
      </x:c>
    </x:row>
    <x:row r="1340" ht="130" customHeight="1">
      <x:c r="A1340" s="10" t="n">
        <x:v>1339</x:v>
      </x:c>
      <x:c r="B1340" s="10" t="str">
        <x:v>USER-04-0174</x:v>
      </x:c>
      <x:c r="C1340" s="10" t="str">
        <x:v>消息与社交</x:v>
      </x:c>
      <x:c r="D1340" s="10" t="str">
        <x:v>系统通知（举报人视角）</x:v>
      </x:c>
      <x:c r="E1340" s="10" t="str">
        <x:v>功能需求</x:v>
      </x:c>
      <x:c r="F1340" s="10" t="str">
        <x:v>P1</x:v>
      </x:c>
      <x:c r="G1340" s="9" t="str">
        <x:v>验证账号举报不处置通知</x:v>
      </x:c>
      <x:c r="H1340" s="9" t="str">
        <x:v>举报处理通知正文</x:v>
      </x:c>
      <x:c r="I1340" s="9" t="str">
        <x:v>1. 执行角色为举报人；当前处于系统通知页面
2. 对账号A举报已被平台判定不处置</x:v>
      </x:c>
      <x:c r="J1340" s="9" t="str">
        <x:v>1. 刷新系统通知</x:v>
      </x:c>
      <x:c r="K1340" s="9" t="str">
        <x:v>收到“举报账号暂无可处置的违规，感谢您的反馈”</x:v>
      </x:c>
      <x:c r="L1340" s="10" t="str">
        <x:v>FLOW-7E5FA76C</x:v>
      </x:c>
      <x:c r="M1340" s="10" t="str">
        <x:v>未测</x:v>
      </x:c>
      <x:c r="N1340" s="10" t="str"/>
      <x:c r="O1340" s="9" t="str">
        <x:v>1. 来源（当前证据）：liveshow-proto/MainBasis/统一需求文档.md；位置：行307、行667
2. 规则：BR-6f6d613d76cfd162
3. 未动态验证
4. 状态转换：ST-REPORT-ACCOUNT-NONE；共同业务对象：账号举报；当前阶段：平台判定不处置后的用户App观察</x:v>
      </x:c>
    </x:row>
    <x:row r="1341" ht="130" customHeight="1">
      <x:c r="A1341" s="10" t="n">
        <x:v>1340</x:v>
      </x:c>
      <x:c r="B1341" s="10" t="str">
        <x:v>USER-04-0175</x:v>
      </x:c>
      <x:c r="C1341" s="10" t="str">
        <x:v>消息与社交</x:v>
      </x:c>
      <x:c r="D1341" s="10" t="str">
        <x:v>系统通知（举报人视角）</x:v>
      </x:c>
      <x:c r="E1341" s="10" t="str">
        <x:v>功能需求</x:v>
      </x:c>
      <x:c r="F1341" s="10" t="str">
        <x:v>P1</x:v>
      </x:c>
      <x:c r="G1341" s="9" t="str">
        <x:v>验证账号举报封禁通知</x:v>
      </x:c>
      <x:c r="H1341" s="9" t="str">
        <x:v>举报处理通知正文</x:v>
      </x:c>
      <x:c r="I1341" s="9" t="str">
        <x:v>1. 执行角色为举报人；当前处于系统通知页面
2. 对账号A举报已成立并封禁A</x:v>
      </x:c>
      <x:c r="J1341" s="9" t="str">
        <x:v>1. 刷新系统通知</x:v>
      </x:c>
      <x:c r="K1341" s="9" t="str">
        <x:v>收到“举报成立，平台已依规处理”</x:v>
      </x:c>
      <x:c r="L1341" s="10" t="str">
        <x:v>FLOW-7E5FA76C</x:v>
      </x:c>
      <x:c r="M1341" s="10" t="str">
        <x:v>未测</x:v>
      </x:c>
      <x:c r="N1341" s="10" t="str"/>
      <x:c r="O1341" s="9" t="str">
        <x:v>1. 来源（当前证据）：liveshow-proto/MainBasis/统一需求文档.md；位置：行308、行667
2. 规则：BR-bf3a605eaabe8116
3. 未动态验证
4. 状态转换：ST-REPORT-ACCOUNT-BAN；共同业务对象：账号举报；当前阶段：平台判定封禁后的用户App观察</x:v>
      </x:c>
    </x:row>
    <x:row r="1342" ht="85" customHeight="1">
      <x:c r="A1342" s="10" t="n">
        <x:v>1341</x:v>
      </x:c>
      <x:c r="B1342" s="10" t="str">
        <x:v>USER-03-0324</x:v>
      </x:c>
      <x:c r="C1342" s="10" t="str">
        <x:v>直播</x:v>
      </x:c>
      <x:c r="D1342" s="10" t="str">
        <x:v>直播间（主播）（本场主播视角）</x:v>
      </x:c>
      <x:c r="E1342" s="10" t="str">
        <x:v>功能需求</x:v>
      </x:c>
      <x:c r="F1342" s="10" t="str">
        <x:v>P1</x:v>
      </x:c>
      <x:c r="G1342" s="9" t="str">
        <x:v>验证举报警告保留直播</x:v>
      </x:c>
      <x:c r="H1342" s="9" t="str">
        <x:v>警告处置直播保持</x:v>
      </x:c>
      <x:c r="I1342" s="9" t="str">
        <x:v>1. 执行角色为本场主播；当前处于直播间（主播）页面
2. 本场收到平台警告处置</x:v>
      </x:c>
      <x:c r="J1342" s="9" t="str">
        <x:v>1. 查看当前直播画面</x:v>
      </x:c>
      <x:c r="K1342" s="9" t="str">
        <x:v>本场仍在直播</x:v>
      </x:c>
      <x:c r="L1342" s="10" t="str"/>
      <x:c r="M1342" s="10" t="str">
        <x:v>未测</x:v>
      </x:c>
      <x:c r="N1342" s="10" t="str"/>
      <x:c r="O1342" s="9" t="str">
        <x:v>1. 来源（当前证据）：liveshow-proto/MainBasis/统一需求文档.md；位置：行293、行797
2. 规则：BR-6778cfa3e989df54
3. 未动态验证</x:v>
      </x:c>
    </x:row>
    <x:row r="1343" ht="85" customHeight="1">
      <x:c r="A1343" s="10" t="n">
        <x:v>1342</x:v>
      </x:c>
      <x:c r="B1343" s="10" t="str">
        <x:v>USER-03-0325</x:v>
      </x:c>
      <x:c r="C1343" s="10" t="str">
        <x:v>直播</x:v>
      </x:c>
      <x:c r="D1343" s="10" t="str">
        <x:v>直播间（主播）（本场主播视角）</x:v>
      </x:c>
      <x:c r="E1343" s="10" t="str">
        <x:v>功能需求</x:v>
      </x:c>
      <x:c r="F1343" s="10" t="str">
        <x:v>P1</x:v>
      </x:c>
      <x:c r="G1343" s="9" t="str">
        <x:v>验证举报警告强提示</x:v>
      </x:c>
      <x:c r="H1343" s="9" t="str">
        <x:v>直播违规警告文案</x:v>
      </x:c>
      <x:c r="I1343" s="9" t="str">
        <x:v>1. 执行角色为本场主播；当前处于直播间（主播）页面
2. 本场收到平台警告处置</x:v>
      </x:c>
      <x:c r="J1343" s="9" t="str">
        <x:v>1. 查看直播间弹窗</x:v>
      </x:c>
      <x:c r="K1343" s="9" t="str">
        <x:v>显示“直播间存在违规，请及时调整”</x:v>
      </x:c>
      <x:c r="L1343" s="10" t="str"/>
      <x:c r="M1343" s="10" t="str">
        <x:v>未测</x:v>
      </x:c>
      <x:c r="N1343" s="10" t="str"/>
      <x:c r="O1343" s="9" t="str">
        <x:v>1. 来源（当前证据）：liveshow-proto/MainBasis/统一需求文档.md；位置：行293、行797
2. 规则：BR-d9132a021b561714
3. 未动态验证</x:v>
      </x:c>
    </x:row>
    <x:row r="1344" ht="85" customHeight="1">
      <x:c r="A1344" s="10" t="n">
        <x:v>1343</x:v>
      </x:c>
      <x:c r="B1344" s="10" t="str">
        <x:v>USER-03-0326</x:v>
      </x:c>
      <x:c r="C1344" s="10" t="str">
        <x:v>直播</x:v>
      </x:c>
      <x:c r="D1344" s="10" t="str">
        <x:v>直播间（主播）（本场主播视角）</x:v>
      </x:c>
      <x:c r="E1344" s="10" t="str">
        <x:v>功能需求</x:v>
      </x:c>
      <x:c r="F1344" s="10" t="str">
        <x:v>P1</x:v>
      </x:c>
      <x:c r="G1344" s="9" t="str">
        <x:v>验证举报关播结束本场</x:v>
      </x:c>
      <x:c r="H1344" s="9" t="str">
        <x:v>举报关播后场次状态</x:v>
      </x:c>
      <x:c r="I1344" s="9" t="str">
        <x:v>1. 执行角色为本场主播；当前处于直播间（主播）页面
2. 平台刚对当前场次执行关播</x:v>
      </x:c>
      <x:c r="J1344" s="9" t="str">
        <x:v>1. 查看当前场次状态</x:v>
      </x:c>
      <x:c r="K1344" s="9" t="str">
        <x:v>本场变为已结束</x:v>
      </x:c>
      <x:c r="L1344" s="10" t="str"/>
      <x:c r="M1344" s="10" t="str">
        <x:v>未测</x:v>
      </x:c>
      <x:c r="N1344" s="10" t="str"/>
      <x:c r="O1344" s="9" t="str">
        <x:v>1. 来源（当前证据）：liveshow-proto/MainBasis/统一需求文档.md；位置：行294、行797
2. 规则：BR-b9827bf303909abd
3. 未动态验证</x:v>
      </x:c>
    </x:row>
    <x:row r="1345" ht="85" customHeight="1">
      <x:c r="A1345" s="10" t="n">
        <x:v>1344</x:v>
      </x:c>
      <x:c r="B1345" s="10" t="str">
        <x:v>USER-03-0327</x:v>
      </x:c>
      <x:c r="C1345" s="10" t="str">
        <x:v>直播</x:v>
      </x:c>
      <x:c r="D1345" s="10" t="str">
        <x:v>直播间（主播）（本场主播视角）</x:v>
      </x:c>
      <x:c r="E1345" s="10" t="str">
        <x:v>功能需求</x:v>
      </x:c>
      <x:c r="F1345" s="10" t="str">
        <x:v>P1</x:v>
      </x:c>
      <x:c r="G1345" s="9" t="str">
        <x:v>验证举报关闭权限结束本场</x:v>
      </x:c>
      <x:c r="H1345" s="9" t="str">
        <x:v>权限关闭后场次状态</x:v>
      </x:c>
      <x:c r="I1345" s="9" t="str">
        <x:v>1. 执行角色为本场主播；当前处于直播间（主播）页面
2. 平台刚关闭当前主播直播权限</x:v>
      </x:c>
      <x:c r="J1345" s="9" t="str">
        <x:v>1. 查看当前场次状态</x:v>
      </x:c>
      <x:c r="K1345" s="9" t="str">
        <x:v>本场变为已结束</x:v>
      </x:c>
      <x:c r="L1345" s="10" t="str"/>
      <x:c r="M1345" s="10" t="str">
        <x:v>未测</x:v>
      </x:c>
      <x:c r="N1345" s="10" t="str"/>
      <x:c r="O1345" s="9" t="str">
        <x:v>1. 来源（当前证据）：liveshow-proto/MainBasis/统一需求文档.md；位置：行295、行797
2. 规则：BR-e0d79123e4514222
3. 未动态验证</x:v>
      </x:c>
    </x:row>
    <x:row r="1346" ht="85" customHeight="1">
      <x:c r="A1346" s="10" t="n">
        <x:v>1345</x:v>
      </x:c>
      <x:c r="B1346" s="10" t="str">
        <x:v>USER-03-0328</x:v>
      </x:c>
      <x:c r="C1346" s="10" t="str">
        <x:v>直播</x:v>
      </x:c>
      <x:c r="D1346" s="10" t="str">
        <x:v>直播间（主播）（本场主播视角）</x:v>
      </x:c>
      <x:c r="E1346" s="10" t="str">
        <x:v>功能需求</x:v>
      </x:c>
      <x:c r="F1346" s="10" t="str">
        <x:v>P1</x:v>
      </x:c>
      <x:c r="G1346" s="9" t="str">
        <x:v>验证账号封禁强制下线</x:v>
      </x:c>
      <x:c r="H1346" s="9" t="str">
        <x:v>账号封禁会话终止</x:v>
      </x:c>
      <x:c r="I1346" s="9" t="str">
        <x:v>1. 执行角色为本场主播；当前处于直播间（主播）页面
2. 平台刚封禁当前账号，封禁前正在直播</x:v>
      </x:c>
      <x:c r="J1346" s="9" t="str">
        <x:v>1. 查看当前会话</x:v>
      </x:c>
      <x:c r="K1346" s="9" t="str">
        <x:v>当前账号被强制下线</x:v>
      </x:c>
      <x:c r="L1346" s="10" t="str"/>
      <x:c r="M1346" s="10" t="str">
        <x:v>未测</x:v>
      </x:c>
      <x:c r="N1346" s="10" t="str"/>
      <x:c r="O1346" s="9" t="str">
        <x:v>1. 来源（当前证据）：liveshow-proto/MainBasis/统一需求文档.md；位置：行308、行797
2. 规则：BR-1f8c78407c09832f
3. 未动态验证</x:v>
      </x:c>
    </x:row>
    <x:row r="1347" ht="85" customHeight="1">
      <x:c r="A1347" s="10" t="n">
        <x:v>1346</x:v>
      </x:c>
      <x:c r="B1347" s="10" t="str">
        <x:v>USER-04-0176</x:v>
      </x:c>
      <x:c r="C1347" s="10" t="str">
        <x:v>消息与社交</x:v>
      </x:c>
      <x:c r="D1347" s="10" t="str">
        <x:v>系统通知（被处置主播视角）</x:v>
      </x:c>
      <x:c r="E1347" s="10" t="str">
        <x:v>功能需求</x:v>
      </x:c>
      <x:c r="F1347" s="10" t="str">
        <x:v>P1</x:v>
      </x:c>
      <x:c r="G1347" s="9" t="str">
        <x:v>验证举报警告站内消息</x:v>
      </x:c>
      <x:c r="H1347" s="9" t="str">
        <x:v>举报警告通知正文</x:v>
      </x:c>
      <x:c r="I1347" s="9" t="str">
        <x:v>1. 执行角色为被处置主播；当前处于系统通知页面
2. 此前场次受到警告处置</x:v>
      </x:c>
      <x:c r="J1347" s="9" t="str">
        <x:v>1. 刷新系统通知</x:v>
      </x:c>
      <x:c r="K1347" s="9" t="str">
        <x:v>收到“直播间存在违规，请及时调整”</x:v>
      </x:c>
      <x:c r="L1347" s="10" t="str"/>
      <x:c r="M1347" s="10" t="str">
        <x:v>未测</x:v>
      </x:c>
      <x:c r="N1347" s="10" t="str"/>
      <x:c r="O1347" s="9" t="str">
        <x:v>1. 来源（当前证据）：liveshow-proto/MainBasis/统一需求文档.md；位置：行293、行667
2. 规则：BR-a5a6dc618598d524
3. 未动态验证</x:v>
      </x:c>
    </x:row>
    <x:row r="1348" ht="85" customHeight="1">
      <x:c r="A1348" s="10" t="n">
        <x:v>1347</x:v>
      </x:c>
      <x:c r="B1348" s="10" t="str">
        <x:v>USER-04-0177</x:v>
      </x:c>
      <x:c r="C1348" s="10" t="str">
        <x:v>消息与社交</x:v>
      </x:c>
      <x:c r="D1348" s="10" t="str">
        <x:v>系统通知（被处置主播视角）</x:v>
      </x:c>
      <x:c r="E1348" s="10" t="str">
        <x:v>功能需求</x:v>
      </x:c>
      <x:c r="F1348" s="10" t="str">
        <x:v>P1</x:v>
      </x:c>
      <x:c r="G1348" s="9" t="str">
        <x:v>验证举报关播站内消息</x:v>
      </x:c>
      <x:c r="H1348" s="9" t="str">
        <x:v>举报关播通知正文</x:v>
      </x:c>
      <x:c r="I1348" s="9" t="str">
        <x:v>1. 执行角色为被处置主播；当前处于系统通知页面
2. 此前场次受到关播处置</x:v>
      </x:c>
      <x:c r="J1348" s="9" t="str">
        <x:v>1. 刷新系统通知</x:v>
      </x:c>
      <x:c r="K1348" s="9" t="str">
        <x:v>收到“直播间存在违规，平台已关闭直播间”</x:v>
      </x:c>
      <x:c r="L1348" s="10" t="str"/>
      <x:c r="M1348" s="10" t="str">
        <x:v>未测</x:v>
      </x:c>
      <x:c r="N1348" s="10" t="str"/>
      <x:c r="O1348" s="9" t="str">
        <x:v>1. 来源（当前证据）：liveshow-proto/MainBasis/统一需求文档.md；位置：行294、行667
2. 规则：BR-4721c3b4da8413b2
3. 未动态验证</x:v>
      </x:c>
    </x:row>
    <x:row r="1349" ht="115" customHeight="1">
      <x:c r="A1349" s="10" t="n">
        <x:v>1348</x:v>
      </x:c>
      <x:c r="B1349" s="10" t="str">
        <x:v>USER-04-0178</x:v>
      </x:c>
      <x:c r="C1349" s="10" t="str">
        <x:v>消息与社交</x:v>
      </x:c>
      <x:c r="D1349" s="10" t="str">
        <x:v>系统通知（被处置主播视角）</x:v>
      </x:c>
      <x:c r="E1349" s="10" t="str">
        <x:v>功能需求</x:v>
      </x:c>
      <x:c r="F1349" s="10" t="str">
        <x:v>P1</x:v>
      </x:c>
      <x:c r="G1349" s="9" t="str">
        <x:v>验证举报关闭权限站内消息</x:v>
      </x:c>
      <x:c r="H1349" s="9" t="str">
        <x:v>关闭权限通知正文</x:v>
      </x:c>
      <x:c r="I1349" s="9" t="str">
        <x:v>1. 执行角色为被处置主播；当前处于系统通知页面
2. 此前场次受到关闭直播权限处置
3. 预期通知正文为“直播间严重违规，平台已关闭直播间，并关闭直播权限”</x:v>
      </x:c>
      <x:c r="J1349" s="9" t="str">
        <x:v>1. 刷新系统通知</x:v>
      </x:c>
      <x:c r="K1349" s="9" t="str">
        <x:v>通知正文与预置的完整关闭权限文案逐字一致</x:v>
      </x:c>
      <x:c r="L1349" s="10" t="str"/>
      <x:c r="M1349" s="10" t="str">
        <x:v>未测</x:v>
      </x:c>
      <x:c r="N1349" s="10" t="str"/>
      <x:c r="O1349" s="9" t="str">
        <x:v>1. 来源（当前证据）：liveshow-proto/MainBasis/统一需求文档.md；位置：行295、行667
2. 规则：BR-2ee2ab9d6aa9e329
3. 未动态验证</x:v>
      </x:c>
    </x:row>
    <x:row r="1350" ht="85" customHeight="1">
      <x:c r="A1350" s="10" t="n">
        <x:v>1349</x:v>
      </x:c>
      <x:c r="B1350" s="10" t="str">
        <x:v>USER-07-0167</x:v>
      </x:c>
      <x:c r="C1350" s="10" t="str">
        <x:v>主播中心</x:v>
      </x:c>
      <x:c r="D1350" s="10" t="str">
        <x:v>主播中心（已认证主播视角）</x:v>
      </x:c>
      <x:c r="E1350" s="10" t="str">
        <x:v>功能需求</x:v>
      </x:c>
      <x:c r="F1350" s="10" t="str">
        <x:v>P1</x:v>
      </x:c>
      <x:c r="G1350" s="9" t="str">
        <x:v>验证仅关播后仍可再播</x:v>
      </x:c>
      <x:c r="H1350" s="9" t="str">
        <x:v>单次关播后开播资格</x:v>
      </x:c>
      <x:c r="I1350" s="9" t="str">
        <x:v>1. 执行角色为已认证主播；当前处于主播中心页面
2. 上一场因举报被关播，但账号、公会、认证和最终开播权限仍有效</x:v>
      </x:c>
      <x:c r="J1350" s="9" t="str">
        <x:v>1. 点击开始直播</x:v>
      </x:c>
      <x:c r="K1350" s="9" t="str">
        <x:v>允许进入开播设置</x:v>
      </x:c>
      <x:c r="L1350" s="10" t="str"/>
      <x:c r="M1350" s="10" t="str">
        <x:v>未测</x:v>
      </x:c>
      <x:c r="N1350" s="10" t="str"/>
      <x:c r="O1350" s="9" t="str">
        <x:v>1. 来源（当前证据）：liveshow-proto/MainBasis/统一需求文档.md；位置：行294、行201、行1122
2. 规则：BR-52e913308ac74a0d
3. 未动态验证</x:v>
      </x:c>
    </x:row>
    <x:row r="1351" ht="85" customHeight="1">
      <x:c r="A1351" s="10" t="n">
        <x:v>1350</x:v>
      </x:c>
      <x:c r="B1351" s="10" t="str">
        <x:v>USER-07-0168</x:v>
      </x:c>
      <x:c r="C1351" s="10" t="str">
        <x:v>主播中心</x:v>
      </x:c>
      <x:c r="D1351" s="10" t="str">
        <x:v>主播中心（已认证主播视角）</x:v>
      </x:c>
      <x:c r="E1351" s="10" t="str">
        <x:v>功能需求</x:v>
      </x:c>
      <x:c r="F1351" s="10" t="str">
        <x:v>P1</x:v>
      </x:c>
      <x:c r="G1351" s="9" t="str">
        <x:v>验证举报关权限后不能再播</x:v>
      </x:c>
      <x:c r="H1351" s="9" t="str">
        <x:v>入口可用性</x:v>
      </x:c>
      <x:c r="I1351" s="9" t="str">
        <x:v>1. 执行角色为已认证主播；当前处于主播中心页面
2. 上一场因举报关闭直播权限，权限尚未恢复</x:v>
      </x:c>
      <x:c r="J1351" s="9" t="str">
        <x:v>1. 点击开始直播</x:v>
      </x:c>
      <x:c r="K1351" s="9" t="str">
        <x:v>不能再次开播</x:v>
      </x:c>
      <x:c r="L1351" s="10" t="str"/>
      <x:c r="M1351" s="10" t="str">
        <x:v>未测</x:v>
      </x:c>
      <x:c r="N1351" s="10" t="str"/>
      <x:c r="O1351" s="9" t="str">
        <x:v>1. 来源（当前证据）：liveshow-proto/MainBasis/统一需求文档.md；位置：行295、行203、行1122
2. 规则：BR-b09122e979576659
3. 未动态验证</x:v>
      </x:c>
    </x:row>
    <x:row r="1352" ht="85" customHeight="1">
      <x:c r="A1352" s="10" t="n">
        <x:v>1351</x:v>
      </x:c>
      <x:c r="B1352" s="10" t="str">
        <x:v>USER-01-0118</x:v>
      </x:c>
      <x:c r="C1352" s="10" t="str">
        <x:v>系统入口</x:v>
      </x:c>
      <x:c r="D1352" s="10" t="str">
        <x:v>手机号登录（被封禁账号用户视角）</x:v>
      </x:c>
      <x:c r="E1352" s="10" t="str">
        <x:v>功能需求</x:v>
      </x:c>
      <x:c r="F1352" s="10" t="str">
        <x:v>P1</x:v>
      </x:c>
      <x:c r="G1352" s="9" t="str">
        <x:v>验证被举报封禁后登录反馈</x:v>
      </x:c>
      <x:c r="H1352" s="9" t="str">
        <x:v>封禁账号提示</x:v>
      </x:c>
      <x:c r="I1352" s="9" t="str">
        <x:v>1. 执行角色为被封禁账号用户；当前处于手机号登录页面
2. 账号绑定手机号有效；已同意协议且持有有效登录凭证</x:v>
      </x:c>
      <x:c r="J1352" s="9" t="str">
        <x:v>1. 输入已绑定手机号及有效验证码
2. 点击继续</x:v>
      </x:c>
      <x:c r="K1352" s="9" t="str">
        <x:v>提示“账号已封禁”</x:v>
      </x:c>
      <x:c r="L1352" s="10" t="str"/>
      <x:c r="M1352" s="10" t="str">
        <x:v>未测</x:v>
      </x:c>
      <x:c r="N1352" s="10" t="str"/>
      <x:c r="O1352" s="9" t="str">
        <x:v>1. 来源（当前证据）：liveshow-proto/MainBasis/统一需求文档.md；位置：行308、行1384
2. 规则：BR-85c8464e17ae3aab
3. 未动态验证</x:v>
      </x:c>
    </x:row>
    <x:row r="1353" ht="85" customHeight="1">
      <x:c r="A1353" s="10" t="n">
        <x:v>1352</x:v>
      </x:c>
      <x:c r="B1353" s="10" t="str">
        <x:v>USER-03-0329</x:v>
      </x:c>
      <x:c r="C1353" s="10" t="str">
        <x:v>直播</x:v>
      </x:c>
      <x:c r="D1353" s="10" t="str">
        <x:v>直播间（主播）（正在直播的普通房主播视角）</x:v>
      </x:c>
      <x:c r="E1353" s="10" t="str">
        <x:v>功能需求</x:v>
      </x:c>
      <x:c r="F1353" s="10" t="str">
        <x:v>P1</x:v>
      </x:c>
      <x:c r="G1353" s="9" t="str">
        <x:v>验证主动取消连麦邀请</x:v>
      </x:c>
      <x:c r="H1353" s="9" t="str">
        <x:v>连麦邀请取消状态</x:v>
      </x:c>
      <x:c r="I1353" s="9" t="str">
        <x:v>1. 执行角色为正在直播的普通房主播；当前处于直播间（主播）页面
2. 已向B发出尚未回应的连麦邀请</x:v>
      </x:c>
      <x:c r="J1353" s="9" t="str">
        <x:v>1. 点击取消邀请</x:v>
      </x:c>
      <x:c r="K1353" s="9" t="str">
        <x:v>已发给B的邀请失效</x:v>
      </x:c>
      <x:c r="L1353" s="10" t="str"/>
      <x:c r="M1353" s="10" t="str">
        <x:v>未测</x:v>
      </x:c>
      <x:c r="N1353" s="10" t="str"/>
      <x:c r="O1353" s="9" t="str">
        <x:v>1. 来源（当前证据）：liveshow-proto/MainBasis/统一需求文档.md；位置：行274、行797
2. 规则：BR-b8344b5edad3fd06
3. 未动态验证</x:v>
      </x:c>
    </x:row>
    <x:row r="1354" ht="85" customHeight="1">
      <x:c r="A1354" s="10" t="n">
        <x:v>1353</x:v>
      </x:c>
      <x:c r="B1354" s="10" t="str">
        <x:v>USER-03-0330</x:v>
      </x:c>
      <x:c r="C1354" s="10" t="str">
        <x:v>直播</x:v>
      </x:c>
      <x:c r="D1354" s="10" t="str">
        <x:v>直播间（普通房）（普通观众视角）</x:v>
      </x:c>
      <x:c r="E1354" s="10" t="str">
        <x:v>功能需求</x:v>
      </x:c>
      <x:c r="F1354" s="10" t="str">
        <x:v>P1</x:v>
      </x:c>
      <x:c r="G1354" s="9" t="str">
        <x:v>验证主播屏蔽评论对观众生效</x:v>
      </x:c>
      <x:c r="H1354" s="9" t="str">
        <x:v>观众侧评论屏蔽效果</x:v>
      </x:c>
      <x:c r="I1354" s="9" t="str">
        <x:v>1. 执行角色为普通观众；当前处于直播间（普通房）页面
2. 本场消息M刚被主播屏蔽</x:v>
      </x:c>
      <x:c r="J1354" s="9" t="str">
        <x:v>1. 查看本场公屏</x:v>
      </x:c>
      <x:c r="K1354" s="9" t="str">
        <x:v>不再显示消息M</x:v>
      </x:c>
      <x:c r="L1354" s="10" t="str"/>
      <x:c r="M1354" s="10" t="str">
        <x:v>未测</x:v>
      </x:c>
      <x:c r="N1354" s="10" t="str"/>
      <x:c r="O1354" s="9" t="str">
        <x:v>1. 来源（当前证据）：liveshow-proto/MainBasis/统一需求文档.md；位置：行252、行759
2. 规则：BR-da8c156aa4168796
3. 未动态验证</x:v>
      </x:c>
    </x:row>
    <x:row r="1355" ht="130" customHeight="1">
      <x:c r="A1355" s="10" t="n">
        <x:v>1354</x:v>
      </x:c>
      <x:c r="B1355" s="10" t="str">
        <x:v>USER-03-0331</x:v>
      </x:c>
      <x:c r="C1355" s="10" t="str">
        <x:v>直播</x:v>
      </x:c>
      <x:c r="D1355" s="10" t="str">
        <x:v>直播间（普通房）（已购买本场门票的观众视角）</x:v>
      </x:c>
      <x:c r="E1355" s="10" t="str">
        <x:v>功能需求</x:v>
      </x:c>
      <x:c r="F1355" s="10" t="str">
        <x:v>P1</x:v>
      </x:c>
      <x:c r="G1355" s="9" t="str">
        <x:v>验证旧场门票不用于新场</x:v>
      </x:c>
      <x:c r="H1355" s="9" t="str">
        <x:v>新场次旧门票失效</x:v>
      </x:c>
      <x:c r="I1355" s="9" t="str">
        <x:v>1. 执行角色为已购买本场门票的观众；当前处于直播间（普通房）页面
2. 刚结束门票场次S，原票只属于S；同一主播又创建新门票场次T，当前有足够余额</x:v>
      </x:c>
      <x:c r="J1355" s="9" t="str">
        <x:v>1. 进入新场次T</x:v>
      </x:c>
      <x:c r="K1355" s="9" t="str">
        <x:v>需要重新购买T场次门票</x:v>
      </x:c>
      <x:c r="L1355" s="10" t="str">
        <x:v>FLOW-FBAFAB0C</x:v>
      </x:c>
      <x:c r="M1355" s="10" t="str">
        <x:v>未测</x:v>
      </x:c>
      <x:c r="N1355" s="10" t="str"/>
      <x:c r="O1355" s="9" t="str">
        <x:v>1. 来源（当前证据）：liveshow-proto/MainBasis/统一需求文档.md；位置：行190、行842、行759
2. 规则：BR-f61803ecd36a8c3b
3. 未动态验证
4. 状态转换：ST-USER-024；共同业务对象：门票资格；当前阶段：场次结束后的用户App观察</x:v>
      </x:c>
    </x:row>
    <x:row r="1356" ht="85" customHeight="1">
      <x:c r="A1356" s="10" t="n">
        <x:v>1355</x:v>
      </x:c>
      <x:c r="B1356" s="10" t="str">
        <x:v>USER-02-0176</x:v>
      </x:c>
      <x:c r="C1356" s="10" t="str">
        <x:v>首页与福利</x:v>
      </x:c>
      <x:c r="D1356" s="10" t="str">
        <x:v>邀请好友（普通用户视角）</x:v>
      </x:c>
      <x:c r="E1356" s="10" t="str">
        <x:v>功能需求</x:v>
      </x:c>
      <x:c r="F1356" s="10" t="str">
        <x:v>P1</x:v>
      </x:c>
      <x:c r="G1356" s="9" t="str">
        <x:v>验证邀请金币合计</x:v>
      </x:c>
      <x:c r="H1356" s="9" t="str">
        <x:v>资产数值</x:v>
      </x:c>
      <x:c r="I1356" s="9" t="str">
        <x:v>1. 执行角色为普通用户；当前处于邀请好友页面
2. 活动当前每个成功邀请奖励10金币；当前成功邀请3人且奖励均已到账，无其他邀请奖励</x:v>
      </x:c>
      <x:c r="J1356" s="9" t="str">
        <x:v>1. 查看累计获得金币</x:v>
      </x:c>
      <x:c r="K1356" s="9" t="str">
        <x:v>累计获得30金币（计算结果 = 30 金币）</x:v>
      </x:c>
      <x:c r="L1356" s="10" t="str"/>
      <x:c r="M1356" s="10" t="str">
        <x:v>未测</x:v>
      </x:c>
      <x:c r="N1356" s="10" t="str"/>
      <x:c r="O1356" s="9" t="str">
        <x:v>1. 来源（当前证据）：liveshow-proto/MainBasis/统一需求文档.md；位置：行647、行646、行644、行641
2. 规则：BR-7af15f4db9d59d74
3. 未动态验证</x:v>
      </x:c>
    </x:row>
    <x:row r="1357" ht="130" customHeight="1">
      <x:c r="A1357" s="10" t="n">
        <x:v>1356</x:v>
      </x:c>
      <x:c r="B1357" s="10" t="str">
        <x:v>USER-08-0065</x:v>
      </x:c>
      <x:c r="C1357" s="10" t="str">
        <x:v>钱包与账单</x:v>
      </x:c>
      <x:c r="D1357" s="10" t="str">
        <x:v>余额明细（真实金币用户视角）</x:v>
      </x:c>
      <x:c r="E1357" s="10" t="str">
        <x:v>功能需求</x:v>
      </x:c>
      <x:c r="F1357" s="10" t="str">
        <x:v>P1</x:v>
      </x:c>
      <x:c r="G1357" s="9" t="str">
        <x:v>验证整笔充值退款形成负余额</x:v>
      </x:c>
      <x:c r="H1357" s="9" t="str">
        <x:v>资产数值</x:v>
      </x:c>
      <x:c r="I1357" s="9" t="str">
        <x:v>1. 执行角色为真实金币用户；当前处于余额明细页面
2. 原充值订单到账1000金币已全部消费，目前余额0；该充值订单刚完成退款</x:v>
      </x:c>
      <x:c r="J1357" s="9" t="str">
        <x:v>1. 刷新金币余额</x:v>
      </x:c>
      <x:c r="K1357" s="9" t="str">
        <x:v>余额变为-1000金币（计算结果 = -1000 金币）</x:v>
      </x:c>
      <x:c r="L1357" s="10" t="str">
        <x:v>FLOW-2BA2481A</x:v>
      </x:c>
      <x:c r="M1357" s="10" t="str">
        <x:v>未测</x:v>
      </x:c>
      <x:c r="N1357" s="10" t="str"/>
      <x:c r="O1357" s="9" t="str">
        <x:v>1. 来源（当前证据）：liveshow-proto/MainBasis/统一需求文档.md；位置：行403、行407、行1311
2. 规则：BR-c1113e95966d2742
3. 未动态验证
4. 状态转换：ST-USER-027；共同业务对象：充值订单；当前阶段：退款处理成功后的用户App观察</x:v>
      </x:c>
    </x:row>
    <x:row r="1358" ht="130" customHeight="1">
      <x:c r="A1358" s="10" t="n">
        <x:v>1357</x:v>
      </x:c>
      <x:c r="B1358" s="10" t="str">
        <x:v>USER-08-0066</x:v>
      </x:c>
      <x:c r="C1358" s="10" t="str">
        <x:v>钱包与账单</x:v>
      </x:c>
      <x:c r="D1358" s="10" t="str">
        <x:v>支出订单详情（真实金币用户视角）</x:v>
      </x:c>
      <x:c r="E1358" s="10" t="str">
        <x:v>功能需求</x:v>
      </x:c>
      <x:c r="F1358" s="10" t="str">
        <x:v>P1</x:v>
      </x:c>
      <x:c r="G1358" s="9" t="str">
        <x:v>验证结束场次保留消费记录</x:v>
      </x:c>
      <x:c r="H1358" s="9" t="str">
        <x:v>历史消费记录保留</x:v>
      </x:c>
      <x:c r="I1358" s="9" t="str">
        <x:v>1. 执行角色为真实金币用户；当前处于支出订单详情页面
2. 本笔消费属于已结束场次S，原始消费金额100金币</x:v>
      </x:c>
      <x:c r="J1358" s="9" t="str">
        <x:v>1. 查看该支出订单</x:v>
      </x:c>
      <x:c r="K1358" s="9" t="str">
        <x:v>原支付100金币消费记录保留</x:v>
      </x:c>
      <x:c r="L1358" s="10" t="str">
        <x:v>FLOW-FBAFAB0C</x:v>
      </x:c>
      <x:c r="M1358" s="10" t="str">
        <x:v>未测</x:v>
      </x:c>
      <x:c r="N1358" s="10" t="str"/>
      <x:c r="O1358" s="9" t="str">
        <x:v>1. 来源（当前证据）：liveshow-proto/MainBasis/统一需求文档.md；位置：行181、行842、行1334
2. 规则：BR-f3d3fa8eb1900353
3. 未动态验证
4. 状态转换：ST-USER-024；共同业务对象：门票资格；当前阶段：场次结束后的用户App观察</x:v>
      </x:c>
    </x:row>
    <x:row r="1359" ht="85" customHeight="1">
      <x:c r="A1359" s="10" t="n">
        <x:v>1358</x:v>
      </x:c>
      <x:c r="B1359" s="10" t="str">
        <x:v>USER-05-0242</x:v>
      </x:c>
      <x:c r="C1359" s="10" t="str">
        <x:v>我的</x:v>
      </x:c>
      <x:c r="D1359" s="10" t="str">
        <x:v>我的关注（已登录普通用户视角）</x:v>
      </x:c>
      <x:c r="E1359" s="10" t="str">
        <x:v>功能需求</x:v>
      </x:c>
      <x:c r="F1359" s="10" t="str">
        <x:v>P2</x:v>
      </x:c>
      <x:c r="G1359" s="9" t="str">
        <x:v>验证关注时间倒序</x:v>
      </x:c>
      <x:c r="H1359" s="9" t="str">
        <x:v>排列次序</x:v>
      </x:c>
      <x:c r="I1359" s="9" t="str">
        <x:v>1. 执行角色为已登录普通用户；当前处于我的关注页面
2. 已先后关注A、B，B为最新关注</x:v>
      </x:c>
      <x:c r="J1359" s="9" t="str">
        <x:v>1. 刷新关注列表</x:v>
      </x:c>
      <x:c r="K1359" s="9" t="str">
        <x:v>B排在A前</x:v>
      </x:c>
      <x:c r="L1359" s="10" t="str"/>
      <x:c r="M1359" s="10" t="str">
        <x:v>未测</x:v>
      </x:c>
      <x:c r="N1359" s="10" t="str"/>
      <x:c r="O1359" s="9" t="str">
        <x:v>1. 来源（当前证据）：liveshow-proto/MainBasis/统一需求文档.md；位置：行725、行719
2. 规则：BR-750387c2a13610fb
3. 未动态验证</x:v>
      </x:c>
    </x:row>
    <x:row r="1360" ht="85" customHeight="1">
      <x:c r="A1360" s="10" t="n">
        <x:v>1359</x:v>
      </x:c>
      <x:c r="B1360" s="10" t="str">
        <x:v>USER-05-0243</x:v>
      </x:c>
      <x:c r="C1360" s="10" t="str">
        <x:v>我的</x:v>
      </x:c>
      <x:c r="D1360" s="10" t="str">
        <x:v>我的关注（已登录普通用户视角）</x:v>
      </x:c>
      <x:c r="E1360" s="10" t="str">
        <x:v>功能需求</x:v>
      </x:c>
      <x:c r="F1360" s="10" t="str">
        <x:v>P1</x:v>
      </x:c>
      <x:c r="G1360" s="9" t="str">
        <x:v>验证关注主播结束状态更新</x:v>
      </x:c>
      <x:c r="H1360" s="9" t="str">
        <x:v>关注主播开播状态</x:v>
      </x:c>
      <x:c r="I1360" s="9" t="str">
        <x:v>1. 执行角色为已登录普通用户；当前处于我的关注页面
2. 当前关注主播A刚结束直播</x:v>
      </x:c>
      <x:c r="J1360" s="9" t="str">
        <x:v>1. 刷新关注列表</x:v>
      </x:c>
      <x:c r="K1360" s="9" t="str">
        <x:v>A更新为未开播</x:v>
      </x:c>
      <x:c r="L1360" s="10" t="str"/>
      <x:c r="M1360" s="10" t="str">
        <x:v>未测</x:v>
      </x:c>
      <x:c r="N1360" s="10" t="str"/>
      <x:c r="O1360" s="9" t="str">
        <x:v>1. 来源（当前证据）：liveshow-proto/MainBasis/统一需求文档.md；位置：行723、行719
2. 规则：BR-37f43241aecb8af5
3. 未动态验证</x:v>
      </x:c>
    </x:row>
    <x:row r="1361" ht="85" customHeight="1">
      <x:c r="A1361" s="10" t="n">
        <x:v>1360</x:v>
      </x:c>
      <x:c r="B1361" s="10" t="str">
        <x:v>USER-02-0177</x:v>
      </x:c>
      <x:c r="C1361" s="10" t="str">
        <x:v>首页与福利</x:v>
      </x:c>
      <x:c r="D1361" s="10" t="str">
        <x:v>全部任务（已登录普通用户视角）</x:v>
      </x:c>
      <x:c r="E1361" s="10" t="str">
        <x:v>功能需求</x:v>
      </x:c>
      <x:c r="F1361" s="10" t="str">
        <x:v>P2</x:v>
      </x:c>
      <x:c r="G1361" s="9" t="str">
        <x:v>验证全部任务无额外统计标题</x:v>
      </x:c>
      <x:c r="H1361" s="9" t="str">
        <x:v>任务统计标题可见性</x:v>
      </x:c>
      <x:c r="I1361" s="9" t="str">
        <x:v>1. 执行角色为已登录普通用户；当前处于全部任务页面</x:v>
      </x:c>
      <x:c r="J1361" s="9" t="str">
        <x:v>1. 查看任务页面</x:v>
      </x:c>
      <x:c r="K1361" s="9" t="str">
        <x:v>不展示任务统计及任务分类标题</x:v>
      </x:c>
      <x:c r="L1361" s="10" t="str"/>
      <x:c r="M1361" s="10" t="str">
        <x:v>未测</x:v>
      </x:c>
      <x:c r="N1361" s="10" t="str"/>
      <x:c r="O1361" s="9" t="str">
        <x:v>1. 来源（当前证据）：liveshow-proto/MainBasis/统一需求文档.md；位置：行632、行626
2. 规则：BR-d2ccef5729cba63e
3. 未动态验证</x:v>
      </x:c>
    </x:row>
    <x:row r="1362" ht="85" customHeight="1">
      <x:c r="A1362" s="10" t="n">
        <x:v>1361</x:v>
      </x:c>
      <x:c r="B1362" s="10" t="str">
        <x:v>USER-04-0179</x:v>
      </x:c>
      <x:c r="C1362" s="10" t="str">
        <x:v>消息与社交</x:v>
      </x:c>
      <x:c r="D1362" s="10" t="str">
        <x:v>互动通知（已登录用户A视角）</x:v>
      </x:c>
      <x:c r="E1362" s="10" t="str">
        <x:v>功能需求</x:v>
      </x:c>
      <x:c r="F1362" s="10" t="str">
        <x:v>P1</x:v>
      </x:c>
      <x:c r="G1362" s="9" t="str">
        <x:v>验证互动通知归属隔离</x:v>
      </x:c>
      <x:c r="H1362" s="9" t="str">
        <x:v>互动通知账号范围</x:v>
      </x:c>
      <x:c r="I1362" s="9" t="str">
        <x:v>1. 执行角色为已登录用户A；当前处于互动通知页面
2. A和B分别有各自收到的好友申请通知</x:v>
      </x:c>
      <x:c r="J1362" s="9" t="str">
        <x:v>1. 刷新互动通知</x:v>
      </x:c>
      <x:c r="K1362" s="9" t="str">
        <x:v>列表不包含仅发给B的通知</x:v>
      </x:c>
      <x:c r="L1362" s="10" t="str"/>
      <x:c r="M1362" s="10" t="str">
        <x:v>未测</x:v>
      </x:c>
      <x:c r="N1362" s="10" t="str"/>
      <x:c r="O1362" s="9" t="str">
        <x:v>1. 来源（当前证据）：liveshow-proto/MainBasis/统一需求文档.md；位置：行878、行871
2. 规则：BR-cf317a326f378860
3. 未动态验证</x:v>
      </x:c>
    </x:row>
    <x:row r="1363" ht="85" customHeight="1">
      <x:c r="A1363" s="10" t="n">
        <x:v>1362</x:v>
      </x:c>
      <x:c r="B1363" s="10" t="str">
        <x:v>USER-04-0180</x:v>
      </x:c>
      <x:c r="C1363" s="10" t="str">
        <x:v>消息与社交</x:v>
      </x:c>
      <x:c r="D1363" s="10" t="str">
        <x:v>1 对 1 私信（已登录用户A视角）</x:v>
      </x:c>
      <x:c r="E1363" s="10" t="str">
        <x:v>功能需求</x:v>
      </x:c>
      <x:c r="F1363" s="10" t="str">
        <x:v>P1</x:v>
      </x:c>
      <x:c r="G1363" s="9" t="str">
        <x:v>验证私信按所选对象隔离</x:v>
      </x:c>
      <x:c r="H1363" s="9" t="str">
        <x:v>私信聊天对象隔离</x:v>
      </x:c>
      <x:c r="I1363" s="9" t="str">
        <x:v>1. 执行角色为已登录用户A；当前处于1 对 1 私信页面
2. A与B的会话含QA-B；A与C的会话含QA-C；当前会话对象为B</x:v>
      </x:c>
      <x:c r="J1363" s="9" t="str">
        <x:v>1. 查看聊天记录</x:v>
      </x:c>
      <x:c r="K1363" s="9" t="str">
        <x:v>不展示A与C之间的QA-C消息</x:v>
      </x:c>
      <x:c r="L1363" s="10" t="str"/>
      <x:c r="M1363" s="10" t="str">
        <x:v>未测</x:v>
      </x:c>
      <x:c r="N1363" s="10" t="str"/>
      <x:c r="O1363" s="9" t="str">
        <x:v>1. 来源（当前证据）：liveshow-proto/MainBasis/统一需求文档.md；位置：行892、行884
2. 规则：BR-9c23d434359a9f54
3. 未动态验证</x:v>
      </x:c>
    </x:row>
    <x:row r="1364" ht="85" customHeight="1">
      <x:c r="A1364" s="10" t="n">
        <x:v>1363</x:v>
      </x:c>
      <x:c r="B1364" s="10" t="str">
        <x:v>USER-04-0181</x:v>
      </x:c>
      <x:c r="C1364" s="10" t="str">
        <x:v>消息与社交</x:v>
      </x:c>
      <x:c r="D1364" s="10" t="str">
        <x:v>粉丝团群聊（粉丝团成员视角）</x:v>
      </x:c>
      <x:c r="E1364" s="10" t="str">
        <x:v>功能需求</x:v>
      </x:c>
      <x:c r="F1364" s="10" t="str">
        <x:v>P1</x:v>
      </x:c>
      <x:c r="G1364" s="9" t="str">
        <x:v>验证粉丝群消息按群隔离</x:v>
      </x:c>
      <x:c r="H1364" s="9" t="str">
        <x:v>粉丝群聊天对象隔离</x:v>
      </x:c>
      <x:c r="I1364" s="9" t="str">
        <x:v>1. 执行角色为粉丝团成员；当前处于粉丝团群聊页面
2. 当前所属群G1有QA-G1消息；另一群G2有QA-G2消息；当前查看G1</x:v>
      </x:c>
      <x:c r="J1364" s="9" t="str">
        <x:v>1. 查看群消息</x:v>
      </x:c>
      <x:c r="K1364" s="9" t="str">
        <x:v>不展示G2的QA-G2消息</x:v>
      </x:c>
      <x:c r="L1364" s="10" t="str"/>
      <x:c r="M1364" s="10" t="str">
        <x:v>未测</x:v>
      </x:c>
      <x:c r="N1364" s="10" t="str"/>
      <x:c r="O1364" s="9" t="str">
        <x:v>1. 来源（当前证据）：liveshow-proto/MainBasis/统一需求文档.md；位置：行905、行897
2. 规则：BR-922e3904239dab40
3. 未动态验证</x:v>
      </x:c>
    </x:row>
    <x:row r="1365" ht="85" customHeight="1">
      <x:c r="A1365" s="10" t="n">
        <x:v>1364</x:v>
      </x:c>
      <x:c r="B1365" s="10" t="str">
        <x:v>USER-04-0182</x:v>
      </x:c>
      <x:c r="C1365" s="10" t="str">
        <x:v>消息与社交</x:v>
      </x:c>
      <x:c r="D1365" s="10" t="str">
        <x:v>群管理（成员）（粉丝团成员B视角）</x:v>
      </x:c>
      <x:c r="E1365" s="10" t="str">
        <x:v>功能需求</x:v>
      </x:c>
      <x:c r="F1365" s="10" t="str">
        <x:v>P1</x:v>
      </x:c>
      <x:c r="G1365" s="9" t="str">
        <x:v>验证主播修改免打扰不改成员设置</x:v>
      </x:c>
      <x:c r="H1365" s="9" t="str">
        <x:v>群主免打扰设置范围</x:v>
      </x:c>
      <x:c r="I1365" s="9" t="str">
        <x:v>1. 执行角色为粉丝团成员B；当前处于群管理（成员）页面
2. 所属主播已启用其个人群免打扰；B原免打扰关闭</x:v>
      </x:c>
      <x:c r="J1365" s="9" t="str">
        <x:v>1. 查看本人的群消息免打扰</x:v>
      </x:c>
      <x:c r="K1365" s="9" t="str">
        <x:v>B的免打扰仍为关闭</x:v>
      </x:c>
      <x:c r="L1365" s="10" t="str"/>
      <x:c r="M1365" s="10" t="str">
        <x:v>未测</x:v>
      </x:c>
      <x:c r="N1365" s="10" t="str"/>
      <x:c r="O1365" s="9" t="str">
        <x:v>1. 来源（当前证据）：liveshow-proto/MainBasis/统一需求文档.md；位置：行923、行910
2. 规则：BR-882fc3fc71a59b0d
3. 未动态验证</x:v>
      </x:c>
    </x:row>
    <x:row r="1366" ht="85" customHeight="1">
      <x:c r="A1366" s="10" t="n">
        <x:v>1365</x:v>
      </x:c>
      <x:c r="B1366" s="10" t="str">
        <x:v>USER-06-0080</x:v>
      </x:c>
      <x:c r="C1366" s="10" t="str">
        <x:v>公会关系</x:v>
      </x:c>
      <x:c r="D1366" s="10" t="str">
        <x:v>申请加入公会（入会申请人A视角）</x:v>
      </x:c>
      <x:c r="E1366" s="10" t="str">
        <x:v>功能需求</x:v>
      </x:c>
      <x:c r="F1366" s="10" t="str">
        <x:v>P1</x:v>
      </x:c>
      <x:c r="G1366" s="9" t="str">
        <x:v>验证入会资料所属账号公会隔离</x:v>
      </x:c>
      <x:c r="H1366" s="9" t="str">
        <x:v>申请资料账号公会隔离</x:v>
      </x:c>
      <x:c r="I1366" s="9" t="str">
        <x:v>1. 执行角色为入会申请人A；当前处于申请加入公会页面
2. A选中公会G1；另一用户B申请G2</x:v>
      </x:c>
      <x:c r="J1366" s="9" t="str">
        <x:v>1. 查看本次申请资料</x:v>
      </x:c>
      <x:c r="K1366" s="9" t="str">
        <x:v>本表只对应A向G1的申请</x:v>
      </x:c>
      <x:c r="L1366" s="10" t="str"/>
      <x:c r="M1366" s="10" t="str">
        <x:v>未测</x:v>
      </x:c>
      <x:c r="N1366" s="10" t="str"/>
      <x:c r="O1366" s="9" t="str">
        <x:v>1. 来源（当前证据）：liveshow-proto/MainBasis/统一需求文档.md；位置：行984、行976
2. 规则：BR-47dce13b1f2632f6
3. 未动态验证</x:v>
      </x:c>
    </x:row>
    <x:row r="1367" ht="85" customHeight="1">
      <x:c r="A1367" s="10" t="n">
        <x:v>1366</x:v>
      </x:c>
      <x:c r="B1367" s="10" t="str">
        <x:v>USER-06-0081</x:v>
      </x:c>
      <x:c r="C1367" s="10" t="str">
        <x:v>公会关系</x:v>
      </x:c>
      <x:c r="D1367" s="10" t="str">
        <x:v>我的公会（已登录普通用户视角）</x:v>
      </x:c>
      <x:c r="E1367" s="10" t="str">
        <x:v>功能需求</x:v>
      </x:c>
      <x:c r="F1367" s="10" t="str">
        <x:v>P1</x:v>
      </x:c>
      <x:c r="G1367" s="9" t="str">
        <x:v>验证公会记录关系申请中</x:v>
      </x:c>
      <x:c r="H1367" s="9" t="str">
        <x:v>申请处理</x:v>
      </x:c>
      <x:c r="I1367" s="9" t="str">
        <x:v>1. 执行角色为已登录普通用户；当前处于我的公会页面
2. 当前账号与公会G的实际关系为申请中</x:v>
      </x:c>
      <x:c r="J1367" s="9" t="str">
        <x:v>1. 查看G的申请记录</x:v>
      </x:c>
      <x:c r="K1367" s="9" t="str">
        <x:v>显示申请中</x:v>
      </x:c>
      <x:c r="L1367" s="10" t="str"/>
      <x:c r="M1367" s="10" t="str">
        <x:v>未测</x:v>
      </x:c>
      <x:c r="N1367" s="10" t="str"/>
      <x:c r="O1367" s="9" t="str">
        <x:v>1. 来源（当前证据）：liveshow-proto/MainBasis/统一需求文档.md；位置：行998、行993
2. 规则：BR-f61788c69fb2edd0
3. 未动态验证</x:v>
      </x:c>
    </x:row>
    <x:row r="1368" ht="85" customHeight="1">
      <x:c r="A1368" s="10" t="n">
        <x:v>1367</x:v>
      </x:c>
      <x:c r="B1368" s="10" t="str">
        <x:v>USER-06-0082</x:v>
      </x:c>
      <x:c r="C1368" s="10" t="str">
        <x:v>公会关系</x:v>
      </x:c>
      <x:c r="D1368" s="10" t="str">
        <x:v>我的公会（已登录普通用户视角）</x:v>
      </x:c>
      <x:c r="E1368" s="10" t="str">
        <x:v>功能需求</x:v>
      </x:c>
      <x:c r="F1368" s="10" t="str">
        <x:v>P1</x:v>
      </x:c>
      <x:c r="G1368" s="9" t="str">
        <x:v>验证公会记录关系已加入</x:v>
      </x:c>
      <x:c r="H1368" s="9" t="str">
        <x:v>关系已加入标记</x:v>
      </x:c>
      <x:c r="I1368" s="9" t="str">
        <x:v>1. 执行角色为已登录普通用户；当前处于我的公会页面
2. 当前账号与公会G的实际关系为已加入</x:v>
      </x:c>
      <x:c r="J1368" s="9" t="str">
        <x:v>1. 查看G的申请记录</x:v>
      </x:c>
      <x:c r="K1368" s="9" t="str">
        <x:v>显示已加入</x:v>
      </x:c>
      <x:c r="L1368" s="10" t="str"/>
      <x:c r="M1368" s="10" t="str">
        <x:v>未测</x:v>
      </x:c>
      <x:c r="N1368" s="10" t="str"/>
      <x:c r="O1368" s="9" t="str">
        <x:v>1. 来源（当前证据）：liveshow-proto/MainBasis/统一需求文档.md；位置：行998、行993
2. 规则：BR-0f1e707a9039786a
3. 未动态验证</x:v>
      </x:c>
    </x:row>
    <x:row r="1369" ht="85" customHeight="1">
      <x:c r="A1369" s="10" t="n">
        <x:v>1368</x:v>
      </x:c>
      <x:c r="B1369" s="10" t="str">
        <x:v>USER-06-0083</x:v>
      </x:c>
      <x:c r="C1369" s="10" t="str">
        <x:v>公会关系</x:v>
      </x:c>
      <x:c r="D1369" s="10" t="str">
        <x:v>我的公会（已登录普通用户视角）</x:v>
      </x:c>
      <x:c r="E1369" s="10" t="str">
        <x:v>功能需求</x:v>
      </x:c>
      <x:c r="F1369" s="10" t="str">
        <x:v>P1</x:v>
      </x:c>
      <x:c r="G1369" s="9" t="str">
        <x:v>验证公会记录关系已驳回</x:v>
      </x:c>
      <x:c r="H1369" s="9" t="str">
        <x:v>关系已驳回标记</x:v>
      </x:c>
      <x:c r="I1369" s="9" t="str">
        <x:v>1. 执行角色为已登录普通用户；当前处于我的公会页面
2. 当前账号与公会G的实际关系为已驳回</x:v>
      </x:c>
      <x:c r="J1369" s="9" t="str">
        <x:v>1. 查看G的申请记录</x:v>
      </x:c>
      <x:c r="K1369" s="9" t="str">
        <x:v>显示已驳回</x:v>
      </x:c>
      <x:c r="L1369" s="10" t="str"/>
      <x:c r="M1369" s="10" t="str">
        <x:v>未测</x:v>
      </x:c>
      <x:c r="N1369" s="10" t="str"/>
      <x:c r="O1369" s="9" t="str">
        <x:v>1. 来源（当前证据）：liveshow-proto/MainBasis/统一需求文档.md；位置：行998、行993
2. 规则：BR-cbe585b0f0f31adb
3. 未动态验证</x:v>
      </x:c>
    </x:row>
    <x:row r="1370" ht="85" customHeight="1">
      <x:c r="A1370" s="10" t="n">
        <x:v>1369</x:v>
      </x:c>
      <x:c r="B1370" s="10" t="str">
        <x:v>USER-06-0084</x:v>
      </x:c>
      <x:c r="C1370" s="10" t="str">
        <x:v>公会关系</x:v>
      </x:c>
      <x:c r="D1370" s="10" t="str">
        <x:v>我的公会（已登录普通用户视角）</x:v>
      </x:c>
      <x:c r="E1370" s="10" t="str">
        <x:v>功能需求</x:v>
      </x:c>
      <x:c r="F1370" s="10" t="str">
        <x:v>P1</x:v>
      </x:c>
      <x:c r="G1370" s="9" t="str">
        <x:v>验证公会记录关系已退出</x:v>
      </x:c>
      <x:c r="H1370" s="9" t="str">
        <x:v>关系已退出标记</x:v>
      </x:c>
      <x:c r="I1370" s="9" t="str">
        <x:v>1. 执行角色为已登录普通用户；当前处于我的公会页面
2. 当前账号与公会G的实际关系为已退出</x:v>
      </x:c>
      <x:c r="J1370" s="9" t="str">
        <x:v>1. 查看G的申请记录</x:v>
      </x:c>
      <x:c r="K1370" s="9" t="str">
        <x:v>显示已退出</x:v>
      </x:c>
      <x:c r="L1370" s="10" t="str"/>
      <x:c r="M1370" s="10" t="str">
        <x:v>未测</x:v>
      </x:c>
      <x:c r="N1370" s="10" t="str"/>
      <x:c r="O1370" s="9" t="str">
        <x:v>1. 来源（当前证据）：liveshow-proto/MainBasis/统一需求文档.md；位置：行998、行993
2. 规则：BR-5161a59c23088314
3. 未动态验证</x:v>
      </x:c>
    </x:row>
    <x:row r="1371" ht="85" customHeight="1">
      <x:c r="A1371" s="10" t="n">
        <x:v>1370</x:v>
      </x:c>
      <x:c r="B1371" s="10" t="str">
        <x:v>USER-06-0085</x:v>
      </x:c>
      <x:c r="C1371" s="10" t="str">
        <x:v>公会关系</x:v>
      </x:c>
      <x:c r="D1371" s="10" t="str">
        <x:v>公会详情（已登录普通用户视角）</x:v>
      </x:c>
      <x:c r="E1371" s="10" t="str">
        <x:v>功能需求</x:v>
      </x:c>
      <x:c r="F1371" s="10" t="str">
        <x:v>P1</x:v>
      </x:c>
      <x:c r="G1371" s="9" t="str">
        <x:v>验证公会时间轴申请类型</x:v>
      </x:c>
      <x:c r="H1371" s="9" t="str">
        <x:v>公会申请类型</x:v>
      </x:c>
      <x:c r="I1371" s="9" t="str">
        <x:v>1. 执行角色为已登录普通用户；当前处于公会详情页面
2. 本人与G有一次已通过加入申请、一次已驳回退会申请、一次待审核退会申请</x:v>
      </x:c>
      <x:c r="J1371" s="9" t="str">
        <x:v>1. 查看时间轴</x:v>
      </x:c>
      <x:c r="K1371" s="9" t="str">
        <x:v>三条记录各自标记为加入、退出、退出</x:v>
      </x:c>
      <x:c r="L1371" s="10" t="str"/>
      <x:c r="M1371" s="10" t="str">
        <x:v>未测</x:v>
      </x:c>
      <x:c r="N1371" s="10" t="str"/>
      <x:c r="O1371" s="9" t="str">
        <x:v>1. 来源（当前证据）：liveshow-proto/MainBasis/统一需求文档.md；位置：行1010、行1006
2. 规则：BR-70b484ae3558538f
3. 未动态验证</x:v>
      </x:c>
    </x:row>
    <x:row r="1372" ht="85" customHeight="1">
      <x:c r="A1372" s="10" t="n">
        <x:v>1371</x:v>
      </x:c>
      <x:c r="B1372" s="10" t="str">
        <x:v>USER-06-0086</x:v>
      </x:c>
      <x:c r="C1372" s="10" t="str">
        <x:v>公会关系</x:v>
      </x:c>
      <x:c r="D1372" s="10" t="str">
        <x:v>公会详情（已登录普通用户视角）</x:v>
      </x:c>
      <x:c r="E1372" s="10" t="str">
        <x:v>功能需求</x:v>
      </x:c>
      <x:c r="F1372" s="10" t="str">
        <x:v>P1</x:v>
      </x:c>
      <x:c r="G1372" s="9" t="str">
        <x:v>验证公会时间轴处理状态</x:v>
      </x:c>
      <x:c r="H1372" s="9" t="str">
        <x:v>时间轴审核状态</x:v>
      </x:c>
      <x:c r="I1372" s="9" t="str">
        <x:v>1. 执行角色为已登录普通用户；当前处于公会详情页面
2. 本人与G有一次已通过加入申请、一次已驳回退会申请、一次待审核退会申请</x:v>
      </x:c>
      <x:c r="J1372" s="9" t="str">
        <x:v>1. 查看时间轴</x:v>
      </x:c>
      <x:c r="K1372" s="9" t="str">
        <x:v>三条记录各自标记为通过、驳回、待审核</x:v>
      </x:c>
      <x:c r="L1372" s="10" t="str"/>
      <x:c r="M1372" s="10" t="str">
        <x:v>未测</x:v>
      </x:c>
      <x:c r="N1372" s="10" t="str"/>
      <x:c r="O1372" s="9" t="str">
        <x:v>1. 来源（当前证据）：liveshow-proto/MainBasis/统一需求文档.md；位置：行1010、行1006
2. 规则：BR-72c8a8a28a239057
3. 未动态验证</x:v>
      </x:c>
    </x:row>
    <x:row r="1373" ht="100" customHeight="1">
      <x:c r="A1373" s="10" t="n">
        <x:v>1372</x:v>
      </x:c>
      <x:c r="B1373" s="10" t="str">
        <x:v>USER-06-0087</x:v>
      </x:c>
      <x:c r="C1373" s="10" t="str">
        <x:v>公会关系</x:v>
      </x:c>
      <x:c r="D1373" s="10" t="str">
        <x:v>公会详情（已登录普通用户视角）</x:v>
      </x:c>
      <x:c r="E1373" s="10" t="str">
        <x:v>功能需求</x:v>
      </x:c>
      <x:c r="F1373" s="10" t="str">
        <x:v>P1</x:v>
      </x:c>
      <x:c r="G1373" s="9" t="str">
        <x:v>验证公会时间轴关系隔离</x:v>
      </x:c>
      <x:c r="H1373" s="9" t="str">
        <x:v>时间轴公会隔离</x:v>
      </x:c>
      <x:c r="I1373" s="9" t="str">
        <x:v>1. 执行角色为已登录普通用户；当前处于公会详情页面
2. 本人与G有一次已通过加入申请、一次已驳回退会申请、一次待审核退会申请
3. 本人与H另有申请记录</x:v>
      </x:c>
      <x:c r="J1373" s="9" t="str">
        <x:v>1. 查看G的时间轴</x:v>
      </x:c>
      <x:c r="K1373" s="9" t="str">
        <x:v>不包含公会H的申请记录</x:v>
      </x:c>
      <x:c r="L1373" s="10" t="str"/>
      <x:c r="M1373" s="10" t="str">
        <x:v>未测</x:v>
      </x:c>
      <x:c r="N1373" s="10" t="str"/>
      <x:c r="O1373" s="9" t="str">
        <x:v>1. 来源（当前证据）：liveshow-proto/MainBasis/统一需求文档.md；位置：行1018、行1006
2. 规则：BR-76114f124b25b73f
3. 未动态验证</x:v>
      </x:c>
    </x:row>
    <x:row r="1374" ht="85" customHeight="1">
      <x:c r="A1374" s="10" t="n">
        <x:v>1373</x:v>
      </x:c>
      <x:c r="B1374" s="10" t="str">
        <x:v>USER-06-0088</x:v>
      </x:c>
      <x:c r="C1374" s="10" t="str">
        <x:v>公会关系</x:v>
      </x:c>
      <x:c r="D1374" s="10" t="str">
        <x:v>申请退出公会（公会G主播视角）</x:v>
      </x:c>
      <x:c r="E1374" s="10" t="str">
        <x:v>功能需求</x:v>
      </x:c>
      <x:c r="F1374" s="10" t="str">
        <x:v>P1</x:v>
      </x:c>
      <x:c r="G1374" s="9" t="str">
        <x:v>验证退会申请账号归属</x:v>
      </x:c>
      <x:c r="H1374" s="9" t="str">
        <x:v>退会申请主体</x:v>
      </x:c>
      <x:c r="I1374" s="9" t="str">
        <x:v>1. 执行角色为公会G主播；当前处于申请退出公会页面
2. 当前账号只加入公会G；其他用户B也属于G</x:v>
      </x:c>
      <x:c r="J1374" s="9" t="str">
        <x:v>1. 查看退出申请主体</x:v>
      </x:c>
      <x:c r="K1374" s="9" t="str">
        <x:v>退出申请主体固定为当前账号</x:v>
      </x:c>
      <x:c r="L1374" s="10" t="str"/>
      <x:c r="M1374" s="10" t="str">
        <x:v>未测</x:v>
      </x:c>
      <x:c r="N1374" s="10" t="str"/>
      <x:c r="O1374" s="9" t="str">
        <x:v>1. 来源（当前证据）：liveshow-proto/MainBasis/统一需求文档.md；位置：行1036、行1029
2. 规则：BR-d67496ec30caf0c7
3. 未动态验证</x:v>
      </x:c>
    </x:row>
    <x:row r="1375" ht="85" customHeight="1">
      <x:c r="A1375" s="10" t="n">
        <x:v>1374</x:v>
      </x:c>
      <x:c r="B1375" s="10" t="str">
        <x:v>USER-07-0169</x:v>
      </x:c>
      <x:c r="C1375" s="10" t="str">
        <x:v>主播中心</x:v>
      </x:c>
      <x:c r="D1375" s="10" t="str">
        <x:v>粉丝团（所属主播视角）</x:v>
      </x:c>
      <x:c r="E1375" s="10" t="str">
        <x:v>功能需求</x:v>
      </x:c>
      <x:c r="F1375" s="10" t="str">
        <x:v>P1</x:v>
      </x:c>
      <x:c r="G1375" s="9" t="str">
        <x:v>验证粉丝团成员计数范围</x:v>
      </x:c>
      <x:c r="H1375" s="9" t="str">
        <x:v>粉丝团成员计数</x:v>
      </x:c>
      <x:c r="I1375" s="9" t="str">
        <x:v>1. 执行角色为所属主播；当前处于粉丝团页面
2. 当前粉丝团有10名有效成员，另有2名已退出成员</x:v>
      </x:c>
      <x:c r="J1375" s="9" t="str">
        <x:v>1. 查看成员数</x:v>
      </x:c>
      <x:c r="K1375" s="9" t="str">
        <x:v>成员数为10</x:v>
      </x:c>
      <x:c r="L1375" s="10" t="str"/>
      <x:c r="M1375" s="10" t="str">
        <x:v>未测</x:v>
      </x:c>
      <x:c r="N1375" s="10" t="str"/>
      <x:c r="O1375" s="9" t="str">
        <x:v>1. 来源（当前证据）：liveshow-proto/MainBasis/统一需求文档.md；位置：行1226、行1223
2. 规则：BR-60df3854eed14b8d
3. 未动态验证</x:v>
      </x:c>
    </x:row>
    <x:row r="1376" ht="85" customHeight="1">
      <x:c r="A1376" s="10" t="n">
        <x:v>1375</x:v>
      </x:c>
      <x:c r="B1376" s="10" t="str">
        <x:v>USER-07-0170</x:v>
      </x:c>
      <x:c r="C1376" s="10" t="str">
        <x:v>主播中心</x:v>
      </x:c>
      <x:c r="D1376" s="10" t="str">
        <x:v>粉丝团（所属主播视角）</x:v>
      </x:c>
      <x:c r="E1376" s="10" t="str">
        <x:v>功能需求</x:v>
      </x:c>
      <x:c r="F1376" s="10" t="str">
        <x:v>P1</x:v>
      </x:c>
      <x:c r="G1376" s="9" t="str">
        <x:v>验证粉丝团加入门槛展示</x:v>
      </x:c>
      <x:c r="H1376" s="9" t="str">
        <x:v>粉丝团入团门槛</x:v>
      </x:c>
      <x:c r="I1376" s="9" t="str">
        <x:v>1. 执行角色为所属主播；当前处于粉丝团页面
2. 当前配置需要关注且累计贡献门槛100金币</x:v>
      </x:c>
      <x:c r="J1376" s="9" t="str">
        <x:v>1. 查看加入条件</x:v>
      </x:c>
      <x:c r="K1376" s="9" t="str">
        <x:v>显示需要关注且贡献门槛100金币</x:v>
      </x:c>
      <x:c r="L1376" s="10" t="str"/>
      <x:c r="M1376" s="10" t="str">
        <x:v>未测</x:v>
      </x:c>
      <x:c r="N1376" s="10" t="str"/>
      <x:c r="O1376" s="9" t="str">
        <x:v>1. 来源（当前证据）：liveshow-proto/MainBasis/统一需求文档.md；位置：行1227、行1223
2. 规则：BR-39208d9f33b14ccf
3. 未动态验证</x:v>
      </x:c>
    </x:row>
    <x:row r="1377" ht="85" customHeight="1">
      <x:c r="A1377" s="10" t="n">
        <x:v>1376</x:v>
      </x:c>
      <x:c r="B1377" s="10" t="str">
        <x:v>USER-07-0171</x:v>
      </x:c>
      <x:c r="C1377" s="10" t="str">
        <x:v>主播中心</x:v>
      </x:c>
      <x:c r="D1377" s="10" t="str">
        <x:v>粉丝列表（主播视角）</x:v>
      </x:c>
      <x:c r="E1377" s="10" t="str">
        <x:v>功能需求</x:v>
      </x:c>
      <x:c r="F1377" s="10" t="str">
        <x:v>P1</x:v>
      </x:c>
      <x:c r="G1377" s="9" t="str">
        <x:v>验证粉丝财富等级配置映射</x:v>
      </x:c>
      <x:c r="H1377" s="9" t="str">
        <x:v>粉丝财富等级来源</x:v>
      </x:c>
      <x:c r="I1377" s="9" t="str">
        <x:v>1. 执行角色为主播；当前处于粉丝列表页面
2. 用户A当前财富成长值达到已配置5级区间</x:v>
      </x:c>
      <x:c r="J1377" s="9" t="str">
        <x:v>1. 查看A财富等级</x:v>
      </x:c>
      <x:c r="K1377" s="9" t="str">
        <x:v>显示财富5级</x:v>
      </x:c>
      <x:c r="L1377" s="10" t="str"/>
      <x:c r="M1377" s="10" t="str">
        <x:v>未测</x:v>
      </x:c>
      <x:c r="N1377" s="10" t="str"/>
      <x:c r="O1377" s="9" t="str">
        <x:v>1. 来源（当前证据）：liveshow-proto/MainBasis/统一需求文档.md；位置：行1216、行1213
2. 规则：BR-533c8d7e68503406
3. 未动态验证</x:v>
      </x:c>
    </x:row>
    <x:row r="1378" ht="85" customHeight="1">
      <x:c r="A1378" s="10" t="n">
        <x:v>1377</x:v>
      </x:c>
      <x:c r="B1378" s="10" t="str">
        <x:v>USER-02-0178</x:v>
      </x:c>
      <x:c r="C1378" s="10" t="str">
        <x:v>首页与福利</x:v>
      </x:c>
      <x:c r="D1378" s="10" t="str">
        <x:v>贡献榜（普通用户视角）</x:v>
      </x:c>
      <x:c r="E1378" s="10" t="str">
        <x:v>功能需求</x:v>
      </x:c>
      <x:c r="F1378" s="10" t="str">
        <x:v>P2</x:v>
      </x:c>
      <x:c r="G1378" s="9" t="str">
        <x:v>验证贡献榜初始财富等级</x:v>
      </x:c>
      <x:c r="H1378" s="9" t="str">
        <x:v>榜单财富等级下限</x:v>
      </x:c>
      <x:c r="I1378" s="9" t="str">
        <x:v>1. 执行角色为普通用户；当前处于贡献榜页面
2. 榜单中A只有初始财富等级</x:v>
      </x:c>
      <x:c r="J1378" s="9" t="str">
        <x:v>1. 查看A财富等级</x:v>
      </x:c>
      <x:c r="K1378" s="9" t="str">
        <x:v>显示财富1级</x:v>
      </x:c>
      <x:c r="L1378" s="10" t="str"/>
      <x:c r="M1378" s="10" t="str">
        <x:v>未测</x:v>
      </x:c>
      <x:c r="N1378" s="10" t="str"/>
      <x:c r="O1378" s="9" t="str">
        <x:v>1. 来源（当前证据）：liveshow-proto/MainBasis/统一需求文档.md；位置：行562、行554
2. 规则：BR-97b0af531ee9cadd
3. 未动态验证</x:v>
      </x:c>
    </x:row>
    <x:row r="1379" ht="85" customHeight="1">
      <x:c r="A1379" s="10" t="n">
        <x:v>1378</x:v>
      </x:c>
      <x:c r="B1379" s="10" t="str">
        <x:v>USER-05-0244</x:v>
      </x:c>
      <x:c r="C1379" s="10" t="str">
        <x:v>我的</x:v>
      </x:c>
      <x:c r="D1379" s="10" t="str">
        <x:v>贡献榜（有效粉丝团成员视角）</x:v>
      </x:c>
      <x:c r="E1379" s="10" t="str">
        <x:v>功能需求</x:v>
      </x:c>
      <x:c r="F1379" s="10" t="str">
        <x:v>P2</x:v>
      </x:c>
      <x:c r="G1379" s="9" t="str">
        <x:v>验证粉丝贡献榜最低财富等级</x:v>
      </x:c>
      <x:c r="H1379" s="9" t="str">
        <x:v>初始财富等级</x:v>
      </x:c>
      <x:c r="I1379" s="9" t="str">
        <x:v>1. 执行角色为有效粉丝团成员；当前处于贡献榜页面
2. 本人为当前主播粉丝团有效成员，等级均处于初始等级</x:v>
      </x:c>
      <x:c r="J1379" s="9" t="str">
        <x:v>1. 查看本人财富等级</x:v>
      </x:c>
      <x:c r="K1379" s="9" t="str">
        <x:v>显示财富1级</x:v>
      </x:c>
      <x:c r="L1379" s="10" t="str"/>
      <x:c r="M1379" s="10" t="str">
        <x:v>未测</x:v>
      </x:c>
      <x:c r="N1379" s="10" t="str"/>
      <x:c r="O1379" s="9" t="str">
        <x:v>1. 来源（当前证据）：liveshow-proto/MainBasis/统一需求文档.md；位置：行1115、行1108
2. 规则：BR-18279e9d1e7dc4e7
3. 未动态验证</x:v>
      </x:c>
    </x:row>
    <x:row r="1380" ht="85" customHeight="1">
      <x:c r="A1380" s="10" t="n">
        <x:v>1379</x:v>
      </x:c>
      <x:c r="B1380" s="10" t="str">
        <x:v>USER-05-0245</x:v>
      </x:c>
      <x:c r="C1380" s="10" t="str">
        <x:v>我的</x:v>
      </x:c>
      <x:c r="D1380" s="10" t="str">
        <x:v>申请成为主播（入会申请人视角）</x:v>
      </x:c>
      <x:c r="E1380" s="10" t="str">
        <x:v>功能需求</x:v>
      </x:c>
      <x:c r="F1380" s="10" t="str">
        <x:v>P1</x:v>
      </x:c>
      <x:c r="G1380" s="9" t="str">
        <x:v>验证公会审核中不显示处理时间</x:v>
      </x:c>
      <x:c r="H1380" s="9" t="str">
        <x:v>审核处理时间可见性</x:v>
      </x:c>
      <x:c r="I1380" s="9" t="str">
        <x:v>1. 执行角色为入会申请人；当前处于申请成为主播页面
2. 公会正在审核本次申请</x:v>
      </x:c>
      <x:c r="J1380" s="9" t="str">
        <x:v>1. 查看公会审核节点</x:v>
      </x:c>
      <x:c r="K1380" s="9" t="str">
        <x:v>不显示公会处理时间</x:v>
      </x:c>
      <x:c r="L1380" s="10" t="str"/>
      <x:c r="M1380" s="10" t="str">
        <x:v>未测</x:v>
      </x:c>
      <x:c r="N1380" s="10" t="str"/>
      <x:c r="O1380" s="9" t="str">
        <x:v>1. 来源（当前证据）：liveshow-proto/MainBasis/统一需求文档.md；位置：行1175、行1170
2. 规则：BR-55534aee0f463901
3. 未动态验证</x:v>
      </x:c>
    </x:row>
    <x:row r="1381" ht="85" customHeight="1">
      <x:c r="A1381" s="10" t="n">
        <x:v>1380</x:v>
      </x:c>
      <x:c r="B1381" s="10" t="str">
        <x:v>USER-05-0246</x:v>
      </x:c>
      <x:c r="C1381" s="10" t="str">
        <x:v>我的</x:v>
      </x:c>
      <x:c r="D1381" s="10" t="str">
        <x:v>申请成为主播（入会申请人视角）</x:v>
      </x:c>
      <x:c r="E1381" s="10" t="str">
        <x:v>功能需求</x:v>
      </x:c>
      <x:c r="F1381" s="10" t="str">
        <x:v>P1</x:v>
      </x:c>
      <x:c r="G1381" s="9" t="str">
        <x:v>验证平台未开始不显示处理时间</x:v>
      </x:c>
      <x:c r="H1381" s="9" t="str">
        <x:v>未审核处理时间隐藏</x:v>
      </x:c>
      <x:c r="I1381" s="9" t="str">
        <x:v>1. 执行角色为入会申请人；当前处于申请成为主播页面
2. 公会尚未通过，平台未开始审核</x:v>
      </x:c>
      <x:c r="J1381" s="9" t="str">
        <x:v>1. 查看平台审核节点</x:v>
      </x:c>
      <x:c r="K1381" s="9" t="str">
        <x:v>不显示平台处理时间</x:v>
      </x:c>
      <x:c r="L1381" s="10" t="str"/>
      <x:c r="M1381" s="10" t="str">
        <x:v>未测</x:v>
      </x:c>
      <x:c r="N1381" s="10" t="str"/>
      <x:c r="O1381" s="9" t="str">
        <x:v>1. 来源（当前证据）：liveshow-proto/MainBasis/统一需求文档.md；位置：行1175、行1170
2. 规则：BR-8223c6f1d152c5b8
3. 未动态验证</x:v>
      </x:c>
    </x:row>
    <x:row r="1382" ht="85" customHeight="1">
      <x:c r="A1382" s="10" t="n">
        <x:v>1381</x:v>
      </x:c>
      <x:c r="B1382" s="10" t="str">
        <x:v>USER-05-0247</x:v>
      </x:c>
      <x:c r="C1382" s="10" t="str">
        <x:v>我的</x:v>
      </x:c>
      <x:c r="D1382" s="10" t="str">
        <x:v>申请成为主播（入会申请人视角）</x:v>
      </x:c>
      <x:c r="E1382" s="10" t="str">
        <x:v>功能需求</x:v>
      </x:c>
      <x:c r="F1382" s="10" t="str">
        <x:v>P1</x:v>
      </x:c>
      <x:c r="G1382" s="9" t="str">
        <x:v>验证公会通过处理时间</x:v>
      </x:c>
      <x:c r="H1382" s="9" t="str">
        <x:v>公会通过时间格式</x:v>
      </x:c>
      <x:c r="I1382" s="9" t="str">
        <x:v>1. 执行角色为入会申请人；当前处于申请成为主播页面
2. 公会在显示时区的2026年9月15日10时00分通过申请</x:v>
      </x:c>
      <x:c r="J1382" s="9" t="str">
        <x:v>1. 查看公会审核节点</x:v>
      </x:c>
      <x:c r="K1382" s="9" t="str">
        <x:v>通过时间显示15/09/2026 10.00</x:v>
      </x:c>
      <x:c r="L1382" s="10" t="str"/>
      <x:c r="M1382" s="10" t="str">
        <x:v>未测</x:v>
      </x:c>
      <x:c r="N1382" s="10" t="str"/>
      <x:c r="O1382" s="9" t="str">
        <x:v>1. 来源（当前证据）：liveshow-proto/MainBasis/统一需求文档.md；位置：行1175、行1170、行498
2. 规则：BR-ad1680c302857614
3. 未动态验证</x:v>
      </x:c>
    </x:row>
    <x:row r="1383" ht="130" customHeight="1">
      <x:c r="A1383" s="10" t="n">
        <x:v>1382</x:v>
      </x:c>
      <x:c r="B1383" s="10" t="str">
        <x:v>USER-05-0248</x:v>
      </x:c>
      <x:c r="C1383" s="10" t="str">
        <x:v>我的</x:v>
      </x:c>
      <x:c r="D1383" s="10" t="str">
        <x:v>申请成为主播（入会申请人视角）</x:v>
      </x:c>
      <x:c r="E1383" s="10" t="str">
        <x:v>功能需求</x:v>
      </x:c>
      <x:c r="F1383" s="10" t="str">
        <x:v>P1</x:v>
      </x:c>
      <x:c r="G1383" s="9" t="str">
        <x:v>验证公会驳回处理时间</x:v>
      </x:c>
      <x:c r="H1383" s="9" t="str">
        <x:v>公会驳回时间格式</x:v>
      </x:c>
      <x:c r="I1383" s="9" t="str">
        <x:v>1. 执行角色为入会申请人；当前处于申请成为主播页面
2. 公会在显示时区的2026年9月15日10时00分驳回申请</x:v>
      </x:c>
      <x:c r="J1383" s="9" t="str">
        <x:v>1. 查看公会审核节点</x:v>
      </x:c>
      <x:c r="K1383" s="9" t="str">
        <x:v>驳回时间显示15/09/2026 10.00</x:v>
      </x:c>
      <x:c r="L1383" s="10" t="str">
        <x:v>FLOW-B8276CAE</x:v>
      </x:c>
      <x:c r="M1383" s="10" t="str">
        <x:v>未测</x:v>
      </x:c>
      <x:c r="N1383" s="10" t="str"/>
      <x:c r="O1383" s="9" t="str">
        <x:v>1. 来源（当前证据）：liveshow-proto/MainBasis/统一需求文档.md；位置：行1175、行1170、行498
2. 规则：BR-97aa4a2e9af22b60
3. 未动态验证
4. 状态转换：ST-USER-010；共同业务对象：入会申请；当前阶段：公会驳回申请后的用户App观察</x:v>
      </x:c>
    </x:row>
    <x:row r="1384" ht="85" customHeight="1">
      <x:c r="A1384" s="10" t="n">
        <x:v>1383</x:v>
      </x:c>
      <x:c r="B1384" s="10" t="str">
        <x:v>USER-05-0249</x:v>
      </x:c>
      <x:c r="C1384" s="10" t="str">
        <x:v>我的</x:v>
      </x:c>
      <x:c r="D1384" s="10" t="str">
        <x:v>申请成为主播（入会申请人视角）</x:v>
      </x:c>
      <x:c r="E1384" s="10" t="str">
        <x:v>功能需求</x:v>
      </x:c>
      <x:c r="F1384" s="10" t="str">
        <x:v>P2</x:v>
      </x:c>
      <x:c r="G1384" s="9" t="str">
        <x:v>验证审核页配置Banner</x:v>
      </x:c>
      <x:c r="H1384" s="9" t="str">
        <x:v>审核页Banner展示</x:v>
      </x:c>
      <x:c r="I1384" s="9" t="str">
        <x:v>1. 执行角色为入会申请人；当前处于申请成为主播页面
2. 后台已上传当前有效BannerP</x:v>
      </x:c>
      <x:c r="J1384" s="9" t="str">
        <x:v>1. 查看审核页Banner</x:v>
      </x:c>
      <x:c r="K1384" s="9" t="str">
        <x:v>显示后台BannerP</x:v>
      </x:c>
      <x:c r="L1384" s="10" t="str"/>
      <x:c r="M1384" s="10" t="str">
        <x:v>未测</x:v>
      </x:c>
      <x:c r="N1384" s="10" t="str"/>
      <x:c r="O1384" s="9" t="str">
        <x:v>1. 来源（当前证据）：liveshow-proto/MainBasis/统一需求文档.md；位置：行1172、行1170
2. 规则：BR-4ceaa6e41eeb8f82
3. 未动态验证</x:v>
      </x:c>
    </x:row>
    <x:row r="1385" ht="85" customHeight="1">
      <x:c r="A1385" s="10" t="n">
        <x:v>1384</x:v>
      </x:c>
      <x:c r="B1385" s="10" t="str">
        <x:v>USER-07-0172</x:v>
      </x:c>
      <x:c r="C1385" s="10" t="str">
        <x:v>主播中心</x:v>
      </x:c>
      <x:c r="D1385" s="10" t="str">
        <x:v>主播中心（当前主播视角）</x:v>
      </x:c>
      <x:c r="E1385" s="10" t="str">
        <x:v>功能需求</x:v>
      </x:c>
      <x:c r="F1385" s="10" t="str">
        <x:v>P1</x:v>
      </x:c>
      <x:c r="G1385" s="9" t="str">
        <x:v>验证今日时长显示</x:v>
      </x:c>
      <x:c r="H1385" s="9" t="str">
        <x:v>今日直播时长值</x:v>
      </x:c>
      <x:c r="I1385" s="9" t="str">
        <x:v>1. 执行角色为当前主播；当前处于主播中心页面
2. 当前普通直播累计2小时30分钟，有效直播口径已独立统计</x:v>
      </x:c>
      <x:c r="J1385" s="9" t="str">
        <x:v>1. 选择今日
2. 查看时长</x:v>
      </x:c>
      <x:c r="K1385" s="9" t="str">
        <x:v>显示2小时30分钟</x:v>
      </x:c>
      <x:c r="L1385" s="10" t="str"/>
      <x:c r="M1385" s="10" t="str">
        <x:v>未测</x:v>
      </x:c>
      <x:c r="N1385" s="10" t="str"/>
      <x:c r="O1385" s="9" t="str">
        <x:v>1. 来源（当前证据）：liveshow-proto/MainBasis/统一需求文档.md；位置：行1133、行1122
2. 规则：BR-f2c96430c756b721
3. 未动态验证</x:v>
      </x:c>
    </x:row>
    <x:row r="1386" ht="85" customHeight="1">
      <x:c r="A1386" s="10" t="n">
        <x:v>1385</x:v>
      </x:c>
      <x:c r="B1386" s="10" t="str">
        <x:v>USER-07-0173</x:v>
      </x:c>
      <x:c r="C1386" s="10" t="str">
        <x:v>主播中心</x:v>
      </x:c>
      <x:c r="D1386" s="10" t="str">
        <x:v>主播中心（当前主播视角）</x:v>
      </x:c>
      <x:c r="E1386" s="10" t="str">
        <x:v>功能需求</x:v>
      </x:c>
      <x:c r="F1386" s="10" t="str">
        <x:v>P1</x:v>
      </x:c>
      <x:c r="G1386" s="9" t="str">
        <x:v>验证本月达标日不重复累计</x:v>
      </x:c>
      <x:c r="H1386" s="9" t="str">
        <x:v>本月有效天去重数</x:v>
      </x:c>
      <x:c r="I1386" s="9" t="str">
        <x:v>1. 执行角色为当前主播；当前处于主播中心页面
2. 本月有3个自然日分别有效直播3小时、6小时、2小时；业务时区固定</x:v>
      </x:c>
      <x:c r="J1386" s="9" t="str">
        <x:v>1. 选择本月
2. 查看有效天数</x:v>
      </x:c>
      <x:c r="K1386" s="9" t="str">
        <x:v>有效天数为2天</x:v>
      </x:c>
      <x:c r="L1386" s="10" t="str"/>
      <x:c r="M1386" s="10" t="str">
        <x:v>未测</x:v>
      </x:c>
      <x:c r="N1386" s="10" t="str"/>
      <x:c r="O1386" s="9" t="str">
        <x:v>1. 来源（当前证据）：liveshow-proto/MainBasis/统一需求文档.md；位置：行1134、行1122
2. 规则：BR-abef0b0952ed11ed
3. 未动态验证</x:v>
      </x:c>
    </x:row>
    <x:row r="1387" ht="85" customHeight="1">
      <x:c r="A1387" s="10" t="n">
        <x:v>1386</x:v>
      </x:c>
      <x:c r="B1387" s="10" t="str">
        <x:v>USER-07-0174</x:v>
      </x:c>
      <x:c r="C1387" s="10" t="str">
        <x:v>主播中心</x:v>
      </x:c>
      <x:c r="D1387" s="10" t="str">
        <x:v>直播记录（当前主播视角）</x:v>
      </x:c>
      <x:c r="E1387" s="10" t="str">
        <x:v>功能需求</x:v>
      </x:c>
      <x:c r="F1387" s="10" t="str">
        <x:v>P1</x:v>
      </x:c>
      <x:c r="G1387" s="9" t="str">
        <x:v>验证筛选直播收益求和</x:v>
      </x:c>
      <x:c r="H1387" s="9" t="str">
        <x:v>资产数值</x:v>
      </x:c>
      <x:c r="I1387" s="9" t="str">
        <x:v>1. 执行角色为当前主播；当前处于直播记录页面
2. 所选范围有场次S1收益100金币、S2收益200金币，均为真实普通礼物；S3在范围外</x:v>
      </x:c>
      <x:c r="J1387" s="9" t="str">
        <x:v>1. 查看汇总收益</x:v>
      </x:c>
      <x:c r="K1387" s="9" t="str">
        <x:v>当前筛选收益为300金币（计算结果 = 300 金币）</x:v>
      </x:c>
      <x:c r="L1387" s="10" t="str"/>
      <x:c r="M1387" s="10" t="str">
        <x:v>未测</x:v>
      </x:c>
      <x:c r="N1387" s="10" t="str"/>
      <x:c r="O1387" s="9" t="str">
        <x:v>1. 来源（当前证据）：liveshow-proto/MainBasis/统一需求文档.md；位置：行1267、行1260
2. 规则：BR-b9425675e6b85af0
3. 未动态验证</x:v>
      </x:c>
    </x:row>
    <x:row r="1388" ht="115" customHeight="1">
      <x:c r="A1388" s="10" t="n">
        <x:v>1387</x:v>
      </x:c>
      <x:c r="B1388" s="10" t="str">
        <x:v>USER-07-0175</x:v>
      </x:c>
      <x:c r="C1388" s="10" t="str">
        <x:v>主播中心</x:v>
      </x:c>
      <x:c r="D1388" s="10" t="str">
        <x:v>直播记录（当前主播视角）</x:v>
      </x:c>
      <x:c r="E1388" s="10" t="str">
        <x:v>功能需求</x:v>
      </x:c>
      <x:c r="F1388" s="10" t="str">
        <x:v>P1</x:v>
      </x:c>
      <x:c r="G1388" s="9" t="str">
        <x:v>验证场次观众独立统计</x:v>
      </x:c>
      <x:c r="H1388" s="9" t="str">
        <x:v>单场观众人数范围</x:v>
      </x:c>
      <x:c r="I1388" s="9" t="str">
        <x:v>1. 执行角色为当前主播；当前处于直播记录页面
2. 所选范围有场次S1收益100金币、S2收益200金币，均为真实普通礼物；S3在范围外
3. S1统计观众7人，S2统计20人</x:v>
      </x:c>
      <x:c r="J1388" s="9" t="str">
        <x:v>1. 查看S1观众人数</x:v>
      </x:c>
      <x:c r="K1388" s="9" t="str">
        <x:v>S1显示7人</x:v>
      </x:c>
      <x:c r="L1388" s="10" t="str"/>
      <x:c r="M1388" s="10" t="str">
        <x:v>未测</x:v>
      </x:c>
      <x:c r="N1388" s="10" t="str"/>
      <x:c r="O1388" s="9" t="str">
        <x:v>1. 来源（当前证据）：liveshow-proto/MainBasis/统一需求文档.md；位置：行1269、行1265、行1260
2. 规则：BR-a5e44d2b95cbbed3
3. 未动态验证</x:v>
      </x:c>
    </x:row>
    <x:row r="1389" ht="85" customHeight="1">
      <x:c r="A1389" s="10" t="n">
        <x:v>1388</x:v>
      </x:c>
      <x:c r="B1389" s="10" t="str">
        <x:v>USER-07-0176</x:v>
      </x:c>
      <x:c r="C1389" s="10" t="str">
        <x:v>主播中心</x:v>
      </x:c>
      <x:c r="D1389" s="10" t="str">
        <x:v>月数据（当前主播视角）</x:v>
      </x:c>
      <x:c r="E1389" s="10" t="str">
        <x:v>功能需求</x:v>
      </x:c>
      <x:c r="F1389" s="10" t="str">
        <x:v>P1</x:v>
      </x:c>
      <x:c r="G1389" s="9" t="str">
        <x:v>验证月收益统计范围</x:v>
      </x:c>
      <x:c r="H1389" s="9" t="str">
        <x:v>资产数值</x:v>
      </x:c>
      <x:c r="I1389" s="9" t="str">
        <x:v>1. 执行角色为当前主播；当前处于月数据页面
2. 当前选择9月；9月两场收益100和200金币、有效时长30和60分钟；8月数据不计入</x:v>
      </x:c>
      <x:c r="J1389" s="9" t="str">
        <x:v>1. 查看月收益</x:v>
      </x:c>
      <x:c r="K1389" s="9" t="str">
        <x:v>9月收益为300金币（计算结果 = 300 金币）</x:v>
      </x:c>
      <x:c r="L1389" s="10" t="str"/>
      <x:c r="M1389" s="10" t="str">
        <x:v>未测</x:v>
      </x:c>
      <x:c r="N1389" s="10" t="str"/>
      <x:c r="O1389" s="9" t="str">
        <x:v>1. 来源（当前证据）：liveshow-proto/MainBasis/统一需求文档.md；位置：行2028、行2034、行2025
2. 规则：BR-3ee5075d95973bcd
3. 未动态验证</x:v>
      </x:c>
    </x:row>
    <x:row r="1390" ht="85" customHeight="1">
      <x:c r="A1390" s="10" t="n">
        <x:v>1389</x:v>
      </x:c>
      <x:c r="B1390" s="10" t="str">
        <x:v>USER-07-0177</x:v>
      </x:c>
      <x:c r="C1390" s="10" t="str">
        <x:v>主播中心</x:v>
      </x:c>
      <x:c r="D1390" s="10" t="str">
        <x:v>月数据（当前主播视角）</x:v>
      </x:c>
      <x:c r="E1390" s="10" t="str">
        <x:v>功能需求</x:v>
      </x:c>
      <x:c r="F1390" s="10" t="str">
        <x:v>P1</x:v>
      </x:c>
      <x:c r="G1390" s="9" t="str">
        <x:v>验证月时长求和</x:v>
      </x:c>
      <x:c r="H1390" s="9" t="str">
        <x:v>月累计直播时长</x:v>
      </x:c>
      <x:c r="I1390" s="9" t="str">
        <x:v>1. 执行角色为当前主播；当前处于月数据页面
2. 当前选择9月；9月两场收益100和200金币、有效时长30和60分钟；8月数据不计入</x:v>
      </x:c>
      <x:c r="J1390" s="9" t="str">
        <x:v>1. 查看开播时长</x:v>
      </x:c>
      <x:c r="K1390" s="9" t="str">
        <x:v>开播时长为90分钟（计算结果 = 90 分钟）</x:v>
      </x:c>
      <x:c r="L1390" s="10" t="str"/>
      <x:c r="M1390" s="10" t="str">
        <x:v>未测</x:v>
      </x:c>
      <x:c r="N1390" s="10" t="str"/>
      <x:c r="O1390" s="9" t="str">
        <x:v>1. 来源（当前证据）：liveshow-proto/MainBasis/统一需求文档.md；位置：行2030、行2025
2. 规则：BR-6e5c0159ebc7e1d1
3. 未动态验证</x:v>
      </x:c>
    </x:row>
    <x:row r="1391" ht="100" customHeight="1">
      <x:c r="A1391" s="10" t="n">
        <x:v>1390</x:v>
      </x:c>
      <x:c r="B1391" s="10" t="str">
        <x:v>USER-07-0178</x:v>
      </x:c>
      <x:c r="C1391" s="10" t="str">
        <x:v>主播中心</x:v>
      </x:c>
      <x:c r="D1391" s="10" t="str">
        <x:v>月数据（当前主播视角）</x:v>
      </x:c>
      <x:c r="E1391" s="10" t="str">
        <x:v>功能需求</x:v>
      </x:c>
      <x:c r="F1391" s="10" t="str">
        <x:v>P1</x:v>
      </x:c>
      <x:c r="G1391" s="9" t="str">
        <x:v>验证月观众人次回显</x:v>
      </x:c>
      <x:c r="H1391" s="9" t="str">
        <x:v>月累计观众人次</x:v>
      </x:c>
      <x:c r="I1391" s="9" t="str">
        <x:v>1. 执行角色为当前主播；当前处于月数据页面
2. 当前选择9月；9月两场收益100和200金币、有效时长30和60分钟；8月数据不计入
3. 9月服务端统计观众人次50</x:v>
      </x:c>
      <x:c r="J1391" s="9" t="str">
        <x:v>1. 查看观众人次</x:v>
      </x:c>
      <x:c r="K1391" s="9" t="str">
        <x:v>显示50人次</x:v>
      </x:c>
      <x:c r="L1391" s="10" t="str"/>
      <x:c r="M1391" s="10" t="str">
        <x:v>未测</x:v>
      </x:c>
      <x:c r="N1391" s="10" t="str"/>
      <x:c r="O1391" s="9" t="str">
        <x:v>1. 来源（当前证据）：liveshow-proto/MainBasis/统一需求文档.md；位置：行2031、行2025
2. 规则：BR-35b79076d5fd5e29
3. 未动态验证</x:v>
      </x:c>
    </x:row>
    <x:row r="1392" ht="100" customHeight="1">
      <x:c r="A1392" s="10" t="n">
        <x:v>1391</x:v>
      </x:c>
      <x:c r="B1392" s="10" t="str">
        <x:v>USER-07-0179</x:v>
      </x:c>
      <x:c r="C1392" s="10" t="str">
        <x:v>主播中心</x:v>
      </x:c>
      <x:c r="D1392" s="10" t="str">
        <x:v>月数据（当前主播视角）</x:v>
      </x:c>
      <x:c r="E1392" s="10" t="str">
        <x:v>功能需求</x:v>
      </x:c>
      <x:c r="F1392" s="10" t="str">
        <x:v>P1</x:v>
      </x:c>
      <x:c r="G1392" s="9" t="str">
        <x:v>验证月新增粉丝回显</x:v>
      </x:c>
      <x:c r="H1392" s="9" t="str">
        <x:v>月新增粉丝数量</x:v>
      </x:c>
      <x:c r="I1392" s="9" t="str">
        <x:v>1. 执行角色为当前主播；当前处于月数据页面
2. 当前选择9月；9月两场收益100和200金币、有效时长30和60分钟；8月数据不计入
3. 9月服务端统计新增粉丝5</x:v>
      </x:c>
      <x:c r="J1392" s="9" t="str">
        <x:v>1. 查看新增粉丝</x:v>
      </x:c>
      <x:c r="K1392" s="9" t="str">
        <x:v>显示5人</x:v>
      </x:c>
      <x:c r="L1392" s="10" t="str"/>
      <x:c r="M1392" s="10" t="str">
        <x:v>未测</x:v>
      </x:c>
      <x:c r="N1392" s="10" t="str"/>
      <x:c r="O1392" s="9" t="str">
        <x:v>1. 来源（当前证据）：liveshow-proto/MainBasis/统一需求文档.md；位置：行2032、行2025
2. 规则：BR-df3fe5d5616624ff
3. 未动态验证</x:v>
      </x:c>
    </x:row>
    <x:row r="1393" ht="100" customHeight="1">
      <x:c r="A1393" s="10" t="n">
        <x:v>1392</x:v>
      </x:c>
      <x:c r="B1393" s="10" t="str">
        <x:v>USER-07-0180</x:v>
      </x:c>
      <x:c r="C1393" s="10" t="str">
        <x:v>主播中心</x:v>
      </x:c>
      <x:c r="D1393" s="10" t="str">
        <x:v>月数据（当前主播视角）</x:v>
      </x:c>
      <x:c r="E1393" s="10" t="str">
        <x:v>功能需求</x:v>
      </x:c>
      <x:c r="F1393" s="10" t="str">
        <x:v>P1</x:v>
      </x:c>
      <x:c r="G1393" s="9" t="str">
        <x:v>验证月送礼人数回显</x:v>
      </x:c>
      <x:c r="H1393" s="9" t="str">
        <x:v>月送礼账号人数</x:v>
      </x:c>
      <x:c r="I1393" s="9" t="str">
        <x:v>1. 执行角色为当前主播；当前处于月数据页面
2. 当前选择9月；9月两场收益100和200金币、有效时长30和60分钟；8月数据不计入
3. 9月服务端统计送礼人数7</x:v>
      </x:c>
      <x:c r="J1393" s="9" t="str">
        <x:v>1. 查看送礼人数</x:v>
      </x:c>
      <x:c r="K1393" s="9" t="str">
        <x:v>显示7人</x:v>
      </x:c>
      <x:c r="L1393" s="10" t="str"/>
      <x:c r="M1393" s="10" t="str">
        <x:v>未测</x:v>
      </x:c>
      <x:c r="N1393" s="10" t="str"/>
      <x:c r="O1393" s="9" t="str">
        <x:v>1. 来源（当前证据）：liveshow-proto/MainBasis/统一需求文档.md；位置：行2032、行2025
2. 规则：BR-7ae2d4e0956c9db4
3. 未动态验证</x:v>
      </x:c>
    </x:row>
    <x:row r="1394" ht="85" customHeight="1">
      <x:c r="A1394" s="10" t="n">
        <x:v>1393</x:v>
      </x:c>
      <x:c r="B1394" s="10" t="str">
        <x:v>USER-03-0332</x:v>
      </x:c>
      <x:c r="C1394" s="10" t="str">
        <x:v>直播</x:v>
      </x:c>
      <x:c r="D1394" s="10" t="str">
        <x:v>粉丝团-未加入（未入团普通观众视角）</x:v>
      </x:c>
      <x:c r="E1394" s="10" t="str">
        <x:v>功能需求</x:v>
      </x:c>
      <x:c r="F1394" s="10" t="str">
        <x:v>P2</x:v>
      </x:c>
      <x:c r="G1394" s="9" t="str">
        <x:v>验证未入团卡片团名</x:v>
      </x:c>
      <x:c r="H1394" s="9" t="str">
        <x:v>未入团卡片名称</x:v>
      </x:c>
      <x:c r="I1394" s="9" t="str">
        <x:v>1. 执行角色为未入团普通观众；当前处于粉丝团-未加入页面
2. 当前主播粉丝团名QA团、有效成员10人、当前等级5</x:v>
      </x:c>
      <x:c r="J1394" s="9" t="str">
        <x:v>1. 查看粉丝团名称</x:v>
      </x:c>
      <x:c r="K1394" s="9" t="str">
        <x:v>显示QA团</x:v>
      </x:c>
      <x:c r="L1394" s="10" t="str"/>
      <x:c r="M1394" s="10" t="str">
        <x:v>未测</x:v>
      </x:c>
      <x:c r="N1394" s="10" t="str"/>
      <x:c r="O1394" s="9" t="str">
        <x:v>1. 来源（当前证据）：liveshow-proto/MainBasis/统一需求文档.md；位置：行1608、行1607
2. 规则：BR-1262794d0fadb6d9
3. 未动态验证</x:v>
      </x:c>
    </x:row>
    <x:row r="1395" ht="85" customHeight="1">
      <x:c r="A1395" s="10" t="n">
        <x:v>1394</x:v>
      </x:c>
      <x:c r="B1395" s="10" t="str">
        <x:v>USER-03-0333</x:v>
      </x:c>
      <x:c r="C1395" s="10" t="str">
        <x:v>直播</x:v>
      </x:c>
      <x:c r="D1395" s="10" t="str">
        <x:v>粉丝团-未加入（未入团普通观众视角）</x:v>
      </x:c>
      <x:c r="E1395" s="10" t="str">
        <x:v>功能需求</x:v>
      </x:c>
      <x:c r="F1395" s="10" t="str">
        <x:v>P2</x:v>
      </x:c>
      <x:c r="G1395" s="9" t="str">
        <x:v>验证未入团卡片人数</x:v>
      </x:c>
      <x:c r="H1395" s="9" t="str">
        <x:v>未入团卡片成员数</x:v>
      </x:c>
      <x:c r="I1395" s="9" t="str">
        <x:v>1. 执行角色为未入团普通观众；当前处于粉丝团-未加入页面
2. 当前主播粉丝团名QA团、有效成员10人、当前等级5</x:v>
      </x:c>
      <x:c r="J1395" s="9" t="str">
        <x:v>1. 查看成员数</x:v>
      </x:c>
      <x:c r="K1395" s="9" t="str">
        <x:v>显示10人</x:v>
      </x:c>
      <x:c r="L1395" s="10" t="str"/>
      <x:c r="M1395" s="10" t="str">
        <x:v>未测</x:v>
      </x:c>
      <x:c r="N1395" s="10" t="str"/>
      <x:c r="O1395" s="9" t="str">
        <x:v>1. 来源（当前证据）：liveshow-proto/MainBasis/统一需求文档.md；位置：行1608、行1607
2. 规则：BR-7bc0308cb8725623
3. 未动态验证</x:v>
      </x:c>
    </x:row>
    <x:row r="1396" ht="85" customHeight="1">
      <x:c r="A1396" s="10" t="n">
        <x:v>1395</x:v>
      </x:c>
      <x:c r="B1396" s="10" t="str">
        <x:v>USER-03-0334</x:v>
      </x:c>
      <x:c r="C1396" s="10" t="str">
        <x:v>直播</x:v>
      </x:c>
      <x:c r="D1396" s="10" t="str">
        <x:v>粉丝团-未加入（未入团普通观众视角）</x:v>
      </x:c>
      <x:c r="E1396" s="10" t="str">
        <x:v>功能需求</x:v>
      </x:c>
      <x:c r="F1396" s="10" t="str">
        <x:v>P2</x:v>
      </x:c>
      <x:c r="G1396" s="9" t="str">
        <x:v>验证未入团卡片等级</x:v>
      </x:c>
      <x:c r="H1396" s="9" t="str">
        <x:v>未入团卡片团等级</x:v>
      </x:c>
      <x:c r="I1396" s="9" t="str">
        <x:v>1. 执行角色为未入团普通观众；当前处于粉丝团-未加入页面
2. 当前主播粉丝团名QA团、有效成员10人、当前等级5</x:v>
      </x:c>
      <x:c r="J1396" s="9" t="str">
        <x:v>1. 查看当前等级</x:v>
      </x:c>
      <x:c r="K1396" s="9" t="str">
        <x:v>显示5级</x:v>
      </x:c>
      <x:c r="L1396" s="10" t="str"/>
      <x:c r="M1396" s="10" t="str">
        <x:v>未测</x:v>
      </x:c>
      <x:c r="N1396" s="10" t="str"/>
      <x:c r="O1396" s="9" t="str">
        <x:v>1. 来源（当前证据）：liveshow-proto/MainBasis/统一需求文档.md；位置：行1608、行1607
2. 规则：BR-278bc10ca97722ed
3. 未动态验证</x:v>
      </x:c>
    </x:row>
    <x:row r="1397" ht="85" customHeight="1">
      <x:c r="A1397" s="10" t="n">
        <x:v>1396</x:v>
      </x:c>
      <x:c r="B1397" s="10" t="str">
        <x:v>USER-03-0335</x:v>
      </x:c>
      <x:c r="C1397" s="10" t="str">
        <x:v>直播</x:v>
      </x:c>
      <x:c r="D1397" s="10" t="str">
        <x:v>粉丝团-未加入（未入团普通观众视角）</x:v>
      </x:c>
      <x:c r="E1397" s="10" t="str">
        <x:v>功能需求</x:v>
      </x:c>
      <x:c r="F1397" s="10" t="str">
        <x:v>P2</x:v>
      </x:c>
      <x:c r="G1397" s="9" t="str">
        <x:v>验证入团权益内容</x:v>
      </x:c>
      <x:c r="H1397" s="9" t="str">
        <x:v>粉丝团权益集合</x:v>
      </x:c>
      <x:c r="I1397" s="9" t="str">
        <x:v>1. 执行角色为未入团普通观众；当前处于粉丝团-未加入页面
2. 当前主播粉丝团名QA团、有效成员10人、当前等级5</x:v>
      </x:c>
      <x:c r="J1397" s="9" t="str">
        <x:v>1. 查看加入权益</x:v>
      </x:c>
      <x:c r="K1397" s="9" t="str">
        <x:v>权益包含群聊、灯牌及等级权益</x:v>
      </x:c>
      <x:c r="L1397" s="10" t="str"/>
      <x:c r="M1397" s="10" t="str">
        <x:v>未测</x:v>
      </x:c>
      <x:c r="N1397" s="10" t="str"/>
      <x:c r="O1397" s="9" t="str">
        <x:v>1. 来源（当前证据）：liveshow-proto/MainBasis/统一需求文档.md；位置：行1610、行1607
2. 规则：BR-13f8768a88a5dc52
3. 未动态验证</x:v>
      </x:c>
    </x:row>
    <x:row r="1398" ht="85" customHeight="1">
      <x:c r="A1398" s="10" t="n">
        <x:v>1397</x:v>
      </x:c>
      <x:c r="B1398" s="10" t="str">
        <x:v>USER-03-0336</x:v>
      </x:c>
      <x:c r="C1398" s="10" t="str">
        <x:v>直播</x:v>
      </x:c>
      <x:c r="D1398" s="10" t="str">
        <x:v>粉丝团-已加入（已入团普通观众视角）</x:v>
      </x:c>
      <x:c r="E1398" s="10" t="str">
        <x:v>功能需求</x:v>
      </x:c>
      <x:c r="F1398" s="10" t="str">
        <x:v>P2</x:v>
      </x:c>
      <x:c r="G1398" s="9" t="str">
        <x:v>验证已入团卡片等级</x:v>
      </x:c>
      <x:c r="H1398" s="9" t="str">
        <x:v>本人团内等级值</x:v>
      </x:c>
      <x:c r="I1398" s="9" t="str">
        <x:v>1. 执行角色为已入团普通观众；当前处于粉丝团-已加入页面
2. 本人对当前主播的本次有效团籍粉丝等级5、亲密度20</x:v>
      </x:c>
      <x:c r="J1398" s="9" t="str">
        <x:v>1. 查看粉丝等级</x:v>
      </x:c>
      <x:c r="K1398" s="9" t="str">
        <x:v>显示本人在当前主播团内5级</x:v>
      </x:c>
      <x:c r="L1398" s="10" t="str"/>
      <x:c r="M1398" s="10" t="str">
        <x:v>未测</x:v>
      </x:c>
      <x:c r="N1398" s="10" t="str"/>
      <x:c r="O1398" s="9" t="str">
        <x:v>1. 来源（当前证据）：liveshow-proto/MainBasis/统一需求文档.md；位置：行1621、行1620
2. 规则：BR-7bc8cda6f7dab6d9
3. 未动态验证</x:v>
      </x:c>
    </x:row>
    <x:row r="1399" ht="85" customHeight="1">
      <x:c r="A1399" s="10" t="n">
        <x:v>1398</x:v>
      </x:c>
      <x:c r="B1399" s="10" t="str">
        <x:v>USER-03-0337</x:v>
      </x:c>
      <x:c r="C1399" s="10" t="str">
        <x:v>直播</x:v>
      </x:c>
      <x:c r="D1399" s="10" t="str">
        <x:v>粉丝团-已加入（已入团普通观众视角）</x:v>
      </x:c>
      <x:c r="E1399" s="10" t="str">
        <x:v>功能需求</x:v>
      </x:c>
      <x:c r="F1399" s="10" t="str">
        <x:v>P2</x:v>
      </x:c>
      <x:c r="G1399" s="9" t="str">
        <x:v>验证已入团卡片亲密度</x:v>
      </x:c>
      <x:c r="H1399" s="9" t="str">
        <x:v>本人团内亲密度值</x:v>
      </x:c>
      <x:c r="I1399" s="9" t="str">
        <x:v>1. 执行角色为已入团普通观众；当前处于粉丝团-已加入页面
2. 本人对当前主播的本次有效团籍粉丝等级5、亲密度20</x:v>
      </x:c>
      <x:c r="J1399" s="9" t="str">
        <x:v>1. 查看亲密度</x:v>
      </x:c>
      <x:c r="K1399" s="9" t="str">
        <x:v>显示本人与当前主播亲密度20</x:v>
      </x:c>
      <x:c r="L1399" s="10" t="str"/>
      <x:c r="M1399" s="10" t="str">
        <x:v>未测</x:v>
      </x:c>
      <x:c r="N1399" s="10" t="str"/>
      <x:c r="O1399" s="9" t="str">
        <x:v>1. 来源（当前证据）：liveshow-proto/MainBasis/统一需求文档.md；位置：行1622、行1620
2. 规则：BR-4a657e7c325b3ef6
3. 未动态验证</x:v>
      </x:c>
    </x:row>
    <x:row r="1400" ht="85" customHeight="1">
      <x:c r="A1400" s="10" t="n">
        <x:v>1399</x:v>
      </x:c>
      <x:c r="B1400" s="10" t="str">
        <x:v>USER-03-0338</x:v>
      </x:c>
      <x:c r="C1400" s="10" t="str">
        <x:v>直播</x:v>
      </x:c>
      <x:c r="D1400" s="10" t="str">
        <x:v>在线观众-观众列表（普通观众视角）</x:v>
      </x:c>
      <x:c r="E1400" s="10" t="str">
        <x:v>功能需求</x:v>
      </x:c>
      <x:c r="F1400" s="10" t="str">
        <x:v>P2</x:v>
      </x:c>
      <x:c r="G1400" s="9" t="str">
        <x:v>验证在线观众财富等级</x:v>
      </x:c>
      <x:c r="H1400" s="9" t="str">
        <x:v>在线账号财富等级值</x:v>
      </x:c>
      <x:c r="I1400" s="9" t="str">
        <x:v>1. 执行角色为普通观众；当前处于在线观众-观众列表页面
2. 当前在线账号A财富成长值对应配置5级</x:v>
      </x:c>
      <x:c r="J1400" s="9" t="str">
        <x:v>1. 查看A财富等级</x:v>
      </x:c>
      <x:c r="K1400" s="9" t="str">
        <x:v>显示财富5级</x:v>
      </x:c>
      <x:c r="L1400" s="10" t="str"/>
      <x:c r="M1400" s="10" t="str">
        <x:v>未测</x:v>
      </x:c>
      <x:c r="N1400" s="10" t="str"/>
      <x:c r="O1400" s="9" t="str">
        <x:v>1. 来源（当前证据）：liveshow-proto/MainBasis/统一需求文档.md；位置：行1669、行1667
2. 规则：BR-e21f76647682e33f
3. 未动态验证</x:v>
      </x:c>
    </x:row>
    <x:row r="1401" ht="85" customHeight="1">
      <x:c r="A1401" s="10" t="n">
        <x:v>1400</x:v>
      </x:c>
      <x:c r="B1401" s="10" t="str">
        <x:v>USER-03-0339</x:v>
      </x:c>
      <x:c r="C1401" s="10" t="str">
        <x:v>直播</x:v>
      </x:c>
      <x:c r="D1401" s="10" t="str">
        <x:v>在线观众-观众列表（普通观众视角）</x:v>
      </x:c>
      <x:c r="E1401" s="10" t="str">
        <x:v>功能需求</x:v>
      </x:c>
      <x:c r="F1401" s="10" t="str">
        <x:v>P2</x:v>
      </x:c>
      <x:c r="G1401" s="9" t="str">
        <x:v>验证在线观众资料卡入口</x:v>
      </x:c>
      <x:c r="H1401" s="9" t="str">
        <x:v>在线观众资料卡目标</x:v>
      </x:c>
      <x:c r="I1401" s="9" t="str">
        <x:v>1. 执行角色为普通观众；当前处于在线观众-观众列表页面
2. A仍在线且账号可访问</x:v>
      </x:c>
      <x:c r="J1401" s="9" t="str">
        <x:v>1. 点击A用户行</x:v>
      </x:c>
      <x:c r="K1401" s="9" t="str">
        <x:v>打开A资料卡</x:v>
      </x:c>
      <x:c r="L1401" s="10" t="str"/>
      <x:c r="M1401" s="10" t="str">
        <x:v>未测</x:v>
      </x:c>
      <x:c r="N1401" s="10" t="str"/>
      <x:c r="O1401" s="9" t="str">
        <x:v>1. 来源（当前证据）：liveshow-proto/MainBasis/统一需求文档.md；位置：行1674、行1667
2. 规则：BR-d6562fde078eb8ed
3. 未动态验证</x:v>
      </x:c>
    </x:row>
    <x:row r="1402" ht="85" customHeight="1">
      <x:c r="A1402" s="10" t="n">
        <x:v>1401</x:v>
      </x:c>
      <x:c r="B1402" s="10" t="str">
        <x:v>USER-03-0340</x:v>
      </x:c>
      <x:c r="C1402" s="10" t="str">
        <x:v>直播</x:v>
      </x:c>
      <x:c r="D1402" s="10" t="str">
        <x:v>在线观众-房管列表（普通观众视角）</x:v>
      </x:c>
      <x:c r="E1402" s="10" t="str">
        <x:v>功能需求</x:v>
      </x:c>
      <x:c r="F1402" s="10" t="str">
        <x:v>P1</x:v>
      </x:c>
      <x:c r="G1402" s="9" t="str">
        <x:v>验证房管跨场次仍展示</x:v>
      </x:c>
      <x:c r="H1402" s="9" t="str">
        <x:v>房管跨场次列表保留</x:v>
      </x:c>
      <x:c r="I1402" s="9" t="str">
        <x:v>1. 执行角色为普通观众；当前处于在线观众-房管列表页面
2. A上场已被本主播授权，本场未取消</x:v>
      </x:c>
      <x:c r="J1402" s="9" t="str">
        <x:v>1. 查看房管列表</x:v>
      </x:c>
      <x:c r="K1402" s="9" t="str">
        <x:v>列表仍包含房管A</x:v>
      </x:c>
      <x:c r="L1402" s="10" t="str"/>
      <x:c r="M1402" s="10" t="str">
        <x:v>未测</x:v>
      </x:c>
      <x:c r="N1402" s="10" t="str"/>
      <x:c r="O1402" s="9" t="str">
        <x:v>1. 来源（当前证据）：liveshow-proto/MainBasis/统一需求文档.md；位置：行1679、行1677
2. 规则：BR-1c5680f18d9c2549
3. 未动态验证</x:v>
      </x:c>
    </x:row>
    <x:row r="1403" ht="85" customHeight="1">
      <x:c r="A1403" s="10" t="n">
        <x:v>1402</x:v>
      </x:c>
      <x:c r="B1403" s="10" t="str">
        <x:v>USER-03-0341</x:v>
      </x:c>
      <x:c r="C1403" s="10" t="str">
        <x:v>直播</x:v>
      </x:c>
      <x:c r="D1403" s="10" t="str">
        <x:v>本场贡献-贡献榜（本场主播视角）</x:v>
      </x:c>
      <x:c r="E1403" s="10" t="str">
        <x:v>功能需求</x:v>
      </x:c>
      <x:c r="F1403" s="10" t="str">
        <x:v>P1</x:v>
      </x:c>
      <x:c r="G1403" s="9" t="str">
        <x:v>验证主播贡献榜当前禁言标识</x:v>
      </x:c>
      <x:c r="H1403" s="9" t="str">
        <x:v>贡献用户禁言状态</x:v>
      </x:c>
      <x:c r="I1403" s="9" t="str">
        <x:v>1. 执行角色为本场主播；当前处于本场贡献-贡献榜页面
2. A本场有贡献且被本场禁言</x:v>
      </x:c>
      <x:c r="J1403" s="9" t="str">
        <x:v>1. 查看A贡献行</x:v>
      </x:c>
      <x:c r="K1403" s="9" t="str">
        <x:v>展示A禁言标识</x:v>
      </x:c>
      <x:c r="L1403" s="10" t="str"/>
      <x:c r="M1403" s="10" t="str">
        <x:v>未测</x:v>
      </x:c>
      <x:c r="N1403" s="10" t="str"/>
      <x:c r="O1403" s="9" t="str">
        <x:v>1. 来源（当前证据）：liveshow-proto/MainBasis/统一需求文档.md；位置：行1753、行1748
2. 规则：BR-ec2417712159c9e6
3. 未动态验证</x:v>
      </x:c>
    </x:row>
    <x:row r="1404" ht="85" customHeight="1">
      <x:c r="A1404" s="10" t="n">
        <x:v>1403</x:v>
      </x:c>
      <x:c r="B1404" s="10" t="str">
        <x:v>USER-03-0342</x:v>
      </x:c>
      <x:c r="C1404" s="10" t="str">
        <x:v>直播</x:v>
      </x:c>
      <x:c r="D1404" s="10" t="str">
        <x:v>本场贡献-贡献榜（本场主播视角）</x:v>
      </x:c>
      <x:c r="E1404" s="10" t="str">
        <x:v>功能需求</x:v>
      </x:c>
      <x:c r="F1404" s="10" t="str">
        <x:v>P2</x:v>
      </x:c>
      <x:c r="G1404" s="9" t="str">
        <x:v>验证主播贡献榜跳在线列表</x:v>
      </x:c>
      <x:c r="H1404" s="9" t="str">
        <x:v>贡献榜在线列表去向</x:v>
      </x:c>
      <x:c r="I1404" s="9" t="str">
        <x:v>1. 执行角色为本场主播；当前处于本场贡献-贡献榜页面</x:v>
      </x:c>
      <x:c r="J1404" s="9" t="str">
        <x:v>1. 切换至观众</x:v>
      </x:c>
      <x:c r="K1404" s="9" t="str">
        <x:v>展示当前在线观众列表</x:v>
      </x:c>
      <x:c r="L1404" s="10" t="str"/>
      <x:c r="M1404" s="10" t="str">
        <x:v>未测</x:v>
      </x:c>
      <x:c r="N1404" s="10" t="str"/>
      <x:c r="O1404" s="9" t="str">
        <x:v>1. 来源（当前证据）：liveshow-proto/MainBasis/统一需求文档.md；位置：行1759、行1776、行1748
2. 规则：BR-908483a084cfcd38
3. 未动态验证</x:v>
      </x:c>
    </x:row>
    <x:row r="1405" ht="85" customHeight="1">
      <x:c r="A1405" s="10" t="n">
        <x:v>1404</x:v>
      </x:c>
      <x:c r="B1405" s="10" t="str">
        <x:v>USER-03-0343</x:v>
      </x:c>
      <x:c r="C1405" s="10" t="str">
        <x:v>直播</x:v>
      </x:c>
      <x:c r="D1405" s="10" t="str">
        <x:v>本场贡献-贡献榜（本场主播视角）</x:v>
      </x:c>
      <x:c r="E1405" s="10" t="str">
        <x:v>功能需求</x:v>
      </x:c>
      <x:c r="F1405" s="10" t="str">
        <x:v>P2</x:v>
      </x:c>
      <x:c r="G1405" s="9" t="str">
        <x:v>验证主播贡献榜用户资料卡</x:v>
      </x:c>
      <x:c r="H1405" s="9" t="str">
        <x:v>贡献用户主播权限资料卡</x:v>
      </x:c>
      <x:c r="I1405" s="9" t="str">
        <x:v>1. 执行角色为本场主播；当前处于本场贡献-贡献榜页面
2. A在榜且可访问</x:v>
      </x:c>
      <x:c r="J1405" s="9" t="str">
        <x:v>1. 点击A用户行</x:v>
      </x:c>
      <x:c r="K1405" s="9" t="str">
        <x:v>打开A的主播权限资料卡</x:v>
      </x:c>
      <x:c r="L1405" s="10" t="str"/>
      <x:c r="M1405" s="10" t="str">
        <x:v>未测</x:v>
      </x:c>
      <x:c r="N1405" s="10" t="str"/>
      <x:c r="O1405" s="9" t="str">
        <x:v>1. 来源（当前证据）：liveshow-proto/MainBasis/统一需求文档.md；位置：行1759、行1748
2. 规则：BR-c9437a3de51eff6b
3. 未动态验证</x:v>
      </x:c>
    </x:row>
    <x:row r="1406" ht="85" customHeight="1">
      <x:c r="A1406" s="10" t="n">
        <x:v>1405</x:v>
      </x:c>
      <x:c r="B1406" s="10" t="str">
        <x:v>USER-03-0344</x:v>
      </x:c>
      <x:c r="C1406" s="10" t="str">
        <x:v>直播</x:v>
      </x:c>
      <x:c r="D1406" s="10" t="str">
        <x:v>本场贡献-贡献榜（本场主播视角）</x:v>
      </x:c>
      <x:c r="E1406" s="10" t="str">
        <x:v>功能需求</x:v>
      </x:c>
      <x:c r="F1406" s="10" t="str">
        <x:v>P2</x:v>
      </x:c>
      <x:c r="G1406" s="9" t="str">
        <x:v>验证主播贡献榜私信对象</x:v>
      </x:c>
      <x:c r="H1406" s="9" t="str">
        <x:v>贡献用户私信会话对象</x:v>
      </x:c>
      <x:c r="I1406" s="9" t="str">
        <x:v>1. 执行角色为本场主播；当前处于本场贡献-贡献榜页面
2. A在榜且与本主播互为好友、未拉黑</x:v>
      </x:c>
      <x:c r="J1406" s="9" t="str">
        <x:v>1. 点击A私信</x:v>
      </x:c>
      <x:c r="K1406" s="9" t="str">
        <x:v>进入与A的单聊</x:v>
      </x:c>
      <x:c r="L1406" s="10" t="str"/>
      <x:c r="M1406" s="10" t="str">
        <x:v>未测</x:v>
      </x:c>
      <x:c r="N1406" s="10" t="str"/>
      <x:c r="O1406" s="9" t="str">
        <x:v>1. 来源（当前证据）：liveshow-proto/MainBasis/统一需求文档.md；位置：行1759、行1748
2. 规则：BR-682c254fe43f8651
3. 未动态验证</x:v>
      </x:c>
    </x:row>
    <x:row r="1407" ht="85" customHeight="1">
      <x:c r="A1407" s="10" t="n">
        <x:v>1406</x:v>
      </x:c>
      <x:c r="B1407" s="10" t="str">
        <x:v>USER-03-0345</x:v>
      </x:c>
      <x:c r="C1407" s="10" t="str">
        <x:v>直播</x:v>
      </x:c>
      <x:c r="D1407" s="10" t="str">
        <x:v>重点观众（本场主播视角）</x:v>
      </x:c>
      <x:c r="E1407" s="10" t="str">
        <x:v>功能需求</x:v>
      </x:c>
      <x:c r="F1407" s="10" t="str">
        <x:v>P2</x:v>
      </x:c>
      <x:c r="G1407" s="9" t="str">
        <x:v>验证重点观众资料卡对象</x:v>
      </x:c>
      <x:c r="H1407" s="9" t="str">
        <x:v>重点观众主播权限资料卡</x:v>
      </x:c>
      <x:c r="I1407" s="9" t="str">
        <x:v>1. 执行角色为本场主播；当前处于重点观众页面
2. 所选重点观众为A，A账号可访问</x:v>
      </x:c>
      <x:c r="J1407" s="9" t="str">
        <x:v>1. 点击A用户行</x:v>
      </x:c>
      <x:c r="K1407" s="9" t="str">
        <x:v>打开A的主播权限资料卡</x:v>
      </x:c>
      <x:c r="L1407" s="10" t="str"/>
      <x:c r="M1407" s="10" t="str">
        <x:v>未测</x:v>
      </x:c>
      <x:c r="N1407" s="10" t="str"/>
      <x:c r="O1407" s="9" t="str">
        <x:v>1. 来源（当前证据）：liveshow-proto/MainBasis/统一需求文档.md；位置：行1821、行1816
2. 规则：BR-802ed9282cc2adae
3. 未动态验证</x:v>
      </x:c>
    </x:row>
    <x:row r="1408" ht="85" customHeight="1">
      <x:c r="A1408" s="10" t="n">
        <x:v>1407</x:v>
      </x:c>
      <x:c r="B1408" s="10" t="str">
        <x:v>USER-03-0346</x:v>
      </x:c>
      <x:c r="C1408" s="10" t="str">
        <x:v>直播</x:v>
      </x:c>
      <x:c r="D1408" s="10" t="str">
        <x:v>重点观众（本场主播视角）</x:v>
      </x:c>
      <x:c r="E1408" s="10" t="str">
        <x:v>功能需求</x:v>
      </x:c>
      <x:c r="F1408" s="10" t="str">
        <x:v>P2</x:v>
      </x:c>
      <x:c r="G1408" s="9" t="str">
        <x:v>验证重点观众私信对象</x:v>
      </x:c>
      <x:c r="H1408" s="9" t="str">
        <x:v>重点观众私信会话对象</x:v>
      </x:c>
      <x:c r="I1408" s="9" t="str">
        <x:v>1. 执行角色为本场主播；当前处于重点观众页面
2. 所选重点观众为A，A账号可访问
3. A与主播为好友且未拉黑</x:v>
      </x:c>
      <x:c r="J1408" s="9" t="str">
        <x:v>1. 点击A私信</x:v>
      </x:c>
      <x:c r="K1408" s="9" t="str">
        <x:v>进入与A单聊</x:v>
      </x:c>
      <x:c r="L1408" s="10" t="str"/>
      <x:c r="M1408" s="10" t="str">
        <x:v>未测</x:v>
      </x:c>
      <x:c r="N1408" s="10" t="str"/>
      <x:c r="O1408" s="9" t="str">
        <x:v>1. 来源（当前证据）：liveshow-proto/MainBasis/统一需求文档.md；位置：行1821、行1816
2. 规则：BR-e4fc449b53c2a331
3. 未动态验证</x:v>
      </x:c>
    </x:row>
    <x:row r="1409" ht="85" customHeight="1">
      <x:c r="A1409" s="10" t="n">
        <x:v>1408</x:v>
      </x:c>
      <x:c r="B1409" s="10" t="str">
        <x:v>USER-03-0347</x:v>
      </x:c>
      <x:c r="C1409" s="10" t="str">
        <x:v>直播</x:v>
      </x:c>
      <x:c r="D1409" s="10" t="str">
        <x:v>重点观众（本场主播视角）</x:v>
      </x:c>
      <x:c r="E1409" s="10" t="str">
        <x:v>功能需求</x:v>
      </x:c>
      <x:c r="F1409" s="10" t="str">
        <x:v>P2</x:v>
      </x:c>
      <x:c r="G1409" s="9" t="str">
        <x:v>验证重点观众提及对象</x:v>
      </x:c>
      <x:c r="H1409" s="9" t="str">
        <x:v>重点观众提及预填</x:v>
      </x:c>
      <x:c r="I1409" s="9" t="str">
        <x:v>1. 执行角色为本场主播；当前处于重点观众页面
2. 所选重点观众为A，A账号可访问</x:v>
      </x:c>
      <x:c r="J1409" s="9" t="str">
        <x:v>1. 点击A的@入口</x:v>
      </x:c>
      <x:c r="K1409" s="9" t="str">
        <x:v>输入框预填@A</x:v>
      </x:c>
      <x:c r="L1409" s="10" t="str"/>
      <x:c r="M1409" s="10" t="str">
        <x:v>未测</x:v>
      </x:c>
      <x:c r="N1409" s="10" t="str"/>
      <x:c r="O1409" s="9" t="str">
        <x:v>1. 来源（当前证据）：liveshow-proto/MainBasis/统一需求文档.md；位置：行1821、行1816
2. 规则：BR-ba98f1b287ce6fac
3. 未动态验证</x:v>
      </x:c>
    </x:row>
    <x:row r="1410" ht="85" customHeight="1">
      <x:c r="A1410" s="10" t="n">
        <x:v>1409</x:v>
      </x:c>
      <x:c r="B1410" s="10" t="str">
        <x:v>USER-03-0348</x:v>
      </x:c>
      <x:c r="C1410" s="10" t="str">
        <x:v>直播</x:v>
      </x:c>
      <x:c r="D1410" s="10" t="str">
        <x:v>直播间（主播）（本场主播视角）</x:v>
      </x:c>
      <x:c r="E1410" s="10" t="str">
        <x:v>功能需求</x:v>
      </x:c>
      <x:c r="F1410" s="10" t="str">
        <x:v>P1</x:v>
      </x:c>
      <x:c r="G1410" s="9" t="str">
        <x:v>验证失效连麦邀请移除</x:v>
      </x:c>
      <x:c r="H1410" s="9" t="str">
        <x:v>失效连麦邀请清理</x:v>
      </x:c>
      <x:c r="I1410" s="9" t="str">
        <x:v>1. 执行角色为本场主播；当前处于直播间（主播）页面
2. 向B发出的邀请尚未回应，B现已结束直播</x:v>
      </x:c>
      <x:c r="J1410" s="9" t="str">
        <x:v>1. 打开连麦邀请列表</x:v>
      </x:c>
      <x:c r="K1410" s="9" t="str">
        <x:v>B的邀请不再属于有效邀请</x:v>
      </x:c>
      <x:c r="L1410" s="10" t="str"/>
      <x:c r="M1410" s="10" t="str">
        <x:v>未测</x:v>
      </x:c>
      <x:c r="N1410" s="10" t="str"/>
      <x:c r="O1410" s="9" t="str">
        <x:v>1. 来源（当前证据）：liveshow-proto/MainBasis/统一需求文档.md；位置：行1844、行797
2. 规则：BR-3da8d7f71abefb37
3. 未动态验证</x:v>
      </x:c>
    </x:row>
    <x:row r="1411" ht="85" customHeight="1">
      <x:c r="A1411" s="10" t="n">
        <x:v>1410</x:v>
      </x:c>
      <x:c r="B1411" s="10" t="str">
        <x:v>USER-04-0183</x:v>
      </x:c>
      <x:c r="C1411" s="10" t="str">
        <x:v>消息与社交</x:v>
      </x:c>
      <x:c r="D1411" s="10" t="str">
        <x:v>用户主页（普通用户A视角）</x:v>
      </x:c>
      <x:c r="E1411" s="10" t="str">
        <x:v>功能需求</x:v>
      </x:c>
      <x:c r="F1411" s="10" t="str">
        <x:v>P1</x:v>
      </x:c>
      <x:c r="G1411" s="9" t="str">
        <x:v>验证主页确认拉黑状态</x:v>
      </x:c>
      <x:c r="H1411" s="9" t="str">
        <x:v>账号关系</x:v>
      </x:c>
      <x:c r="I1411" s="9" t="str">
        <x:v>1. 执行角色为普通用户A；当前处于用户主页页面
2. 目标B与A原先互相关注并为好友，具有聊天历史QA旧消息；A具有B粉丝团有效团籍</x:v>
      </x:c>
      <x:c r="J1411" s="9" t="str">
        <x:v>1. 点击拉黑
2. 点击确认</x:v>
      </x:c>
      <x:c r="K1411" s="9" t="str">
        <x:v>B变为已拉黑</x:v>
      </x:c>
      <x:c r="L1411" s="10" t="str"/>
      <x:c r="M1411" s="10" t="str">
        <x:v>未测</x:v>
      </x:c>
      <x:c r="N1411" s="10" t="str"/>
      <x:c r="O1411" s="9" t="str">
        <x:v>1. 来源（当前证据）：liveshow-proto/MainBasis/统一需求文档.md；位置：行1048、行1956、行1040
2. 规则：BR-b1766c6be39da511
3. 未动态验证</x:v>
      </x:c>
    </x:row>
    <x:row r="1412" ht="85" customHeight="1">
      <x:c r="A1412" s="10" t="n">
        <x:v>1411</x:v>
      </x:c>
      <x:c r="B1412" s="10" t="str">
        <x:v>USER-04-0184</x:v>
      </x:c>
      <x:c r="C1412" s="10" t="str">
        <x:v>消息与社交</x:v>
      </x:c>
      <x:c r="D1412" s="10" t="str">
        <x:v>用户主页（普通用户A视角）</x:v>
      </x:c>
      <x:c r="E1412" s="10" t="str">
        <x:v>功能需求</x:v>
      </x:c>
      <x:c r="F1412" s="10" t="str">
        <x:v>P1</x:v>
      </x:c>
      <x:c r="G1412" s="9" t="str">
        <x:v>验证主页拉黑解除本人关注</x:v>
      </x:c>
      <x:c r="H1412" s="9" t="str">
        <x:v>账号关系</x:v>
      </x:c>
      <x:c r="I1412" s="9" t="str">
        <x:v>1. 执行角色为普通用户A；当前处于用户主页页面
2. 目标B与A原先互相关注并为好友，具有聊天历史QA旧消息；A具有B粉丝团有效团籍</x:v>
      </x:c>
      <x:c r="J1412" s="9" t="str">
        <x:v>1. 点击拉黑
2. 点击确认
3. 进入我的关注</x:v>
      </x:c>
      <x:c r="K1412" s="9" t="str">
        <x:v>B从A关注列表移除</x:v>
      </x:c>
      <x:c r="L1412" s="10" t="str"/>
      <x:c r="M1412" s="10" t="str">
        <x:v>未测</x:v>
      </x:c>
      <x:c r="N1412" s="10" t="str"/>
      <x:c r="O1412" s="9" t="str">
        <x:v>1. 来源（当前证据）：liveshow-proto/MainBasis/统一需求文档.md；位置：行1048、行1956、行1040
2. 规则：BR-4571a7a979599815
3. 未动态验证</x:v>
      </x:c>
    </x:row>
    <x:row r="1413" ht="85" customHeight="1">
      <x:c r="A1413" s="10" t="n">
        <x:v>1412</x:v>
      </x:c>
      <x:c r="B1413" s="10" t="str">
        <x:v>USER-04-0185</x:v>
      </x:c>
      <x:c r="C1413" s="10" t="str">
        <x:v>消息与社交</x:v>
      </x:c>
      <x:c r="D1413" s="10" t="str">
        <x:v>用户主页（普通用户A视角）</x:v>
      </x:c>
      <x:c r="E1413" s="10" t="str">
        <x:v>功能需求</x:v>
      </x:c>
      <x:c r="F1413" s="10" t="str">
        <x:v>P1</x:v>
      </x:c>
      <x:c r="G1413" s="9" t="str">
        <x:v>验证主页拉黑解除对方关注</x:v>
      </x:c>
      <x:c r="H1413" s="9" t="str">
        <x:v>账号关系</x:v>
      </x:c>
      <x:c r="I1413" s="9" t="str">
        <x:v>1. 执行角色为普通用户A；当前处于用户主页页面
2. 目标B与A原先互相关注并为好友，具有聊天历史QA旧消息；A具有B粉丝团有效团籍</x:v>
      </x:c>
      <x:c r="J1413" s="9" t="str">
        <x:v>1. 点击拉黑
2. 点击确认
3. 进入我的粉丝</x:v>
      </x:c>
      <x:c r="K1413" s="9" t="str">
        <x:v>B从A粉丝列表移除</x:v>
      </x:c>
      <x:c r="L1413" s="10" t="str"/>
      <x:c r="M1413" s="10" t="str">
        <x:v>未测</x:v>
      </x:c>
      <x:c r="N1413" s="10" t="str"/>
      <x:c r="O1413" s="9" t="str">
        <x:v>1. 来源（当前证据）：liveshow-proto/MainBasis/统一需求文档.md；位置：行1048、行1956、行1040
2. 规则：BR-f61dd5bbe51773df
3. 未动态验证</x:v>
      </x:c>
    </x:row>
    <x:row r="1414" ht="85" customHeight="1">
      <x:c r="A1414" s="10" t="n">
        <x:v>1413</x:v>
      </x:c>
      <x:c r="B1414" s="10" t="str">
        <x:v>USER-04-0186</x:v>
      </x:c>
      <x:c r="C1414" s="10" t="str">
        <x:v>消息与社交</x:v>
      </x:c>
      <x:c r="D1414" s="10" t="str">
        <x:v>用户主页（普通用户A视角）</x:v>
      </x:c>
      <x:c r="E1414" s="10" t="str">
        <x:v>功能需求</x:v>
      </x:c>
      <x:c r="F1414" s="10" t="str">
        <x:v>P1</x:v>
      </x:c>
      <x:c r="G1414" s="9" t="str">
        <x:v>验证主页拉黑解除好友</x:v>
      </x:c>
      <x:c r="H1414" s="9" t="str">
        <x:v>账号关系</x:v>
      </x:c>
      <x:c r="I1414" s="9" t="str">
        <x:v>1. 执行角色为普通用户A；当前处于用户主页页面
2. 目标B与A原先互相关注并为好友，具有聊天历史QA旧消息；A具有B粉丝团有效团籍</x:v>
      </x:c>
      <x:c r="J1414" s="9" t="str">
        <x:v>1. 点击拉黑
2. 点击确认
3. 进入好友列表</x:v>
      </x:c>
      <x:c r="K1414" s="9" t="str">
        <x:v>B不再是A的好友</x:v>
      </x:c>
      <x:c r="L1414" s="10" t="str"/>
      <x:c r="M1414" s="10" t="str">
        <x:v>未测</x:v>
      </x:c>
      <x:c r="N1414" s="10" t="str"/>
      <x:c r="O1414" s="9" t="str">
        <x:v>1. 来源（当前证据）：liveshow-proto/MainBasis/统一需求文档.md；位置：行1048、行1956、行1040
2. 规则：BR-eb51adb439be6731
3. 未动态验证</x:v>
      </x:c>
    </x:row>
    <x:row r="1415" ht="85" customHeight="1">
      <x:c r="A1415" s="10" t="n">
        <x:v>1414</x:v>
      </x:c>
      <x:c r="B1415" s="10" t="str">
        <x:v>USER-04-0187</x:v>
      </x:c>
      <x:c r="C1415" s="10" t="str">
        <x:v>消息与社交</x:v>
      </x:c>
      <x:c r="D1415" s="10" t="str">
        <x:v>用户主页（普通用户A视角）</x:v>
      </x:c>
      <x:c r="E1415" s="10" t="str">
        <x:v>功能需求</x:v>
      </x:c>
      <x:c r="F1415" s="10" t="str">
        <x:v>P1</x:v>
      </x:c>
      <x:c r="G1415" s="9" t="str">
        <x:v>验证主页拉黑删除会话</x:v>
      </x:c>
      <x:c r="H1415" s="9" t="str">
        <x:v>账号关系</x:v>
      </x:c>
      <x:c r="I1415" s="9" t="str">
        <x:v>1. 执行角色为普通用户A；当前处于用户主页页面
2. 目标B与A原先互相关注并为好友，具有聊天历史QA旧消息；A具有B粉丝团有效团籍</x:v>
      </x:c>
      <x:c r="J1415" s="9" t="str">
        <x:v>1. 点击拉黑
2. 点击确认
3. 进入私信列表</x:v>
      </x:c>
      <x:c r="K1415" s="9" t="str">
        <x:v>不再展示与B的私信会话</x:v>
      </x:c>
      <x:c r="L1415" s="10" t="str"/>
      <x:c r="M1415" s="10" t="str">
        <x:v>未测</x:v>
      </x:c>
      <x:c r="N1415" s="10" t="str"/>
      <x:c r="O1415" s="9" t="str">
        <x:v>1. 来源（当前证据）：liveshow-proto/MainBasis/统一需求文档.md；位置：行1048、行1956、行1040
2. 规则：BR-13ab60ef4a01215b
3. 未动态验证</x:v>
      </x:c>
    </x:row>
    <x:row r="1416" ht="85" customHeight="1">
      <x:c r="A1416" s="10" t="n">
        <x:v>1415</x:v>
      </x:c>
      <x:c r="B1416" s="10" t="str">
        <x:v>USER-04-0188</x:v>
      </x:c>
      <x:c r="C1416" s="10" t="str">
        <x:v>消息与社交</x:v>
      </x:c>
      <x:c r="D1416" s="10" t="str">
        <x:v>用户主页（普通用户A视角）</x:v>
      </x:c>
      <x:c r="E1416" s="10" t="str">
        <x:v>功能需求</x:v>
      </x:c>
      <x:c r="F1416" s="10" t="str">
        <x:v>P1</x:v>
      </x:c>
      <x:c r="G1416" s="9" t="str">
        <x:v>验证主页拉黑清除团籍</x:v>
      </x:c>
      <x:c r="H1416" s="9" t="str">
        <x:v>账号关系</x:v>
      </x:c>
      <x:c r="I1416" s="9" t="str">
        <x:v>1. 执行角色为普通用户A；当前处于用户主页页面
2. 目标B与A原先互相关注并为好友，具有聊天历史QA旧消息；A具有B粉丝团有效团籍</x:v>
      </x:c>
      <x:c r="J1416" s="9" t="str">
        <x:v>1. 点击拉黑
2. 点击确认
3. 进入我的粉丝团</x:v>
      </x:c>
      <x:c r="K1416" s="9" t="str">
        <x:v>不再展示B的粉丝团</x:v>
      </x:c>
      <x:c r="L1416" s="10" t="str"/>
      <x:c r="M1416" s="10" t="str">
        <x:v>未测</x:v>
      </x:c>
      <x:c r="N1416" s="10" t="str"/>
      <x:c r="O1416" s="9" t="str">
        <x:v>1. 来源（当前证据）：liveshow-proto/MainBasis/统一需求文档.md；位置：行1048、行1956、行1040
2. 规则：BR-83cd0a04a0173dac
3. 未动态验证</x:v>
      </x:c>
    </x:row>
    <x:row r="1417" ht="85" customHeight="1">
      <x:c r="A1417" s="10" t="n">
        <x:v>1416</x:v>
      </x:c>
      <x:c r="B1417" s="10" t="str">
        <x:v>USER-04-0189</x:v>
      </x:c>
      <x:c r="C1417" s="10" t="str">
        <x:v>消息与社交</x:v>
      </x:c>
      <x:c r="D1417" s="10" t="str">
        <x:v>用户主页（普通用户A视角）</x:v>
      </x:c>
      <x:c r="E1417" s="10" t="str">
        <x:v>功能需求</x:v>
      </x:c>
      <x:c r="F1417" s="10" t="str">
        <x:v>P1</x:v>
      </x:c>
      <x:c r="G1417" s="9" t="str">
        <x:v>验证取消主页拉黑保留团籍</x:v>
      </x:c>
      <x:c r="H1417" s="9" t="str">
        <x:v>账号关系</x:v>
      </x:c>
      <x:c r="I1417" s="9" t="str">
        <x:v>1. 执行角色为普通用户A；当前处于用户主页页面
2. 目标B与A原先互相关注并为好友，具有聊天历史QA旧消息；A具有B粉丝团有效团籍</x:v>
      </x:c>
      <x:c r="J1417" s="9" t="str">
        <x:v>1. 点击拉黑
2. 点击取消</x:v>
      </x:c>
      <x:c r="K1417" s="9" t="str">
        <x:v>本人对B的粉丝团团籍保持有效</x:v>
      </x:c>
      <x:c r="L1417" s="10" t="str"/>
      <x:c r="M1417" s="10" t="str">
        <x:v>未测</x:v>
      </x:c>
      <x:c r="N1417" s="10" t="str"/>
      <x:c r="O1417" s="9" t="str">
        <x:v>1. 来源（当前证据）：liveshow-proto/MainBasis/统一需求文档.md；位置：行1957、行1040
2. 规则：BR-8ab3addf214feb00
3. 未动态验证</x:v>
      </x:c>
    </x:row>
    <x:row r="1418" ht="85" customHeight="1">
      <x:c r="A1418" s="10" t="n">
        <x:v>1417</x:v>
      </x:c>
      <x:c r="B1418" s="10" t="str">
        <x:v>USER-04-0190</x:v>
      </x:c>
      <x:c r="C1418" s="10" t="str">
        <x:v>消息与社交</x:v>
      </x:c>
      <x:c r="D1418" s="10" t="str">
        <x:v>主播主页（普通用户A视角）</x:v>
      </x:c>
      <x:c r="E1418" s="10" t="str">
        <x:v>功能需求</x:v>
      </x:c>
      <x:c r="F1418" s="10" t="str">
        <x:v>P1</x:v>
      </x:c>
      <x:c r="G1418" s="9" t="str">
        <x:v>验证主页确认拉黑状态</x:v>
      </x:c>
      <x:c r="H1418" s="9" t="str">
        <x:v>账号关系</x:v>
      </x:c>
      <x:c r="I1418" s="9" t="str">
        <x:v>1. 执行角色为普通用户A；当前处于主播主页页面
2. 目标B与A原先互相关注并为好友，具有聊天历史QA旧消息；A具有B粉丝团有效团籍</x:v>
      </x:c>
      <x:c r="J1418" s="9" t="str">
        <x:v>1. 点击拉黑
2. 点击确认</x:v>
      </x:c>
      <x:c r="K1418" s="9" t="str">
        <x:v>B变为已拉黑</x:v>
      </x:c>
      <x:c r="L1418" s="10" t="str"/>
      <x:c r="M1418" s="10" t="str">
        <x:v>未测</x:v>
      </x:c>
      <x:c r="N1418" s="10" t="str"/>
      <x:c r="O1418" s="9" t="str">
        <x:v>1. 来源（当前证据）：liveshow-proto/MainBasis/统一需求文档.md；位置：行1064、行1964、行1055
2. 规则：BR-f9e47543fd63db4c
3. 未动态验证</x:v>
      </x:c>
    </x:row>
    <x:row r="1419" ht="85" customHeight="1">
      <x:c r="A1419" s="10" t="n">
        <x:v>1418</x:v>
      </x:c>
      <x:c r="B1419" s="10" t="str">
        <x:v>USER-04-0191</x:v>
      </x:c>
      <x:c r="C1419" s="10" t="str">
        <x:v>消息与社交</x:v>
      </x:c>
      <x:c r="D1419" s="10" t="str">
        <x:v>主播主页（普通用户A视角）</x:v>
      </x:c>
      <x:c r="E1419" s="10" t="str">
        <x:v>功能需求</x:v>
      </x:c>
      <x:c r="F1419" s="10" t="str">
        <x:v>P1</x:v>
      </x:c>
      <x:c r="G1419" s="9" t="str">
        <x:v>验证主页拉黑解除本人关注</x:v>
      </x:c>
      <x:c r="H1419" s="9" t="str">
        <x:v>账号关系</x:v>
      </x:c>
      <x:c r="I1419" s="9" t="str">
        <x:v>1. 执行角色为普通用户A；当前处于主播主页页面
2. 目标B与A原先互相关注并为好友，具有聊天历史QA旧消息；A具有B粉丝团有效团籍</x:v>
      </x:c>
      <x:c r="J1419" s="9" t="str">
        <x:v>1. 点击拉黑
2. 点击确认
3. 进入我的关注</x:v>
      </x:c>
      <x:c r="K1419" s="9" t="str">
        <x:v>B从A关注列表移除</x:v>
      </x:c>
      <x:c r="L1419" s="10" t="str"/>
      <x:c r="M1419" s="10" t="str">
        <x:v>未测</x:v>
      </x:c>
      <x:c r="N1419" s="10" t="str"/>
      <x:c r="O1419" s="9" t="str">
        <x:v>1. 来源（当前证据）：liveshow-proto/MainBasis/统一需求文档.md；位置：行1064、行1964、行1055
2. 规则：BR-8692353bda30fde3
3. 未动态验证</x:v>
      </x:c>
    </x:row>
    <x:row r="1420" ht="85" customHeight="1">
      <x:c r="A1420" s="10" t="n">
        <x:v>1419</x:v>
      </x:c>
      <x:c r="B1420" s="10" t="str">
        <x:v>USER-04-0192</x:v>
      </x:c>
      <x:c r="C1420" s="10" t="str">
        <x:v>消息与社交</x:v>
      </x:c>
      <x:c r="D1420" s="10" t="str">
        <x:v>主播主页（普通用户A视角）</x:v>
      </x:c>
      <x:c r="E1420" s="10" t="str">
        <x:v>功能需求</x:v>
      </x:c>
      <x:c r="F1420" s="10" t="str">
        <x:v>P1</x:v>
      </x:c>
      <x:c r="G1420" s="9" t="str">
        <x:v>验证主页拉黑解除对方关注</x:v>
      </x:c>
      <x:c r="H1420" s="9" t="str">
        <x:v>账号关系</x:v>
      </x:c>
      <x:c r="I1420" s="9" t="str">
        <x:v>1. 执行角色为普通用户A；当前处于主播主页页面
2. 目标B与A原先互相关注并为好友，具有聊天历史QA旧消息；A具有B粉丝团有效团籍</x:v>
      </x:c>
      <x:c r="J1420" s="9" t="str">
        <x:v>1. 点击拉黑
2. 点击确认
3. 进入我的粉丝</x:v>
      </x:c>
      <x:c r="K1420" s="9" t="str">
        <x:v>B从A粉丝列表移除</x:v>
      </x:c>
      <x:c r="L1420" s="10" t="str"/>
      <x:c r="M1420" s="10" t="str">
        <x:v>未测</x:v>
      </x:c>
      <x:c r="N1420" s="10" t="str"/>
      <x:c r="O1420" s="9" t="str">
        <x:v>1. 来源（当前证据）：liveshow-proto/MainBasis/统一需求文档.md；位置：行1064、行1964、行1055
2. 规则：BR-19482cdcbd42a8df
3. 未动态验证</x:v>
      </x:c>
    </x:row>
    <x:row r="1421" ht="85" customHeight="1">
      <x:c r="A1421" s="10" t="n">
        <x:v>1420</x:v>
      </x:c>
      <x:c r="B1421" s="10" t="str">
        <x:v>USER-04-0193</x:v>
      </x:c>
      <x:c r="C1421" s="10" t="str">
        <x:v>消息与社交</x:v>
      </x:c>
      <x:c r="D1421" s="10" t="str">
        <x:v>主播主页（普通用户A视角）</x:v>
      </x:c>
      <x:c r="E1421" s="10" t="str">
        <x:v>功能需求</x:v>
      </x:c>
      <x:c r="F1421" s="10" t="str">
        <x:v>P1</x:v>
      </x:c>
      <x:c r="G1421" s="9" t="str">
        <x:v>验证主页拉黑解除好友</x:v>
      </x:c>
      <x:c r="H1421" s="9" t="str">
        <x:v>账号关系</x:v>
      </x:c>
      <x:c r="I1421" s="9" t="str">
        <x:v>1. 执行角色为普通用户A；当前处于主播主页页面
2. 目标B与A原先互相关注并为好友，具有聊天历史QA旧消息；A具有B粉丝团有效团籍</x:v>
      </x:c>
      <x:c r="J1421" s="9" t="str">
        <x:v>1. 点击拉黑
2. 点击确认
3. 进入好友列表</x:v>
      </x:c>
      <x:c r="K1421" s="9" t="str">
        <x:v>B不再是A的好友</x:v>
      </x:c>
      <x:c r="L1421" s="10" t="str"/>
      <x:c r="M1421" s="10" t="str">
        <x:v>未测</x:v>
      </x:c>
      <x:c r="N1421" s="10" t="str"/>
      <x:c r="O1421" s="9" t="str">
        <x:v>1. 来源（当前证据）：liveshow-proto/MainBasis/统一需求文档.md；位置：行1064、行1964、行1055
2. 规则：BR-193b7c6763699095
3. 未动态验证</x:v>
      </x:c>
    </x:row>
    <x:row r="1422" ht="85" customHeight="1">
      <x:c r="A1422" s="10" t="n">
        <x:v>1421</x:v>
      </x:c>
      <x:c r="B1422" s="10" t="str">
        <x:v>USER-04-0194</x:v>
      </x:c>
      <x:c r="C1422" s="10" t="str">
        <x:v>消息与社交</x:v>
      </x:c>
      <x:c r="D1422" s="10" t="str">
        <x:v>主播主页（普通用户A视角）</x:v>
      </x:c>
      <x:c r="E1422" s="10" t="str">
        <x:v>功能需求</x:v>
      </x:c>
      <x:c r="F1422" s="10" t="str">
        <x:v>P1</x:v>
      </x:c>
      <x:c r="G1422" s="9" t="str">
        <x:v>验证主页拉黑删除会话</x:v>
      </x:c>
      <x:c r="H1422" s="9" t="str">
        <x:v>账号关系</x:v>
      </x:c>
      <x:c r="I1422" s="9" t="str">
        <x:v>1. 执行角色为普通用户A；当前处于主播主页页面
2. 目标B与A原先互相关注并为好友，具有聊天历史QA旧消息；A具有B粉丝团有效团籍</x:v>
      </x:c>
      <x:c r="J1422" s="9" t="str">
        <x:v>1. 点击拉黑
2. 点击确认
3. 进入私信列表</x:v>
      </x:c>
      <x:c r="K1422" s="9" t="str">
        <x:v>不再展示与B的私信会话</x:v>
      </x:c>
      <x:c r="L1422" s="10" t="str"/>
      <x:c r="M1422" s="10" t="str">
        <x:v>未测</x:v>
      </x:c>
      <x:c r="N1422" s="10" t="str"/>
      <x:c r="O1422" s="9" t="str">
        <x:v>1. 来源（当前证据）：liveshow-proto/MainBasis/统一需求文档.md；位置：行1064、行1964、行1055
2. 规则：BR-3715d4d82f6cd6d5
3. 未动态验证</x:v>
      </x:c>
    </x:row>
    <x:row r="1423" ht="85" customHeight="1">
      <x:c r="A1423" s="10" t="n">
        <x:v>1422</x:v>
      </x:c>
      <x:c r="B1423" s="10" t="str">
        <x:v>USER-04-0195</x:v>
      </x:c>
      <x:c r="C1423" s="10" t="str">
        <x:v>消息与社交</x:v>
      </x:c>
      <x:c r="D1423" s="10" t="str">
        <x:v>主播主页（普通用户A视角）</x:v>
      </x:c>
      <x:c r="E1423" s="10" t="str">
        <x:v>功能需求</x:v>
      </x:c>
      <x:c r="F1423" s="10" t="str">
        <x:v>P1</x:v>
      </x:c>
      <x:c r="G1423" s="9" t="str">
        <x:v>验证主页拉黑清除团籍</x:v>
      </x:c>
      <x:c r="H1423" s="9" t="str">
        <x:v>账号关系</x:v>
      </x:c>
      <x:c r="I1423" s="9" t="str">
        <x:v>1. 执行角色为普通用户A；当前处于主播主页页面
2. 目标B与A原先互相关注并为好友，具有聊天历史QA旧消息；A具有B粉丝团有效团籍</x:v>
      </x:c>
      <x:c r="J1423" s="9" t="str">
        <x:v>1. 点击拉黑
2. 点击确认
3. 进入我的粉丝团</x:v>
      </x:c>
      <x:c r="K1423" s="9" t="str">
        <x:v>不再展示B的粉丝团</x:v>
      </x:c>
      <x:c r="L1423" s="10" t="str"/>
      <x:c r="M1423" s="10" t="str">
        <x:v>未测</x:v>
      </x:c>
      <x:c r="N1423" s="10" t="str"/>
      <x:c r="O1423" s="9" t="str">
        <x:v>1. 来源（当前证据）：liveshow-proto/MainBasis/统一需求文档.md；位置：行1064、行1964、行1055
2. 规则：BR-d10fc4c3ca73608a
3. 未动态验证</x:v>
      </x:c>
    </x:row>
    <x:row r="1424" ht="85" customHeight="1">
      <x:c r="A1424" s="10" t="n">
        <x:v>1423</x:v>
      </x:c>
      <x:c r="B1424" s="10" t="str">
        <x:v>USER-04-0196</x:v>
      </x:c>
      <x:c r="C1424" s="10" t="str">
        <x:v>消息与社交</x:v>
      </x:c>
      <x:c r="D1424" s="10" t="str">
        <x:v>主播主页（普通用户A视角）</x:v>
      </x:c>
      <x:c r="E1424" s="10" t="str">
        <x:v>功能需求</x:v>
      </x:c>
      <x:c r="F1424" s="10" t="str">
        <x:v>P1</x:v>
      </x:c>
      <x:c r="G1424" s="9" t="str">
        <x:v>验证取消主页拉黑保留团籍</x:v>
      </x:c>
      <x:c r="H1424" s="9" t="str">
        <x:v>账号关系</x:v>
      </x:c>
      <x:c r="I1424" s="9" t="str">
        <x:v>1. 执行角色为普通用户A；当前处于主播主页页面
2. 目标B与A原先互相关注并为好友，具有聊天历史QA旧消息；A具有B粉丝团有效团籍</x:v>
      </x:c>
      <x:c r="J1424" s="9" t="str">
        <x:v>1. 点击拉黑
2. 点击取消</x:v>
      </x:c>
      <x:c r="K1424" s="9" t="str">
        <x:v>本人对B的粉丝团团籍保持有效</x:v>
      </x:c>
      <x:c r="L1424" s="10" t="str"/>
      <x:c r="M1424" s="10" t="str">
        <x:v>未测</x:v>
      </x:c>
      <x:c r="N1424" s="10" t="str"/>
      <x:c r="O1424" s="9" t="str">
        <x:v>1. 来源（当前证据）：liveshow-proto/MainBasis/统一需求文档.md；位置：行1070、行1055
2. 规则：BR-621875d186206538
3. 未动态验证</x:v>
      </x:c>
    </x:row>
    <x:row r="1425" ht="85" customHeight="1">
      <x:c r="A1425" s="10" t="n">
        <x:v>1424</x:v>
      </x:c>
      <x:c r="B1425" s="10" t="str">
        <x:v>USER-07-0181</x:v>
      </x:c>
      <x:c r="C1425" s="10" t="str">
        <x:v>主播中心</x:v>
      </x:c>
      <x:c r="D1425" s="10" t="str">
        <x:v>房管管理（主播A视角）</x:v>
      </x:c>
      <x:c r="E1425" s="10" t="str">
        <x:v>功能需求</x:v>
      </x:c>
      <x:c r="F1425" s="10" t="str">
        <x:v>P1</x:v>
      </x:c>
      <x:c r="G1425" s="9" t="str">
        <x:v>验证拉黑自动解除房管</x:v>
      </x:c>
      <x:c r="H1425" s="9" t="str">
        <x:v>账号关系</x:v>
      </x:c>
      <x:c r="I1425" s="9" t="str">
        <x:v>1. 执行角色为主播A；当前处于房管管理页面
2. A已授权B为房管，随后A与B建立拉黑关系</x:v>
      </x:c>
      <x:c r="J1425" s="9" t="str">
        <x:v>1. 刷新房管列表</x:v>
      </x:c>
      <x:c r="K1425" s="9" t="str">
        <x:v>B不再是A的房管</x:v>
      </x:c>
      <x:c r="L1425" s="10" t="str"/>
      <x:c r="M1425" s="10" t="str">
        <x:v>未测</x:v>
      </x:c>
      <x:c r="N1425" s="10" t="str"/>
      <x:c r="O1425" s="9" t="str">
        <x:v>1. 来源（当前证据）：liveshow-proto/MainBasis/统一需求文档.md；位置：行1681、行946、行1148
2. 规则：BR-1621d0fd170433a8
3. 未动态验证</x:v>
      </x:c>
    </x:row>
    <x:row r="1426" ht="85" customHeight="1">
      <x:c r="A1426" s="10" t="n">
        <x:v>1425</x:v>
      </x:c>
      <x:c r="B1426" s="10" t="str">
        <x:v>USER-03-0349</x:v>
      </x:c>
      <x:c r="C1426" s="10" t="str">
        <x:v>直播</x:v>
      </x:c>
      <x:c r="D1426" s="10" t="str">
        <x:v>直播间（普通房）（普通观众B视角）</x:v>
      </x:c>
      <x:c r="E1426" s="10" t="str">
        <x:v>功能需求</x:v>
      </x:c>
      <x:c r="F1426" s="10" t="str">
        <x:v>P1</x:v>
      </x:c>
      <x:c r="G1426" s="9" t="str">
        <x:v>验证主播拉黑在线观众退出</x:v>
      </x:c>
      <x:c r="H1426" s="9" t="str">
        <x:v>账号关系</x:v>
      </x:c>
      <x:c r="I1426" s="9" t="str">
        <x:v>1. 执行角色为普通观众B；当前处于直播间（普通房）页面
2. B正在主播A房间内，A刚把B拉黑</x:v>
      </x:c>
      <x:c r="J1426" s="9" t="str">
        <x:v>1. 查看当前房间状态</x:v>
      </x:c>
      <x:c r="K1426" s="9" t="str">
        <x:v>B退出A的直播间</x:v>
      </x:c>
      <x:c r="L1426" s="10" t="str"/>
      <x:c r="M1426" s="10" t="str">
        <x:v>未测</x:v>
      </x:c>
      <x:c r="N1426" s="10" t="str"/>
      <x:c r="O1426" s="9" t="str">
        <x:v>1. 来源（当前证据）：liveshow-proto/MainBasis/统一需求文档.md；位置：行949、行759
2. 规则：BR-b51a0e7c34a8470a
3. 未动态验证</x:v>
      </x:c>
    </x:row>
    <x:row r="1427" ht="85" customHeight="1">
      <x:c r="A1427" s="10" t="n">
        <x:v>1426</x:v>
      </x:c>
      <x:c r="B1427" s="10" t="str">
        <x:v>USER-03-0350</x:v>
      </x:c>
      <x:c r="C1427" s="10" t="str">
        <x:v>直播</x:v>
      </x:c>
      <x:c r="D1427" s="10" t="str">
        <x:v>直播间（普通房）（真实金币观众视角）</x:v>
      </x:c>
      <x:c r="E1427" s="10" t="str">
        <x:v>功能需求</x:v>
      </x:c>
      <x:c r="F1427" s="10" t="str">
        <x:v>P1</x:v>
      </x:c>
      <x:c r="G1427" s="9" t="str">
        <x:v>验证连续赠送逐件扣款</x:v>
      </x:c>
      <x:c r="H1427" s="9" t="str">
        <x:v>资产数值</x:v>
      </x:c>
      <x:c r="I1427" s="9" t="str">
        <x:v>1. 执行角色为真实金币观众；当前处于直播间（普通房）页面
2. 普通礼物单价10金币，余额100金币；三次连续赠送均成功</x:v>
      </x:c>
      <x:c r="J1427" s="9" t="str">
        <x:v>1. 连续点击同一普通礼物的赠送按钮3次
2. 查看金币余额</x:v>
      </x:c>
      <x:c r="K1427" s="9" t="str">
        <x:v>余额为70金币（计算结果 = 70 金币）</x:v>
      </x:c>
      <x:c r="L1427" s="10" t="str"/>
      <x:c r="M1427" s="10" t="str">
        <x:v>未测</x:v>
      </x:c>
      <x:c r="N1427" s="10" t="str"/>
      <x:c r="O1427" s="9" t="str">
        <x:v>1. 来源（当前证据）：liveshow-proto/MainBasis/统一需求文档.md；位置：行339、行759
2. 规则：BR-70c6732397250428
3. 未动态验证</x:v>
      </x:c>
    </x:row>
    <x:row r="1428" ht="85" customHeight="1">
      <x:c r="A1428" s="10" t="n">
        <x:v>1427</x:v>
      </x:c>
      <x:c r="B1428" s="10" t="str">
        <x:v>USER-03-0351</x:v>
      </x:c>
      <x:c r="C1428" s="10" t="str">
        <x:v>直播</x:v>
      </x:c>
      <x:c r="D1428" s="10" t="str">
        <x:v>直播间（普通房）（真实金币观众视角）</x:v>
      </x:c>
      <x:c r="E1428" s="10" t="str">
        <x:v>功能需求</x:v>
      </x:c>
      <x:c r="F1428" s="10" t="str">
        <x:v>P1</x:v>
      </x:c>
      <x:c r="G1428" s="9" t="str">
        <x:v>验证连续赠送逐件记录</x:v>
      </x:c>
      <x:c r="H1428" s="9" t="str">
        <x:v>逐件赠送记录</x:v>
      </x:c>
      <x:c r="I1428" s="9" t="str">
        <x:v>1. 执行角色为真实金币观众；当前处于直播间（普通房）页面
2. 普通礼物单价10金币，余额100金币；三次连续赠送均成功</x:v>
      </x:c>
      <x:c r="J1428" s="9" t="str">
        <x:v>1. 连续点击同一普通礼物的赠送按钮3次
2. 进入余额明细</x:v>
      </x:c>
      <x:c r="K1428" s="9" t="str">
        <x:v>存在3条各扣10金币的成功赠送记录</x:v>
      </x:c>
      <x:c r="L1428" s="10" t="str"/>
      <x:c r="M1428" s="10" t="str">
        <x:v>未测</x:v>
      </x:c>
      <x:c r="N1428" s="10" t="str"/>
      <x:c r="O1428" s="9" t="str">
        <x:v>1. 来源（当前证据）：liveshow-proto/MainBasis/统一需求文档.md；位置：行339、行759
2. 规则：BR-175b18c13a0ea39d
3. 未动态验证</x:v>
      </x:c>
    </x:row>
    <x:row r="1429" ht="85" customHeight="1">
      <x:c r="A1429" s="10" t="n">
        <x:v>1428</x:v>
      </x:c>
      <x:c r="B1429" s="10" t="str">
        <x:v>USER-03-0352</x:v>
      </x:c>
      <x:c r="C1429" s="10" t="str">
        <x:v>直播</x:v>
      </x:c>
      <x:c r="D1429" s="10" t="str">
        <x:v>直播间（普通房）（房管视角）</x:v>
      </x:c>
      <x:c r="E1429" s="10" t="str">
        <x:v>功能需求</x:v>
      </x:c>
      <x:c r="F1429" s="10" t="str">
        <x:v>P1</x:v>
      </x:c>
      <x:c r="G1429" s="9" t="str">
        <x:v>验证房管屏蔽单条评论</x:v>
      </x:c>
      <x:c r="H1429" s="9" t="str">
        <x:v>房管屏蔽评论范围</x:v>
      </x:c>
      <x:c r="I1429" s="9" t="str">
        <x:v>1. 执行角色为房管；当前处于直播间（普通房）页面
2. 公屏存在普通观众的两条评论M和N</x:v>
      </x:c>
      <x:c r="J1429" s="9" t="str">
        <x:v>1. 选择评论M
2. 点击屏蔽</x:v>
      </x:c>
      <x:c r="K1429" s="9" t="str">
        <x:v>仅M从公屏移除</x:v>
      </x:c>
      <x:c r="L1429" s="10" t="str"/>
      <x:c r="M1429" s="10" t="str">
        <x:v>未测</x:v>
      </x:c>
      <x:c r="N1429" s="10" t="str"/>
      <x:c r="O1429" s="9" t="str">
        <x:v>1. 来源（当前证据）：liveshow-proto/MainBasis/统一需求文档.md；位置：行1682、行1155、行513、行251、行759
2. 规则：BR-9df7438b41d2e460
3. 未动态验证</x:v>
      </x:c>
    </x:row>
    <x:row r="1430" ht="85" customHeight="1">
      <x:c r="A1430" s="10" t="n">
        <x:v>1429</x:v>
      </x:c>
      <x:c r="B1430" s="10" t="str">
        <x:v>USER-03-0353</x:v>
      </x:c>
      <x:c r="C1430" s="10" t="str">
        <x:v>直播</x:v>
      </x:c>
      <x:c r="D1430" s="10" t="str">
        <x:v>直播间（主播）（本场主播视角）</x:v>
      </x:c>
      <x:c r="E1430" s="10" t="str">
        <x:v>功能需求</x:v>
      </x:c>
      <x:c r="F1430" s="10" t="str">
        <x:v>P1</x:v>
      </x:c>
      <x:c r="G1430" s="9" t="str">
        <x:v>验证巡房会话不能踢出</x:v>
      </x:c>
      <x:c r="H1430" s="9" t="str">
        <x:v>入口可用性</x:v>
      </x:c>
      <x:c r="I1430" s="9" t="str">
        <x:v>1. 执行角色为本场主播；当前处于直播间（主播）页面
2. 巡房人员A已从后台有效巡房任务进入本场</x:v>
      </x:c>
      <x:c r="J1430" s="9" t="str">
        <x:v>1. 打开A资料卡
2. 点击踢出A</x:v>
      </x:c>
      <x:c r="K1430" s="9" t="str">
        <x:v>不能将A踢出本场</x:v>
      </x:c>
      <x:c r="L1430" s="10" t="str"/>
      <x:c r="M1430" s="10" t="str">
        <x:v>未测</x:v>
      </x:c>
      <x:c r="N1430" s="10" t="str"/>
      <x:c r="O1430" s="9" t="str">
        <x:v>1. 来源（当前证据）：liveshow-proto/MainBasis/统一需求文档.md；位置：行767、行797
2. 规则：BR-2eb71881b9a34c45
3. 未动态验证</x:v>
      </x:c>
    </x:row>
    <x:row r="1431" ht="85" customHeight="1">
      <x:c r="A1431" s="10" t="n">
        <x:v>1430</x:v>
      </x:c>
      <x:c r="B1431" s="10" t="str">
        <x:v>USER-03-0354</x:v>
      </x:c>
      <x:c r="C1431" s="10" t="str">
        <x:v>直播</x:v>
      </x:c>
      <x:c r="D1431" s="10" t="str">
        <x:v>直播间（主播）（本场主播视角）</x:v>
      </x:c>
      <x:c r="E1431" s="10" t="str">
        <x:v>功能需求</x:v>
      </x:c>
      <x:c r="F1431" s="10" t="str">
        <x:v>P1</x:v>
      </x:c>
      <x:c r="G1431" s="9" t="str">
        <x:v>验证巡房会话不能拉黑</x:v>
      </x:c>
      <x:c r="H1431" s="9" t="str">
        <x:v>账号关系</x:v>
      </x:c>
      <x:c r="I1431" s="9" t="str">
        <x:v>1. 执行角色为本场主播；当前处于直播间（主播）页面
2. 巡房人员A已从后台有效巡房任务进入本场</x:v>
      </x:c>
      <x:c r="J1431" s="9" t="str">
        <x:v>1. 打开A资料卡
2. 点击拉黑A</x:v>
      </x:c>
      <x:c r="K1431" s="9" t="str">
        <x:v>不能建立对A的拉黑关系</x:v>
      </x:c>
      <x:c r="L1431" s="10" t="str"/>
      <x:c r="M1431" s="10" t="str">
        <x:v>未测</x:v>
      </x:c>
      <x:c r="N1431" s="10" t="str"/>
      <x:c r="O1431" s="9" t="str">
        <x:v>1. 来源（当前证据）：liveshow-proto/MainBasis/统一需求文档.md；位置：行767、行797
2. 规则：BR-54edc7c8f212cd7b
3. 未动态验证</x:v>
      </x:c>
    </x:row>
    <x:row r="1432" ht="85" customHeight="1">
      <x:c r="A1432" s="10" t="n">
        <x:v>1431</x:v>
      </x:c>
      <x:c r="B1432" s="10" t="str">
        <x:v>USER-05-0250</x:v>
      </x:c>
      <x:c r="C1432" s="10" t="str">
        <x:v>我的</x:v>
      </x:c>
      <x:c r="D1432" s="10" t="str">
        <x:v>黑名单管理（主播视角）</x:v>
      </x:c>
      <x:c r="E1432" s="10" t="str">
        <x:v>功能需求</x:v>
      </x:c>
      <x:c r="F1432" s="10" t="str">
        <x:v>P1</x:v>
      </x:c>
      <x:c r="G1432" s="9" t="str">
        <x:v>验证巡房结束保留原黑名单</x:v>
      </x:c>
      <x:c r="H1432" s="9" t="str">
        <x:v>数据保持</x:v>
      </x:c>
      <x:c r="I1432" s="9" t="str">
        <x:v>1. 执行角色为主播；当前处于黑名单管理页面
2. A原在本人黑名单中；A刚完成有效巡房任务</x:v>
      </x:c>
      <x:c r="J1432" s="9" t="str">
        <x:v>1. 刷新黑名单</x:v>
      </x:c>
      <x:c r="K1432" s="9" t="str">
        <x:v>A原有拉黑记录仍保留</x:v>
      </x:c>
      <x:c r="L1432" s="10" t="str"/>
      <x:c r="M1432" s="10" t="str">
        <x:v>未测</x:v>
      </x:c>
      <x:c r="N1432" s="10" t="str"/>
      <x:c r="O1432" s="9" t="str">
        <x:v>1. 来源（当前证据）：liveshow-proto/MainBasis/统一需求文档.md；位置：行952、行766、行942
2. 规则：BR-57ac2965fb8bc09e
3. 未动态验证</x:v>
      </x:c>
    </x:row>
    <x:row r="1433" ht="85" customHeight="1">
      <x:c r="A1433" s="10" t="n">
        <x:v>1432</x:v>
      </x:c>
      <x:c r="B1433" s="10" t="str">
        <x:v>USER-04-0197</x:v>
      </x:c>
      <x:c r="C1433" s="10" t="str">
        <x:v>消息与社交</x:v>
      </x:c>
      <x:c r="D1433" s="10" t="str">
        <x:v>举报直播间（普通用户视角）</x:v>
      </x:c>
      <x:c r="E1433" s="10" t="str">
        <x:v>功能需求</x:v>
      </x:c>
      <x:c r="F1433" s="10" t="str">
        <x:v>P2</x:v>
      </x:c>
      <x:c r="G1433" s="9" t="str">
        <x:v>验证举报类型完整集合</x:v>
      </x:c>
      <x:c r="H1433" s="9" t="str">
        <x:v>账号举报原因集合</x:v>
      </x:c>
      <x:c r="I1433" s="9" t="str">
        <x:v>1. 执行角色为普通用户；当前处于举报直播间页面
2. 当前举报对象有效</x:v>
      </x:c>
      <x:c r="J1433" s="9" t="str">
        <x:v>1. 查看举报类型</x:v>
      </x:c>
      <x:c r="K1433" s="9" t="str">
        <x:v>可选类型为色情低俗、涉及宗教政治、暴恐血腥、未成年人有害、其他</x:v>
      </x:c>
      <x:c r="L1433" s="10" t="str"/>
      <x:c r="M1433" s="10" t="str">
        <x:v>未测</x:v>
      </x:c>
      <x:c r="N1433" s="10" t="str"/>
      <x:c r="O1433" s="9" t="str">
        <x:v>1. 来源（当前证据）：liveshow-proto/MainBasis/统一需求文档.md；位置：行784、行286、行780
2. 规则：BR-cae26bdb0f2d10ba
3. 未动态验证</x:v>
      </x:c>
    </x:row>
    <x:row r="1434" ht="85" customHeight="1">
      <x:c r="A1434" s="10" t="n">
        <x:v>1433</x:v>
      </x:c>
      <x:c r="B1434" s="10" t="str">
        <x:v>USER-03-0355</x:v>
      </x:c>
      <x:c r="C1434" s="10" t="str">
        <x:v>直播</x:v>
      </x:c>
      <x:c r="D1434" s="10" t="str">
        <x:v>举报用户（普通用户视角）</x:v>
      </x:c>
      <x:c r="E1434" s="10" t="str">
        <x:v>功能需求</x:v>
      </x:c>
      <x:c r="F1434" s="10" t="str">
        <x:v>P2</x:v>
      </x:c>
      <x:c r="G1434" s="9" t="str">
        <x:v>验证举报类型完整集合</x:v>
      </x:c>
      <x:c r="H1434" s="9" t="str">
        <x:v>直播举报原因集合</x:v>
      </x:c>
      <x:c r="I1434" s="9" t="str">
        <x:v>1. 执行角色为普通用户；当前处于举报用户页面
2. 当前举报对象有效</x:v>
      </x:c>
      <x:c r="J1434" s="9" t="str">
        <x:v>1. 查看举报类型</x:v>
      </x:c>
      <x:c r="K1434" s="9" t="str">
        <x:v>可选类型为色情低俗、涉及宗教政治、暴恐血腥、未成年人有害、其他</x:v>
      </x:c>
      <x:c r="L1434" s="10" t="str"/>
      <x:c r="M1434" s="10" t="str">
        <x:v>未测</x:v>
      </x:c>
      <x:c r="N1434" s="10" t="str"/>
      <x:c r="O1434" s="9" t="str">
        <x:v>1. 来源（当前证据）：liveshow-proto/MainBasis/统一需求文档.md；位置：行792、行286、行789
2. 规则：BR-2c911d34fc1a5444
3. 未动态验证</x:v>
      </x:c>
    </x:row>
    <x:row r="1435" ht="85" customHeight="1">
      <x:c r="A1435" s="10" t="n">
        <x:v>1434</x:v>
      </x:c>
      <x:c r="B1435" s="10" t="str">
        <x:v>USER-03-0356</x:v>
      </x:c>
      <x:c r="C1435" s="10" t="str">
        <x:v>直播</x:v>
      </x:c>
      <x:c r="D1435" s="10" t="str">
        <x:v>直播间（普通房）（普通观众视角）</x:v>
      </x:c>
      <x:c r="E1435" s="10" t="str">
        <x:v>功能需求</x:v>
      </x:c>
      <x:c r="F1435" s="10" t="str">
        <x:v>P1</x:v>
      </x:c>
      <x:c r="G1435" s="9" t="str">
        <x:v>验证结束场次不提供举报入口</x:v>
      </x:c>
      <x:c r="H1435" s="9" t="str">
        <x:v>已结束场次举报限制</x:v>
      </x:c>
      <x:c r="I1435" s="9" t="str">
        <x:v>1. 执行角色为普通观众；当前处于直播间（普通房）页面
2. 所查看场次已经结束</x:v>
      </x:c>
      <x:c r="J1435" s="9" t="str">
        <x:v>1. 查看场次结束页面操作</x:v>
      </x:c>
      <x:c r="K1435" s="9" t="str">
        <x:v>不提供对已结束场次的直播举报入口</x:v>
      </x:c>
      <x:c r="L1435" s="10" t="str"/>
      <x:c r="M1435" s="10" t="str">
        <x:v>未测</x:v>
      </x:c>
      <x:c r="N1435" s="10" t="str"/>
      <x:c r="O1435" s="9" t="str">
        <x:v>1. 来源（当前证据）：liveshow-proto/MainBasis/统一需求文档.md；位置：行783、行512、行759
2. 规则：BR-e74a8ab8009e978a
3. 未动态验证</x:v>
      </x:c>
    </x:row>
    <x:row r="1436" ht="85" customHeight="1">
      <x:c r="A1436" s="10" t="n">
        <x:v>1435</x:v>
      </x:c>
      <x:c r="B1436" s="10" t="str">
        <x:v>USER-04-0198</x:v>
      </x:c>
      <x:c r="C1436" s="10" t="str">
        <x:v>消息与社交</x:v>
      </x:c>
      <x:c r="D1436" s="10" t="str">
        <x:v>粉丝团群聊（有效粉丝团成员视角）</x:v>
      </x:c>
      <x:c r="E1436" s="10" t="str">
        <x:v>功能需求</x:v>
      </x:c>
      <x:c r="F1436" s="10" t="str">
        <x:v>P1</x:v>
      </x:c>
      <x:c r="G1436" s="9" t="str">
        <x:v>验证单人禁言限制群发送</x:v>
      </x:c>
      <x:c r="H1436" s="9" t="str">
        <x:v>入口可用性</x:v>
      </x:c>
      <x:c r="I1436" s="9" t="str">
        <x:v>1. 执行角色为有效粉丝团成员；当前处于粉丝团群聊页面
2. 当前群内单人禁言生效</x:v>
      </x:c>
      <x:c r="J1436" s="9" t="str">
        <x:v>1. 输入文本QA消息
2. 尝试发送</x:v>
      </x:c>
      <x:c r="K1436" s="9" t="str">
        <x:v>QA消息不能发送到当前群</x:v>
      </x:c>
      <x:c r="L1436" s="10" t="str"/>
      <x:c r="M1436" s="10" t="str">
        <x:v>未测</x:v>
      </x:c>
      <x:c r="N1436" s="10" t="str"/>
      <x:c r="O1436" s="9" t="str">
        <x:v>1. 来源（当前证据）：liveshow-proto/MainBasis/统一需求文档.md；位置：行901、行915、行897
2. 规则：BR-3e0724c374c80ec8
3. 未动态验证</x:v>
      </x:c>
    </x:row>
    <x:row r="1437" ht="85" customHeight="1">
      <x:c r="A1437" s="10" t="n">
        <x:v>1436</x:v>
      </x:c>
      <x:c r="B1437" s="10" t="str">
        <x:v>USER-04-0199</x:v>
      </x:c>
      <x:c r="C1437" s="10" t="str">
        <x:v>消息与社交</x:v>
      </x:c>
      <x:c r="D1437" s="10" t="str">
        <x:v>粉丝团群聊（有效粉丝团成员视角）</x:v>
      </x:c>
      <x:c r="E1437" s="10" t="str">
        <x:v>功能需求</x:v>
      </x:c>
      <x:c r="F1437" s="10" t="str">
        <x:v>P1</x:v>
      </x:c>
      <x:c r="G1437" s="9" t="str">
        <x:v>验证全员禁言限制群发送</x:v>
      </x:c>
      <x:c r="H1437" s="9" t="str">
        <x:v>入口可用性</x:v>
      </x:c>
      <x:c r="I1437" s="9" t="str">
        <x:v>1. 执行角色为有效粉丝团成员；当前处于粉丝团群聊页面
2. 当前群内全员禁言生效</x:v>
      </x:c>
      <x:c r="J1437" s="9" t="str">
        <x:v>1. 输入文本QA消息
2. 尝试发送</x:v>
      </x:c>
      <x:c r="K1437" s="9" t="str">
        <x:v>QA消息不能发送到当前群</x:v>
      </x:c>
      <x:c r="L1437" s="10" t="str"/>
      <x:c r="M1437" s="10" t="str">
        <x:v>未测</x:v>
      </x:c>
      <x:c r="N1437" s="10" t="str"/>
      <x:c r="O1437" s="9" t="str">
        <x:v>1. 来源（当前证据）：liveshow-proto/MainBasis/统一需求文档.md；位置：行901、行915、行897
2. 规则：BR-5dc9671cd9143aa5
3. 未动态验证</x:v>
      </x:c>
    </x:row>
    <x:row r="1438" ht="85" customHeight="1">
      <x:c r="A1438" s="10" t="n">
        <x:v>1437</x:v>
      </x:c>
      <x:c r="B1438" s="10" t="str">
        <x:v>USER-04-0200</x:v>
      </x:c>
      <x:c r="C1438" s="10" t="str">
        <x:v>消息与社交</x:v>
      </x:c>
      <x:c r="D1438" s="10" t="str">
        <x:v>粉丝团群聊（有效粉丝团成员视角）</x:v>
      </x:c>
      <x:c r="E1438" s="10" t="str">
        <x:v>功能需求</x:v>
      </x:c>
      <x:c r="F1438" s="10" t="str">
        <x:v>P1</x:v>
      </x:c>
      <x:c r="G1438" s="9" t="str">
        <x:v>验证平台发言限制限制群发送</x:v>
      </x:c>
      <x:c r="H1438" s="9" t="str">
        <x:v>入口可用性</x:v>
      </x:c>
      <x:c r="I1438" s="9" t="str">
        <x:v>1. 执行角色为有效粉丝团成员；当前处于粉丝团群聊页面
2. 当前群内平台发言限制生效</x:v>
      </x:c>
      <x:c r="J1438" s="9" t="str">
        <x:v>1. 输入文本QA消息
2. 尝试发送</x:v>
      </x:c>
      <x:c r="K1438" s="9" t="str">
        <x:v>QA消息不能发送到当前群</x:v>
      </x:c>
      <x:c r="L1438" s="10" t="str"/>
      <x:c r="M1438" s="10" t="str">
        <x:v>未测</x:v>
      </x:c>
      <x:c r="N1438" s="10" t="str"/>
      <x:c r="O1438" s="9" t="str">
        <x:v>1. 来源（当前证据）：liveshow-proto/MainBasis/统一需求文档.md；位置：行901、行915、行897
2. 规则：BR-74be988226843e29
3. 未动态验证</x:v>
      </x:c>
    </x:row>
    <x:row r="1439" ht="85" customHeight="1">
      <x:c r="A1439" s="10" t="n">
        <x:v>1438</x:v>
      </x:c>
      <x:c r="B1439" s="10" t="str">
        <x:v>USER-04-0201</x:v>
      </x:c>
      <x:c r="C1439" s="10" t="str">
        <x:v>消息与社交</x:v>
      </x:c>
      <x:c r="D1439" s="10" t="str">
        <x:v>粉丝团群聊（有效粉丝团成员视角）</x:v>
      </x:c>
      <x:c r="E1439" s="10" t="str">
        <x:v>功能需求</x:v>
      </x:c>
      <x:c r="F1439" s="10" t="str">
        <x:v>P1</x:v>
      </x:c>
      <x:c r="G1439" s="9" t="str">
        <x:v>验证群限制解除后恢复发送</x:v>
      </x:c>
      <x:c r="H1439" s="9" t="str">
        <x:v>群发言限制解除</x:v>
      </x:c>
      <x:c r="I1439" s="9" t="str">
        <x:v>1. 执行角色为有效粉丝团成员；当前处于粉丝团群聊页面
2. 单人、全员和平台发言限制均已解除</x:v>
      </x:c>
      <x:c r="J1439" s="9" t="str">
        <x:v>1. 输入文本QA恢复
2. 点击发送</x:v>
      </x:c>
      <x:c r="K1439" s="9" t="str">
        <x:v>QA恢复写入当前群</x:v>
      </x:c>
      <x:c r="L1439" s="10" t="str"/>
      <x:c r="M1439" s="10" t="str">
        <x:v>未测</x:v>
      </x:c>
      <x:c r="N1439" s="10" t="str"/>
      <x:c r="O1439" s="9" t="str">
        <x:v>1. 来源（当前证据）：liveshow-proto/MainBasis/统一需求文档.md；位置：行901、行897
2. 规则：BR-d74964dd73b2d55b
3. 未动态验证</x:v>
      </x:c>
    </x:row>
    <x:row r="1440" ht="85" customHeight="1">
      <x:c r="A1440" s="10" t="n">
        <x:v>1439</x:v>
      </x:c>
      <x:c r="B1440" s="10" t="str">
        <x:v>USER-05-0251</x:v>
      </x:c>
      <x:c r="C1440" s="10" t="str">
        <x:v>我的</x:v>
      </x:c>
      <x:c r="D1440" s="10" t="str">
        <x:v>我的粉丝团（有效粉丝团成员视角）</x:v>
      </x:c>
      <x:c r="E1440" s="10" t="str">
        <x:v>功能需求</x:v>
      </x:c>
      <x:c r="F1440" s="10" t="str">
        <x:v>P1</x:v>
      </x:c>
      <x:c r="G1440" s="9" t="str">
        <x:v>验证群禁言保留团籍</x:v>
      </x:c>
      <x:c r="H1440" s="9" t="str">
        <x:v>禁言后的团籍保持</x:v>
      </x:c>
      <x:c r="I1440" s="9" t="str">
        <x:v>1. 执行角色为有效粉丝团成员；当前处于我的粉丝团页面
2. 本人仅被所属主播单人群禁言</x:v>
      </x:c>
      <x:c r="J1440" s="9" t="str">
        <x:v>1. 刷新我的粉丝团</x:v>
      </x:c>
      <x:c r="K1440" s="9" t="str">
        <x:v>原团籍仍有效</x:v>
      </x:c>
      <x:c r="L1440" s="10" t="str"/>
      <x:c r="M1440" s="10" t="str">
        <x:v>未测</x:v>
      </x:c>
      <x:c r="N1440" s="10" t="str"/>
      <x:c r="O1440" s="9" t="str">
        <x:v>1. 来源（当前证据）：liveshow-proto/MainBasis/统一需求文档.md；位置：行1603、行261、行1086
2. 规则：BR-901687c5fe9461f6
3. 未动态验证</x:v>
      </x:c>
    </x:row>
    <x:row r="1441" ht="85" customHeight="1">
      <x:c r="A1441" s="10" t="n">
        <x:v>1440</x:v>
      </x:c>
      <x:c r="B1441" s="10" t="str">
        <x:v>USER-05-0252</x:v>
      </x:c>
      <x:c r="C1441" s="10" t="str">
        <x:v>我的</x:v>
      </x:c>
      <x:c r="D1441" s="10" t="str">
        <x:v>我的关注（已关注主播的粉丝团成员视角）</x:v>
      </x:c>
      <x:c r="E1441" s="10" t="str">
        <x:v>功能需求</x:v>
      </x:c>
      <x:c r="F1441" s="10" t="str">
        <x:v>P1</x:v>
      </x:c>
      <x:c r="G1441" s="9" t="str">
        <x:v>验证群禁言保留关注</x:v>
      </x:c>
      <x:c r="H1441" s="9" t="str">
        <x:v>账号关系</x:v>
      </x:c>
      <x:c r="I1441" s="9" t="str">
        <x:v>1. 执行角色为已关注主播的粉丝团成员；当前处于我的关注页面
2. 本人仅被该主播单人群禁言</x:v>
      </x:c>
      <x:c r="J1441" s="9" t="str">
        <x:v>1. 刷新关注列表</x:v>
      </x:c>
      <x:c r="K1441" s="9" t="str">
        <x:v>该主播仍在关注列表</x:v>
      </x:c>
      <x:c r="L1441" s="10" t="str"/>
      <x:c r="M1441" s="10" t="str">
        <x:v>未测</x:v>
      </x:c>
      <x:c r="N1441" s="10" t="str"/>
      <x:c r="O1441" s="9" t="str">
        <x:v>1. 来源（当前证据）：liveshow-proto/MainBasis/统一需求文档.md；位置：行1603、行719
2. 规则：BR-badd1d034b57df53
3. 未动态验证</x:v>
      </x:c>
    </x:row>
    <x:row r="1442" ht="85" customHeight="1">
      <x:c r="A1442" s="10" t="n">
        <x:v>1441</x:v>
      </x:c>
      <x:c r="B1442" s="10" t="str">
        <x:v>USER-03-0357</x:v>
      </x:c>
      <x:c r="C1442" s="10" t="str">
        <x:v>直播</x:v>
      </x:c>
      <x:c r="D1442" s="10" t="str">
        <x:v>直播间（普通房）（有效粉丝团成员视角）</x:v>
      </x:c>
      <x:c r="E1442" s="10" t="str">
        <x:v>功能需求</x:v>
      </x:c>
      <x:c r="F1442" s="10" t="str">
        <x:v>P1</x:v>
      </x:c>
      <x:c r="G1442" s="9" t="str">
        <x:v>验证群禁言不限制公屏</x:v>
      </x:c>
      <x:c r="H1442" s="9" t="str">
        <x:v>群禁言下公屏发送</x:v>
      </x:c>
      <x:c r="I1442" s="9" t="str">
        <x:v>1. 执行角色为有效粉丝团成员；当前处于直播间（普通房）页面
2. 本人在本主播粉丝群被禁言，本场公屏没有禁言限制</x:v>
      </x:c>
      <x:c r="J1442" s="9" t="str">
        <x:v>1. 输入文本QA公屏
2. 点击发送</x:v>
      </x:c>
      <x:c r="K1442" s="9" t="str">
        <x:v>QA公屏成功发送</x:v>
      </x:c>
      <x:c r="L1442" s="10" t="str"/>
      <x:c r="M1442" s="10" t="str">
        <x:v>未测</x:v>
      </x:c>
      <x:c r="N1442" s="10" t="str"/>
      <x:c r="O1442" s="9" t="str">
        <x:v>1. 来源（当前证据）：liveshow-proto/MainBasis/统一需求文档.md；位置：行1603、行759
2. 规则：BR-072d4387ac68013e
3. 未动态验证</x:v>
      </x:c>
    </x:row>
    <x:row r="1443" ht="85" customHeight="1">
      <x:c r="A1443" s="10" t="n">
        <x:v>1442</x:v>
      </x:c>
      <x:c r="B1443" s="10" t="str">
        <x:v>USER-04-0202</x:v>
      </x:c>
      <x:c r="C1443" s="10" t="str">
        <x:v>消息与社交</x:v>
      </x:c>
      <x:c r="D1443" s="10" t="str">
        <x:v>群管理（群主）（所属主播视角）</x:v>
      </x:c>
      <x:c r="E1443" s="10" t="str">
        <x:v>功能需求</x:v>
      </x:c>
      <x:c r="F1443" s="10" t="str">
        <x:v>P2</x:v>
      </x:c>
      <x:c r="G1443" s="9" t="str">
        <x:v>验证主播管理公告所属群</x:v>
      </x:c>
      <x:c r="H1443" s="9" t="str">
        <x:v>主播管理群公告正文</x:v>
      </x:c>
      <x:c r="I1443" s="9" t="str">
        <x:v>1. 执行角色为所属主播；当前处于群管理（群主）页面
2. 当前群公告为QA公告；另一群公告为QB公告</x:v>
      </x:c>
      <x:c r="J1443" s="9" t="str">
        <x:v>1. 查看群公告</x:v>
      </x:c>
      <x:c r="K1443" s="9" t="str">
        <x:v>显示QA公告</x:v>
      </x:c>
      <x:c r="L1443" s="10" t="str"/>
      <x:c r="M1443" s="10" t="str">
        <x:v>未测</x:v>
      </x:c>
      <x:c r="N1443" s="10" t="str"/>
      <x:c r="O1443" s="9" t="str">
        <x:v>1. 来源（当前证据）：liveshow-proto/MainBasis/统一需求文档.md；位置：行924、行920
2. 规则：BR-9c71f89c083ffe0d
3. 未动态验证</x:v>
      </x:c>
    </x:row>
    <x:row r="1444" ht="85" customHeight="1">
      <x:c r="A1444" s="10" t="n">
        <x:v>1443</x:v>
      </x:c>
      <x:c r="B1444" s="10" t="str">
        <x:v>USER-04-0203</x:v>
      </x:c>
      <x:c r="C1444" s="10" t="str">
        <x:v>消息与社交</x:v>
      </x:c>
      <x:c r="D1444" s="10" t="str">
        <x:v>用户主页（用户A视角）</x:v>
      </x:c>
      <x:c r="E1444" s="10" t="str">
        <x:v>功能需求</x:v>
      </x:c>
      <x:c r="F1444" s="10" t="str">
        <x:v>P1</x:v>
      </x:c>
      <x:c r="G1444" s="9" t="str">
        <x:v>验证用户主页关注独立状态</x:v>
      </x:c>
      <x:c r="H1444" s="9" t="str">
        <x:v>账号关系</x:v>
      </x:c>
      <x:c r="I1444" s="9" t="str">
        <x:v>1. 执行角色为用户A；当前处于用户主页页面
2. A已关注B但与B不是好友、未互相拉黑</x:v>
      </x:c>
      <x:c r="J1444" s="9" t="str">
        <x:v>1. 查看B的关注状态</x:v>
      </x:c>
      <x:c r="K1444" s="9" t="str">
        <x:v>显示已关注</x:v>
      </x:c>
      <x:c r="L1444" s="10" t="str"/>
      <x:c r="M1444" s="10" t="str">
        <x:v>未测</x:v>
      </x:c>
      <x:c r="N1444" s="10" t="str"/>
      <x:c r="O1444" s="9" t="str">
        <x:v>1. 来源（当前证据）：liveshow-proto/MainBasis/统一需求文档.md；位置：行1045、行1040
2. 规则：BR-33c21c953e86ee06
3. 未动态验证</x:v>
      </x:c>
    </x:row>
    <x:row r="1445" ht="85" customHeight="1">
      <x:c r="A1445" s="10" t="n">
        <x:v>1444</x:v>
      </x:c>
      <x:c r="B1445" s="10" t="str">
        <x:v>USER-04-0204</x:v>
      </x:c>
      <x:c r="C1445" s="10" t="str">
        <x:v>消息与社交</x:v>
      </x:c>
      <x:c r="D1445" s="10" t="str">
        <x:v>用户主页（用户A视角）</x:v>
      </x:c>
      <x:c r="E1445" s="10" t="str">
        <x:v>功能需求</x:v>
      </x:c>
      <x:c r="F1445" s="10" t="str">
        <x:v>P1</x:v>
      </x:c>
      <x:c r="G1445" s="9" t="str">
        <x:v>验证用户主页好友独立状态</x:v>
      </x:c>
      <x:c r="H1445" s="9" t="str">
        <x:v>账号关系</x:v>
      </x:c>
      <x:c r="I1445" s="9" t="str">
        <x:v>1. 执行角色为用户A；当前处于用户主页页面
2. A已关注B但与B不是好友、未互相拉黑</x:v>
      </x:c>
      <x:c r="J1445" s="9" t="str">
        <x:v>1. 查看B的好友状态</x:v>
      </x:c>
      <x:c r="K1445" s="9" t="str">
        <x:v>显示非好友</x:v>
      </x:c>
      <x:c r="L1445" s="10" t="str"/>
      <x:c r="M1445" s="10" t="str">
        <x:v>未测</x:v>
      </x:c>
      <x:c r="N1445" s="10" t="str"/>
      <x:c r="O1445" s="9" t="str">
        <x:v>1. 来源（当前证据）：liveshow-proto/MainBasis/统一需求文档.md；位置：行1045、行1040
2. 规则：BR-7545ee243c3149ac
3. 未动态验证</x:v>
      </x:c>
    </x:row>
    <x:row r="1446" ht="85" customHeight="1">
      <x:c r="A1446" s="10" t="n">
        <x:v>1445</x:v>
      </x:c>
      <x:c r="B1446" s="10" t="str">
        <x:v>USER-04-0205</x:v>
      </x:c>
      <x:c r="C1446" s="10" t="str">
        <x:v>消息与社交</x:v>
      </x:c>
      <x:c r="D1446" s="10" t="str">
        <x:v>用户主页（用户A视角）</x:v>
      </x:c>
      <x:c r="E1446" s="10" t="str">
        <x:v>功能需求</x:v>
      </x:c>
      <x:c r="F1446" s="10" t="str">
        <x:v>P1</x:v>
      </x:c>
      <x:c r="G1446" s="9" t="str">
        <x:v>验证用户主页拉黑独立状态</x:v>
      </x:c>
      <x:c r="H1446" s="9" t="str">
        <x:v>账号关系</x:v>
      </x:c>
      <x:c r="I1446" s="9" t="str">
        <x:v>1. 执行角色为用户A；当前处于用户主页页面
2. A已关注B但与B不是好友、未互相拉黑</x:v>
      </x:c>
      <x:c r="J1446" s="9" t="str">
        <x:v>1. 查看B的拉黑状态</x:v>
      </x:c>
      <x:c r="K1446" s="9" t="str">
        <x:v>显示未拉黑</x:v>
      </x:c>
      <x:c r="L1446" s="10" t="str"/>
      <x:c r="M1446" s="10" t="str">
        <x:v>未测</x:v>
      </x:c>
      <x:c r="N1446" s="10" t="str"/>
      <x:c r="O1446" s="9" t="str">
        <x:v>1. 来源（当前证据）：liveshow-proto/MainBasis/统一需求文档.md；位置：行1045、行1040
2. 规则：BR-3b35dbe60dd1c7bc
3. 未动态验证</x:v>
      </x:c>
    </x:row>
    <x:row r="1447" ht="85" customHeight="1">
      <x:c r="A1447" s="10" t="n">
        <x:v>1446</x:v>
      </x:c>
      <x:c r="B1447" s="10" t="str">
        <x:v>USER-04-0206</x:v>
      </x:c>
      <x:c r="C1447" s="10" t="str">
        <x:v>消息与社交</x:v>
      </x:c>
      <x:c r="D1447" s="10" t="str">
        <x:v>主播主页（普通用户视角）</x:v>
      </x:c>
      <x:c r="E1447" s="10" t="str">
        <x:v>功能需求</x:v>
      </x:c>
      <x:c r="F1447" s="10" t="str">
        <x:v>P1</x:v>
      </x:c>
      <x:c r="G1447" s="9" t="str">
        <x:v>验证主播粉丝统计</x:v>
      </x:c>
      <x:c r="H1447" s="9" t="str">
        <x:v>主播粉丝数量</x:v>
      </x:c>
      <x:c r="I1447" s="9" t="str">
        <x:v>1. 执行角色为普通用户；当前处于主播主页页面
2. 当前主播有3名有效粉丝、关注4人、历史累计观众人次20；展馆收到礼物A两件及B三件</x:v>
      </x:c>
      <x:c r="J1447" s="9" t="str">
        <x:v>1. 查看粉丝数</x:v>
      </x:c>
      <x:c r="K1447" s="9" t="str">
        <x:v>显示3人</x:v>
      </x:c>
      <x:c r="L1447" s="10" t="str"/>
      <x:c r="M1447" s="10" t="str">
        <x:v>未测</x:v>
      </x:c>
      <x:c r="N1447" s="10" t="str"/>
      <x:c r="O1447" s="9" t="str">
        <x:v>1. 来源（当前证据）：liveshow-proto/MainBasis/统一需求文档.md；位置：行1058、行1055
2. 规则：BR-fa627f44d60fe3d8
3. 未动态验证</x:v>
      </x:c>
    </x:row>
    <x:row r="1448" ht="85" customHeight="1">
      <x:c r="A1448" s="10" t="n">
        <x:v>1447</x:v>
      </x:c>
      <x:c r="B1448" s="10" t="str">
        <x:v>USER-04-0207</x:v>
      </x:c>
      <x:c r="C1448" s="10" t="str">
        <x:v>消息与社交</x:v>
      </x:c>
      <x:c r="D1448" s="10" t="str">
        <x:v>主播主页（普通用户视角）</x:v>
      </x:c>
      <x:c r="E1448" s="10" t="str">
        <x:v>功能需求</x:v>
      </x:c>
      <x:c r="F1448" s="10" t="str">
        <x:v>P1</x:v>
      </x:c>
      <x:c r="G1448" s="9" t="str">
        <x:v>验证主播关注统计</x:v>
      </x:c>
      <x:c r="H1448" s="9" t="str">
        <x:v>主播关注人数统计</x:v>
      </x:c>
      <x:c r="I1448" s="9" t="str">
        <x:v>1. 执行角色为普通用户；当前处于主播主页页面
2. 当前主播有3名有效粉丝、关注4人、历史累计观众人次20；展馆收到礼物A两件及B三件</x:v>
      </x:c>
      <x:c r="J1448" s="9" t="str">
        <x:v>1. 查看关注数</x:v>
      </x:c>
      <x:c r="K1448" s="9" t="str">
        <x:v>显示4人</x:v>
      </x:c>
      <x:c r="L1448" s="10" t="str"/>
      <x:c r="M1448" s="10" t="str">
        <x:v>未测</x:v>
      </x:c>
      <x:c r="N1448" s="10" t="str"/>
      <x:c r="O1448" s="9" t="str">
        <x:v>1. 来源（当前证据）：liveshow-proto/MainBasis/统一需求文档.md；位置：行1058、行1055
2. 规则：BR-d8c854e450b6f6bf
3. 未动态验证</x:v>
      </x:c>
    </x:row>
    <x:row r="1449" ht="85" customHeight="1">
      <x:c r="A1449" s="10" t="n">
        <x:v>1448</x:v>
      </x:c>
      <x:c r="B1449" s="10" t="str">
        <x:v>USER-04-0208</x:v>
      </x:c>
      <x:c r="C1449" s="10" t="str">
        <x:v>消息与社交</x:v>
      </x:c>
      <x:c r="D1449" s="10" t="str">
        <x:v>主播主页（普通用户视角）</x:v>
      </x:c>
      <x:c r="E1449" s="10" t="str">
        <x:v>功能需求</x:v>
      </x:c>
      <x:c r="F1449" s="10" t="str">
        <x:v>P1</x:v>
      </x:c>
      <x:c r="G1449" s="9" t="str">
        <x:v>验证主播历史观众统计</x:v>
      </x:c>
      <x:c r="H1449" s="9" t="str">
        <x:v>主播累计观众人次</x:v>
      </x:c>
      <x:c r="I1449" s="9" t="str">
        <x:v>1. 执行角色为普通用户；当前处于主播主页页面
2. 当前主播有3名有效粉丝、关注4人、历史累计观众人次20；展馆收到礼物A两件及B三件</x:v>
      </x:c>
      <x:c r="J1449" s="9" t="str">
        <x:v>1. 查看观众数</x:v>
      </x:c>
      <x:c r="K1449" s="9" t="str">
        <x:v>显示20人次</x:v>
      </x:c>
      <x:c r="L1449" s="10" t="str"/>
      <x:c r="M1449" s="10" t="str">
        <x:v>未测</x:v>
      </x:c>
      <x:c r="N1449" s="10" t="str"/>
      <x:c r="O1449" s="9" t="str">
        <x:v>1. 来源（当前证据）：liveshow-proto/MainBasis/统一需求文档.md；位置：行1058、行1055
2. 规则：BR-08fccae589bb1945
3. 未动态验证</x:v>
      </x:c>
    </x:row>
    <x:row r="1450" ht="85" customHeight="1">
      <x:c r="A1450" s="10" t="n">
        <x:v>1449</x:v>
      </x:c>
      <x:c r="B1450" s="10" t="str">
        <x:v>USER-04-0209</x:v>
      </x:c>
      <x:c r="C1450" s="10" t="str">
        <x:v>消息与社交</x:v>
      </x:c>
      <x:c r="D1450" s="10" t="str">
        <x:v>主播主页（普通用户视角）</x:v>
      </x:c>
      <x:c r="E1450" s="10" t="str">
        <x:v>功能需求</x:v>
      </x:c>
      <x:c r="F1450" s="10" t="str">
        <x:v>P1</x:v>
      </x:c>
      <x:c r="G1450" s="9" t="str">
        <x:v>验证主播礼物种类统计</x:v>
      </x:c>
      <x:c r="H1450" s="9" t="str">
        <x:v>主播收礼种类数</x:v>
      </x:c>
      <x:c r="I1450" s="9" t="str">
        <x:v>1. 执行角色为普通用户；当前处于主播主页页面
2. 当前主播有3名有效粉丝、关注4人、历史累计观众人次20；展馆收到礼物A两件及B三件</x:v>
      </x:c>
      <x:c r="J1450" s="9" t="str">
        <x:v>1. 查看礼物种类</x:v>
      </x:c>
      <x:c r="K1450" s="9" t="str">
        <x:v>显示2种</x:v>
      </x:c>
      <x:c r="L1450" s="10" t="str"/>
      <x:c r="M1450" s="10" t="str">
        <x:v>未测</x:v>
      </x:c>
      <x:c r="N1450" s="10" t="str"/>
      <x:c r="O1450" s="9" t="str">
        <x:v>1. 来源（当前证据）：liveshow-proto/MainBasis/统一需求文档.md；位置：行1059、行1055
2. 规则：BR-1cb626535e36b471
3. 未动态验证</x:v>
      </x:c>
    </x:row>
    <x:row r="1451" ht="85" customHeight="1">
      <x:c r="A1451" s="10" t="n">
        <x:v>1450</x:v>
      </x:c>
      <x:c r="B1451" s="10" t="str">
        <x:v>USER-04-0210</x:v>
      </x:c>
      <x:c r="C1451" s="10" t="str">
        <x:v>消息与社交</x:v>
      </x:c>
      <x:c r="D1451" s="10" t="str">
        <x:v>主播主页（普通用户视角）</x:v>
      </x:c>
      <x:c r="E1451" s="10" t="str">
        <x:v>功能需求</x:v>
      </x:c>
      <x:c r="F1451" s="10" t="str">
        <x:v>P1</x:v>
      </x:c>
      <x:c r="G1451" s="9" t="str">
        <x:v>验证主播礼物收到数量</x:v>
      </x:c>
      <x:c r="H1451" s="9" t="str">
        <x:v>主播收礼总件数</x:v>
      </x:c>
      <x:c r="I1451" s="9" t="str">
        <x:v>1. 执行角色为普通用户；当前处于主播主页页面
2. 当前主播有3名有效粉丝、关注4人、历史累计观众人次20；展馆收到礼物A两件及B三件</x:v>
      </x:c>
      <x:c r="J1451" s="9" t="str">
        <x:v>1. 查看历史收到数量</x:v>
      </x:c>
      <x:c r="K1451" s="9" t="str">
        <x:v>显示5件</x:v>
      </x:c>
      <x:c r="L1451" s="10" t="str"/>
      <x:c r="M1451" s="10" t="str">
        <x:v>未测</x:v>
      </x:c>
      <x:c r="N1451" s="10" t="str"/>
      <x:c r="O1451" s="9" t="str">
        <x:v>1. 来源（当前证据）：liveshow-proto/MainBasis/统一需求文档.md；位置：行1059、行1055
2. 规则：BR-b786c62c071198fc
3. 未动态验证</x:v>
      </x:c>
    </x:row>
    <x:row r="1452" ht="85" customHeight="1">
      <x:c r="A1452" s="10" t="n">
        <x:v>1451</x:v>
      </x:c>
      <x:c r="B1452" s="10" t="str">
        <x:v>USER-04-0211</x:v>
      </x:c>
      <x:c r="C1452" s="10" t="str">
        <x:v>消息与社交</x:v>
      </x:c>
      <x:c r="D1452" s="10" t="str">
        <x:v>主播主页（普通用户A视角）</x:v>
      </x:c>
      <x:c r="E1452" s="10" t="str">
        <x:v>功能需求</x:v>
      </x:c>
      <x:c r="F1452" s="10" t="str">
        <x:v>P1</x:v>
      </x:c>
      <x:c r="G1452" s="9" t="str">
        <x:v>验证主播主页关注独立状态</x:v>
      </x:c>
      <x:c r="H1452" s="9" t="str">
        <x:v>账号关系</x:v>
      </x:c>
      <x:c r="I1452" s="9" t="str">
        <x:v>1. 执行角色为普通用户A；当前处于主播主页页面
2. A关注主播B，与B不是好友且未互相拉黑</x:v>
      </x:c>
      <x:c r="J1452" s="9" t="str">
        <x:v>1. 查看关注状态</x:v>
      </x:c>
      <x:c r="K1452" s="9" t="str">
        <x:v>显示已关注</x:v>
      </x:c>
      <x:c r="L1452" s="10" t="str"/>
      <x:c r="M1452" s="10" t="str">
        <x:v>未测</x:v>
      </x:c>
      <x:c r="N1452" s="10" t="str"/>
      <x:c r="O1452" s="9" t="str">
        <x:v>1. 来源（当前证据）：liveshow-proto/MainBasis/统一需求文档.md；位置：行1061、行1055
2. 规则：BR-4aa9ca3fdd64d9c8
3. 未动态验证</x:v>
      </x:c>
    </x:row>
    <x:row r="1453" ht="85" customHeight="1">
      <x:c r="A1453" s="10" t="n">
        <x:v>1452</x:v>
      </x:c>
      <x:c r="B1453" s="10" t="str">
        <x:v>USER-04-0212</x:v>
      </x:c>
      <x:c r="C1453" s="10" t="str">
        <x:v>消息与社交</x:v>
      </x:c>
      <x:c r="D1453" s="10" t="str">
        <x:v>主播主页（普通用户A视角）</x:v>
      </x:c>
      <x:c r="E1453" s="10" t="str">
        <x:v>功能需求</x:v>
      </x:c>
      <x:c r="F1453" s="10" t="str">
        <x:v>P1</x:v>
      </x:c>
      <x:c r="G1453" s="9" t="str">
        <x:v>验证主播主页好友独立状态</x:v>
      </x:c>
      <x:c r="H1453" s="9" t="str">
        <x:v>账号关系</x:v>
      </x:c>
      <x:c r="I1453" s="9" t="str">
        <x:v>1. 执行角色为普通用户A；当前处于主播主页页面
2. A关注主播B，与B不是好友且未互相拉黑</x:v>
      </x:c>
      <x:c r="J1453" s="9" t="str">
        <x:v>1. 查看好友状态</x:v>
      </x:c>
      <x:c r="K1453" s="9" t="str">
        <x:v>显示非好友</x:v>
      </x:c>
      <x:c r="L1453" s="10" t="str"/>
      <x:c r="M1453" s="10" t="str">
        <x:v>未测</x:v>
      </x:c>
      <x:c r="N1453" s="10" t="str"/>
      <x:c r="O1453" s="9" t="str">
        <x:v>1. 来源（当前证据）：liveshow-proto/MainBasis/统一需求文档.md；位置：行1061、行1055
2. 规则：BR-e18c83dce23f1f93
3. 未动态验证</x:v>
      </x:c>
    </x:row>
    <x:row r="1454" ht="85" customHeight="1">
      <x:c r="A1454" s="10" t="n">
        <x:v>1453</x:v>
      </x:c>
      <x:c r="B1454" s="10" t="str">
        <x:v>USER-04-0213</x:v>
      </x:c>
      <x:c r="C1454" s="10" t="str">
        <x:v>消息与社交</x:v>
      </x:c>
      <x:c r="D1454" s="10" t="str">
        <x:v>主播主页（普通用户A视角）</x:v>
      </x:c>
      <x:c r="E1454" s="10" t="str">
        <x:v>功能需求</x:v>
      </x:c>
      <x:c r="F1454" s="10" t="str">
        <x:v>P1</x:v>
      </x:c>
      <x:c r="G1454" s="9" t="str">
        <x:v>验证主播主页拉黑独立状态</x:v>
      </x:c>
      <x:c r="H1454" s="9" t="str">
        <x:v>账号关系</x:v>
      </x:c>
      <x:c r="I1454" s="9" t="str">
        <x:v>1. 执行角色为普通用户A；当前处于主播主页页面
2. A关注主播B，与B不是好友且未互相拉黑</x:v>
      </x:c>
      <x:c r="J1454" s="9" t="str">
        <x:v>1. 查看拉黑状态</x:v>
      </x:c>
      <x:c r="K1454" s="9" t="str">
        <x:v>显示未拉黑</x:v>
      </x:c>
      <x:c r="L1454" s="10" t="str"/>
      <x:c r="M1454" s="10" t="str">
        <x:v>未测</x:v>
      </x:c>
      <x:c r="N1454" s="10" t="str"/>
      <x:c r="O1454" s="9" t="str">
        <x:v>1. 来源（当前证据）：liveshow-proto/MainBasis/统一需求文档.md；位置：行1061、行1055
2. 规则：BR-a58412d0f3e5109c
3. 未动态验证</x:v>
      </x:c>
    </x:row>
    <x:row r="1455" ht="85" customHeight="1">
      <x:c r="A1455" s="10" t="n">
        <x:v>1454</x:v>
      </x:c>
      <x:c r="B1455" s="10" t="str">
        <x:v>USER-04-0214</x:v>
      </x:c>
      <x:c r="C1455" s="10" t="str">
        <x:v>消息与社交</x:v>
      </x:c>
      <x:c r="D1455" s="10" t="str">
        <x:v>主播主页（普通用户A视角）</x:v>
      </x:c>
      <x:c r="E1455" s="10" t="str">
        <x:v>功能需求</x:v>
      </x:c>
      <x:c r="F1455" s="10" t="str">
        <x:v>P1</x:v>
      </x:c>
      <x:c r="G1455" s="9" t="str">
        <x:v>验证主播主页私信权限受限</x:v>
      </x:c>
      <x:c r="H1455" s="9" t="str">
        <x:v>入口可用性</x:v>
      </x:c>
      <x:c r="I1455" s="9" t="str">
        <x:v>1. 执行角色为普通用户A；当前处于主播主页页面
2. A与主播B非好友，已主动发出3条私信，B未回应</x:v>
      </x:c>
      <x:c r="J1455" s="9" t="str">
        <x:v>1. 点击私信
2. 尝试再发送QA消息</x:v>
      </x:c>
      <x:c r="K1455" s="9" t="str">
        <x:v>第四条主动私信不能发出</x:v>
      </x:c>
      <x:c r="L1455" s="10" t="str"/>
      <x:c r="M1455" s="10" t="str">
        <x:v>未测</x:v>
      </x:c>
      <x:c r="N1455" s="10" t="str"/>
      <x:c r="O1455" s="9" t="str">
        <x:v>1. 来源（当前证据）：liveshow-proto/MainBasis/统一需求文档.md；位置：行1061、行888、行1055
2. 规则：BR-8782fa2f658581e8
3. 未动态验证</x:v>
      </x:c>
    </x:row>
    <x:row r="1456" ht="85" customHeight="1">
      <x:c r="A1456" s="10" t="n">
        <x:v>1455</x:v>
      </x:c>
      <x:c r="B1456" s="10" t="str">
        <x:v>USER-05-0253</x:v>
      </x:c>
      <x:c r="C1456" s="10" t="str">
        <x:v>我的</x:v>
      </x:c>
      <x:c r="D1456" s="10" t="str">
        <x:v>我的粉丝团（有效粉丝团成员视角）</x:v>
      </x:c>
      <x:c r="E1456" s="10" t="str">
        <x:v>功能需求</x:v>
      </x:c>
      <x:c r="F1456" s="10" t="str">
        <x:v>P1</x:v>
      </x:c>
      <x:c r="G1456" s="9" t="str">
        <x:v>验证卡片本周我的排名</x:v>
      </x:c>
      <x:c r="H1456" s="9" t="str">
        <x:v>本周本人名次</x:v>
      </x:c>
      <x:c r="I1456" s="9" t="str">
        <x:v>1. 执行角色为有效粉丝团成员；当前处于我的粉丝团页面
2. 本人当前主播粉丝团本周贡献排名为第2名</x:v>
      </x:c>
      <x:c r="J1456" s="9" t="str">
        <x:v>1. 查看卡片我的排名</x:v>
      </x:c>
      <x:c r="K1456" s="9" t="str">
        <x:v>显示第2名</x:v>
      </x:c>
      <x:c r="L1456" s="10" t="str"/>
      <x:c r="M1456" s="10" t="str">
        <x:v>未测</x:v>
      </x:c>
      <x:c r="N1456" s="10" t="str"/>
      <x:c r="O1456" s="9" t="str">
        <x:v>1. 来源（当前证据）：liveshow-proto/MainBasis/统一需求文档.md；位置：行1098、行1086
2. 规则：BR-23a325f1682291e2
3. 未动态验证</x:v>
      </x:c>
    </x:row>
    <x:row r="1457" ht="100" customHeight="1">
      <x:c r="A1457" s="10" t="n">
        <x:v>1456</x:v>
      </x:c>
      <x:c r="B1457" s="10" t="str">
        <x:v>USER-05-0254</x:v>
      </x:c>
      <x:c r="C1457" s="10" t="str">
        <x:v>我的</x:v>
      </x:c>
      <x:c r="D1457" s="10" t="str">
        <x:v>我的粉丝团（有效粉丝团成员视角）</x:v>
      </x:c>
      <x:c r="E1457" s="10" t="str">
        <x:v>功能需求</x:v>
      </x:c>
      <x:c r="F1457" s="10" t="str">
        <x:v>P1</x:v>
      </x:c>
      <x:c r="G1457" s="9" t="str">
        <x:v>验证卡片贡献本周范围：有效成员贡献排序</x:v>
      </x:c>
      <x:c r="H1457" s="9" t="str">
        <x:v>有效成员贡献排序</x:v>
      </x:c>
      <x:c r="I1457" s="9" t="str">
        <x:v>1. 执行角色为有效粉丝团成员；当前处于我的粉丝团页面
2. 本周A入团前贡献100、入团后50，B贡献100；A和B当前均为有效团籍，C已退团且贡献200，D为运营号</x:v>
      </x:c>
      <x:c r="J1457" s="9" t="str">
        <x:v>1. 查看卡片贡献榜头像顺序</x:v>
      </x:c>
      <x:c r="K1457" s="9" t="str">
        <x:v>A排在B前</x:v>
      </x:c>
      <x:c r="L1457" s="10" t="str"/>
      <x:c r="M1457" s="10" t="str">
        <x:v>未测</x:v>
      </x:c>
      <x:c r="N1457" s="10" t="str"/>
      <x:c r="O1457" s="9" t="str">
        <x:v>1. 来源（当前证据）：liveshow-proto/MainBasis/统一需求文档.md；位置：行1102、行1086
2. 规则：BR-d86e0b5444d789df
3. 未动态验证</x:v>
      </x:c>
    </x:row>
    <x:row r="1458" ht="100" customHeight="1">
      <x:c r="A1458" s="10" t="n">
        <x:v>1457</x:v>
      </x:c>
      <x:c r="B1458" s="10" t="str">
        <x:v>USER-05-0255</x:v>
      </x:c>
      <x:c r="C1458" s="10" t="str">
        <x:v>我的</x:v>
      </x:c>
      <x:c r="D1458" s="10" t="str">
        <x:v>我的粉丝团（有效粉丝团成员视角）</x:v>
      </x:c>
      <x:c r="E1458" s="10" t="str">
        <x:v>功能需求</x:v>
      </x:c>
      <x:c r="F1458" s="10" t="str">
        <x:v>P1</x:v>
      </x:c>
      <x:c r="G1458" s="9" t="str">
        <x:v>验证卡片贡献本周范围：退团账号排除</x:v>
      </x:c>
      <x:c r="H1458" s="9" t="str">
        <x:v>退团账号排除</x:v>
      </x:c>
      <x:c r="I1458" s="9" t="str">
        <x:v>1. 执行角色为有效粉丝团成员；当前处于我的粉丝团页面
2. 本周A入团前贡献100、入团后50，B贡献100；A和B当前均为有效团籍，C已退团且贡献200，D为运营号</x:v>
      </x:c>
      <x:c r="J1458" s="9" t="str">
        <x:v>1. 查看卡片贡献榜头像顺序</x:v>
      </x:c>
      <x:c r="K1458" s="9" t="str">
        <x:v>不展示已退团C</x:v>
      </x:c>
      <x:c r="L1458" s="10" t="str"/>
      <x:c r="M1458" s="10" t="str">
        <x:v>未测</x:v>
      </x:c>
      <x:c r="N1458" s="10" t="str"/>
      <x:c r="O1458" s="9" t="str">
        <x:v>1. 来源（当前证据）：liveshow-proto/MainBasis/统一需求文档.md；位置：行1102、行1086
2. 规则：BR-5bac252cb94f69f8
3. 未动态验证</x:v>
      </x:c>
    </x:row>
    <x:row r="1459" ht="100" customHeight="1">
      <x:c r="A1459" s="10" t="n">
        <x:v>1458</x:v>
      </x:c>
      <x:c r="B1459" s="10" t="str">
        <x:v>USER-05-0256</x:v>
      </x:c>
      <x:c r="C1459" s="10" t="str">
        <x:v>我的</x:v>
      </x:c>
      <x:c r="D1459" s="10" t="str">
        <x:v>我的粉丝团（有效粉丝团成员视角）</x:v>
      </x:c>
      <x:c r="E1459" s="10" t="str">
        <x:v>功能需求</x:v>
      </x:c>
      <x:c r="F1459" s="10" t="str">
        <x:v>P1</x:v>
      </x:c>
      <x:c r="G1459" s="9" t="str">
        <x:v>验证卡片贡献本周范围：运营账号排除</x:v>
      </x:c>
      <x:c r="H1459" s="9" t="str">
        <x:v>运营账号排除</x:v>
      </x:c>
      <x:c r="I1459" s="9" t="str">
        <x:v>1. 执行角色为有效粉丝团成员；当前处于我的粉丝团页面
2. 本周A入团前贡献100、入团后50，B贡献100；A和B当前均为有效团籍，C已退团且贡献200，D为运营号</x:v>
      </x:c>
      <x:c r="J1459" s="9" t="str">
        <x:v>1. 查看卡片贡献榜头像顺序</x:v>
      </x:c>
      <x:c r="K1459" s="9" t="str">
        <x:v>不展示运营号D</x:v>
      </x:c>
      <x:c r="L1459" s="10" t="str"/>
      <x:c r="M1459" s="10" t="str">
        <x:v>未测</x:v>
      </x:c>
      <x:c r="N1459" s="10" t="str"/>
      <x:c r="O1459" s="9" t="str">
        <x:v>1. 来源（当前证据）：liveshow-proto/MainBasis/统一需求文档.md；位置：行1102、行1086
2. 规则：BR-b5b04fd273867a47
3. 未动态验证</x:v>
      </x:c>
    </x:row>
    <x:row r="1460" ht="85" customHeight="1">
      <x:c r="A1460" s="10" t="n">
        <x:v>1459</x:v>
      </x:c>
      <x:c r="B1460" s="10" t="str">
        <x:v>USER-07-0182</x:v>
      </x:c>
      <x:c r="C1460" s="10" t="str">
        <x:v>主播中心</x:v>
      </x:c>
      <x:c r="D1460" s="10" t="str">
        <x:v>开播设置（有开播资格的主播视角）</x:v>
      </x:c>
      <x:c r="E1460" s="10" t="str">
        <x:v>功能需求</x:v>
      </x:c>
      <x:c r="F1460" s="10" t="str">
        <x:v>P2</x:v>
      </x:c>
      <x:c r="G1460" s="9" t="str">
        <x:v>验证开播封面可不填</x:v>
      </x:c>
      <x:c r="H1460" s="9" t="str">
        <x:v>开播封面必填条件</x:v>
      </x:c>
      <x:c r="I1460" s="9" t="str">
        <x:v>1. 执行角色为有开播资格的主播；当前处于开播设置页面
2. 相机麦克风已授权，普通房主题和分类均有效，未上传封面</x:v>
      </x:c>
      <x:c r="J1460" s="9" t="str">
        <x:v>1. 点击开始直播</x:v>
      </x:c>
      <x:c r="K1460" s="9" t="str">
        <x:v>允许创建本次场次</x:v>
      </x:c>
      <x:c r="L1460" s="10" t="str"/>
      <x:c r="M1460" s="10" t="str">
        <x:v>未测</x:v>
      </x:c>
      <x:c r="N1460" s="10" t="str"/>
      <x:c r="O1460" s="9" t="str">
        <x:v>1. 来源（当前证据）：liveshow-proto/MainBasis/统一需求文档.md；位置：行1189、行1187
2. 规则：BR-c9aa907620ed03bf
3. 未动态验证</x:v>
      </x:c>
    </x:row>
    <x:row r="1461" ht="85" customHeight="1">
      <x:c r="A1461" s="10" t="n">
        <x:v>1460</x:v>
      </x:c>
      <x:c r="B1461" s="10" t="str">
        <x:v>USER-01-0119</x:v>
      </x:c>
      <x:c r="C1461" s="10" t="str">
        <x:v>系统入口</x:v>
      </x:c>
      <x:c r="D1461" s="10" t="str">
        <x:v>手机号登录（未登录普通用户视角）</x:v>
      </x:c>
      <x:c r="E1461" s="10" t="str">
        <x:v>功能需求</x:v>
      </x:c>
      <x:c r="F1461" s="10" t="str">
        <x:v>P2</x:v>
      </x:c>
      <x:c r="G1461" s="9" t="str">
        <x:v>验证区号返回保留密码登录</x:v>
      </x:c>
      <x:c r="H1461" s="9" t="str">
        <x:v>登录方式保留</x:v>
      </x:c>
      <x:c r="I1461" s="9" t="str">
        <x:v>1. 执行角色为未登录普通用户；当前处于手机号登录页面
2. 当前已选择密码登录并输入手机号</x:v>
      </x:c>
      <x:c r="J1461" s="9" t="str">
        <x:v>1. 点击区号
2. 选择印度尼西亚+62</x:v>
      </x:c>
      <x:c r="K1461" s="9" t="str">
        <x:v>仍为密码登录</x:v>
      </x:c>
      <x:c r="L1461" s="10" t="str"/>
      <x:c r="M1461" s="10" t="str">
        <x:v>未测</x:v>
      </x:c>
      <x:c r="N1461" s="10" t="str"/>
      <x:c r="O1461" s="9" t="str">
        <x:v>1. 来源（当前证据）：liveshow-proto/MainBasis/统一需求文档.md；位置：行1391、行1395、行1384
2. 规则：BR-50cd2f30756cda16
3. 未动态验证</x:v>
      </x:c>
    </x:row>
    <x:row r="1462" ht="85" customHeight="1">
      <x:c r="A1462" s="10" t="n">
        <x:v>1461</x:v>
      </x:c>
      <x:c r="B1462" s="10" t="str">
        <x:v>USER-01-0120</x:v>
      </x:c>
      <x:c r="C1462" s="10" t="str">
        <x:v>系统入口</x:v>
      </x:c>
      <x:c r="D1462" s="10" t="str">
        <x:v>手机号登录（未登录普通用户视角）</x:v>
      </x:c>
      <x:c r="E1462" s="10" t="str">
        <x:v>功能需求</x:v>
      </x:c>
      <x:c r="F1462" s="10" t="str">
        <x:v>P2</x:v>
      </x:c>
      <x:c r="G1462" s="9" t="str">
        <x:v>验证区号返回保留验证码登录</x:v>
      </x:c>
      <x:c r="H1462" s="9" t="str">
        <x:v>登录方式保留</x:v>
      </x:c>
      <x:c r="I1462" s="9" t="str">
        <x:v>1. 执行角色为未登录普通用户；当前处于手机号登录页面
2. 当前已选择验证码登录并输入手机号</x:v>
      </x:c>
      <x:c r="J1462" s="9" t="str">
        <x:v>1. 点击区号
2. 选择印度尼西亚+62</x:v>
      </x:c>
      <x:c r="K1462" s="9" t="str">
        <x:v>仍为验证码登录</x:v>
      </x:c>
      <x:c r="L1462" s="10" t="str"/>
      <x:c r="M1462" s="10" t="str">
        <x:v>未测</x:v>
      </x:c>
      <x:c r="N1462" s="10" t="str"/>
      <x:c r="O1462" s="9" t="str">
        <x:v>1. 来源（当前证据）：liveshow-proto/MainBasis/统一需求文档.md；位置：行1391、行1395、行1384
2. 规则：BR-b43c58363ceb44fb
3. 未动态验证</x:v>
      </x:c>
    </x:row>
    <x:row r="1463" ht="85" customHeight="1">
      <x:c r="A1463" s="10" t="n">
        <x:v>1462</x:v>
      </x:c>
      <x:c r="B1463" s="10" t="str">
        <x:v>USER-01-0121</x:v>
      </x:c>
      <x:c r="C1463" s="10" t="str">
        <x:v>系统入口</x:v>
      </x:c>
      <x:c r="D1463" s="10" t="str">
        <x:v>手机号登录（未设置密码的用户视角）</x:v>
      </x:c>
      <x:c r="E1463" s="10" t="str">
        <x:v>功能需求</x:v>
      </x:c>
      <x:c r="F1463" s="10" t="str">
        <x:v>P1</x:v>
      </x:c>
      <x:c r="G1463" s="9" t="str">
        <x:v>验证未设置密码通过手机号验证码登录</x:v>
      </x:c>
      <x:c r="H1463" s="9" t="str">
        <x:v>凭证有效性</x:v>
      </x:c>
      <x:c r="I1463" s="9" t="str">
        <x:v>1. 执行角色为未设置密码的用户；当前处于手机号登录页面
2. 当前账号已绑定有效手机号但未设置密码；协议已同意；已取得该账号有效验证码</x:v>
      </x:c>
      <x:c r="J1463" s="9" t="str">
        <x:v>1. 输入已绑定手机号
2. 切换验证码登录
3. 输入有效验证码
4. 点击继续</x:v>
      </x:c>
      <x:c r="K1463" s="9" t="str">
        <x:v>进入首页</x:v>
      </x:c>
      <x:c r="L1463" s="10" t="str"/>
      <x:c r="M1463" s="10" t="str">
        <x:v>未测</x:v>
      </x:c>
      <x:c r="N1463" s="10" t="str"/>
      <x:c r="O1463" s="9" t="str">
        <x:v>1. 来源（当前证据）：liveshow-proto/MainBasis/统一需求文档.md；位置：行1479、行1384
2. 规则：BR-1906aa35bc7b5af5
3. 未动态验证</x:v>
      </x:c>
    </x:row>
    <x:row r="1464" ht="85" customHeight="1">
      <x:c r="A1464" s="10" t="n">
        <x:v>1463</x:v>
      </x:c>
      <x:c r="B1464" s="10" t="str">
        <x:v>USER-01-0122</x:v>
      </x:c>
      <x:c r="C1464" s="10" t="str">
        <x:v>系统入口</x:v>
      </x:c>
      <x:c r="D1464" s="10" t="str">
        <x:v>邮箱登录（未设置密码的用户视角）</x:v>
      </x:c>
      <x:c r="E1464" s="10" t="str">
        <x:v>功能需求</x:v>
      </x:c>
      <x:c r="F1464" s="10" t="str">
        <x:v>P1</x:v>
      </x:c>
      <x:c r="G1464" s="9" t="str">
        <x:v>验证未设置密码通过邮箱验证码登录</x:v>
      </x:c>
      <x:c r="H1464" s="9" t="str">
        <x:v>凭证有效性</x:v>
      </x:c>
      <x:c r="I1464" s="9" t="str">
        <x:v>1. 执行角色为未设置密码的用户；当前处于邮箱登录页面
2. 当前账号已绑定有效邮箱但未设置密码；协议已同意；已取得该账号有效验证码</x:v>
      </x:c>
      <x:c r="J1464" s="9" t="str">
        <x:v>1. 输入已绑定邮箱
2. 切换验证码登录
3. 输入有效验证码
4. 点击继续</x:v>
      </x:c>
      <x:c r="K1464" s="9" t="str">
        <x:v>进入首页</x:v>
      </x:c>
      <x:c r="L1464" s="10" t="str"/>
      <x:c r="M1464" s="10" t="str">
        <x:v>未测</x:v>
      </x:c>
      <x:c r="N1464" s="10" t="str"/>
      <x:c r="O1464" s="9" t="str">
        <x:v>1. 来源（当前证据）：liveshow-proto/MainBasis/统一需求文档.md；位置：行1479、行1413
2. 规则：BR-9056629d90a52515
3. 未动态验证</x:v>
      </x:c>
    </x:row>
    <x:row r="1465" ht="85" customHeight="1">
      <x:c r="A1465" s="10" t="n">
        <x:v>1464</x:v>
      </x:c>
      <x:c r="B1465" s="10" t="str">
        <x:v>USER-05-0257</x:v>
      </x:c>
      <x:c r="C1465" s="10" t="str">
        <x:v>我的</x:v>
      </x:c>
      <x:c r="D1465" s="10" t="str">
        <x:v>修改密码（已设置密码用户视角）</x:v>
      </x:c>
      <x:c r="E1465" s="10" t="str">
        <x:v>功能需求</x:v>
      </x:c>
      <x:c r="F1465" s="10" t="str">
        <x:v>P1</x:v>
      </x:c>
      <x:c r="G1465" s="9" t="str">
        <x:v>验证修改密码旧密码为空</x:v>
      </x:c>
      <x:c r="H1465" s="9" t="str">
        <x:v>凭证有效性</x:v>
      </x:c>
      <x:c r="I1465" s="9" t="str">
        <x:v>1. 执行角色为已设置密码用户；当前处于修改密码页面
2. 当前有效密码QaOld123</x:v>
      </x:c>
      <x:c r="J1465" s="9" t="str">
        <x:v>1. 清空当前密码
2. 输入新密码QaNew123
3. 尝试保存</x:v>
      </x:c>
      <x:c r="K1465" s="9" t="str">
        <x:v>不能将账号密码改为QaNew123</x:v>
      </x:c>
      <x:c r="L1465" s="10" t="str"/>
      <x:c r="M1465" s="10" t="str">
        <x:v>未测</x:v>
      </x:c>
      <x:c r="N1465" s="10" t="str"/>
      <x:c r="O1465" s="9" t="str">
        <x:v>1. 来源（当前证据）：liveshow-proto/MainBasis/统一需求文档.md；位置：行1499、行1497
2. 规则：BR-a6cdece7f1421f4c
3. 未动态验证</x:v>
      </x:c>
    </x:row>
    <x:row r="1466" ht="85" customHeight="1">
      <x:c r="A1466" s="10" t="n">
        <x:v>1465</x:v>
      </x:c>
      <x:c r="B1466" s="10" t="str">
        <x:v>USER-05-0258</x:v>
      </x:c>
      <x:c r="C1466" s="10" t="str">
        <x:v>我的</x:v>
      </x:c>
      <x:c r="D1466" s="10" t="str">
        <x:v>系统通知-从未申请（已登录普通用户视角）</x:v>
      </x:c>
      <x:c r="E1466" s="10" t="str">
        <x:v>功能需求</x:v>
      </x:c>
      <x:c r="F1466" s="10" t="str">
        <x:v>P2</x:v>
      </x:c>
      <x:c r="G1466" s="9" t="str">
        <x:v>验证首次系统通知状态</x:v>
      </x:c>
      <x:c r="H1466" s="9" t="str">
        <x:v>通知初始授权状态</x:v>
      </x:c>
      <x:c r="I1466" s="9" t="str">
        <x:v>1. 执行角色为已登录普通用户；当前处于系统通知-从未申请页面
2. 本设备尚未向系统申请通知授权</x:v>
      </x:c>
      <x:c r="J1466" s="9" t="str">
        <x:v>1. 查看系统通知状态</x:v>
      </x:c>
      <x:c r="K1466" s="9" t="str">
        <x:v>显示未开启</x:v>
      </x:c>
      <x:c r="L1466" s="10" t="str"/>
      <x:c r="M1466" s="10" t="str">
        <x:v>未测</x:v>
      </x:c>
      <x:c r="N1466" s="10" t="str"/>
      <x:c r="O1466" s="9" t="str">
        <x:v>1. 来源（当前证据）：liveshow-proto/MainBasis/统一需求文档.md；位置：行1554、行1552
2. 规则：BR-86132d01fe310bef
3. 未动态验证</x:v>
      </x:c>
    </x:row>
    <x:row r="1467" ht="115" customHeight="1">
      <x:c r="A1467" s="10" t="n">
        <x:v>1466</x:v>
      </x:c>
      <x:c r="B1467" s="10" t="str">
        <x:v>USER-05-0259</x:v>
      </x:c>
      <x:c r="C1467" s="10" t="str">
        <x:v>我的</x:v>
      </x:c>
      <x:c r="D1467" s="10" t="str">
        <x:v>系统通知-已授权（已登录普通用户视角）</x:v>
      </x:c>
      <x:c r="E1467" s="10" t="str">
        <x:v>功能需求</x:v>
      </x:c>
      <x:c r="F1467" s="10" t="str">
        <x:v>P2</x:v>
      </x:c>
      <x:c r="G1467" s="9" t="str">
        <x:v>验证已授权关闭开播分类</x:v>
      </x:c>
      <x:c r="H1467" s="9" t="str">
        <x:v>开播推送关闭效果</x:v>
      </x:c>
      <x:c r="I1467" s="9" t="str">
        <x:v>1. 执行角色为已登录普通用户；当前处于系统通知-已授权页面
2. 本设备系统通知已授权；开播提醒关闭、互动通知开启；当前收到一条关注主播开播事件和一条好友申请</x:v>
      </x:c>
      <x:c r="J1467" s="9" t="str">
        <x:v>1. 查看设备是否收到本次主播开播通知</x:v>
      </x:c>
      <x:c r="K1467" s="9" t="str">
        <x:v>不展示本次主播开播推送</x:v>
      </x:c>
      <x:c r="L1467" s="10" t="str"/>
      <x:c r="M1467" s="10" t="str">
        <x:v>未测</x:v>
      </x:c>
      <x:c r="N1467" s="10" t="str"/>
      <x:c r="O1467" s="9" t="str">
        <x:v>1. 来源（当前证据）：liveshow-proto/MainBasis/统一需求文档.md；位置：行1571、行1567
2. 规则：BR-31c3b03799b0c4c4
3. 未动态验证</x:v>
      </x:c>
    </x:row>
    <x:row r="1468" ht="115" customHeight="1">
      <x:c r="A1468" s="10" t="n">
        <x:v>1467</x:v>
      </x:c>
      <x:c r="B1468" s="10" t="str">
        <x:v>USER-05-0260</x:v>
      </x:c>
      <x:c r="C1468" s="10" t="str">
        <x:v>我的</x:v>
      </x:c>
      <x:c r="D1468" s="10" t="str">
        <x:v>系统通知-已授权（已登录普通用户视角）</x:v>
      </x:c>
      <x:c r="E1468" s="10" t="str">
        <x:v>功能需求</x:v>
      </x:c>
      <x:c r="F1468" s="10" t="str">
        <x:v>P2</x:v>
      </x:c>
      <x:c r="G1468" s="9" t="str">
        <x:v>验证已授权保留互动分类</x:v>
      </x:c>
      <x:c r="H1468" s="9" t="str">
        <x:v>互动推送开启效果</x:v>
      </x:c>
      <x:c r="I1468" s="9" t="str">
        <x:v>1. 执行角色为已登录普通用户；当前处于系统通知-已授权页面
2. 本设备系统通知已授权；开播提醒关闭、互动通知开启；当前收到一条关注主播开播事件和一条好友申请</x:v>
      </x:c>
      <x:c r="J1468" s="9" t="str">
        <x:v>1. 查看设备收到的好友申请通知</x:v>
      </x:c>
      <x:c r="K1468" s="9" t="str">
        <x:v>展示本次好友申请互动推送</x:v>
      </x:c>
      <x:c r="L1468" s="10" t="str"/>
      <x:c r="M1468" s="10" t="str">
        <x:v>未测</x:v>
      </x:c>
      <x:c r="N1468" s="10" t="str"/>
      <x:c r="O1468" s="9" t="str">
        <x:v>1. 来源（当前证据）：liveshow-proto/MainBasis/统一需求文档.md；位置：行1571、行1567
2. 规则：BR-1c9ffd60d178749c
3. 未动态验证</x:v>
      </x:c>
    </x:row>
    <x:row r="1469" ht="85" customHeight="1">
      <x:c r="A1469" s="10" t="n">
        <x:v>1468</x:v>
      </x:c>
      <x:c r="B1469" s="10" t="str">
        <x:v>USER-03-0358</x:v>
      </x:c>
      <x:c r="C1469" s="10" t="str">
        <x:v>直播</x:v>
      </x:c>
      <x:c r="D1469" s="10" t="str">
        <x:v>充值（真实金币用户视角）</x:v>
      </x:c>
      <x:c r="E1469" s="10" t="str">
        <x:v>功能需求</x:v>
      </x:c>
      <x:c r="F1469" s="10" t="str">
        <x:v>P1</x:v>
      </x:c>
      <x:c r="G1469" s="9" t="str">
        <x:v>验证快捷充值配置范围</x:v>
      </x:c>
      <x:c r="H1469" s="9" t="str">
        <x:v>快捷充值套餐渠道范围</x:v>
      </x:c>
      <x:c r="I1469" s="9" t="str">
        <x:v>1. 执行角色为真实金币用户；当前处于充值页面
2. 后台当前端启用套餐P（100金币赠10金币）及支付渠道C</x:v>
      </x:c>
      <x:c r="J1469" s="9" t="str">
        <x:v>1. 查看充值套餐和支付渠道</x:v>
      </x:c>
      <x:c r="K1469" s="9" t="str">
        <x:v>显示套餐P与渠道C</x:v>
      </x:c>
      <x:c r="L1469" s="10" t="str"/>
      <x:c r="M1469" s="10" t="str">
        <x:v>未测</x:v>
      </x:c>
      <x:c r="N1469" s="10" t="str"/>
      <x:c r="O1469" s="9" t="str">
        <x:v>1. 来源（当前证据）：liveshow-proto/MainBasis/统一需求文档.md；位置：行1592、行1590
2. 规则：BR-e6731b280dc02733
3. 未动态验证</x:v>
      </x:c>
    </x:row>
    <x:row r="1470" ht="160" customHeight="1">
      <x:c r="A1470" s="10" t="n">
        <x:v>1469</x:v>
      </x:c>
      <x:c r="B1470" s="10" t="str">
        <x:v>USER-03-0359</x:v>
      </x:c>
      <x:c r="C1470" s="10" t="str">
        <x:v>直播</x:v>
      </x:c>
      <x:c r="D1470" s="10" t="str">
        <x:v>充值（真实金币用户视角）</x:v>
      </x:c>
      <x:c r="E1470" s="10" t="str">
        <x:v>异常用例</x:v>
      </x:c>
      <x:c r="F1470" s="10" t="str">
        <x:v>P1</x:v>
      </x:c>
      <x:c r="G1470" s="9" t="str">
        <x:v>验证快捷充值失败不增余额</x:v>
      </x:c>
      <x:c r="H1470" s="9" t="str">
        <x:v>资产数值</x:v>
      </x:c>
      <x:c r="I1470" s="9" t="str">
        <x:v>1. 执行角色为真实金币用户；当前处于充值页面
2. 原金币余额20；本次选择有效套餐，支付最终状态为失败
3. 环境准备要求（尚未具备）：需配置支付测试订单最终失败结果，并提供应用可收到的失败回调；不能用取消支付替代失败。仅使用测试环境与测试支付账户</x:v>
      </x:c>
      <x:c r="J1470" s="9" t="str">
        <x:v>1. 提交支付
2. 重新查看金币余额</x:v>
      </x:c>
      <x:c r="K1470" s="9" t="str">
        <x:v>余额仍为20金币</x:v>
      </x:c>
      <x:c r="L1470" s="10" t="str"/>
      <x:c r="M1470" s="10" t="str">
        <x:v>未测</x:v>
      </x:c>
      <x:c r="N1470" s="10" t="str"/>
      <x:c r="O1470" s="9" t="str">
        <x:v>1. 来源（当前证据）：liveshow-proto/MainBasis/统一需求文档.md；位置：行1593、行1590
2. 规则：BR-7bfa4a66e8756f04
3. 未动态验证
4. 环境待准备：测试支付订单；时点：本次支付结果回到应用时；恢复：本条结束后撤销故障设置，恢复真实请求处理；使用新测试对象复跑正常路径，避免污染后续用例</x:v>
      </x:c>
    </x:row>
    <x:row r="1471" ht="85" customHeight="1">
      <x:c r="A1471" s="10" t="n">
        <x:v>1470</x:v>
      </x:c>
      <x:c r="B1471" s="10" t="str">
        <x:v>USER-03-0360</x:v>
      </x:c>
      <x:c r="C1471" s="10" t="str">
        <x:v>直播</x:v>
      </x:c>
      <x:c r="D1471" s="10" t="str">
        <x:v>充值（真实金币用户视角）</x:v>
      </x:c>
      <x:c r="E1471" s="10" t="str">
        <x:v>功能需求</x:v>
      </x:c>
      <x:c r="F1471" s="10" t="str">
        <x:v>P1</x:v>
      </x:c>
      <x:c r="G1471" s="9" t="str">
        <x:v>验证快捷充值取消不增余额</x:v>
      </x:c>
      <x:c r="H1471" s="9" t="str">
        <x:v>资产数值</x:v>
      </x:c>
      <x:c r="I1471" s="9" t="str">
        <x:v>1. 执行角色为真实金币用户；当前处于充值页面
2. 原金币余额20；本次选择有效套餐，支付最终状态为取消</x:v>
      </x:c>
      <x:c r="J1471" s="9" t="str">
        <x:v>1. 提交支付
2. 重新查看金币余额</x:v>
      </x:c>
      <x:c r="K1471" s="9" t="str">
        <x:v>余额仍为20金币</x:v>
      </x:c>
      <x:c r="L1471" s="10" t="str"/>
      <x:c r="M1471" s="10" t="str">
        <x:v>未测</x:v>
      </x:c>
      <x:c r="N1471" s="10" t="str"/>
      <x:c r="O1471" s="9" t="str">
        <x:v>1. 来源（当前证据）：liveshow-proto/MainBasis/统一需求文档.md；位置：行1593、行1590
2. 规则：BR-92d05d4031a078c8
3. 未动态验证</x:v>
      </x:c>
    </x:row>
    <x:row r="1472" ht="160" customHeight="1">
      <x:c r="A1472" s="10" t="n">
        <x:v>1471</x:v>
      </x:c>
      <x:c r="B1472" s="10" t="str">
        <x:v>USER-03-0361</x:v>
      </x:c>
      <x:c r="C1472" s="10" t="str">
        <x:v>直播</x:v>
      </x:c>
      <x:c r="D1472" s="10" t="str">
        <x:v>充值（真实金币用户视角）</x:v>
      </x:c>
      <x:c r="E1472" s="10" t="str">
        <x:v>异常用例</x:v>
      </x:c>
      <x:c r="F1472" s="10" t="str">
        <x:v>P1</x:v>
      </x:c>
      <x:c r="G1472" s="9" t="str">
        <x:v>验证快捷充值超时不增余额</x:v>
      </x:c>
      <x:c r="H1472" s="9" t="str">
        <x:v>资产数值</x:v>
      </x:c>
      <x:c r="I1472" s="9" t="str">
        <x:v>1. 执行角色为真实金币用户；当前处于充值页面
2. 原金币余额20；本次选择有效套餐，支付最终状态为超时
3. 环境准备要求（尚未具备）：需支付测试环境提供已确认的超时终态及回调；具体超时由渠道配置读取，不自行约定等待秒数</x:v>
      </x:c>
      <x:c r="J1472" s="9" t="str">
        <x:v>1. 提交支付
2. 重新查看金币余额</x:v>
      </x:c>
      <x:c r="K1472" s="9" t="str">
        <x:v>余额仍为20金币</x:v>
      </x:c>
      <x:c r="L1472" s="10" t="str"/>
      <x:c r="M1472" s="10" t="str">
        <x:v>未测</x:v>
      </x:c>
      <x:c r="N1472" s="10" t="str"/>
      <x:c r="O1472" s="9" t="str">
        <x:v>1. 来源（当前证据）：liveshow-proto/MainBasis/统一需求文档.md；位置：行1593、行1590
2. 规则：BR-a1ac01c73a0a52a8
3. 未动态验证
4. 环境待准备：测试支付订单超时；时点：指定订单在支付渠道达到其已配置超时终态时；恢复：本条结束后撤销故障设置，恢复真实请求处理；使用新测试对象复跑正常路径，避免污染后续用例</x:v>
      </x:c>
    </x:row>
    <x:row r="1473" ht="85" customHeight="1">
      <x:c r="A1473" s="10" t="n">
        <x:v>1472</x:v>
      </x:c>
      <x:c r="B1473" s="10" t="str">
        <x:v>USER-03-0362</x:v>
      </x:c>
      <x:c r="C1473" s="10" t="str">
        <x:v>直播</x:v>
      </x:c>
      <x:c r="D1473" s="10" t="str">
        <x:v>充值（真实金币用户视角）</x:v>
      </x:c>
      <x:c r="E1473" s="10" t="str">
        <x:v>功能需求</x:v>
      </x:c>
      <x:c r="F1473" s="10" t="str">
        <x:v>P1</x:v>
      </x:c>
      <x:c r="G1473" s="9" t="str">
        <x:v>验证快捷充值成功到账</x:v>
      </x:c>
      <x:c r="H1473" s="9" t="str">
        <x:v>资产数值</x:v>
      </x:c>
      <x:c r="I1473" s="9" t="str">
        <x:v>1. 执行角色为真实金币用户；当前处于充值页面
2. 原余额20；本次套餐到账100金币且支付成功</x:v>
      </x:c>
      <x:c r="J1473" s="9" t="str">
        <x:v>1. 刷新金币余额</x:v>
      </x:c>
      <x:c r="K1473" s="9" t="str">
        <x:v>余额为120金币（计算结果 = 120 金币）</x:v>
      </x:c>
      <x:c r="L1473" s="10" t="str"/>
      <x:c r="M1473" s="10" t="str">
        <x:v>未测</x:v>
      </x:c>
      <x:c r="N1473" s="10" t="str"/>
      <x:c r="O1473" s="9" t="str">
        <x:v>1. 来源（当前证据）：liveshow-proto/MainBasis/统一需求文档.md；位置：行1593、行320、行1590
2. 规则：BR-44d12de85d3c243f
3. 未动态验证</x:v>
      </x:c>
    </x:row>
    <x:row r="1474" ht="85" customHeight="1">
      <x:c r="A1474" s="10" t="n">
        <x:v>1473</x:v>
      </x:c>
      <x:c r="B1474" s="10" t="str">
        <x:v>USER-03-0363</x:v>
      </x:c>
      <x:c r="C1474" s="10" t="str">
        <x:v>直播</x:v>
      </x:c>
      <x:c r="D1474" s="10" t="str">
        <x:v>充值（真实金币用户视角）</x:v>
      </x:c>
      <x:c r="E1474" s="10" t="str">
        <x:v>功能需求</x:v>
      </x:c>
      <x:c r="F1474" s="10" t="str">
        <x:v>P1</x:v>
      </x:c>
      <x:c r="G1474" s="9" t="str">
        <x:v>验证快捷充值成功记账</x:v>
      </x:c>
      <x:c r="H1474" s="9" t="str">
        <x:v>快捷充值记录</x:v>
      </x:c>
      <x:c r="I1474" s="9" t="str">
        <x:v>1. 执行角色为真实金币用户；当前处于充值页面
2. 原余额20；本次套餐到账100金币且支付成功</x:v>
      </x:c>
      <x:c r="J1474" s="9" t="str">
        <x:v>1. 进入余额明细</x:v>
      </x:c>
      <x:c r="K1474" s="9" t="str">
        <x:v>存在本次100金币充值记录</x:v>
      </x:c>
      <x:c r="L1474" s="10" t="str"/>
      <x:c r="M1474" s="10" t="str">
        <x:v>未测</x:v>
      </x:c>
      <x:c r="N1474" s="10" t="str"/>
      <x:c r="O1474" s="9" t="str">
        <x:v>1. 来源（当前证据）：liveshow-proto/MainBasis/统一需求文档.md；位置：行1593、行320、行1590
2. 规则：BR-54a0183c3bc2d924
3. 未动态验证</x:v>
      </x:c>
    </x:row>
    <x:row r="1475" ht="85" customHeight="1">
      <x:c r="A1475" s="10" t="n">
        <x:v>1474</x:v>
      </x:c>
      <x:c r="B1475" s="10" t="str">
        <x:v>USER-03-0364</x:v>
      </x:c>
      <x:c r="C1475" s="10" t="str">
        <x:v>直播</x:v>
      </x:c>
      <x:c r="D1475" s="10" t="str">
        <x:v>粉丝团-已加入（刚入团普通用户视角）</x:v>
      </x:c>
      <x:c r="E1475" s="10" t="str">
        <x:v>功能需求</x:v>
      </x:c>
      <x:c r="F1475" s="10" t="str">
        <x:v>P1</x:v>
      </x:c>
      <x:c r="G1475" s="9" t="str">
        <x:v>验证入团获得粉丝群资格</x:v>
      </x:c>
      <x:c r="H1475" s="9" t="str">
        <x:v>入团后粉丝群入口资格</x:v>
      </x:c>
      <x:c r="I1475" s="9" t="str">
        <x:v>1. 执行角色为刚入团普通用户；当前处于粉丝团-已加入页面
2. 刚成功加入当前主播粉丝团</x:v>
      </x:c>
      <x:c r="J1475" s="9" t="str">
        <x:v>1. 点击群聊入口</x:v>
      </x:c>
      <x:c r="K1475" s="9" t="str">
        <x:v>可以进入该主播粉丝群</x:v>
      </x:c>
      <x:c r="L1475" s="10" t="str"/>
      <x:c r="M1475" s="10" t="str">
        <x:v>未测</x:v>
      </x:c>
      <x:c r="N1475" s="10" t="str"/>
      <x:c r="O1475" s="9" t="str">
        <x:v>1. 来源（当前证据）：liveshow-proto/MainBasis/统一需求文档.md；位置：行1614、行1623、行1624、行1620
2. 规则：BR-108998d8d12da266
3. 未动态验证</x:v>
      </x:c>
    </x:row>
    <x:row r="1476" ht="85" customHeight="1">
      <x:c r="A1476" s="10" t="n">
        <x:v>1475</x:v>
      </x:c>
      <x:c r="B1476" s="10" t="str">
        <x:v>USER-03-0365</x:v>
      </x:c>
      <x:c r="C1476" s="10" t="str">
        <x:v>直播</x:v>
      </x:c>
      <x:c r="D1476" s="10" t="str">
        <x:v>粉丝团-已加入（有效粉丝团成员视角）</x:v>
      </x:c>
      <x:c r="E1476" s="10" t="str">
        <x:v>功能需求</x:v>
      </x:c>
      <x:c r="F1476" s="10" t="str">
        <x:v>P1</x:v>
      </x:c>
      <x:c r="G1476" s="9" t="str">
        <x:v>验证有效团籍灯牌展示</x:v>
      </x:c>
      <x:c r="H1476" s="9" t="str">
        <x:v>团成员灯牌内容</x:v>
      </x:c>
      <x:c r="I1476" s="9" t="str">
        <x:v>1. 执行角色为有效粉丝团成员；当前处于粉丝团-已加入页面
2. 当前团籍配置有效灯牌QA团及粉丝等级5</x:v>
      </x:c>
      <x:c r="J1476" s="9" t="str">
        <x:v>1. 查看当前团籍灯牌</x:v>
      </x:c>
      <x:c r="K1476" s="9" t="str">
        <x:v>显示QA团灯牌</x:v>
      </x:c>
      <x:c r="L1476" s="10" t="str"/>
      <x:c r="M1476" s="10" t="str">
        <x:v>未测</x:v>
      </x:c>
      <x:c r="N1476" s="10" t="str"/>
      <x:c r="O1476" s="9" t="str">
        <x:v>1. 来源（当前证据）：liveshow-proto/MainBasis/统一需求文档.md；位置：行1624、行1620
2. 规则：BR-6b788674bb1e663a
3. 未动态验证</x:v>
      </x:c>
    </x:row>
    <x:row r="1477" ht="85" customHeight="1">
      <x:c r="A1477" s="10" t="n">
        <x:v>1476</x:v>
      </x:c>
      <x:c r="B1477" s="10" t="str">
        <x:v>USER-03-0366</x:v>
      </x:c>
      <x:c r="C1477" s="10" t="str">
        <x:v>直播</x:v>
      </x:c>
      <x:c r="D1477" s="10" t="str">
        <x:v>用户资料卡-普通观众（普通观众A视角）</x:v>
      </x:c>
      <x:c r="E1477" s="10" t="str">
        <x:v>功能需求</x:v>
      </x:c>
      <x:c r="F1477" s="10" t="str">
        <x:v>P1</x:v>
      </x:c>
      <x:c r="G1477" s="9" t="str">
        <x:v>验证观众资料卡关系独立</x:v>
      </x:c>
      <x:c r="H1477" s="9" t="str">
        <x:v>关注与好友状态隔离</x:v>
      </x:c>
      <x:c r="I1477" s="9" t="str">
        <x:v>1. 执行角色为普通观众A；当前处于用户资料卡-普通观众页面
2. A已关注观众B，与B不是好友且未拉黑</x:v>
      </x:c>
      <x:c r="J1477" s="9" t="str">
        <x:v>1. 查看B关系操作</x:v>
      </x:c>
      <x:c r="K1477" s="9" t="str">
        <x:v>已关注状态不会显示为已建立好友</x:v>
      </x:c>
      <x:c r="L1477" s="10" t="str"/>
      <x:c r="M1477" s="10" t="str">
        <x:v>未测</x:v>
      </x:c>
      <x:c r="N1477" s="10" t="str"/>
      <x:c r="O1477" s="9" t="str">
        <x:v>1. 来源（当前证据）：liveshow-proto/MainBasis/统一需求文档.md；位置：行1689、行1687
2. 规则：BR-6d19ea96899f6d3d
3. 未动态验证</x:v>
      </x:c>
    </x:row>
    <x:row r="1478" ht="85" customHeight="1">
      <x:c r="A1478" s="10" t="n">
        <x:v>1477</x:v>
      </x:c>
      <x:c r="B1478" s="10" t="str">
        <x:v>USER-03-0367</x:v>
      </x:c>
      <x:c r="C1478" s="10" t="str">
        <x:v>直播</x:v>
      </x:c>
      <x:c r="D1478" s="10" t="str">
        <x:v>本场贡献-收到礼物（普通观众视角）</x:v>
      </x:c>
      <x:c r="E1478" s="10" t="str">
        <x:v>功能需求</x:v>
      </x:c>
      <x:c r="F1478" s="10" t="str">
        <x:v>P1</x:v>
      </x:c>
      <x:c r="G1478" s="9" t="str">
        <x:v>验证本场礼物贡献不扣返奖</x:v>
      </x:c>
      <x:c r="H1478" s="9" t="str">
        <x:v>资产数值</x:v>
      </x:c>
      <x:c r="I1478" s="9" t="str">
        <x:v>1. 执行角色为普通观众；当前处于本场贡献-收到礼物页面
2. 本场仅成功送出单价10金币幸运礼物3件，另获50金币返奖</x:v>
      </x:c>
      <x:c r="J1478" s="9" t="str">
        <x:v>1. 查看该礼物贡献</x:v>
      </x:c>
      <x:c r="K1478" s="9" t="str">
        <x:v>贡献为30金币（计算结果 = 30 金币）</x:v>
      </x:c>
      <x:c r="L1478" s="10" t="str"/>
      <x:c r="M1478" s="10" t="str">
        <x:v>未测</x:v>
      </x:c>
      <x:c r="N1478" s="10" t="str"/>
      <x:c r="O1478" s="9" t="str">
        <x:v>1. 来源（当前证据）：liveshow-proto/MainBasis/统一需求文档.md；位置：行1728、行1725
2. 规则：BR-ba81bb4f96a5e230
3. 未动态验证</x:v>
      </x:c>
    </x:row>
    <x:row r="1479" ht="85" customHeight="1">
      <x:c r="A1479" s="10" t="n">
        <x:v>1478</x:v>
      </x:c>
      <x:c r="B1479" s="10" t="str">
        <x:v>USER-03-0368</x:v>
      </x:c>
      <x:c r="C1479" s="10" t="str">
        <x:v>直播</x:v>
      </x:c>
      <x:c r="D1479" s="10" t="str">
        <x:v>主播资料卡（普通观众视角）</x:v>
      </x:c>
      <x:c r="E1479" s="10" t="str">
        <x:v>功能需求</x:v>
      </x:c>
      <x:c r="F1479" s="10" t="str">
        <x:v>P2</x:v>
      </x:c>
      <x:c r="G1479" s="9" t="str">
        <x:v>验证主播资料卡结束状态</x:v>
      </x:c>
      <x:c r="H1479" s="9" t="str">
        <x:v>被访主播未开播标记</x:v>
      </x:c>
      <x:c r="I1479" s="9" t="str">
        <x:v>1. 执行角色为普通观众；当前处于主播资料卡页面
2. 资料卡对应主播A刚结束当前场次</x:v>
      </x:c>
      <x:c r="J1479" s="9" t="str">
        <x:v>1. 刷新主播资料卡</x:v>
      </x:c>
      <x:c r="K1479" s="9" t="str">
        <x:v>显示未开播</x:v>
      </x:c>
      <x:c r="L1479" s="10" t="str"/>
      <x:c r="M1479" s="10" t="str">
        <x:v>未测</x:v>
      </x:c>
      <x:c r="N1479" s="10" t="str"/>
      <x:c r="O1479" s="9" t="str">
        <x:v>1. 来源（当前证据）：liveshow-proto/MainBasis/统一需求文档.md；位置：行1742、行1740
2. 规则：BR-e861cde02d1767a4
3. 未动态验证</x:v>
      </x:c>
    </x:row>
    <x:row r="1480" ht="85" customHeight="1">
      <x:c r="A1480" s="10" t="n">
        <x:v>1479</x:v>
      </x:c>
      <x:c r="B1480" s="10" t="str">
        <x:v>USER-03-0369</x:v>
      </x:c>
      <x:c r="C1480" s="10" t="str">
        <x:v>直播</x:v>
      </x:c>
      <x:c r="D1480" s="10" t="str">
        <x:v>主播资料卡（观众B视角）</x:v>
      </x:c>
      <x:c r="E1480" s="10" t="str">
        <x:v>功能需求</x:v>
      </x:c>
      <x:c r="F1480" s="10" t="str">
        <x:v>P1</x:v>
      </x:c>
      <x:c r="G1480" s="9" t="str">
        <x:v>验证主播资料卡关注状态</x:v>
      </x:c>
      <x:c r="H1480" s="9" t="str">
        <x:v>账号关系</x:v>
      </x:c>
      <x:c r="I1480" s="9" t="str">
        <x:v>1. 执行角色为观众B；当前处于主播资料卡页面
2. B已关注A并加入A粉丝团，但非好友且未拉黑</x:v>
      </x:c>
      <x:c r="J1480" s="9" t="str">
        <x:v>1. 查看关注状态</x:v>
      </x:c>
      <x:c r="K1480" s="9" t="str">
        <x:v>显示已关注</x:v>
      </x:c>
      <x:c r="L1480" s="10" t="str"/>
      <x:c r="M1480" s="10" t="str">
        <x:v>未测</x:v>
      </x:c>
      <x:c r="N1480" s="10" t="str"/>
      <x:c r="O1480" s="9" t="str">
        <x:v>1. 来源（当前证据）：liveshow-proto/MainBasis/统一需求文档.md；位置：行1743、行1740
2. 规则：BR-f72aedd674e15b79
3. 未动态验证</x:v>
      </x:c>
    </x:row>
    <x:row r="1481" ht="85" customHeight="1">
      <x:c r="A1481" s="10" t="n">
        <x:v>1480</x:v>
      </x:c>
      <x:c r="B1481" s="10" t="str">
        <x:v>USER-03-0370</x:v>
      </x:c>
      <x:c r="C1481" s="10" t="str">
        <x:v>直播</x:v>
      </x:c>
      <x:c r="D1481" s="10" t="str">
        <x:v>主播资料卡（观众B视角）</x:v>
      </x:c>
      <x:c r="E1481" s="10" t="str">
        <x:v>功能需求</x:v>
      </x:c>
      <x:c r="F1481" s="10" t="str">
        <x:v>P1</x:v>
      </x:c>
      <x:c r="G1481" s="9" t="str">
        <x:v>验证主播资料卡好友状态</x:v>
      </x:c>
      <x:c r="H1481" s="9" t="str">
        <x:v>账号关系</x:v>
      </x:c>
      <x:c r="I1481" s="9" t="str">
        <x:v>1. 执行角色为观众B；当前处于主播资料卡页面
2. B已关注A并加入A粉丝团，但非好友且未拉黑</x:v>
      </x:c>
      <x:c r="J1481" s="9" t="str">
        <x:v>1. 查看好友状态</x:v>
      </x:c>
      <x:c r="K1481" s="9" t="str">
        <x:v>显示非好友</x:v>
      </x:c>
      <x:c r="L1481" s="10" t="str"/>
      <x:c r="M1481" s="10" t="str">
        <x:v>未测</x:v>
      </x:c>
      <x:c r="N1481" s="10" t="str"/>
      <x:c r="O1481" s="9" t="str">
        <x:v>1. 来源（当前证据）：liveshow-proto/MainBasis/统一需求文档.md；位置：行1743、行1740
2. 规则：BR-3be581d437bd9b36
3. 未动态验证</x:v>
      </x:c>
    </x:row>
    <x:row r="1482" ht="85" customHeight="1">
      <x:c r="A1482" s="10" t="n">
        <x:v>1481</x:v>
      </x:c>
      <x:c r="B1482" s="10" t="str">
        <x:v>USER-03-0371</x:v>
      </x:c>
      <x:c r="C1482" s="10" t="str">
        <x:v>直播</x:v>
      </x:c>
      <x:c r="D1482" s="10" t="str">
        <x:v>主播资料卡（观众B视角）</x:v>
      </x:c>
      <x:c r="E1482" s="10" t="str">
        <x:v>功能需求</x:v>
      </x:c>
      <x:c r="F1482" s="10" t="str">
        <x:v>P1</x:v>
      </x:c>
      <x:c r="G1482" s="9" t="str">
        <x:v>验证主播资料卡粉丝团状态</x:v>
      </x:c>
      <x:c r="H1482" s="9" t="str">
        <x:v>账号关系</x:v>
      </x:c>
      <x:c r="I1482" s="9" t="str">
        <x:v>1. 执行角色为观众B；当前处于主播资料卡页面
2. B已关注A并加入A粉丝团，但非好友且未拉黑</x:v>
      </x:c>
      <x:c r="J1482" s="9" t="str">
        <x:v>1. 查看粉丝团状态</x:v>
      </x:c>
      <x:c r="K1482" s="9" t="str">
        <x:v>显示已加入</x:v>
      </x:c>
      <x:c r="L1482" s="10" t="str"/>
      <x:c r="M1482" s="10" t="str">
        <x:v>未测</x:v>
      </x:c>
      <x:c r="N1482" s="10" t="str"/>
      <x:c r="O1482" s="9" t="str">
        <x:v>1. 来源（当前证据）：liveshow-proto/MainBasis/统一需求文档.md；位置：行1743、行1740
2. 规则：BR-d0c1a7bb65931ac9
3. 未动态验证</x:v>
      </x:c>
    </x:row>
    <x:row r="1483" ht="85" customHeight="1">
      <x:c r="A1483" s="10" t="n">
        <x:v>1482</x:v>
      </x:c>
      <x:c r="B1483" s="10" t="str">
        <x:v>USER-03-0372</x:v>
      </x:c>
      <x:c r="C1483" s="10" t="str">
        <x:v>直播</x:v>
      </x:c>
      <x:c r="D1483" s="10" t="str">
        <x:v>主播资料卡（观众B视角）</x:v>
      </x:c>
      <x:c r="E1483" s="10" t="str">
        <x:v>功能需求</x:v>
      </x:c>
      <x:c r="F1483" s="10" t="str">
        <x:v>P1</x:v>
      </x:c>
      <x:c r="G1483" s="9" t="str">
        <x:v>验证主播资料卡拉黑状态</x:v>
      </x:c>
      <x:c r="H1483" s="9" t="str">
        <x:v>账号关系</x:v>
      </x:c>
      <x:c r="I1483" s="9" t="str">
        <x:v>1. 执行角色为观众B；当前处于主播资料卡页面
2. B已关注A并加入A粉丝团，但非好友且未拉黑</x:v>
      </x:c>
      <x:c r="J1483" s="9" t="str">
        <x:v>1. 查看拉黑状态</x:v>
      </x:c>
      <x:c r="K1483" s="9" t="str">
        <x:v>显示未拉黑</x:v>
      </x:c>
      <x:c r="L1483" s="10" t="str"/>
      <x:c r="M1483" s="10" t="str">
        <x:v>未测</x:v>
      </x:c>
      <x:c r="N1483" s="10" t="str"/>
      <x:c r="O1483" s="9" t="str">
        <x:v>1. 来源（当前证据）：liveshow-proto/MainBasis/统一需求文档.md；位置：行1743、行1740
2. 规则：BR-fc26f2b55d8c4e37
3. 未动态验证</x:v>
      </x:c>
    </x:row>
    <x:row r="1484" ht="85" customHeight="1">
      <x:c r="A1484" s="10" t="n">
        <x:v>1483</x:v>
      </x:c>
      <x:c r="B1484" s="10" t="str">
        <x:v>USER-03-0373</x:v>
      </x:c>
      <x:c r="C1484" s="10" t="str">
        <x:v>直播</x:v>
      </x:c>
      <x:c r="D1484" s="10" t="str">
        <x:v>主播资料卡（观众B视角）</x:v>
      </x:c>
      <x:c r="E1484" s="10" t="str">
        <x:v>功能需求</x:v>
      </x:c>
      <x:c r="F1484" s="10" t="str">
        <x:v>P2</x:v>
      </x:c>
      <x:c r="G1484" s="9" t="str">
        <x:v>验证主播资料卡进入主页对象</x:v>
      </x:c>
      <x:c r="H1484" s="9" t="str">
        <x:v>被访主播主页去向</x:v>
      </x:c>
      <x:c r="I1484" s="9" t="str">
        <x:v>1. 执行角色为观众B；当前处于主播资料卡页面
2. 当前主播为A，B与A为好友、未互相拉黑</x:v>
      </x:c>
      <x:c r="J1484" s="9" t="str">
        <x:v>1. 点击进入主页</x:v>
      </x:c>
      <x:c r="K1484" s="9" t="str">
        <x:v>进入主播A主页</x:v>
      </x:c>
      <x:c r="L1484" s="10" t="str"/>
      <x:c r="M1484" s="10" t="str">
        <x:v>未测</x:v>
      </x:c>
      <x:c r="N1484" s="10" t="str"/>
      <x:c r="O1484" s="9" t="str">
        <x:v>1. 来源（当前证据）：liveshow-proto/MainBasis/统一需求文档.md；位置：行1745、行1740
2. 规则：BR-09914ad83e02c2b5
3. 未动态验证</x:v>
      </x:c>
    </x:row>
    <x:row r="1485" ht="85" customHeight="1">
      <x:c r="A1485" s="10" t="n">
        <x:v>1484</x:v>
      </x:c>
      <x:c r="B1485" s="10" t="str">
        <x:v>USER-03-0374</x:v>
      </x:c>
      <x:c r="C1485" s="10" t="str">
        <x:v>直播</x:v>
      </x:c>
      <x:c r="D1485" s="10" t="str">
        <x:v>主播资料卡（观众B视角）</x:v>
      </x:c>
      <x:c r="E1485" s="10" t="str">
        <x:v>功能需求</x:v>
      </x:c>
      <x:c r="F1485" s="10" t="str">
        <x:v>P2</x:v>
      </x:c>
      <x:c r="G1485" s="9" t="str">
        <x:v>验证主播资料卡私信对象</x:v>
      </x:c>
      <x:c r="H1485" s="9" t="str">
        <x:v>被访主播私信对象</x:v>
      </x:c>
      <x:c r="I1485" s="9" t="str">
        <x:v>1. 执行角色为观众B；当前处于主播资料卡页面
2. 当前主播为A，B与A为好友、未互相拉黑</x:v>
      </x:c>
      <x:c r="J1485" s="9" t="str">
        <x:v>1. 点击私信</x:v>
      </x:c>
      <x:c r="K1485" s="9" t="str">
        <x:v>进入与主播A的单聊</x:v>
      </x:c>
      <x:c r="L1485" s="10" t="str"/>
      <x:c r="M1485" s="10" t="str">
        <x:v>未测</x:v>
      </x:c>
      <x:c r="N1485" s="10" t="str"/>
      <x:c r="O1485" s="9" t="str">
        <x:v>1. 来源（当前证据）：liveshow-proto/MainBasis/统一需求文档.md；位置：行1745、行1740
2. 规则：BR-aea0b1bfed293a8a
3. 未动态验证</x:v>
      </x:c>
    </x:row>
    <x:row r="1486" ht="85" customHeight="1">
      <x:c r="A1486" s="10" t="n">
        <x:v>1485</x:v>
      </x:c>
      <x:c r="B1486" s="10" t="str">
        <x:v>USER-03-0375</x:v>
      </x:c>
      <x:c r="C1486" s="10" t="str">
        <x:v>直播</x:v>
      </x:c>
      <x:c r="D1486" s="10" t="str">
        <x:v>主播资料卡（观众B视角）</x:v>
      </x:c>
      <x:c r="E1486" s="10" t="str">
        <x:v>功能需求</x:v>
      </x:c>
      <x:c r="F1486" s="10" t="str">
        <x:v>P2</x:v>
      </x:c>
      <x:c r="G1486" s="9" t="str">
        <x:v>验证主播资料卡举报对象</x:v>
      </x:c>
      <x:c r="H1486" s="9" t="str">
        <x:v>被访主播举报对象</x:v>
      </x:c>
      <x:c r="I1486" s="9" t="str">
        <x:v>1. 执行角色为观众B；当前处于主播资料卡页面
2. 当前主播为A，B与A为好友、未互相拉黑</x:v>
      </x:c>
      <x:c r="J1486" s="9" t="str">
        <x:v>1. 点击举报</x:v>
      </x:c>
      <x:c r="K1486" s="9" t="str">
        <x:v>进入以主播A为对象的账号举报</x:v>
      </x:c>
      <x:c r="L1486" s="10" t="str"/>
      <x:c r="M1486" s="10" t="str">
        <x:v>未测</x:v>
      </x:c>
      <x:c r="N1486" s="10" t="str"/>
      <x:c r="O1486" s="9" t="str">
        <x:v>1. 来源（当前证据）：liveshow-proto/MainBasis/统一需求文档.md；位置：行1745、行1740
2. 规则：BR-6e08e29cb419bd78
3. 未动态验证</x:v>
      </x:c>
    </x:row>
    <x:row r="1487" ht="85" customHeight="1">
      <x:c r="A1487" s="10" t="n">
        <x:v>1486</x:v>
      </x:c>
      <x:c r="B1487" s="10" t="str">
        <x:v>USER-03-0376</x:v>
      </x:c>
      <x:c r="C1487" s="10" t="str">
        <x:v>直播</x:v>
      </x:c>
      <x:c r="D1487" s="10" t="str">
        <x:v>本场贡献-贡献榜（本场主播视角）</x:v>
      </x:c>
      <x:c r="E1487" s="10" t="str">
        <x:v>功能需求</x:v>
      </x:c>
      <x:c r="F1487" s="10" t="str">
        <x:v>P2</x:v>
      </x:c>
      <x:c r="G1487" s="9" t="str">
        <x:v>验证主播头像字段回显</x:v>
      </x:c>
      <x:c r="H1487" s="9" t="str">
        <x:v>主播视角账号头像</x:v>
      </x:c>
      <x:c r="I1487" s="9" t="str">
        <x:v>1. 执行角色为本场主播；当前处于本场贡献-贡献榜页面
2. 观众A当前在线、账号有效，本场有贡献；A的头像为头像P</x:v>
      </x:c>
      <x:c r="J1487" s="9" t="str">
        <x:v>1. 查看A的头像</x:v>
      </x:c>
      <x:c r="K1487" s="9" t="str">
        <x:v>显示头像P</x:v>
      </x:c>
      <x:c r="L1487" s="10" t="str"/>
      <x:c r="M1487" s="10" t="str">
        <x:v>未测</x:v>
      </x:c>
      <x:c r="N1487" s="10" t="str"/>
      <x:c r="O1487" s="9" t="str">
        <x:v>1. 来源（当前证据）：liveshow-proto/MainBasis/统一需求文档.md；位置：行1752、行1748
2. 规则：BR-62e7f3028ceb2a4c
3. 未动态验证</x:v>
      </x:c>
    </x:row>
    <x:row r="1488" ht="85" customHeight="1">
      <x:c r="A1488" s="10" t="n">
        <x:v>1487</x:v>
      </x:c>
      <x:c r="B1488" s="10" t="str">
        <x:v>USER-03-0377</x:v>
      </x:c>
      <x:c r="C1488" s="10" t="str">
        <x:v>直播</x:v>
      </x:c>
      <x:c r="D1488" s="10" t="str">
        <x:v>本场贡献-贡献榜（本场主播视角）</x:v>
      </x:c>
      <x:c r="E1488" s="10" t="str">
        <x:v>功能需求</x:v>
      </x:c>
      <x:c r="F1488" s="10" t="str">
        <x:v>P2</x:v>
      </x:c>
      <x:c r="G1488" s="9" t="str">
        <x:v>验证主播昵称字段回显</x:v>
      </x:c>
      <x:c r="H1488" s="9" t="str">
        <x:v>主播视角账号昵称</x:v>
      </x:c>
      <x:c r="I1488" s="9" t="str">
        <x:v>1. 执行角色为本场主播；当前处于本场贡献-贡献榜页面
2. 观众A当前在线、账号有效，本场有贡献；A的昵称为QA观众</x:v>
      </x:c>
      <x:c r="J1488" s="9" t="str">
        <x:v>1. 查看A的昵称</x:v>
      </x:c>
      <x:c r="K1488" s="9" t="str">
        <x:v>显示QA观众</x:v>
      </x:c>
      <x:c r="L1488" s="10" t="str"/>
      <x:c r="M1488" s="10" t="str">
        <x:v>未测</x:v>
      </x:c>
      <x:c r="N1488" s="10" t="str"/>
      <x:c r="O1488" s="9" t="str">
        <x:v>1. 来源（当前证据）：liveshow-proto/MainBasis/统一需求文档.md；位置：行1752、行1748
2. 规则：BR-9d57174e45efa7a2
3. 未动态验证</x:v>
      </x:c>
    </x:row>
    <x:row r="1489" ht="85" customHeight="1">
      <x:c r="A1489" s="10" t="n">
        <x:v>1488</x:v>
      </x:c>
      <x:c r="B1489" s="10" t="str">
        <x:v>USER-03-0378</x:v>
      </x:c>
      <x:c r="C1489" s="10" t="str">
        <x:v>直播</x:v>
      </x:c>
      <x:c r="D1489" s="10" t="str">
        <x:v>本场贡献-贡献榜（本场主播视角）</x:v>
      </x:c>
      <x:c r="E1489" s="10" t="str">
        <x:v>功能需求</x:v>
      </x:c>
      <x:c r="F1489" s="10" t="str">
        <x:v>P2</x:v>
      </x:c>
      <x:c r="G1489" s="9" t="str">
        <x:v>验证主播财富等级字段回显</x:v>
      </x:c>
      <x:c r="H1489" s="9" t="str">
        <x:v>主播视角财富等级</x:v>
      </x:c>
      <x:c r="I1489" s="9" t="str">
        <x:v>1. 执行角色为本场主播；当前处于本场贡献-贡献榜页面
2. 观众A当前在线、账号有效，本场有贡献；A的财富等级为5级</x:v>
      </x:c>
      <x:c r="J1489" s="9" t="str">
        <x:v>1. 查看A的财富等级</x:v>
      </x:c>
      <x:c r="K1489" s="9" t="str">
        <x:v>显示5级</x:v>
      </x:c>
      <x:c r="L1489" s="10" t="str"/>
      <x:c r="M1489" s="10" t="str">
        <x:v>未测</x:v>
      </x:c>
      <x:c r="N1489" s="10" t="str"/>
      <x:c r="O1489" s="9" t="str">
        <x:v>1. 来源（当前证据）：liveshow-proto/MainBasis/统一需求文档.md；位置：行1752、行1748
2. 规则：BR-23ff4b6c4e13e85f
3. 未动态验证</x:v>
      </x:c>
    </x:row>
    <x:row r="1490" ht="85" customHeight="1">
      <x:c r="A1490" s="10" t="n">
        <x:v>1489</x:v>
      </x:c>
      <x:c r="B1490" s="10" t="str">
        <x:v>USER-03-0379</x:v>
      </x:c>
      <x:c r="C1490" s="10" t="str">
        <x:v>直播</x:v>
      </x:c>
      <x:c r="D1490" s="10" t="str">
        <x:v>本场贡献-贡献榜（本场主播视角）</x:v>
      </x:c>
      <x:c r="E1490" s="10" t="str">
        <x:v>功能需求</x:v>
      </x:c>
      <x:c r="F1490" s="10" t="str">
        <x:v>P2</x:v>
      </x:c>
      <x:c r="G1490" s="9" t="str">
        <x:v>验证主播粉丝等级字段回显</x:v>
      </x:c>
      <x:c r="H1490" s="9" t="str">
        <x:v>主播视角粉丝等级</x:v>
      </x:c>
      <x:c r="I1490" s="9" t="str">
        <x:v>1. 执行角色为本场主播；当前处于本场贡献-贡献榜页面
2. 观众A当前在线、账号有效，本场有贡献；A的粉丝等级为3级</x:v>
      </x:c>
      <x:c r="J1490" s="9" t="str">
        <x:v>1. 查看A的粉丝等级</x:v>
      </x:c>
      <x:c r="K1490" s="9" t="str">
        <x:v>显示3级</x:v>
      </x:c>
      <x:c r="L1490" s="10" t="str"/>
      <x:c r="M1490" s="10" t="str">
        <x:v>未测</x:v>
      </x:c>
      <x:c r="N1490" s="10" t="str"/>
      <x:c r="O1490" s="9" t="str">
        <x:v>1. 来源（当前证据）：liveshow-proto/MainBasis/统一需求文档.md；位置：行1752、行1748
2. 规则：BR-2a0772fa5df62cb7
3. 未动态验证</x:v>
      </x:c>
    </x:row>
    <x:row r="1491" ht="85" customHeight="1">
      <x:c r="A1491" s="10" t="n">
        <x:v>1490</x:v>
      </x:c>
      <x:c r="B1491" s="10" t="str">
        <x:v>USER-03-0380</x:v>
      </x:c>
      <x:c r="C1491" s="10" t="str">
        <x:v>直播</x:v>
      </x:c>
      <x:c r="D1491" s="10" t="str">
        <x:v>本场贡献-贡献榜（本场主播视角）</x:v>
      </x:c>
      <x:c r="E1491" s="10" t="str">
        <x:v>功能需求</x:v>
      </x:c>
      <x:c r="F1491" s="10" t="str">
        <x:v>P2</x:v>
      </x:c>
      <x:c r="G1491" s="9" t="str">
        <x:v>验证主播灯牌字段回显</x:v>
      </x:c>
      <x:c r="H1491" s="9" t="str">
        <x:v>主播视角灯牌名称</x:v>
      </x:c>
      <x:c r="I1491" s="9" t="str">
        <x:v>1. 执行角色为本场主播；当前处于本场贡献-贡献榜页面
2. 观众A当前在线、账号有效，本场有贡献；A的灯牌为QA团</x:v>
      </x:c>
      <x:c r="J1491" s="9" t="str">
        <x:v>1. 查看A的灯牌</x:v>
      </x:c>
      <x:c r="K1491" s="9" t="str">
        <x:v>显示QA团</x:v>
      </x:c>
      <x:c r="L1491" s="10" t="str"/>
      <x:c r="M1491" s="10" t="str">
        <x:v>未测</x:v>
      </x:c>
      <x:c r="N1491" s="10" t="str"/>
      <x:c r="O1491" s="9" t="str">
        <x:v>1. 来源（当前证据）：liveshow-proto/MainBasis/统一需求文档.md；位置：行1752、行1748
2. 规则：BR-933038a14d7de5a1
3. 未动态验证</x:v>
      </x:c>
    </x:row>
    <x:row r="1492" ht="85" customHeight="1">
      <x:c r="A1492" s="10" t="n">
        <x:v>1491</x:v>
      </x:c>
      <x:c r="B1492" s="10" t="str">
        <x:v>USER-03-0381</x:v>
      </x:c>
      <x:c r="C1492" s="10" t="str">
        <x:v>直播</x:v>
      </x:c>
      <x:c r="D1492" s="10" t="str">
        <x:v>本场贡献-贡献榜（本场主播视角）</x:v>
      </x:c>
      <x:c r="E1492" s="10" t="str">
        <x:v>功能需求</x:v>
      </x:c>
      <x:c r="F1492" s="10" t="str">
        <x:v>P2</x:v>
      </x:c>
      <x:c r="G1492" s="9" t="str">
        <x:v>验证主播亲密度字段回显</x:v>
      </x:c>
      <x:c r="H1492" s="9" t="str">
        <x:v>主播视角粉丝亲密度</x:v>
      </x:c>
      <x:c r="I1492" s="9" t="str">
        <x:v>1. 执行角色为本场主播；当前处于本场贡献-贡献榜页面
2. 观众A当前在线、账号有效，本场有贡献；A的亲密度为20</x:v>
      </x:c>
      <x:c r="J1492" s="9" t="str">
        <x:v>1. 查看A的亲密度</x:v>
      </x:c>
      <x:c r="K1492" s="9" t="str">
        <x:v>显示20</x:v>
      </x:c>
      <x:c r="L1492" s="10" t="str"/>
      <x:c r="M1492" s="10" t="str">
        <x:v>未测</x:v>
      </x:c>
      <x:c r="N1492" s="10" t="str"/>
      <x:c r="O1492" s="9" t="str">
        <x:v>1. 来源（当前证据）：liveshow-proto/MainBasis/统一需求文档.md；位置：行1752、行1748
2. 规则：BR-8a541ab71ab9ee2f
3. 未动态验证</x:v>
      </x:c>
    </x:row>
    <x:row r="1493" ht="85" customHeight="1">
      <x:c r="A1493" s="10" t="n">
        <x:v>1492</x:v>
      </x:c>
      <x:c r="B1493" s="10" t="str">
        <x:v>USER-03-0382</x:v>
      </x:c>
      <x:c r="C1493" s="10" t="str">
        <x:v>直播</x:v>
      </x:c>
      <x:c r="D1493" s="10" t="str">
        <x:v>重点观众（本场主播视角）</x:v>
      </x:c>
      <x:c r="E1493" s="10" t="str">
        <x:v>功能需求</x:v>
      </x:c>
      <x:c r="F1493" s="10" t="str">
        <x:v>P2</x:v>
      </x:c>
      <x:c r="G1493" s="9" t="str">
        <x:v>验证主播头像字段回显</x:v>
      </x:c>
      <x:c r="H1493" s="9" t="str">
        <x:v>主播视角账号头像</x:v>
      </x:c>
      <x:c r="I1493" s="9" t="str">
        <x:v>1. 执行角色为本场主播；当前处于重点观众页面
2. 观众A当前在线、账号有效，本场有贡献；A的头像为头像P</x:v>
      </x:c>
      <x:c r="J1493" s="9" t="str">
        <x:v>1. 查看A的头像</x:v>
      </x:c>
      <x:c r="K1493" s="9" t="str">
        <x:v>显示头像P</x:v>
      </x:c>
      <x:c r="L1493" s="10" t="str"/>
      <x:c r="M1493" s="10" t="str">
        <x:v>未测</x:v>
      </x:c>
      <x:c r="N1493" s="10" t="str"/>
      <x:c r="O1493" s="9" t="str">
        <x:v>1. 来源（当前证据）：liveshow-proto/MainBasis/统一需求文档.md；位置：行1818、行1816
2. 规则：BR-dec8f82276b3fc13
3. 未动态验证</x:v>
      </x:c>
    </x:row>
    <x:row r="1494" ht="85" customHeight="1">
      <x:c r="A1494" s="10" t="n">
        <x:v>1493</x:v>
      </x:c>
      <x:c r="B1494" s="10" t="str">
        <x:v>USER-03-0383</x:v>
      </x:c>
      <x:c r="C1494" s="10" t="str">
        <x:v>直播</x:v>
      </x:c>
      <x:c r="D1494" s="10" t="str">
        <x:v>重点观众（本场主播视角）</x:v>
      </x:c>
      <x:c r="E1494" s="10" t="str">
        <x:v>功能需求</x:v>
      </x:c>
      <x:c r="F1494" s="10" t="str">
        <x:v>P2</x:v>
      </x:c>
      <x:c r="G1494" s="9" t="str">
        <x:v>验证主播昵称字段回显</x:v>
      </x:c>
      <x:c r="H1494" s="9" t="str">
        <x:v>主播视角账号昵称</x:v>
      </x:c>
      <x:c r="I1494" s="9" t="str">
        <x:v>1. 执行角色为本场主播；当前处于重点观众页面
2. 观众A当前在线、账号有效，本场有贡献；A的昵称为QA观众</x:v>
      </x:c>
      <x:c r="J1494" s="9" t="str">
        <x:v>1. 查看A的昵称</x:v>
      </x:c>
      <x:c r="K1494" s="9" t="str">
        <x:v>显示QA观众</x:v>
      </x:c>
      <x:c r="L1494" s="10" t="str"/>
      <x:c r="M1494" s="10" t="str">
        <x:v>未测</x:v>
      </x:c>
      <x:c r="N1494" s="10" t="str"/>
      <x:c r="O1494" s="9" t="str">
        <x:v>1. 来源（当前证据）：liveshow-proto/MainBasis/统一需求文档.md；位置：行1818、行1816
2. 规则：BR-2b99f4ab702e224b
3. 未动态验证</x:v>
      </x:c>
    </x:row>
    <x:row r="1495" ht="85" customHeight="1">
      <x:c r="A1495" s="10" t="n">
        <x:v>1494</x:v>
      </x:c>
      <x:c r="B1495" s="10" t="str">
        <x:v>USER-03-0384</x:v>
      </x:c>
      <x:c r="C1495" s="10" t="str">
        <x:v>直播</x:v>
      </x:c>
      <x:c r="D1495" s="10" t="str">
        <x:v>重点观众（本场主播视角）</x:v>
      </x:c>
      <x:c r="E1495" s="10" t="str">
        <x:v>功能需求</x:v>
      </x:c>
      <x:c r="F1495" s="10" t="str">
        <x:v>P2</x:v>
      </x:c>
      <x:c r="G1495" s="9" t="str">
        <x:v>验证主播财富等级字段回显</x:v>
      </x:c>
      <x:c r="H1495" s="9" t="str">
        <x:v>主播视角财富等级</x:v>
      </x:c>
      <x:c r="I1495" s="9" t="str">
        <x:v>1. 执行角色为本场主播；当前处于重点观众页面
2. 观众A当前在线、账号有效，本场有贡献；A的财富等级为5级</x:v>
      </x:c>
      <x:c r="J1495" s="9" t="str">
        <x:v>1. 查看A的财富等级</x:v>
      </x:c>
      <x:c r="K1495" s="9" t="str">
        <x:v>显示5级</x:v>
      </x:c>
      <x:c r="L1495" s="10" t="str"/>
      <x:c r="M1495" s="10" t="str">
        <x:v>未测</x:v>
      </x:c>
      <x:c r="N1495" s="10" t="str"/>
      <x:c r="O1495" s="9" t="str">
        <x:v>1. 来源（当前证据）：liveshow-proto/MainBasis/统一需求文档.md；位置：行1818、行1816
2. 规则：BR-eba4f1b5bc821b5f
3. 未动态验证</x:v>
      </x:c>
    </x:row>
    <x:row r="1496" ht="85" customHeight="1">
      <x:c r="A1496" s="10" t="n">
        <x:v>1495</x:v>
      </x:c>
      <x:c r="B1496" s="10" t="str">
        <x:v>USER-03-0385</x:v>
      </x:c>
      <x:c r="C1496" s="10" t="str">
        <x:v>直播</x:v>
      </x:c>
      <x:c r="D1496" s="10" t="str">
        <x:v>重点观众（本场主播视角）</x:v>
      </x:c>
      <x:c r="E1496" s="10" t="str">
        <x:v>功能需求</x:v>
      </x:c>
      <x:c r="F1496" s="10" t="str">
        <x:v>P2</x:v>
      </x:c>
      <x:c r="G1496" s="9" t="str">
        <x:v>验证主播粉丝身份字段回显</x:v>
      </x:c>
      <x:c r="H1496" s="9" t="str">
        <x:v>主播视角团成员身份</x:v>
      </x:c>
      <x:c r="I1496" s="9" t="str">
        <x:v>1. 执行角色为本场主播；当前处于重点观众页面
2. 观众A当前在线、账号有效，本场有贡献；A的粉丝身份为QA团成员</x:v>
      </x:c>
      <x:c r="J1496" s="9" t="str">
        <x:v>1. 查看A的粉丝身份</x:v>
      </x:c>
      <x:c r="K1496" s="9" t="str">
        <x:v>显示QA团成员</x:v>
      </x:c>
      <x:c r="L1496" s="10" t="str"/>
      <x:c r="M1496" s="10" t="str">
        <x:v>未测</x:v>
      </x:c>
      <x:c r="N1496" s="10" t="str"/>
      <x:c r="O1496" s="9" t="str">
        <x:v>1. 来源（当前证据）：liveshow-proto/MainBasis/统一需求文档.md；位置：行1818、行1816
2. 规则：BR-3b8f638617380416
3. 未动态验证</x:v>
      </x:c>
    </x:row>
    <x:row r="1497" ht="85" customHeight="1">
      <x:c r="A1497" s="10" t="n">
        <x:v>1496</x:v>
      </x:c>
      <x:c r="B1497" s="10" t="str">
        <x:v>USER-03-0386</x:v>
      </x:c>
      <x:c r="C1497" s="10" t="str">
        <x:v>直播</x:v>
      </x:c>
      <x:c r="D1497" s="10" t="str">
        <x:v>重点观众（本场主播视角）</x:v>
      </x:c>
      <x:c r="E1497" s="10" t="str">
        <x:v>功能需求</x:v>
      </x:c>
      <x:c r="F1497" s="10" t="str">
        <x:v>P1</x:v>
      </x:c>
      <x:c r="G1497" s="9" t="str">
        <x:v>验证主播本场贡献字段回显</x:v>
      </x:c>
      <x:c r="H1497" s="9" t="str">
        <x:v>资产数值</x:v>
      </x:c>
      <x:c r="I1497" s="9" t="str">
        <x:v>1. 执行角色为本场主播；当前处于重点观众页面
2. 观众A当前在线、账号有效，本场有贡献；A的本场贡献为100金币</x:v>
      </x:c>
      <x:c r="J1497" s="9" t="str">
        <x:v>1. 查看A的本场贡献</x:v>
      </x:c>
      <x:c r="K1497" s="9" t="str">
        <x:v>显示100金币</x:v>
      </x:c>
      <x:c r="L1497" s="10" t="str"/>
      <x:c r="M1497" s="10" t="str">
        <x:v>未测</x:v>
      </x:c>
      <x:c r="N1497" s="10" t="str"/>
      <x:c r="O1497" s="9" t="str">
        <x:v>1. 来源（当前证据）：liveshow-proto/MainBasis/统一需求文档.md；位置：行1818、行1816
2. 规则：BR-36b0fcaeff610c09
3. 未动态验证</x:v>
      </x:c>
    </x:row>
    <x:row r="1498" ht="85" customHeight="1">
      <x:c r="A1498" s="10" t="n">
        <x:v>1497</x:v>
      </x:c>
      <x:c r="B1498" s="10" t="str">
        <x:v>USER-03-0387</x:v>
      </x:c>
      <x:c r="C1498" s="10" t="str">
        <x:v>直播</x:v>
      </x:c>
      <x:c r="D1498" s="10" t="str">
        <x:v>在线观众-观众列表（本场主播视角）</x:v>
      </x:c>
      <x:c r="E1498" s="10" t="str">
        <x:v>功能需求</x:v>
      </x:c>
      <x:c r="F1498" s="10" t="str">
        <x:v>P2</x:v>
      </x:c>
      <x:c r="G1498" s="9" t="str">
        <x:v>验证主播头像字段回显</x:v>
      </x:c>
      <x:c r="H1498" s="9" t="str">
        <x:v>主播视角账号头像</x:v>
      </x:c>
      <x:c r="I1498" s="9" t="str">
        <x:v>1. 执行角色为本场主播；当前处于在线观众-观众列表页面
2. 观众A当前在线、账号有效，本场有贡献；A的头像为头像P</x:v>
      </x:c>
      <x:c r="J1498" s="9" t="str">
        <x:v>1. 查看A的头像</x:v>
      </x:c>
      <x:c r="K1498" s="9" t="str">
        <x:v>显示头像P</x:v>
      </x:c>
      <x:c r="L1498" s="10" t="str"/>
      <x:c r="M1498" s="10" t="str">
        <x:v>未测</x:v>
      </x:c>
      <x:c r="N1498" s="10" t="str"/>
      <x:c r="O1498" s="9" t="str">
        <x:v>1. 来源（当前证据）：liveshow-proto/MainBasis/统一需求文档.md；位置：行1764、行1762
2. 规则：BR-5e519c90daf3778f
3. 未动态验证</x:v>
      </x:c>
    </x:row>
    <x:row r="1499" ht="85" customHeight="1">
      <x:c r="A1499" s="10" t="n">
        <x:v>1498</x:v>
      </x:c>
      <x:c r="B1499" s="10" t="str">
        <x:v>USER-03-0388</x:v>
      </x:c>
      <x:c r="C1499" s="10" t="str">
        <x:v>直播</x:v>
      </x:c>
      <x:c r="D1499" s="10" t="str">
        <x:v>在线观众-观众列表（本场主播视角）</x:v>
      </x:c>
      <x:c r="E1499" s="10" t="str">
        <x:v>功能需求</x:v>
      </x:c>
      <x:c r="F1499" s="10" t="str">
        <x:v>P2</x:v>
      </x:c>
      <x:c r="G1499" s="9" t="str">
        <x:v>验证主播昵称字段回显</x:v>
      </x:c>
      <x:c r="H1499" s="9" t="str">
        <x:v>主播视角账号昵称</x:v>
      </x:c>
      <x:c r="I1499" s="9" t="str">
        <x:v>1. 执行角色为本场主播；当前处于在线观众-观众列表页面
2. 观众A当前在线、账号有效，本场有贡献；A的昵称为QA观众</x:v>
      </x:c>
      <x:c r="J1499" s="9" t="str">
        <x:v>1. 查看A的昵称</x:v>
      </x:c>
      <x:c r="K1499" s="9" t="str">
        <x:v>显示QA观众</x:v>
      </x:c>
      <x:c r="L1499" s="10" t="str"/>
      <x:c r="M1499" s="10" t="str">
        <x:v>未测</x:v>
      </x:c>
      <x:c r="N1499" s="10" t="str"/>
      <x:c r="O1499" s="9" t="str">
        <x:v>1. 来源（当前证据）：liveshow-proto/MainBasis/统一需求文档.md；位置：行1764、行1762
2. 规则：BR-c0b95e57ade9af29
3. 未动态验证</x:v>
      </x:c>
    </x:row>
    <x:row r="1500" ht="85" customHeight="1">
      <x:c r="A1500" s="10" t="n">
        <x:v>1499</x:v>
      </x:c>
      <x:c r="B1500" s="10" t="str">
        <x:v>USER-03-0389</x:v>
      </x:c>
      <x:c r="C1500" s="10" t="str">
        <x:v>直播</x:v>
      </x:c>
      <x:c r="D1500" s="10" t="str">
        <x:v>本场贡献-贡献榜（本场主播视角）</x:v>
      </x:c>
      <x:c r="E1500" s="10" t="str">
        <x:v>功能需求</x:v>
      </x:c>
      <x:c r="F1500" s="10" t="str">
        <x:v>P1</x:v>
      </x:c>
      <x:c r="G1500" s="9" t="str">
        <x:v>验证无团籍不显示粉丝身份：粉丝等级缺席</x:v>
      </x:c>
      <x:c r="H1500" s="9" t="str">
        <x:v>粉丝等级缺席</x:v>
      </x:c>
      <x:c r="I1500" s="9" t="str">
        <x:v>1. 执行角色为本场主播；当前处于本场贡献-贡献榜页面
2. 观众A有本场真实贡献，但无本主播粉丝团身份</x:v>
      </x:c>
      <x:c r="J1500" s="9" t="str">
        <x:v>1. 查看A贡献行</x:v>
      </x:c>
      <x:c r="K1500" s="9" t="str">
        <x:v>不展示A粉丝等级</x:v>
      </x:c>
      <x:c r="L1500" s="10" t="str"/>
      <x:c r="M1500" s="10" t="str">
        <x:v>未测</x:v>
      </x:c>
      <x:c r="N1500" s="10" t="str"/>
      <x:c r="O1500" s="9" t="str">
        <x:v>1. 来源（当前证据）：liveshow-proto/MainBasis/统一需求文档.md；位置：行1752、行1748
2. 规则：BR-70ba62745ad019f2
3. 未动态验证</x:v>
      </x:c>
    </x:row>
    <x:row r="1501" ht="85" customHeight="1">
      <x:c r="A1501" s="10" t="n">
        <x:v>1500</x:v>
      </x:c>
      <x:c r="B1501" s="10" t="str">
        <x:v>USER-03-0390</x:v>
      </x:c>
      <x:c r="C1501" s="10" t="str">
        <x:v>直播</x:v>
      </x:c>
      <x:c r="D1501" s="10" t="str">
        <x:v>本场贡献-贡献榜（本场主播视角）</x:v>
      </x:c>
      <x:c r="E1501" s="10" t="str">
        <x:v>功能需求</x:v>
      </x:c>
      <x:c r="F1501" s="10" t="str">
        <x:v>P1</x:v>
      </x:c>
      <x:c r="G1501" s="9" t="str">
        <x:v>验证无团籍不显示粉丝身份：灯牌缺席</x:v>
      </x:c>
      <x:c r="H1501" s="9" t="str">
        <x:v>灯牌缺席</x:v>
      </x:c>
      <x:c r="I1501" s="9" t="str">
        <x:v>1. 执行角色为本场主播；当前处于本场贡献-贡献榜页面
2. 观众A有本场真实贡献，但无本主播粉丝团身份</x:v>
      </x:c>
      <x:c r="J1501" s="9" t="str">
        <x:v>1. 查看A贡献行</x:v>
      </x:c>
      <x:c r="K1501" s="9" t="str">
        <x:v>不展示A灯牌</x:v>
      </x:c>
      <x:c r="L1501" s="10" t="str"/>
      <x:c r="M1501" s="10" t="str">
        <x:v>未测</x:v>
      </x:c>
      <x:c r="N1501" s="10" t="str"/>
      <x:c r="O1501" s="9" t="str">
        <x:v>1. 来源（当前证据）：liveshow-proto/MainBasis/统一需求文档.md；位置：行1752、行1748
2. 规则：BR-cac861bf9c9b1c4c
3. 未动态验证</x:v>
      </x:c>
    </x:row>
    <x:row r="1502" ht="85" customHeight="1">
      <x:c r="A1502" s="10" t="n">
        <x:v>1501</x:v>
      </x:c>
      <x:c r="B1502" s="10" t="str">
        <x:v>USER-03-0391</x:v>
      </x:c>
      <x:c r="C1502" s="10" t="str">
        <x:v>直播</x:v>
      </x:c>
      <x:c r="D1502" s="10" t="str">
        <x:v>本场贡献-贡献榜（本场主播视角）</x:v>
      </x:c>
      <x:c r="E1502" s="10" t="str">
        <x:v>功能需求</x:v>
      </x:c>
      <x:c r="F1502" s="10" t="str">
        <x:v>P1</x:v>
      </x:c>
      <x:c r="G1502" s="9" t="str">
        <x:v>验证无团籍不显示粉丝身份：亲密度缺席</x:v>
      </x:c>
      <x:c r="H1502" s="9" t="str">
        <x:v>亲密度缺席</x:v>
      </x:c>
      <x:c r="I1502" s="9" t="str">
        <x:v>1. 执行角色为本场主播；当前处于本场贡献-贡献榜页面
2. 观众A有本场真实贡献，但无本主播粉丝团身份</x:v>
      </x:c>
      <x:c r="J1502" s="9" t="str">
        <x:v>1. 查看A贡献行</x:v>
      </x:c>
      <x:c r="K1502" s="9" t="str">
        <x:v>不展示A团内亲密度</x:v>
      </x:c>
      <x:c r="L1502" s="10" t="str"/>
      <x:c r="M1502" s="10" t="str">
        <x:v>未测</x:v>
      </x:c>
      <x:c r="N1502" s="10" t="str"/>
      <x:c r="O1502" s="9" t="str">
        <x:v>1. 来源（当前证据）：liveshow-proto/MainBasis/统一需求文档.md；位置：行1752、行1748
2. 规则：BR-fedd615e9484b886
3. 未动态验证</x:v>
      </x:c>
    </x:row>
    <x:row r="1503" ht="85" customHeight="1">
      <x:c r="A1503" s="10" t="n">
        <x:v>1502</x:v>
      </x:c>
      <x:c r="B1503" s="10" t="str">
        <x:v>USER-03-0392</x:v>
      </x:c>
      <x:c r="C1503" s="10" t="str">
        <x:v>直播</x:v>
      </x:c>
      <x:c r="D1503" s="10" t="str">
        <x:v>在线观众-观众列表（本场主播视角）</x:v>
      </x:c>
      <x:c r="E1503" s="10" t="str">
        <x:v>功能需求</x:v>
      </x:c>
      <x:c r="F1503" s="10" t="str">
        <x:v>P1</x:v>
      </x:c>
      <x:c r="G1503" s="9" t="str">
        <x:v>验证在线观众贡献展示</x:v>
      </x:c>
      <x:c r="H1503" s="9" t="str">
        <x:v>资产数值</x:v>
      </x:c>
      <x:c r="I1503" s="9" t="str">
        <x:v>1. 执行角色为本场主播；当前处于在线观众-观众列表页面
2. A当前在线，本场有效贡献100；B已离线且贡献200</x:v>
      </x:c>
      <x:c r="J1503" s="9" t="str">
        <x:v>1. 查看A本场贡献</x:v>
      </x:c>
      <x:c r="K1503" s="9" t="str">
        <x:v>显示100金币</x:v>
      </x:c>
      <x:c r="L1503" s="10" t="str"/>
      <x:c r="M1503" s="10" t="str">
        <x:v>未测</x:v>
      </x:c>
      <x:c r="N1503" s="10" t="str"/>
      <x:c r="O1503" s="9" t="str">
        <x:v>1. 来源（当前证据）：liveshow-proto/MainBasis/统一需求文档.md；位置：行1768、行1762
2. 规则：BR-21a1e32c0488fc0f
3. 未动态验证</x:v>
      </x:c>
    </x:row>
    <x:row r="1504" ht="85" customHeight="1">
      <x:c r="A1504" s="10" t="n">
        <x:v>1503</x:v>
      </x:c>
      <x:c r="B1504" s="10" t="str">
        <x:v>USER-03-0393</x:v>
      </x:c>
      <x:c r="C1504" s="10" t="str">
        <x:v>直播</x:v>
      </x:c>
      <x:c r="D1504" s="10" t="str">
        <x:v>观众资料卡-主播（本场主播视角）</x:v>
      </x:c>
      <x:c r="E1504" s="10" t="str">
        <x:v>功能需求</x:v>
      </x:c>
      <x:c r="F1504" s="10" t="str">
        <x:v>P1</x:v>
      </x:c>
      <x:c r="G1504" s="9" t="str">
        <x:v>验证主播资料卡本场在线</x:v>
      </x:c>
      <x:c r="H1504" s="9" t="str">
        <x:v>本场在线状态标记</x:v>
      </x:c>
      <x:c r="I1504" s="9" t="str">
        <x:v>1. 执行角色为本场主播；当前处于观众资料卡-主播页面
2. A本场实际状态为在线</x:v>
      </x:c>
      <x:c r="J1504" s="9" t="str">
        <x:v>1. 查看A本场状态</x:v>
      </x:c>
      <x:c r="K1504" s="9" t="str">
        <x:v>显示在线</x:v>
      </x:c>
      <x:c r="L1504" s="10" t="str"/>
      <x:c r="M1504" s="10" t="str">
        <x:v>未测</x:v>
      </x:c>
      <x:c r="N1504" s="10" t="str"/>
      <x:c r="O1504" s="9" t="str">
        <x:v>1. 来源（当前证据）：liveshow-proto/MainBasis/统一需求文档.md；位置：行1800、行1797
2. 规则：BR-69ad6e2c9d947e1e
3. 未动态验证</x:v>
      </x:c>
    </x:row>
    <x:row r="1505" ht="85" customHeight="1">
      <x:c r="A1505" s="10" t="n">
        <x:v>1504</x:v>
      </x:c>
      <x:c r="B1505" s="10" t="str">
        <x:v>USER-03-0394</x:v>
      </x:c>
      <x:c r="C1505" s="10" t="str">
        <x:v>直播</x:v>
      </x:c>
      <x:c r="D1505" s="10" t="str">
        <x:v>观众资料卡-主播（本场主播视角）</x:v>
      </x:c>
      <x:c r="E1505" s="10" t="str">
        <x:v>功能需求</x:v>
      </x:c>
      <x:c r="F1505" s="10" t="str">
        <x:v>P1</x:v>
      </x:c>
      <x:c r="G1505" s="9" t="str">
        <x:v>验证主播资料卡本场禁言</x:v>
      </x:c>
      <x:c r="H1505" s="9" t="str">
        <x:v>本场禁言状态标记</x:v>
      </x:c>
      <x:c r="I1505" s="9" t="str">
        <x:v>1. 执行角色为本场主播；当前处于观众资料卡-主播页面
2. A本场实际状态为禁言</x:v>
      </x:c>
      <x:c r="J1505" s="9" t="str">
        <x:v>1. 查看A本场状态</x:v>
      </x:c>
      <x:c r="K1505" s="9" t="str">
        <x:v>显示禁言</x:v>
      </x:c>
      <x:c r="L1505" s="10" t="str"/>
      <x:c r="M1505" s="10" t="str">
        <x:v>未测</x:v>
      </x:c>
      <x:c r="N1505" s="10" t="str"/>
      <x:c r="O1505" s="9" t="str">
        <x:v>1. 来源（当前证据）：liveshow-proto/MainBasis/统一需求文档.md；位置：行1800、行1797
2. 规则：BR-7a92930c9f3361b1
3. 未动态验证</x:v>
      </x:c>
    </x:row>
    <x:row r="1506" ht="85" customHeight="1">
      <x:c r="A1506" s="10" t="n">
        <x:v>1505</x:v>
      </x:c>
      <x:c r="B1506" s="10" t="str">
        <x:v>USER-03-0395</x:v>
      </x:c>
      <x:c r="C1506" s="10" t="str">
        <x:v>直播</x:v>
      </x:c>
      <x:c r="D1506" s="10" t="str">
        <x:v>观众资料卡-主播（本场主播视角）</x:v>
      </x:c>
      <x:c r="E1506" s="10" t="str">
        <x:v>功能需求</x:v>
      </x:c>
      <x:c r="F1506" s="10" t="str">
        <x:v>P1</x:v>
      </x:c>
      <x:c r="G1506" s="9" t="str">
        <x:v>验证主播资料卡本场踢出</x:v>
      </x:c>
      <x:c r="H1506" s="9" t="str">
        <x:v>本场踢出状态标记</x:v>
      </x:c>
      <x:c r="I1506" s="9" t="str">
        <x:v>1. 执行角色为本场主播；当前处于观众资料卡-主播页面
2. A本场实际状态为踢出</x:v>
      </x:c>
      <x:c r="J1506" s="9" t="str">
        <x:v>1. 查看A本场状态</x:v>
      </x:c>
      <x:c r="K1506" s="9" t="str">
        <x:v>显示踢出</x:v>
      </x:c>
      <x:c r="L1506" s="10" t="str"/>
      <x:c r="M1506" s="10" t="str">
        <x:v>未测</x:v>
      </x:c>
      <x:c r="N1506" s="10" t="str"/>
      <x:c r="O1506" s="9" t="str">
        <x:v>1. 来源（当前证据）：liveshow-proto/MainBasis/统一需求文档.md；位置：行1800、行1797
2. 规则：BR-f9e2ea8e78396335
3. 未动态验证</x:v>
      </x:c>
    </x:row>
    <x:row r="1507" ht="85" customHeight="1">
      <x:c r="A1507" s="10" t="n">
        <x:v>1506</x:v>
      </x:c>
      <x:c r="B1507" s="10" t="str">
        <x:v>USER-03-0396</x:v>
      </x:c>
      <x:c r="C1507" s="10" t="str">
        <x:v>直播</x:v>
      </x:c>
      <x:c r="D1507" s="10" t="str">
        <x:v>观众资料卡-主播（本场主播视角）</x:v>
      </x:c>
      <x:c r="E1507" s="10" t="str">
        <x:v>功能需求</x:v>
      </x:c>
      <x:c r="F1507" s="10" t="str">
        <x:v>P2</x:v>
      </x:c>
      <x:c r="G1507" s="9" t="str">
        <x:v>验证主播资料卡提及</x:v>
      </x:c>
      <x:c r="H1507" s="9" t="str">
        <x:v>资料卡提及预填</x:v>
      </x:c>
      <x:c r="I1507" s="9" t="str">
        <x:v>1. 执行角色为本场主播；当前处于观众资料卡-主播页面
2. A账号可访问，当前查看A资料卡</x:v>
      </x:c>
      <x:c r="J1507" s="9" t="str">
        <x:v>1. 点击@</x:v>
      </x:c>
      <x:c r="K1507" s="9" t="str">
        <x:v>输入框预填@A</x:v>
      </x:c>
      <x:c r="L1507" s="10" t="str"/>
      <x:c r="M1507" s="10" t="str">
        <x:v>未测</x:v>
      </x:c>
      <x:c r="N1507" s="10" t="str"/>
      <x:c r="O1507" s="9" t="str">
        <x:v>1. 来源（当前证据）：liveshow-proto/MainBasis/统一需求文档.md；位置：行1801、行1797
2. 规则：BR-0b608e02b449bce9
3. 未动态验证</x:v>
      </x:c>
    </x:row>
    <x:row r="1508" ht="85" customHeight="1">
      <x:c r="A1508" s="10" t="n">
        <x:v>1507</x:v>
      </x:c>
      <x:c r="B1508" s="10" t="str">
        <x:v>USER-03-0397</x:v>
      </x:c>
      <x:c r="C1508" s="10" t="str">
        <x:v>直播</x:v>
      </x:c>
      <x:c r="D1508" s="10" t="str">
        <x:v>观众资料卡-主播（本场主播视角）</x:v>
      </x:c>
      <x:c r="E1508" s="10" t="str">
        <x:v>功能需求</x:v>
      </x:c>
      <x:c r="F1508" s="10" t="str">
        <x:v>P2</x:v>
      </x:c>
      <x:c r="G1508" s="9" t="str">
        <x:v>验证主播资料卡举报对象</x:v>
      </x:c>
      <x:c r="H1508" s="9" t="str">
        <x:v>资料卡举报账号对象</x:v>
      </x:c>
      <x:c r="I1508" s="9" t="str">
        <x:v>1. 执行角色为本场主播；当前处于观众资料卡-主播页面
2. A账号可访问，当前查看A资料卡</x:v>
      </x:c>
      <x:c r="J1508" s="9" t="str">
        <x:v>1. 点击举报</x:v>
      </x:c>
      <x:c r="K1508" s="9" t="str">
        <x:v>进入以A为对象的账号举报</x:v>
      </x:c>
      <x:c r="L1508" s="10" t="str"/>
      <x:c r="M1508" s="10" t="str">
        <x:v>未测</x:v>
      </x:c>
      <x:c r="N1508" s="10" t="str"/>
      <x:c r="O1508" s="9" t="str">
        <x:v>1. 来源（当前证据）：liveshow-proto/MainBasis/统一需求文档.md；位置：行1801、行1797
2. 规则：BR-ee10f4c8d97b9dd3
3. 未动态验证</x:v>
      </x:c>
    </x:row>
    <x:row r="1509" ht="85" customHeight="1">
      <x:c r="A1509" s="10" t="n">
        <x:v>1508</x:v>
      </x:c>
      <x:c r="B1509" s="10" t="str">
        <x:v>USER-03-0398</x:v>
      </x:c>
      <x:c r="C1509" s="10" t="str">
        <x:v>直播</x:v>
      </x:c>
      <x:c r="D1509" s="10" t="str">
        <x:v>连麦主播（本场主播视角）</x:v>
      </x:c>
      <x:c r="E1509" s="10" t="str">
        <x:v>功能需求</x:v>
      </x:c>
      <x:c r="F1509" s="10" t="str">
        <x:v>P1</x:v>
      </x:c>
      <x:c r="G1509" s="9" t="str">
        <x:v>验证连麦列表可邀请状态</x:v>
      </x:c>
      <x:c r="H1509" s="9" t="str">
        <x:v>连麦邀请状态展示</x:v>
      </x:c>
      <x:c r="I1509" s="9" t="str">
        <x:v>1. 执行角色为本场主播；当前处于连麦主播页面
2. 当前与主播B的邀请实际状态为可邀请</x:v>
      </x:c>
      <x:c r="J1509" s="9" t="str">
        <x:v>1. 查看B邀请状态</x:v>
      </x:c>
      <x:c r="K1509" s="9" t="str">
        <x:v>显示可邀请</x:v>
      </x:c>
      <x:c r="L1509" s="10" t="str"/>
      <x:c r="M1509" s="10" t="str">
        <x:v>未测</x:v>
      </x:c>
      <x:c r="N1509" s="10" t="str"/>
      <x:c r="O1509" s="9" t="str">
        <x:v>1. 来源（当前证据）：liveshow-proto/MainBasis/统一需求文档.md；位置：行1826、行1824
2. 规则：BR-9b495152b644d812
3. 未动态验证</x:v>
      </x:c>
    </x:row>
    <x:row r="1510" ht="85" customHeight="1">
      <x:c r="A1510" s="10" t="n">
        <x:v>1509</x:v>
      </x:c>
      <x:c r="B1510" s="10" t="str">
        <x:v>USER-03-0399</x:v>
      </x:c>
      <x:c r="C1510" s="10" t="str">
        <x:v>直播</x:v>
      </x:c>
      <x:c r="D1510" s="10" t="str">
        <x:v>连麦主播（本场主播视角）</x:v>
      </x:c>
      <x:c r="E1510" s="10" t="str">
        <x:v>功能需求</x:v>
      </x:c>
      <x:c r="F1510" s="10" t="str">
        <x:v>P1</x:v>
      </x:c>
      <x:c r="G1510" s="9" t="str">
        <x:v>验证连麦列表邀请中状态</x:v>
      </x:c>
      <x:c r="H1510" s="9" t="str">
        <x:v>连麦邀请状态展示</x:v>
      </x:c>
      <x:c r="I1510" s="9" t="str">
        <x:v>1. 执行角色为本场主播；当前处于连麦主播页面
2. 当前与主播B的邀请实际状态为邀请中</x:v>
      </x:c>
      <x:c r="J1510" s="9" t="str">
        <x:v>1. 查看B邀请状态</x:v>
      </x:c>
      <x:c r="K1510" s="9" t="str">
        <x:v>显示邀请中</x:v>
      </x:c>
      <x:c r="L1510" s="10" t="str"/>
      <x:c r="M1510" s="10" t="str">
        <x:v>未测</x:v>
      </x:c>
      <x:c r="N1510" s="10" t="str"/>
      <x:c r="O1510" s="9" t="str">
        <x:v>1. 来源（当前证据）：liveshow-proto/MainBasis/统一需求文档.md；位置：行1826、行1824
2. 规则：BR-356820b8884bd773
3. 未动态验证</x:v>
      </x:c>
    </x:row>
    <x:row r="1511" ht="85" customHeight="1">
      <x:c r="A1511" s="10" t="n">
        <x:v>1510</x:v>
      </x:c>
      <x:c r="B1511" s="10" t="str">
        <x:v>USER-03-0400</x:v>
      </x:c>
      <x:c r="C1511" s="10" t="str">
        <x:v>直播</x:v>
      </x:c>
      <x:c r="D1511" s="10" t="str">
        <x:v>连麦主播（本场主播视角）</x:v>
      </x:c>
      <x:c r="E1511" s="10" t="str">
        <x:v>功能需求</x:v>
      </x:c>
      <x:c r="F1511" s="10" t="str">
        <x:v>P1</x:v>
      </x:c>
      <x:c r="G1511" s="9" t="str">
        <x:v>验证连麦列表已接受状态</x:v>
      </x:c>
      <x:c r="H1511" s="9" t="str">
        <x:v>连麦邀请状态展示</x:v>
      </x:c>
      <x:c r="I1511" s="9" t="str">
        <x:v>1. 执行角色为本场主播；当前处于连麦主播页面
2. 当前与主播B的邀请实际状态为已接受</x:v>
      </x:c>
      <x:c r="J1511" s="9" t="str">
        <x:v>1. 查看B邀请状态</x:v>
      </x:c>
      <x:c r="K1511" s="9" t="str">
        <x:v>显示已接受</x:v>
      </x:c>
      <x:c r="L1511" s="10" t="str"/>
      <x:c r="M1511" s="10" t="str">
        <x:v>未测</x:v>
      </x:c>
      <x:c r="N1511" s="10" t="str"/>
      <x:c r="O1511" s="9" t="str">
        <x:v>1. 来源（当前证据）：liveshow-proto/MainBasis/统一需求文档.md；位置：行1826、行1824
2. 规则：BR-73a4f597fc63df4a
3. 未动态验证</x:v>
      </x:c>
    </x:row>
    <x:row r="1512" ht="85" customHeight="1">
      <x:c r="A1512" s="10" t="n">
        <x:v>1511</x:v>
      </x:c>
      <x:c r="B1512" s="10" t="str">
        <x:v>USER-03-0401</x:v>
      </x:c>
      <x:c r="C1512" s="10" t="str">
        <x:v>直播</x:v>
      </x:c>
      <x:c r="D1512" s="10" t="str">
        <x:v>连麦主播（本场主播视角）</x:v>
      </x:c>
      <x:c r="E1512" s="10" t="str">
        <x:v>功能需求</x:v>
      </x:c>
      <x:c r="F1512" s="10" t="str">
        <x:v>P1</x:v>
      </x:c>
      <x:c r="G1512" s="9" t="str">
        <x:v>验证连麦列表已拒绝状态</x:v>
      </x:c>
      <x:c r="H1512" s="9" t="str">
        <x:v>连麦邀请状态展示</x:v>
      </x:c>
      <x:c r="I1512" s="9" t="str">
        <x:v>1. 执行角色为本场主播；当前处于连麦主播页面
2. 当前与主播B的邀请实际状态为已拒绝</x:v>
      </x:c>
      <x:c r="J1512" s="9" t="str">
        <x:v>1. 查看B邀请状态</x:v>
      </x:c>
      <x:c r="K1512" s="9" t="str">
        <x:v>显示已拒绝</x:v>
      </x:c>
      <x:c r="L1512" s="10" t="str"/>
      <x:c r="M1512" s="10" t="str">
        <x:v>未测</x:v>
      </x:c>
      <x:c r="N1512" s="10" t="str"/>
      <x:c r="O1512" s="9" t="str">
        <x:v>1. 来源（当前证据）：liveshow-proto/MainBasis/统一需求文档.md；位置：行1826、行1824
2. 规则：BR-5c95e10a0d25cb83
3. 未动态验证</x:v>
      </x:c>
    </x:row>
    <x:row r="1513" ht="85" customHeight="1">
      <x:c r="A1513" s="10" t="n">
        <x:v>1512</x:v>
      </x:c>
      <x:c r="B1513" s="10" t="str">
        <x:v>USER-03-0402</x:v>
      </x:c>
      <x:c r="C1513" s="10" t="str">
        <x:v>直播</x:v>
      </x:c>
      <x:c r="D1513" s="10" t="str">
        <x:v>连麦主播（本场主播视角）</x:v>
      </x:c>
      <x:c r="E1513" s="10" t="str">
        <x:v>功能需求</x:v>
      </x:c>
      <x:c r="F1513" s="10" t="str">
        <x:v>P1</x:v>
      </x:c>
      <x:c r="G1513" s="9" t="str">
        <x:v>验证连麦列表已失效状态</x:v>
      </x:c>
      <x:c r="H1513" s="9" t="str">
        <x:v>连麦邀请状态展示</x:v>
      </x:c>
      <x:c r="I1513" s="9" t="str">
        <x:v>1. 执行角色为本场主播；当前处于连麦主播页面
2. 当前与主播B的邀请实际状态为已失效</x:v>
      </x:c>
      <x:c r="J1513" s="9" t="str">
        <x:v>1. 查看B邀请状态</x:v>
      </x:c>
      <x:c r="K1513" s="9" t="str">
        <x:v>显示已失效</x:v>
      </x:c>
      <x:c r="L1513" s="10" t="str"/>
      <x:c r="M1513" s="10" t="str">
        <x:v>未测</x:v>
      </x:c>
      <x:c r="N1513" s="10" t="str"/>
      <x:c r="O1513" s="9" t="str">
        <x:v>1. 来源（当前证据）：liveshow-proto/MainBasis/统一需求文档.md；位置：行1826、行1824
2. 规则：BR-9b80093eb0d0773b
3. 未动态验证</x:v>
      </x:c>
    </x:row>
    <x:row r="1514" ht="85" customHeight="1">
      <x:c r="A1514" s="10" t="n">
        <x:v>1513</x:v>
      </x:c>
      <x:c r="B1514" s="10" t="str">
        <x:v>USER-03-0403</x:v>
      </x:c>
      <x:c r="C1514" s="10" t="str">
        <x:v>直播</x:v>
      </x:c>
      <x:c r="D1514" s="10" t="str">
        <x:v>更多功能（本场主播视角）</x:v>
      </x:c>
      <x:c r="E1514" s="10" t="str">
        <x:v>功能需求</x:v>
      </x:c>
      <x:c r="F1514" s="10" t="str">
        <x:v>P2</x:v>
      </x:c>
      <x:c r="G1514" s="9" t="str">
        <x:v>验证更多美颜入口</x:v>
      </x:c>
      <x:c r="H1514" s="9" t="str">
        <x:v>美颜弹层页面去向</x:v>
      </x:c>
      <x:c r="I1514" s="9" t="str">
        <x:v>1. 执行角色为本场主播；当前处于更多功能页面
2. 当前正在普通房独立直播</x:v>
      </x:c>
      <x:c r="J1514" s="9" t="str">
        <x:v>1. 点击美颜</x:v>
      </x:c>
      <x:c r="K1514" s="9" t="str">
        <x:v>打开美颜视图</x:v>
      </x:c>
      <x:c r="L1514" s="10" t="str"/>
      <x:c r="M1514" s="10" t="str">
        <x:v>未测</x:v>
      </x:c>
      <x:c r="N1514" s="10" t="str"/>
      <x:c r="O1514" s="9" t="str">
        <x:v>1. 来源（当前证据）：liveshow-proto/MainBasis/统一需求文档.md；位置：行1862、行1857
2. 规则：BR-fcf61d3d68ab491e
3. 未动态验证</x:v>
      </x:c>
    </x:row>
    <x:row r="1515" ht="85" customHeight="1">
      <x:c r="A1515" s="10" t="n">
        <x:v>1514</x:v>
      </x:c>
      <x:c r="B1515" s="10" t="str">
        <x:v>USER-03-0404</x:v>
      </x:c>
      <x:c r="C1515" s="10" t="str">
        <x:v>直播</x:v>
      </x:c>
      <x:c r="D1515" s="10" t="str">
        <x:v>更多功能（本场主播视角）</x:v>
      </x:c>
      <x:c r="E1515" s="10" t="str">
        <x:v>功能需求</x:v>
      </x:c>
      <x:c r="F1515" s="10" t="str">
        <x:v>P2</x:v>
      </x:c>
      <x:c r="G1515" s="9" t="str">
        <x:v>验证更多禁用用户入口</x:v>
      </x:c>
      <x:c r="H1515" s="9" t="str">
        <x:v>本场禁言列表去向</x:v>
      </x:c>
      <x:c r="I1515" s="9" t="str">
        <x:v>1. 执行角色为本场主播；当前处于更多功能页面
2. 当前正在普通房独立直播</x:v>
      </x:c>
      <x:c r="J1515" s="9" t="str">
        <x:v>1. 点击禁用用户</x:v>
      </x:c>
      <x:c r="K1515" s="9" t="str">
        <x:v>打开当前场次禁言列表</x:v>
      </x:c>
      <x:c r="L1515" s="10" t="str"/>
      <x:c r="M1515" s="10" t="str">
        <x:v>未测</x:v>
      </x:c>
      <x:c r="N1515" s="10" t="str"/>
      <x:c r="O1515" s="9" t="str">
        <x:v>1. 来源（当前证据）：liveshow-proto/MainBasis/统一需求文档.md；位置：行1862、行1857
2. 规则：BR-1197779a2274120c
3. 未动态验证</x:v>
      </x:c>
    </x:row>
    <x:row r="1516" ht="85" customHeight="1">
      <x:c r="A1516" s="10" t="n">
        <x:v>1515</x:v>
      </x:c>
      <x:c r="B1516" s="10" t="str">
        <x:v>USER-03-0405</x:v>
      </x:c>
      <x:c r="C1516" s="10" t="str">
        <x:v>直播</x:v>
      </x:c>
      <x:c r="D1516" s="10" t="str">
        <x:v>更多功能（本场主播视角）</x:v>
      </x:c>
      <x:c r="E1516" s="10" t="str">
        <x:v>功能需求</x:v>
      </x:c>
      <x:c r="F1516" s="10" t="str">
        <x:v>P2</x:v>
      </x:c>
      <x:c r="G1516" s="9" t="str">
        <x:v>验证更多转发入口</x:v>
      </x:c>
      <x:c r="H1516" s="9" t="str">
        <x:v>转发接收列表去向</x:v>
      </x:c>
      <x:c r="I1516" s="9" t="str">
        <x:v>1. 执行角色为本场主播；当前处于更多功能页面
2. 当前正在普通房独立直播</x:v>
      </x:c>
      <x:c r="J1516" s="9" t="str">
        <x:v>1. 点击转发</x:v>
      </x:c>
      <x:c r="K1516" s="9" t="str">
        <x:v>打开接收对象视图</x:v>
      </x:c>
      <x:c r="L1516" s="10" t="str"/>
      <x:c r="M1516" s="10" t="str">
        <x:v>未测</x:v>
      </x:c>
      <x:c r="N1516" s="10" t="str"/>
      <x:c r="O1516" s="9" t="str">
        <x:v>1. 来源（当前证据）：liveshow-proto/MainBasis/统一需求文档.md；位置：行1862、行1857
2. 规则：BR-d7b7e7069003da09
3. 未动态验证</x:v>
      </x:c>
    </x:row>
    <x:row r="1517" ht="85" customHeight="1">
      <x:c r="A1517" s="10" t="n">
        <x:v>1516</x:v>
      </x:c>
      <x:c r="B1517" s="10" t="str">
        <x:v>USER-03-0406</x:v>
      </x:c>
      <x:c r="C1517" s="10" t="str">
        <x:v>直播</x:v>
      </x:c>
      <x:c r="D1517" s="10" t="str">
        <x:v>更多功能（本场主播视角）</x:v>
      </x:c>
      <x:c r="E1517" s="10" t="str">
        <x:v>功能需求</x:v>
      </x:c>
      <x:c r="F1517" s="10" t="str">
        <x:v>P2</x:v>
      </x:c>
      <x:c r="G1517" s="9" t="str">
        <x:v>验证更多关闭返回直播</x:v>
      </x:c>
      <x:c r="H1517" s="9" t="str">
        <x:v>更多菜单返回去向</x:v>
      </x:c>
      <x:c r="I1517" s="9" t="str">
        <x:v>1. 执行角色为本场主播；当前处于更多功能页面
2. 当前正在普通房独立直播
3. 更多操作视图已展开</x:v>
      </x:c>
      <x:c r="J1517" s="9" t="str">
        <x:v>1. 点击关闭</x:v>
      </x:c>
      <x:c r="K1517" s="9" t="str">
        <x:v>返回当前直播间</x:v>
      </x:c>
      <x:c r="L1517" s="10" t="str"/>
      <x:c r="M1517" s="10" t="str">
        <x:v>未测</x:v>
      </x:c>
      <x:c r="N1517" s="10" t="str"/>
      <x:c r="O1517" s="9" t="str">
        <x:v>1. 来源（当前证据）：liveshow-proto/MainBasis/统一需求文档.md；位置：行1862、行1857
2. 规则：BR-e59ef452a5caa774
3. 未动态验证</x:v>
      </x:c>
    </x:row>
    <x:row r="1518" ht="85" customHeight="1">
      <x:c r="A1518" s="10" t="n">
        <x:v>1517</x:v>
      </x:c>
      <x:c r="B1518" s="10" t="str">
        <x:v>USER-03-0407</x:v>
      </x:c>
      <x:c r="C1518" s="10" t="str">
        <x:v>直播</x:v>
      </x:c>
      <x:c r="D1518" s="10" t="str">
        <x:v>更多功能（本场主播视角）</x:v>
      </x:c>
      <x:c r="E1518" s="10" t="str">
        <x:v>功能需求</x:v>
      </x:c>
      <x:c r="F1518" s="10" t="str">
        <x:v>P2</x:v>
      </x:c>
      <x:c r="G1518" s="9" t="str">
        <x:v>验证更多美颜入口</x:v>
      </x:c>
      <x:c r="H1518" s="9" t="str">
        <x:v>美颜弹层页面去向</x:v>
      </x:c>
      <x:c r="I1518" s="9" t="str">
        <x:v>1. 执行角色为本场主播；当前处于更多功能页面
2. 当前正在密码房直播</x:v>
      </x:c>
      <x:c r="J1518" s="9" t="str">
        <x:v>1. 点击美颜</x:v>
      </x:c>
      <x:c r="K1518" s="9" t="str">
        <x:v>打开美颜视图</x:v>
      </x:c>
      <x:c r="L1518" s="10" t="str"/>
      <x:c r="M1518" s="10" t="str">
        <x:v>未测</x:v>
      </x:c>
      <x:c r="N1518" s="10" t="str"/>
      <x:c r="O1518" s="9" t="str">
        <x:v>1. 来源（当前证据）：liveshow-proto/MainBasis/统一需求文档.md；位置：行1872、行1874、行1870
2. 规则：BR-37989198d829aa37
3. 未动态验证</x:v>
      </x:c>
    </x:row>
    <x:row r="1519" ht="85" customHeight="1">
      <x:c r="A1519" s="10" t="n">
        <x:v>1518</x:v>
      </x:c>
      <x:c r="B1519" s="10" t="str">
        <x:v>USER-03-0408</x:v>
      </x:c>
      <x:c r="C1519" s="10" t="str">
        <x:v>直播</x:v>
      </x:c>
      <x:c r="D1519" s="10" t="str">
        <x:v>更多功能（本场主播视角）</x:v>
      </x:c>
      <x:c r="E1519" s="10" t="str">
        <x:v>功能需求</x:v>
      </x:c>
      <x:c r="F1519" s="10" t="str">
        <x:v>P2</x:v>
      </x:c>
      <x:c r="G1519" s="9" t="str">
        <x:v>验证更多禁用用户入口</x:v>
      </x:c>
      <x:c r="H1519" s="9" t="str">
        <x:v>本场禁言列表去向</x:v>
      </x:c>
      <x:c r="I1519" s="9" t="str">
        <x:v>1. 执行角色为本场主播；当前处于更多功能页面
2. 当前正在密码房直播</x:v>
      </x:c>
      <x:c r="J1519" s="9" t="str">
        <x:v>1. 点击禁用用户</x:v>
      </x:c>
      <x:c r="K1519" s="9" t="str">
        <x:v>打开当前场次禁言列表</x:v>
      </x:c>
      <x:c r="L1519" s="10" t="str"/>
      <x:c r="M1519" s="10" t="str">
        <x:v>未测</x:v>
      </x:c>
      <x:c r="N1519" s="10" t="str"/>
      <x:c r="O1519" s="9" t="str">
        <x:v>1. 来源（当前证据）：liveshow-proto/MainBasis/统一需求文档.md；位置：行1872、行1874、行1870
2. 规则：BR-ce8faad4fc041ae8
3. 未动态验证</x:v>
      </x:c>
    </x:row>
    <x:row r="1520" ht="85" customHeight="1">
      <x:c r="A1520" s="10" t="n">
        <x:v>1519</x:v>
      </x:c>
      <x:c r="B1520" s="10" t="str">
        <x:v>USER-03-0409</x:v>
      </x:c>
      <x:c r="C1520" s="10" t="str">
        <x:v>直播</x:v>
      </x:c>
      <x:c r="D1520" s="10" t="str">
        <x:v>更多功能（本场主播视角）</x:v>
      </x:c>
      <x:c r="E1520" s="10" t="str">
        <x:v>功能需求</x:v>
      </x:c>
      <x:c r="F1520" s="10" t="str">
        <x:v>P2</x:v>
      </x:c>
      <x:c r="G1520" s="9" t="str">
        <x:v>验证更多房间密码入口</x:v>
      </x:c>
      <x:c r="H1520" s="9" t="str">
        <x:v>房间密码编辑入口</x:v>
      </x:c>
      <x:c r="I1520" s="9" t="str">
        <x:v>1. 执行角色为本场主播；当前处于更多功能页面
2. 当前正在密码房直播</x:v>
      </x:c>
      <x:c r="J1520" s="9" t="str">
        <x:v>1. 点击房间密码</x:v>
      </x:c>
      <x:c r="K1520" s="9" t="str">
        <x:v>打开本场密码修改视图</x:v>
      </x:c>
      <x:c r="L1520" s="10" t="str"/>
      <x:c r="M1520" s="10" t="str">
        <x:v>未测</x:v>
      </x:c>
      <x:c r="N1520" s="10" t="str"/>
      <x:c r="O1520" s="9" t="str">
        <x:v>1. 来源（当前证据）：liveshow-proto/MainBasis/统一需求文档.md；位置：行1872、行1874、行1870
2. 规则：BR-9e84514b527c40fd
3. 未动态验证</x:v>
      </x:c>
    </x:row>
    <x:row r="1521" ht="85" customHeight="1">
      <x:c r="A1521" s="10" t="n">
        <x:v>1520</x:v>
      </x:c>
      <x:c r="B1521" s="10" t="str">
        <x:v>USER-03-0410</x:v>
      </x:c>
      <x:c r="C1521" s="10" t="str">
        <x:v>直播</x:v>
      </x:c>
      <x:c r="D1521" s="10" t="str">
        <x:v>更多功能（本场主播视角）</x:v>
      </x:c>
      <x:c r="E1521" s="10" t="str">
        <x:v>功能需求</x:v>
      </x:c>
      <x:c r="F1521" s="10" t="str">
        <x:v>P2</x:v>
      </x:c>
      <x:c r="G1521" s="9" t="str">
        <x:v>验证更多访问范围入口</x:v>
      </x:c>
      <x:c r="H1521" s="9" t="str">
        <x:v>访问范围弹层去向</x:v>
      </x:c>
      <x:c r="I1521" s="9" t="str">
        <x:v>1. 执行角色为本场主播；当前处于更多功能页面
2. 当前正在密码房直播</x:v>
      </x:c>
      <x:c r="J1521" s="9" t="str">
        <x:v>1. 点击访问范围</x:v>
      </x:c>
      <x:c r="K1521" s="9" t="str">
        <x:v>打开访问范围视图</x:v>
      </x:c>
      <x:c r="L1521" s="10" t="str"/>
      <x:c r="M1521" s="10" t="str">
        <x:v>未测</x:v>
      </x:c>
      <x:c r="N1521" s="10" t="str"/>
      <x:c r="O1521" s="9" t="str">
        <x:v>1. 来源（当前证据）：liveshow-proto/MainBasis/统一需求文档.md；位置：行1872、行1874、行1870
2. 规则：BR-56bced719444c0e0
3. 未动态验证</x:v>
      </x:c>
    </x:row>
    <x:row r="1522" ht="85" customHeight="1">
      <x:c r="A1522" s="10" t="n">
        <x:v>1521</x:v>
      </x:c>
      <x:c r="B1522" s="10" t="str">
        <x:v>USER-03-0411</x:v>
      </x:c>
      <x:c r="C1522" s="10" t="str">
        <x:v>直播</x:v>
      </x:c>
      <x:c r="D1522" s="10" t="str">
        <x:v>更多功能（本场主播视角）</x:v>
      </x:c>
      <x:c r="E1522" s="10" t="str">
        <x:v>功能需求</x:v>
      </x:c>
      <x:c r="F1522" s="10" t="str">
        <x:v>P2</x:v>
      </x:c>
      <x:c r="G1522" s="9" t="str">
        <x:v>验证更多转发入口</x:v>
      </x:c>
      <x:c r="H1522" s="9" t="str">
        <x:v>转发接收列表去向</x:v>
      </x:c>
      <x:c r="I1522" s="9" t="str">
        <x:v>1. 执行角色为本场主播；当前处于更多功能页面
2. 当前正在密码房直播</x:v>
      </x:c>
      <x:c r="J1522" s="9" t="str">
        <x:v>1. 点击转发</x:v>
      </x:c>
      <x:c r="K1522" s="9" t="str">
        <x:v>打开接收对象视图</x:v>
      </x:c>
      <x:c r="L1522" s="10" t="str"/>
      <x:c r="M1522" s="10" t="str">
        <x:v>未测</x:v>
      </x:c>
      <x:c r="N1522" s="10" t="str"/>
      <x:c r="O1522" s="9" t="str">
        <x:v>1. 来源（当前证据）：liveshow-proto/MainBasis/统一需求文档.md；位置：行1872、行1874、行1870
2. 规则：BR-1b91469249c7afe4
3. 未动态验证</x:v>
      </x:c>
    </x:row>
    <x:row r="1523" ht="85" customHeight="1">
      <x:c r="A1523" s="10" t="n">
        <x:v>1522</x:v>
      </x:c>
      <x:c r="B1523" s="10" t="str">
        <x:v>USER-03-0412</x:v>
      </x:c>
      <x:c r="C1523" s="10" t="str">
        <x:v>直播</x:v>
      </x:c>
      <x:c r="D1523" s="10" t="str">
        <x:v>更多功能（本场主播视角）</x:v>
      </x:c>
      <x:c r="E1523" s="10" t="str">
        <x:v>功能需求</x:v>
      </x:c>
      <x:c r="F1523" s="10" t="str">
        <x:v>P2</x:v>
      </x:c>
      <x:c r="G1523" s="9" t="str">
        <x:v>验证更多关闭返回直播</x:v>
      </x:c>
      <x:c r="H1523" s="9" t="str">
        <x:v>更多菜单返回去向</x:v>
      </x:c>
      <x:c r="I1523" s="9" t="str">
        <x:v>1. 执行角色为本场主播；当前处于更多功能页面
2. 当前正在密码房直播
3. 更多操作视图已展开</x:v>
      </x:c>
      <x:c r="J1523" s="9" t="str">
        <x:v>1. 点击关闭</x:v>
      </x:c>
      <x:c r="K1523" s="9" t="str">
        <x:v>返回当前直播间</x:v>
      </x:c>
      <x:c r="L1523" s="10" t="str"/>
      <x:c r="M1523" s="10" t="str">
        <x:v>未测</x:v>
      </x:c>
      <x:c r="N1523" s="10" t="str"/>
      <x:c r="O1523" s="9" t="str">
        <x:v>1. 来源（当前证据）：liveshow-proto/MainBasis/统一需求文档.md；位置：行1872、行1874、行1870
2. 规则：BR-9c4ba6fb0c1cb698
3. 未动态验证</x:v>
      </x:c>
    </x:row>
    <x:row r="1524" ht="85" customHeight="1">
      <x:c r="A1524" s="10" t="n">
        <x:v>1523</x:v>
      </x:c>
      <x:c r="B1524" s="10" t="str">
        <x:v>USER-03-0413</x:v>
      </x:c>
      <x:c r="C1524" s="10" t="str">
        <x:v>直播</x:v>
      </x:c>
      <x:c r="D1524" s="10" t="str">
        <x:v>更多功能（本场主播视角）</x:v>
      </x:c>
      <x:c r="E1524" s="10" t="str">
        <x:v>功能需求</x:v>
      </x:c>
      <x:c r="F1524" s="10" t="str">
        <x:v>P2</x:v>
      </x:c>
      <x:c r="G1524" s="9" t="str">
        <x:v>验证更多美颜入口</x:v>
      </x:c>
      <x:c r="H1524" s="9" t="str">
        <x:v>美颜弹层页面去向</x:v>
      </x:c>
      <x:c r="I1524" s="9" t="str">
        <x:v>1. 执行角色为本场主播；当前处于更多功能页面
2. 当前正在与另一主播连麦</x:v>
      </x:c>
      <x:c r="J1524" s="9" t="str">
        <x:v>1. 点击美颜</x:v>
      </x:c>
      <x:c r="K1524" s="9" t="str">
        <x:v>打开美颜视图</x:v>
      </x:c>
      <x:c r="L1524" s="10" t="str"/>
      <x:c r="M1524" s="10" t="str">
        <x:v>未测</x:v>
      </x:c>
      <x:c r="N1524" s="10" t="str"/>
      <x:c r="O1524" s="9" t="str">
        <x:v>1. 来源（当前证据）：liveshow-proto/MainBasis/统一需求文档.md；位置：行1893、行1892
2. 规则：BR-271315791f7ab579
3. 未动态验证</x:v>
      </x:c>
    </x:row>
    <x:row r="1525" ht="85" customHeight="1">
      <x:c r="A1525" s="10" t="n">
        <x:v>1524</x:v>
      </x:c>
      <x:c r="B1525" s="10" t="str">
        <x:v>USER-03-0414</x:v>
      </x:c>
      <x:c r="C1525" s="10" t="str">
        <x:v>直播</x:v>
      </x:c>
      <x:c r="D1525" s="10" t="str">
        <x:v>更多功能（本场主播视角）</x:v>
      </x:c>
      <x:c r="E1525" s="10" t="str">
        <x:v>功能需求</x:v>
      </x:c>
      <x:c r="F1525" s="10" t="str">
        <x:v>P2</x:v>
      </x:c>
      <x:c r="G1525" s="9" t="str">
        <x:v>验证更多观众管理入口</x:v>
      </x:c>
      <x:c r="H1525" s="9" t="str">
        <x:v>本场观众管理去向</x:v>
      </x:c>
      <x:c r="I1525" s="9" t="str">
        <x:v>1. 执行角色为本场主播；当前处于更多功能页面
2. 当前正在与另一主播连麦</x:v>
      </x:c>
      <x:c r="J1525" s="9" t="str">
        <x:v>1. 点击观众管理</x:v>
      </x:c>
      <x:c r="K1525" s="9" t="str">
        <x:v>打开本场观众管理</x:v>
      </x:c>
      <x:c r="L1525" s="10" t="str"/>
      <x:c r="M1525" s="10" t="str">
        <x:v>未测</x:v>
      </x:c>
      <x:c r="N1525" s="10" t="str"/>
      <x:c r="O1525" s="9" t="str">
        <x:v>1. 来源（当前证据）：liveshow-proto/MainBasis/统一需求文档.md；位置：行1893、行1892
2. 规则：BR-f00a89b8ed0bdb25
3. 未动态验证</x:v>
      </x:c>
    </x:row>
    <x:row r="1526" ht="85" customHeight="1">
      <x:c r="A1526" s="10" t="n">
        <x:v>1525</x:v>
      </x:c>
      <x:c r="B1526" s="10" t="str">
        <x:v>USER-03-0415</x:v>
      </x:c>
      <x:c r="C1526" s="10" t="str">
        <x:v>直播</x:v>
      </x:c>
      <x:c r="D1526" s="10" t="str">
        <x:v>更多功能（本场主播视角）</x:v>
      </x:c>
      <x:c r="E1526" s="10" t="str">
        <x:v>功能需求</x:v>
      </x:c>
      <x:c r="F1526" s="10" t="str">
        <x:v>P2</x:v>
      </x:c>
      <x:c r="G1526" s="9" t="str">
        <x:v>验证更多转发入口</x:v>
      </x:c>
      <x:c r="H1526" s="9" t="str">
        <x:v>转发接收列表去向</x:v>
      </x:c>
      <x:c r="I1526" s="9" t="str">
        <x:v>1. 执行角色为本场主播；当前处于更多功能页面
2. 当前正在与另一主播连麦</x:v>
      </x:c>
      <x:c r="J1526" s="9" t="str">
        <x:v>1. 点击转发</x:v>
      </x:c>
      <x:c r="K1526" s="9" t="str">
        <x:v>打开接收对象视图</x:v>
      </x:c>
      <x:c r="L1526" s="10" t="str"/>
      <x:c r="M1526" s="10" t="str">
        <x:v>未测</x:v>
      </x:c>
      <x:c r="N1526" s="10" t="str"/>
      <x:c r="O1526" s="9" t="str">
        <x:v>1. 来源（当前证据）：liveshow-proto/MainBasis/统一需求文档.md；位置：行1893、行1892
2. 规则：BR-98c5503e372b0505
3. 未动态验证</x:v>
      </x:c>
    </x:row>
    <x:row r="1527" ht="85" customHeight="1">
      <x:c r="A1527" s="10" t="n">
        <x:v>1526</x:v>
      </x:c>
      <x:c r="B1527" s="10" t="str">
        <x:v>USER-03-0416</x:v>
      </x:c>
      <x:c r="C1527" s="10" t="str">
        <x:v>直播</x:v>
      </x:c>
      <x:c r="D1527" s="10" t="str">
        <x:v>更多功能（本场主播视角）</x:v>
      </x:c>
      <x:c r="E1527" s="10" t="str">
        <x:v>功能需求</x:v>
      </x:c>
      <x:c r="F1527" s="10" t="str">
        <x:v>P2</x:v>
      </x:c>
      <x:c r="G1527" s="9" t="str">
        <x:v>验证更多关闭返回直播</x:v>
      </x:c>
      <x:c r="H1527" s="9" t="str">
        <x:v>更多菜单返回去向</x:v>
      </x:c>
      <x:c r="I1527" s="9" t="str">
        <x:v>1. 执行角色为本场主播；当前处于更多功能页面
2. 当前正在与另一主播连麦
3. 更多操作视图已展开</x:v>
      </x:c>
      <x:c r="J1527" s="9" t="str">
        <x:v>1. 点击关闭</x:v>
      </x:c>
      <x:c r="K1527" s="9" t="str">
        <x:v>返回当前直播间</x:v>
      </x:c>
      <x:c r="L1527" s="10" t="str"/>
      <x:c r="M1527" s="10" t="str">
        <x:v>未测</x:v>
      </x:c>
      <x:c r="N1527" s="10" t="str"/>
      <x:c r="O1527" s="9" t="str">
        <x:v>1. 来源（当前证据）：liveshow-proto/MainBasis/统一需求文档.md；位置：行1893、行1892
2. 规则：BR-1d4f408e036fab08
3. 未动态验证</x:v>
      </x:c>
    </x:row>
    <x:row r="1528" ht="85" customHeight="1">
      <x:c r="A1528" s="10" t="n">
        <x:v>1527</x:v>
      </x:c>
      <x:c r="B1528" s="10" t="str">
        <x:v>USER-03-0417</x:v>
      </x:c>
      <x:c r="C1528" s="10" t="str">
        <x:v>直播</x:v>
      </x:c>
      <x:c r="D1528" s="10" t="str">
        <x:v>访问范围（密码房主播视角）</x:v>
      </x:c>
      <x:c r="E1528" s="10" t="str">
        <x:v>功能需求</x:v>
      </x:c>
      <x:c r="F1528" s="10" t="str">
        <x:v>P1</x:v>
      </x:c>
      <x:c r="G1528" s="9" t="str">
        <x:v>验证直播中访问范围读取广场值</x:v>
      </x:c>
      <x:c r="H1528" s="9" t="str">
        <x:v>广场展示开关当前值</x:v>
      </x:c>
      <x:c r="I1528" s="9" t="str">
        <x:v>1. 执行角色为密码房主播；当前处于访问范围页面
2. 当前场次确认的广场展示为关闭、仅团成员为开启；当前仍有有效粉丝团</x:v>
      </x:c>
      <x:c r="J1528" s="9" t="str">
        <x:v>1. 查看广场展示</x:v>
      </x:c>
      <x:c r="K1528" s="9" t="str">
        <x:v>为关闭</x:v>
      </x:c>
      <x:c r="L1528" s="10" t="str"/>
      <x:c r="M1528" s="10" t="str">
        <x:v>未测</x:v>
      </x:c>
      <x:c r="N1528" s="10" t="str"/>
      <x:c r="O1528" s="9" t="str">
        <x:v>1. 来源（当前证据）：liveshow-proto/MainBasis/统一需求文档.md；位置：行1884、行1883
2. 规则：BR-917ca04cc392616b
3. 未动态验证</x:v>
      </x:c>
    </x:row>
    <x:row r="1529" ht="85" customHeight="1">
      <x:c r="A1529" s="10" t="n">
        <x:v>1528</x:v>
      </x:c>
      <x:c r="B1529" s="10" t="str">
        <x:v>USER-03-0418</x:v>
      </x:c>
      <x:c r="C1529" s="10" t="str">
        <x:v>直播</x:v>
      </x:c>
      <x:c r="D1529" s="10" t="str">
        <x:v>访问范围（密码房主播视角）</x:v>
      </x:c>
      <x:c r="E1529" s="10" t="str">
        <x:v>功能需求</x:v>
      </x:c>
      <x:c r="F1529" s="10" t="str">
        <x:v>P1</x:v>
      </x:c>
      <x:c r="G1529" s="9" t="str">
        <x:v>验证直播中访问范围读取成员值</x:v>
      </x:c>
      <x:c r="H1529" s="9" t="str">
        <x:v>成员限制开关当前值</x:v>
      </x:c>
      <x:c r="I1529" s="9" t="str">
        <x:v>1. 执行角色为密码房主播；当前处于访问范围页面
2. 当前场次确认的广场展示为关闭、仅团成员为开启；当前仍有有效粉丝团</x:v>
      </x:c>
      <x:c r="J1529" s="9" t="str">
        <x:v>1. 查看仅粉丝团成员开关</x:v>
      </x:c>
      <x:c r="K1529" s="9" t="str">
        <x:v>为开启</x:v>
      </x:c>
      <x:c r="L1529" s="10" t="str"/>
      <x:c r="M1529" s="10" t="str">
        <x:v>未测</x:v>
      </x:c>
      <x:c r="N1529" s="10" t="str"/>
      <x:c r="O1529" s="9" t="str">
        <x:v>1. 来源（当前证据）：liveshow-proto/MainBasis/统一需求文档.md；位置：行1885、行1883
2. 规则：BR-c2af96e5ecfae60f
3. 未动态验证</x:v>
      </x:c>
    </x:row>
    <x:row r="1530" ht="85" customHeight="1">
      <x:c r="A1530" s="10" t="n">
        <x:v>1529</x:v>
      </x:c>
      <x:c r="B1530" s="10" t="str">
        <x:v>USER-04-0215</x:v>
      </x:c>
      <x:c r="C1530" s="10" t="str">
        <x:v>消息与社交</x:v>
      </x:c>
      <x:c r="D1530" s="10" t="str">
        <x:v>好友（用户A视角）</x:v>
      </x:c>
      <x:c r="E1530" s="10" t="str">
        <x:v>功能需求</x:v>
      </x:c>
      <x:c r="F1530" s="10" t="str">
        <x:v>P2</x:v>
      </x:c>
      <x:c r="G1530" s="9" t="str">
        <x:v>验证好友资料沿用目标账号：头像来源</x:v>
      </x:c>
      <x:c r="H1530" s="9" t="str">
        <x:v>头像来源</x:v>
      </x:c>
      <x:c r="I1530" s="9" t="str">
        <x:v>1. 执行角色为用户A；当前处于好友页面
2. 当前好友B头像P、昵称QB</x:v>
      </x:c>
      <x:c r="J1530" s="9" t="str">
        <x:v>1. 查看B账号资料</x:v>
      </x:c>
      <x:c r="K1530" s="9" t="str">
        <x:v>显示头像P</x:v>
      </x:c>
      <x:c r="L1530" s="10" t="str"/>
      <x:c r="M1530" s="10" t="str">
        <x:v>未测</x:v>
      </x:c>
      <x:c r="N1530" s="10" t="str"/>
      <x:c r="O1530" s="9" t="str">
        <x:v>1. 来源（当前证据）：liveshow-proto/MainBasis/统一需求文档.md；位置：行1934、行1932
2. 规则：BR-6a9373c11b68bc9e
3. 未动态验证</x:v>
      </x:c>
    </x:row>
    <x:row r="1531" ht="85" customHeight="1">
      <x:c r="A1531" s="10" t="n">
        <x:v>1530</x:v>
      </x:c>
      <x:c r="B1531" s="10" t="str">
        <x:v>USER-04-0216</x:v>
      </x:c>
      <x:c r="C1531" s="10" t="str">
        <x:v>消息与社交</x:v>
      </x:c>
      <x:c r="D1531" s="10" t="str">
        <x:v>好友（用户A视角）</x:v>
      </x:c>
      <x:c r="E1531" s="10" t="str">
        <x:v>功能需求</x:v>
      </x:c>
      <x:c r="F1531" s="10" t="str">
        <x:v>P2</x:v>
      </x:c>
      <x:c r="G1531" s="9" t="str">
        <x:v>验证好友资料沿用目标账号：昵称来源</x:v>
      </x:c>
      <x:c r="H1531" s="9" t="str">
        <x:v>昵称来源</x:v>
      </x:c>
      <x:c r="I1531" s="9" t="str">
        <x:v>1. 执行角色为用户A；当前处于好友页面
2. 当前好友B头像P、昵称QB</x:v>
      </x:c>
      <x:c r="J1531" s="9" t="str">
        <x:v>1. 查看B账号资料</x:v>
      </x:c>
      <x:c r="K1531" s="9" t="str">
        <x:v>显示昵称QB</x:v>
      </x:c>
      <x:c r="L1531" s="10" t="str"/>
      <x:c r="M1531" s="10" t="str">
        <x:v>未测</x:v>
      </x:c>
      <x:c r="N1531" s="10" t="str"/>
      <x:c r="O1531" s="9" t="str">
        <x:v>1. 来源（当前证据）：liveshow-proto/MainBasis/统一需求文档.md；位置：行1934、行1932
2. 规则：BR-cca9b9f2deb0154c
3. 未动态验证</x:v>
      </x:c>
    </x:row>
    <x:row r="1532" ht="85" customHeight="1">
      <x:c r="A1532" s="10" t="n">
        <x:v>1531</x:v>
      </x:c>
      <x:c r="B1532" s="10" t="str">
        <x:v>USER-04-0217</x:v>
      </x:c>
      <x:c r="C1532" s="10" t="str">
        <x:v>消息与社交</x:v>
      </x:c>
      <x:c r="D1532" s="10" t="str">
        <x:v>拉黑（用户A视角）</x:v>
      </x:c>
      <x:c r="E1532" s="10" t="str">
        <x:v>功能需求</x:v>
      </x:c>
      <x:c r="F1532" s="10" t="str">
        <x:v>P2</x:v>
      </x:c>
      <x:c r="G1532" s="9" t="str">
        <x:v>验证拉黑状态资料仍属目标：头像来源</x:v>
      </x:c>
      <x:c r="H1532" s="9" t="str">
        <x:v>头像来源</x:v>
      </x:c>
      <x:c r="I1532" s="9" t="str">
        <x:v>1. 执行角色为用户A；当前处于拉黑页面
2. A已拉黑B，B头像P、昵称QB</x:v>
      </x:c>
      <x:c r="J1532" s="9" t="str">
        <x:v>1. 查看B账号资料</x:v>
      </x:c>
      <x:c r="K1532" s="9" t="str">
        <x:v>显示头像P</x:v>
      </x:c>
      <x:c r="L1532" s="10" t="str"/>
      <x:c r="M1532" s="10" t="str">
        <x:v>未测</x:v>
      </x:c>
      <x:c r="N1532" s="10" t="str"/>
      <x:c r="O1532" s="9" t="str">
        <x:v>1. 来源（当前证据）：liveshow-proto/MainBasis/统一需求文档.md；位置：行1944、行1942
2. 规则：BR-0a6f0b918a245f6b
3. 未动态验证</x:v>
      </x:c>
    </x:row>
    <x:row r="1533" ht="85" customHeight="1">
      <x:c r="A1533" s="10" t="n">
        <x:v>1532</x:v>
      </x:c>
      <x:c r="B1533" s="10" t="str">
        <x:v>USER-04-0218</x:v>
      </x:c>
      <x:c r="C1533" s="10" t="str">
        <x:v>消息与社交</x:v>
      </x:c>
      <x:c r="D1533" s="10" t="str">
        <x:v>拉黑（用户A视角）</x:v>
      </x:c>
      <x:c r="E1533" s="10" t="str">
        <x:v>功能需求</x:v>
      </x:c>
      <x:c r="F1533" s="10" t="str">
        <x:v>P2</x:v>
      </x:c>
      <x:c r="G1533" s="9" t="str">
        <x:v>验证拉黑状态资料仍属目标：昵称来源</x:v>
      </x:c>
      <x:c r="H1533" s="9" t="str">
        <x:v>昵称来源</x:v>
      </x:c>
      <x:c r="I1533" s="9" t="str">
        <x:v>1. 执行角色为用户A；当前处于拉黑页面
2. A已拉黑B，B头像P、昵称QB</x:v>
      </x:c>
      <x:c r="J1533" s="9" t="str">
        <x:v>1. 查看B账号资料</x:v>
      </x:c>
      <x:c r="K1533" s="9" t="str">
        <x:v>显示昵称QB</x:v>
      </x:c>
      <x:c r="L1533" s="10" t="str"/>
      <x:c r="M1533" s="10" t="str">
        <x:v>未测</x:v>
      </x:c>
      <x:c r="N1533" s="10" t="str"/>
      <x:c r="O1533" s="9" t="str">
        <x:v>1. 来源（当前证据）：liveshow-proto/MainBasis/统一需求文档.md；位置：行1944、行1942
2. 规则：BR-89187d53e97feefe
3. 未动态验证</x:v>
      </x:c>
    </x:row>
    <x:row r="1534" ht="85" customHeight="1">
      <x:c r="A1534" s="10" t="n">
        <x:v>1533</x:v>
      </x:c>
      <x:c r="B1534" s="10" t="str">
        <x:v>USER-04-0219</x:v>
      </x:c>
      <x:c r="C1534" s="10" t="str">
        <x:v>消息与社交</x:v>
      </x:c>
      <x:c r="D1534" s="10" t="str">
        <x:v>拉黑确认（用户A视角）</x:v>
      </x:c>
      <x:c r="E1534" s="10" t="str">
        <x:v>功能需求</x:v>
      </x:c>
      <x:c r="F1534" s="10" t="str">
        <x:v>P2</x:v>
      </x:c>
      <x:c r="G1534" s="9" t="str">
        <x:v>验证拉黑确认对象昵称</x:v>
      </x:c>
      <x:c r="H1534" s="9" t="str">
        <x:v>确认对象昵称</x:v>
      </x:c>
      <x:c r="I1534" s="9" t="str">
        <x:v>1. 执行角色为用户A；当前处于拉黑确认页面
2. 当前拉黑目标为昵称QB的账号B
3. 确认弹窗来自普通用户主页</x:v>
      </x:c>
      <x:c r="J1534" s="9" t="str">
        <x:v>1. 查看确认对象</x:v>
      </x:c>
      <x:c r="K1534" s="9" t="str">
        <x:v>显示QB</x:v>
      </x:c>
      <x:c r="L1534" s="10" t="str"/>
      <x:c r="M1534" s="10" t="str">
        <x:v>未测</x:v>
      </x:c>
      <x:c r="N1534" s="10" t="str"/>
      <x:c r="O1534" s="9" t="str">
        <x:v>1. 来源（当前证据）：liveshow-proto/MainBasis/统一需求文档.md；位置：行1954、行1952
2. 规则：BR-7cccfc8e6c614313
3. 未动态验证</x:v>
      </x:c>
    </x:row>
    <x:row r="1535" ht="85" customHeight="1">
      <x:c r="A1535" s="10" t="n">
        <x:v>1534</x:v>
      </x:c>
      <x:c r="B1535" s="10" t="str">
        <x:v>USER-04-0220</x:v>
      </x:c>
      <x:c r="C1535" s="10" t="str">
        <x:v>消息与社交</x:v>
      </x:c>
      <x:c r="D1535" s="10" t="str">
        <x:v>拉黑确认（用户A视角）</x:v>
      </x:c>
      <x:c r="E1535" s="10" t="str">
        <x:v>功能需求</x:v>
      </x:c>
      <x:c r="F1535" s="10" t="str">
        <x:v>P2</x:v>
      </x:c>
      <x:c r="G1535" s="9" t="str">
        <x:v>验证拉黑确认后果说明</x:v>
      </x:c>
      <x:c r="H1535" s="9" t="str">
        <x:v>拉黑后果说明</x:v>
      </x:c>
      <x:c r="I1535" s="9" t="str">
        <x:v>1. 执行角色为用户A；当前处于拉黑确认页面
2. 当前拉黑目标为昵称QB的账号B
3. 确认弹窗来自普通用户主页</x:v>
      </x:c>
      <x:c r="J1535" s="9" t="str">
        <x:v>1. 查看后果说明</x:v>
      </x:c>
      <x:c r="K1535" s="9" t="str">
        <x:v>说明拉黑后的关系解除及聊天限制</x:v>
      </x:c>
      <x:c r="L1535" s="10" t="str"/>
      <x:c r="M1535" s="10" t="str">
        <x:v>未测</x:v>
      </x:c>
      <x:c r="N1535" s="10" t="str"/>
      <x:c r="O1535" s="9" t="str">
        <x:v>1. 来源（当前证据）：liveshow-proto/MainBasis/统一需求文档.md；位置：行1955、行1952
2. 规则：BR-e41ef85aa4c501bc
3. 未动态验证</x:v>
      </x:c>
    </x:row>
    <x:row r="1536" ht="85" customHeight="1">
      <x:c r="A1536" s="10" t="n">
        <x:v>1535</x:v>
      </x:c>
      <x:c r="B1536" s="10" t="str">
        <x:v>USER-04-0221</x:v>
      </x:c>
      <x:c r="C1536" s="10" t="str">
        <x:v>消息与社交</x:v>
      </x:c>
      <x:c r="D1536" s="10" t="str">
        <x:v>拉黑确认（用户A视角）</x:v>
      </x:c>
      <x:c r="E1536" s="10" t="str">
        <x:v>功能需求</x:v>
      </x:c>
      <x:c r="F1536" s="10" t="str">
        <x:v>P2</x:v>
      </x:c>
      <x:c r="G1536" s="9" t="str">
        <x:v>验证拉黑确认对象昵称</x:v>
      </x:c>
      <x:c r="H1536" s="9" t="str">
        <x:v>确认对象昵称</x:v>
      </x:c>
      <x:c r="I1536" s="9" t="str">
        <x:v>1. 执行角色为用户A；当前处于拉黑确认页面
2. 当前拉黑目标为昵称QB的账号B
3. 确认弹窗来自主播主页</x:v>
      </x:c>
      <x:c r="J1536" s="9" t="str">
        <x:v>1. 查看确认对象</x:v>
      </x:c>
      <x:c r="K1536" s="9" t="str">
        <x:v>显示QB</x:v>
      </x:c>
      <x:c r="L1536" s="10" t="str"/>
      <x:c r="M1536" s="10" t="str">
        <x:v>未测</x:v>
      </x:c>
      <x:c r="N1536" s="10" t="str"/>
      <x:c r="O1536" s="9" t="str">
        <x:v>1. 来源（当前证据）：liveshow-proto/MainBasis/统一需求文档.md；位置：行1962、行1960
2. 规则：BR-83b4c0c561813d36
3. 未动态验证</x:v>
      </x:c>
    </x:row>
    <x:row r="1537" ht="85" customHeight="1">
      <x:c r="A1537" s="10" t="n">
        <x:v>1536</x:v>
      </x:c>
      <x:c r="B1537" s="10" t="str">
        <x:v>USER-04-0222</x:v>
      </x:c>
      <x:c r="C1537" s="10" t="str">
        <x:v>消息与社交</x:v>
      </x:c>
      <x:c r="D1537" s="10" t="str">
        <x:v>拉黑确认（用户A视角）</x:v>
      </x:c>
      <x:c r="E1537" s="10" t="str">
        <x:v>功能需求</x:v>
      </x:c>
      <x:c r="F1537" s="10" t="str">
        <x:v>P2</x:v>
      </x:c>
      <x:c r="G1537" s="9" t="str">
        <x:v>验证拉黑确认后果说明</x:v>
      </x:c>
      <x:c r="H1537" s="9" t="str">
        <x:v>拉黑后果说明</x:v>
      </x:c>
      <x:c r="I1537" s="9" t="str">
        <x:v>1. 执行角色为用户A；当前处于拉黑确认页面
2. 当前拉黑目标为昵称QB的账号B
3. 确认弹窗来自主播主页</x:v>
      </x:c>
      <x:c r="J1537" s="9" t="str">
        <x:v>1. 查看后果说明</x:v>
      </x:c>
      <x:c r="K1537" s="9" t="str">
        <x:v>说明拉黑后的关系解除及聊天限制</x:v>
      </x:c>
      <x:c r="L1537" s="10" t="str"/>
      <x:c r="M1537" s="10" t="str">
        <x:v>未测</x:v>
      </x:c>
      <x:c r="N1537" s="10" t="str"/>
      <x:c r="O1537" s="9" t="str">
        <x:v>1. 来源（当前证据）：liveshow-proto/MainBasis/统一需求文档.md；位置：行1963、行1960
2. 规则：BR-966820a49f602340
3. 未动态验证</x:v>
      </x:c>
    </x:row>
    <x:row r="1538" ht="85" customHeight="1">
      <x:c r="A1538" s="10" t="n">
        <x:v>1537</x:v>
      </x:c>
      <x:c r="B1538" s="10" t="str">
        <x:v>USER-04-0223</x:v>
      </x:c>
      <x:c r="C1538" s="10" t="str">
        <x:v>消息与社交</x:v>
      </x:c>
      <x:c r="D1538" s="10" t="str">
        <x:v>拉黑确认（用户A视角）</x:v>
      </x:c>
      <x:c r="E1538" s="10" t="str">
        <x:v>功能需求</x:v>
      </x:c>
      <x:c r="F1538" s="10" t="str">
        <x:v>P2</x:v>
      </x:c>
      <x:c r="G1538" s="9" t="str">
        <x:v>验证拉黑确认对象昵称</x:v>
      </x:c>
      <x:c r="H1538" s="9" t="str">
        <x:v>确认对象昵称</x:v>
      </x:c>
      <x:c r="I1538" s="9" t="str">
        <x:v>1. 执行角色为用户A；当前处于拉黑确认页面
2. 当前拉黑目标为昵称QB的账号B
3. 确认弹窗来自聊天设置</x:v>
      </x:c>
      <x:c r="J1538" s="9" t="str">
        <x:v>1. 查看确认对象</x:v>
      </x:c>
      <x:c r="K1538" s="9" t="str">
        <x:v>显示QB</x:v>
      </x:c>
      <x:c r="L1538" s="10" t="str"/>
      <x:c r="M1538" s="10" t="str">
        <x:v>未测</x:v>
      </x:c>
      <x:c r="N1538" s="10" t="str"/>
      <x:c r="O1538" s="9" t="str">
        <x:v>1. 来源（当前证据）：liveshow-proto/MainBasis/统一需求文档.md；位置：行1971、行1968
2. 规则：BR-d5040c51e397f014
3. 未动态验证</x:v>
      </x:c>
    </x:row>
    <x:row r="1539" ht="85" customHeight="1">
      <x:c r="A1539" s="10" t="n">
        <x:v>1538</x:v>
      </x:c>
      <x:c r="B1539" s="10" t="str">
        <x:v>USER-04-0224</x:v>
      </x:c>
      <x:c r="C1539" s="10" t="str">
        <x:v>消息与社交</x:v>
      </x:c>
      <x:c r="D1539" s="10" t="str">
        <x:v>拉黑确认（用户A视角）</x:v>
      </x:c>
      <x:c r="E1539" s="10" t="str">
        <x:v>功能需求</x:v>
      </x:c>
      <x:c r="F1539" s="10" t="str">
        <x:v>P2</x:v>
      </x:c>
      <x:c r="G1539" s="9" t="str">
        <x:v>验证拉黑确认后果说明</x:v>
      </x:c>
      <x:c r="H1539" s="9" t="str">
        <x:v>拉黑后果说明</x:v>
      </x:c>
      <x:c r="I1539" s="9" t="str">
        <x:v>1. 执行角色为用户A；当前处于拉黑确认页面
2. 当前拉黑目标为昵称QB的账号B
3. 确认弹窗来自聊天设置</x:v>
      </x:c>
      <x:c r="J1539" s="9" t="str">
        <x:v>1. 查看后果说明</x:v>
      </x:c>
      <x:c r="K1539" s="9" t="str">
        <x:v>说明拉黑后的关系解除及聊天限制</x:v>
      </x:c>
      <x:c r="L1539" s="10" t="str"/>
      <x:c r="M1539" s="10" t="str">
        <x:v>未测</x:v>
      </x:c>
      <x:c r="N1539" s="10" t="str"/>
      <x:c r="O1539" s="9" t="str">
        <x:v>1. 来源（当前证据）：liveshow-proto/MainBasis/统一需求文档.md；位置：行1971、行1968
2. 规则：BR-e2b54f7b22608a8a
3. 未动态验证</x:v>
      </x:c>
    </x:row>
    <x:row r="1540" ht="85" customHeight="1">
      <x:c r="A1540" s="10" t="n">
        <x:v>1539</x:v>
      </x:c>
      <x:c r="B1540" s="10" t="str">
        <x:v>USER-07-0183</x:v>
      </x:c>
      <x:c r="C1540" s="10" t="str">
        <x:v>主播中心</x:v>
      </x:c>
      <x:c r="D1540" s="10" t="str">
        <x:v>房型（门票房）（门票房主播视角）</x:v>
      </x:c>
      <x:c r="E1540" s="10" t="str">
        <x:v>功能需求</x:v>
      </x:c>
      <x:c r="F1540" s="10" t="str">
        <x:v>P1</x:v>
      </x:c>
      <x:c r="G1540" s="9" t="str">
        <x:v>验证门票档位修改不改本场</x:v>
      </x:c>
      <x:c r="H1540" s="9" t="str">
        <x:v>资产数值</x:v>
      </x:c>
      <x:c r="I1540" s="9" t="str">
        <x:v>1. 执行角色为门票房主播；当前处于房型（门票房）页面
2. 本场已按10金币创建；后台随后将新开播可选档位调整为20金币</x:v>
      </x:c>
      <x:c r="J1540" s="9" t="str">
        <x:v>1. 查看当前场次门票价格</x:v>
      </x:c>
      <x:c r="K1540" s="9" t="str">
        <x:v>本场价格仍为10金币</x:v>
      </x:c>
      <x:c r="L1540" s="10" t="str"/>
      <x:c r="M1540" s="10" t="str">
        <x:v>未测</x:v>
      </x:c>
      <x:c r="N1540" s="10" t="str"/>
      <x:c r="O1540" s="9" t="str">
        <x:v>1. 来源（当前证据）：liveshow-proto/MainBasis/统一需求文档.md；位置：行1997、行1993
2. 规则：BR-ffb2e0d949f6fc4c
3. 未动态验证</x:v>
      </x:c>
    </x:row>
    <x:row r="1541" ht="85" customHeight="1">
      <x:c r="A1541" s="10" t="n">
        <x:v>1540</x:v>
      </x:c>
      <x:c r="B1541" s="10" t="str">
        <x:v>USER-07-0184</x:v>
      </x:c>
      <x:c r="C1541" s="10" t="str">
        <x:v>主播中心</x:v>
      </x:c>
      <x:c r="D1541" s="10" t="str">
        <x:v>美颜设置（主播视角）</x:v>
      </x:c>
      <x:c r="E1541" s="10" t="str">
        <x:v>功能需求</x:v>
      </x:c>
      <x:c r="F1541" s="10" t="str">
        <x:v>P2</x:v>
      </x:c>
      <x:c r="G1541" s="9" t="str">
        <x:v>验证美颜项目单选</x:v>
      </x:c>
      <x:c r="H1541" s="9" t="str">
        <x:v>当前美颜调整项目</x:v>
      </x:c>
      <x:c r="I1541" s="9" t="str">
        <x:v>1. 执行角色为主播；当前处于美颜设置页面
2. 当前已选美颜模式的磨皮项目</x:v>
      </x:c>
      <x:c r="J1541" s="9" t="str">
        <x:v>1. 选择美白项目</x:v>
      </x:c>
      <x:c r="K1541" s="9" t="str">
        <x:v>当前调整项仅为美白</x:v>
      </x:c>
      <x:c r="L1541" s="10" t="str"/>
      <x:c r="M1541" s="10" t="str">
        <x:v>未测</x:v>
      </x:c>
      <x:c r="N1541" s="10" t="str"/>
      <x:c r="O1541" s="9" t="str">
        <x:v>1. 来源（当前证据）：liveshow-proto/MainBasis/统一需求文档.md；位置：行2019、行2016
2. 规则：BR-82ce409890ebfd48
3. 未动态验证</x:v>
      </x:c>
    </x:row>
    <x:row r="1542" ht="85" customHeight="1">
      <x:c r="A1542" s="10" t="n">
        <x:v>1541</x:v>
      </x:c>
      <x:c r="B1542" s="10" t="str">
        <x:v>USER-07-0185</x:v>
      </x:c>
      <x:c r="C1542" s="10" t="str">
        <x:v>主播中心</x:v>
      </x:c>
      <x:c r="D1542" s="10" t="str">
        <x:v>美颜设置（主播视角）</x:v>
      </x:c>
      <x:c r="E1542" s="10" t="str">
        <x:v>功能需求</x:v>
      </x:c>
      <x:c r="F1542" s="10" t="str">
        <x:v>P2</x:v>
      </x:c>
      <x:c r="G1542" s="9" t="str">
        <x:v>验证美颜不改变上传封面</x:v>
      </x:c>
      <x:c r="H1542" s="9" t="str">
        <x:v>上传封面保持</x:v>
      </x:c>
      <x:c r="I1542" s="9" t="str">
        <x:v>1. 执行角色为主播；当前处于美颜设置页面
2. 本次已上传封面P；历史场次封面Q</x:v>
      </x:c>
      <x:c r="J1542" s="9" t="str">
        <x:v>1. 修改美颜参数为60
2. 返回开播设置</x:v>
      </x:c>
      <x:c r="K1542" s="9" t="str">
        <x:v>上传封面仍为P</x:v>
      </x:c>
      <x:c r="L1542" s="10" t="str"/>
      <x:c r="M1542" s="10" t="str">
        <x:v>未测</x:v>
      </x:c>
      <x:c r="N1542" s="10" t="str"/>
      <x:c r="O1542" s="9" t="str">
        <x:v>1. 来源（当前证据）：liveshow-proto/MainBasis/统一需求文档.md；位置：行2021、行1858、行2016
2. 规则：BR-956fcf27380578ee
3. 未动态验证</x:v>
      </x:c>
    </x:row>
    <x:row r="1543" ht="85" customHeight="1">
      <x:c r="A1543" s="10" t="n">
        <x:v>1542</x:v>
      </x:c>
      <x:c r="B1543" s="10" t="str">
        <x:v>USER-07-0186</x:v>
      </x:c>
      <x:c r="C1543" s="10" t="str">
        <x:v>主播中心</x:v>
      </x:c>
      <x:c r="D1543" s="10" t="str">
        <x:v>美颜设置（主播视角）</x:v>
      </x:c>
      <x:c r="E1543" s="10" t="str">
        <x:v>功能需求</x:v>
      </x:c>
      <x:c r="F1543" s="10" t="str">
        <x:v>P2</x:v>
      </x:c>
      <x:c r="G1543" s="9" t="str">
        <x:v>验证美颜不改历史封面</x:v>
      </x:c>
      <x:c r="H1543" s="9" t="str">
        <x:v>历史封面保持</x:v>
      </x:c>
      <x:c r="I1543" s="9" t="str">
        <x:v>1. 执行角色为主播；当前处于美颜设置页面
2. 本次已上传封面P；历史场次封面Q</x:v>
      </x:c>
      <x:c r="J1543" s="9" t="str">
        <x:v>1. 修改美颜参数为60
2. 进入直播记录
3. 查看该历史场次</x:v>
      </x:c>
      <x:c r="K1543" s="9" t="str">
        <x:v>历史封面仍为Q</x:v>
      </x:c>
      <x:c r="L1543" s="10" t="str"/>
      <x:c r="M1543" s="10" t="str">
        <x:v>未测</x:v>
      </x:c>
      <x:c r="N1543" s="10" t="str"/>
      <x:c r="O1543" s="9" t="str">
        <x:v>1. 来源（当前证据）：liveshow-proto/MainBasis/统一需求文档.md；位置：行2021、行2016
2. 规则：BR-cc1d5ec9757829e6
3. 未动态验证</x:v>
      </x:c>
    </x:row>
    <x:row r="1544" ht="85" customHeight="1">
      <x:c r="A1544" s="10" t="n">
        <x:v>1543</x:v>
      </x:c>
      <x:c r="B1544" s="10" t="str">
        <x:v>USER-08-0067</x:v>
      </x:c>
      <x:c r="C1544" s="10" t="str">
        <x:v>钱包与账单</x:v>
      </x:c>
      <x:c r="D1544" s="10" t="str">
        <x:v>支出订单详情（真实金币用户视角）</x:v>
      </x:c>
      <x:c r="E1544" s="10" t="str">
        <x:v>功能需求</x:v>
      </x:c>
      <x:c r="F1544" s="10" t="str">
        <x:v>P1</x:v>
      </x:c>
      <x:c r="G1544" s="9" t="str">
        <x:v>验证礼物下架保留消费记录</x:v>
      </x:c>
      <x:c r="H1544" s="9" t="str">
        <x:v>数据保持</x:v>
      </x:c>
      <x:c r="I1544" s="9" t="str">
        <x:v>1. 执行角色为真实金币用户；当前处于支出订单详情页面
2. 已成功赠送礼物A并完成开奖、扣款；随后礼物A下架</x:v>
      </x:c>
      <x:c r="J1544" s="9" t="str">
        <x:v>1. 查看本次礼物支出详情</x:v>
      </x:c>
      <x:c r="K1544" s="9" t="str">
        <x:v>已完成的支出订单及原支付金额保留</x:v>
      </x:c>
      <x:c r="L1544" s="10" t="str"/>
      <x:c r="M1544" s="10" t="str">
        <x:v>未测</x:v>
      </x:c>
      <x:c r="N1544" s="10" t="str"/>
      <x:c r="O1544" s="9" t="str">
        <x:v>1. 来源（当前证据）：liveshow-proto/MainBasis/统一需求文档.md；位置：行337、行1334
2. 规则：BR-d114efce16a84d35
3. 未动态验证</x:v>
      </x:c>
    </x:row>
    <x:row r="1545" ht="85" customHeight="1">
      <x:c r="A1545" s="10" t="n">
        <x:v>1544</x:v>
      </x:c>
      <x:c r="B1545" s="10" t="str">
        <x:v>USER-05-0261</x:v>
      </x:c>
      <x:c r="C1545" s="10" t="str">
        <x:v>我的</x:v>
      </x:c>
      <x:c r="D1545" s="10" t="str">
        <x:v>我的关注（用户A视角）</x:v>
      </x:c>
      <x:c r="E1545" s="10" t="str">
        <x:v>功能需求</x:v>
      </x:c>
      <x:c r="F1545" s="10" t="str">
        <x:v>P1</x:v>
      </x:c>
      <x:c r="G1545" s="9" t="str">
        <x:v>验证关注后本人关注数增加</x:v>
      </x:c>
      <x:c r="H1545" s="9" t="str">
        <x:v>关注人数统计</x:v>
      </x:c>
      <x:c r="I1545" s="9" t="str">
        <x:v>1. 执行角色为用户A；当前处于我的关注页面
2. A原关注3人；刚在B主页成功关注B</x:v>
      </x:c>
      <x:c r="J1545" s="9" t="str">
        <x:v>1. 查看关注列表总数</x:v>
      </x:c>
      <x:c r="K1545" s="9" t="str">
        <x:v>关注数为4</x:v>
      </x:c>
      <x:c r="L1545" s="10" t="str"/>
      <x:c r="M1545" s="10" t="str">
        <x:v>未测</x:v>
      </x:c>
      <x:c r="N1545" s="10" t="str"/>
      <x:c r="O1545" s="9" t="str">
        <x:v>1. 来源（当前证据）：liveshow-proto/MainBasis/统一需求文档.md；位置：行237、行719
2. 规则：BR-0420721842b84401
3. 未动态验证</x:v>
      </x:c>
    </x:row>
    <x:row r="1546" ht="85" customHeight="1">
      <x:c r="A1546" s="10" t="n">
        <x:v>1545</x:v>
      </x:c>
      <x:c r="B1546" s="10" t="str">
        <x:v>USER-05-0262</x:v>
      </x:c>
      <x:c r="C1546" s="10" t="str">
        <x:v>我的</x:v>
      </x:c>
      <x:c r="D1546" s="10" t="str">
        <x:v>我的（主播B视角）</x:v>
      </x:c>
      <x:c r="E1546" s="10" t="str">
        <x:v>功能需求</x:v>
      </x:c>
      <x:c r="F1546" s="10" t="str">
        <x:v>P1</x:v>
      </x:c>
      <x:c r="G1546" s="9" t="str">
        <x:v>验证被关注后粉丝数增加</x:v>
      </x:c>
      <x:c r="H1546" s="9" t="str">
        <x:v>粉丝人数统计</x:v>
      </x:c>
      <x:c r="I1546" s="9" t="str">
        <x:v>1. 执行角色为主播B；当前处于我的页面
2. 原粉丝数3；账号A刚成功关注B</x:v>
      </x:c>
      <x:c r="J1546" s="9" t="str">
        <x:v>1. 刷新我的页面</x:v>
      </x:c>
      <x:c r="K1546" s="9" t="str">
        <x:v>粉丝数为4</x:v>
      </x:c>
      <x:c r="L1546" s="10" t="str"/>
      <x:c r="M1546" s="10" t="str">
        <x:v>未测</x:v>
      </x:c>
      <x:c r="N1546" s="10" t="str"/>
      <x:c r="O1546" s="9" t="str">
        <x:v>1. 来源（当前证据）：liveshow-proto/MainBasis/统一需求文档.md；位置：行237、行677
2. 规则：BR-a9c58cc115222276
3. 未动态验证</x:v>
      </x:c>
    </x:row>
    <x:row r="1547" ht="85" customHeight="1">
      <x:c r="A1547" s="10" t="n">
        <x:v>1546</x:v>
      </x:c>
      <x:c r="B1547" s="10" t="str">
        <x:v>USER-04-0225</x:v>
      </x:c>
      <x:c r="C1547" s="10" t="str">
        <x:v>消息与社交</x:v>
      </x:c>
      <x:c r="D1547" s="10" t="str">
        <x:v>系统通知（用户A视角）</x:v>
      </x:c>
      <x:c r="E1547" s="10" t="str">
        <x:v>功能需求</x:v>
      </x:c>
      <x:c r="F1547" s="10" t="str">
        <x:v>P1</x:v>
      </x:c>
      <x:c r="G1547" s="9" t="str">
        <x:v>验证关注主播开播提醒</x:v>
      </x:c>
      <x:c r="H1547" s="9" t="str">
        <x:v>关注主播开播通知</x:v>
      </x:c>
      <x:c r="I1547" s="9" t="str">
        <x:v>1. 执行角色为用户A；当前处于系统通知页面
2. A已关注主播B，系统通知权限和开播提醒偏好均开启，B刚开始直播</x:v>
      </x:c>
      <x:c r="J1547" s="9" t="str">
        <x:v>1. 查看设备收到的开播通知</x:v>
      </x:c>
      <x:c r="K1547" s="9" t="str">
        <x:v>收到B本次开播提醒</x:v>
      </x:c>
      <x:c r="L1547" s="10" t="str"/>
      <x:c r="M1547" s="10" t="str">
        <x:v>未测</x:v>
      </x:c>
      <x:c r="N1547" s="10" t="str"/>
      <x:c r="O1547" s="9" t="str">
        <x:v>1. 来源（当前证据）：liveshow-proto/MainBasis/统一需求文档.md；位置：行237、行667
2. 规则：BR-7894b4e25e859170
3. 未动态验证</x:v>
      </x:c>
    </x:row>
    <x:row r="1548" ht="85" customHeight="1">
      <x:c r="A1548" s="10" t="n">
        <x:v>1547</x:v>
      </x:c>
      <x:c r="B1548" s="10" t="str">
        <x:v>USER-04-0226</x:v>
      </x:c>
      <x:c r="C1548" s="10" t="str">
        <x:v>消息与社交</x:v>
      </x:c>
      <x:c r="D1548" s="10" t="str">
        <x:v>互动通知（好友申请接收用户B视角）</x:v>
      </x:c>
      <x:c r="E1548" s="10" t="str">
        <x:v>功能需求</x:v>
      </x:c>
      <x:c r="F1548" s="10" t="str">
        <x:v>P1</x:v>
      </x:c>
      <x:c r="G1548" s="9" t="str">
        <x:v>验证好友申请通知接收</x:v>
      </x:c>
      <x:c r="H1548" s="9" t="str">
        <x:v>好友申请消息</x:v>
      </x:c>
      <x:c r="I1548" s="9" t="str">
        <x:v>1. 执行角色为好友申请接收用户B；当前处于互动通知页面
2. A刚向B成功发送好友申请，二者原非好友</x:v>
      </x:c>
      <x:c r="J1548" s="9" t="str">
        <x:v>1. 刷新互动通知</x:v>
      </x:c>
      <x:c r="K1548" s="9" t="str">
        <x:v>出现来自A的待处理好友申请</x:v>
      </x:c>
      <x:c r="L1548" s="10" t="str"/>
      <x:c r="M1548" s="10" t="str">
        <x:v>未测</x:v>
      </x:c>
      <x:c r="N1548" s="10" t="str"/>
      <x:c r="O1548" s="9" t="str">
        <x:v>1. 来源（当前证据）：liveshow-proto/MainBasis/统一需求文档.md；位置：行238、行871
2. 规则：BR-f132628936572254
3. 未动态验证</x:v>
      </x:c>
    </x:row>
    <x:row r="1549" ht="85" customHeight="1">
      <x:c r="A1549" s="10" t="n">
        <x:v>1548</x:v>
      </x:c>
      <x:c r="B1549" s="10" t="str">
        <x:v>USER-03-0419</x:v>
      </x:c>
      <x:c r="C1549" s="10" t="str">
        <x:v>直播</x:v>
      </x:c>
      <x:c r="D1549" s="10" t="str">
        <x:v>礼物（真实金币观众视角）</x:v>
      </x:c>
      <x:c r="E1549" s="10" t="str">
        <x:v>功能需求</x:v>
      </x:c>
      <x:c r="F1549" s="10" t="str">
        <x:v>P1</x:v>
      </x:c>
      <x:c r="G1549" s="9" t="str">
        <x:v>验证定制礼物开始时间之前</x:v>
      </x:c>
      <x:c r="H1549" s="9" t="str">
        <x:v>入口可用性</x:v>
      </x:c>
      <x:c r="I1549" s="9" t="str">
        <x:v>1. 执行角色为真实金币观众；当前处于礼物页面
2. 定制礼物配置有效时间窗口，当前为开始时间之前；余额足够且房间正在直播</x:v>
      </x:c>
      <x:c r="J1549" s="9" t="str">
        <x:v>1. 查看所选定制礼物
2. 尝试点击赠送</x:v>
      </x:c>
      <x:c r="K1549" s="9" t="str">
        <x:v>不能赠送该定制礼物</x:v>
      </x:c>
      <x:c r="L1549" s="10" t="str"/>
      <x:c r="M1549" s="10" t="str">
        <x:v>未测</x:v>
      </x:c>
      <x:c r="N1549" s="10" t="str"/>
      <x:c r="O1549" s="9" t="str">
        <x:v>1. 来源（当前证据）：liveshow-proto/MainBasis/统一需求文档.md；位置：行333、行1575
2. 规则：BR-e0fcc10e10713a13
3. 未动态验证</x:v>
      </x:c>
    </x:row>
    <x:row r="1550" ht="100" customHeight="1">
      <x:c r="A1550" s="10" t="n">
        <x:v>1549</x:v>
      </x:c>
      <x:c r="B1550" s="10" t="str">
        <x:v>USER-03-0420</x:v>
      </x:c>
      <x:c r="C1550" s="10" t="str">
        <x:v>直播</x:v>
      </x:c>
      <x:c r="D1550" s="10" t="str">
        <x:v>礼物（真实金币观众视角）</x:v>
      </x:c>
      <x:c r="E1550" s="10" t="str">
        <x:v>功能需求</x:v>
      </x:c>
      <x:c r="F1550" s="10" t="str">
        <x:v>P1</x:v>
      </x:c>
      <x:c r="G1550" s="9" t="str">
        <x:v>验证定制礼物已过开始时间且未到结束时间</x:v>
      </x:c>
      <x:c r="H1550" s="9" t="str">
        <x:v>定制礼物有效期资格</x:v>
      </x:c>
      <x:c r="I1550" s="9" t="str">
        <x:v>1. 执行角色为真实金币观众；当前处于礼物页面
2. 定制礼物配置有效时间窗口，当前为已过开始时间且未到结束时间；余额足够且房间正在直播</x:v>
      </x:c>
      <x:c r="J1550" s="9" t="str">
        <x:v>1. 查看所选定制礼物
2. 尝试点击赠送</x:v>
      </x:c>
      <x:c r="K1550" s="9" t="str">
        <x:v>可以成功赠送该定制礼物</x:v>
      </x:c>
      <x:c r="L1550" s="10" t="str"/>
      <x:c r="M1550" s="10" t="str">
        <x:v>未测</x:v>
      </x:c>
      <x:c r="N1550" s="10" t="str"/>
      <x:c r="O1550" s="9" t="str">
        <x:v>1. 来源（当前证据）：liveshow-proto/MainBasis/统一需求文档.md；位置：行333、行1575
2. 规则：BR-a040b53692394366
3. 未动态验证</x:v>
      </x:c>
    </x:row>
    <x:row r="1551" ht="85" customHeight="1">
      <x:c r="A1551" s="10" t="n">
        <x:v>1550</x:v>
      </x:c>
      <x:c r="B1551" s="10" t="str">
        <x:v>USER-03-0421</x:v>
      </x:c>
      <x:c r="C1551" s="10" t="str">
        <x:v>直播</x:v>
      </x:c>
      <x:c r="D1551" s="10" t="str">
        <x:v>礼物（真实金币观众视角）</x:v>
      </x:c>
      <x:c r="E1551" s="10" t="str">
        <x:v>功能需求</x:v>
      </x:c>
      <x:c r="F1551" s="10" t="str">
        <x:v>P1</x:v>
      </x:c>
      <x:c r="G1551" s="9" t="str">
        <x:v>验证定制礼物已过结束时间</x:v>
      </x:c>
      <x:c r="H1551" s="9" t="str">
        <x:v>入口可用性</x:v>
      </x:c>
      <x:c r="I1551" s="9" t="str">
        <x:v>1. 执行角色为真实金币观众；当前处于礼物页面
2. 定制礼物配置有效时间窗口，当前为已过结束时间；余额足够且房间正在直播</x:v>
      </x:c>
      <x:c r="J1551" s="9" t="str">
        <x:v>1. 查看所选定制礼物
2. 尝试点击赠送</x:v>
      </x:c>
      <x:c r="K1551" s="9" t="str">
        <x:v>不能赠送该定制礼物</x:v>
      </x:c>
      <x:c r="L1551" s="10" t="str"/>
      <x:c r="M1551" s="10" t="str">
        <x:v>未测</x:v>
      </x:c>
      <x:c r="N1551" s="10" t="str"/>
      <x:c r="O1551" s="9" t="str">
        <x:v>1. 来源（当前证据）：liveshow-proto/MainBasis/统一需求文档.md；位置：行333、行1575
2. 规则：BR-4c06ff3710c5870b
3. 未动态验证</x:v>
      </x:c>
    </x:row>
    <x:row r="1552" ht="130" customHeight="1">
      <x:c r="A1552" s="10" t="n">
        <x:v>1551</x:v>
      </x:c>
      <x:c r="B1552" s="10" t="str">
        <x:v>USER-07-0187</x:v>
      </x:c>
      <x:c r="C1552" s="10" t="str">
        <x:v>主播中心</x:v>
      </x:c>
      <x:c r="D1552" s="10" t="str">
        <x:v>主播中心（当前主播视角）</x:v>
      </x:c>
      <x:c r="E1552" s="10" t="str">
        <x:v>功能需求</x:v>
      </x:c>
      <x:c r="F1552" s="10" t="str">
        <x:v>P1</x:v>
      </x:c>
      <x:c r="G1552" s="9" t="str">
        <x:v>验证今日主播收益类型汇总</x:v>
      </x:c>
      <x:c r="H1552" s="9" t="str">
        <x:v>资产数值</x:v>
      </x:c>
      <x:c r="I1552" s="9" t="str">
        <x:v>1. 执行角色为当前主播；当前处于主播中心页面
2. 所选今日范围内普通礼物100金币、定制礼物200金币、门票50金币、幸运礼物送出价值1000金币；幸运比例1%；另有虚拟礼物1000及失败消费100，无其他收益</x:v>
      </x:c>
      <x:c r="J1552" s="9" t="str">
        <x:v>1. 选择今日
2. 查看收益</x:v>
      </x:c>
      <x:c r="K1552" s="9" t="str">
        <x:v>收益为360金币（计算结果 = 360 金币）</x:v>
      </x:c>
      <x:c r="L1552" s="10" t="str"/>
      <x:c r="M1552" s="10" t="str">
        <x:v>未测</x:v>
      </x:c>
      <x:c r="N1552" s="10" t="str"/>
      <x:c r="O1552" s="9" t="str">
        <x:v>1. 来源（当前证据）：liveshow-proto/MainBasis/统一需求文档.md；位置：行1132、行1122
2. 规则：BR-60539e77b7fa8a7b
3. 未动态验证</x:v>
      </x:c>
    </x:row>
    <x:row r="1553" ht="130" customHeight="1">
      <x:c r="A1553" s="10" t="n">
        <x:v>1552</x:v>
      </x:c>
      <x:c r="B1553" s="10" t="str">
        <x:v>USER-07-0188</x:v>
      </x:c>
      <x:c r="C1553" s="10" t="str">
        <x:v>主播中心</x:v>
      </x:c>
      <x:c r="D1553" s="10" t="str">
        <x:v>主播中心（当前主播视角）</x:v>
      </x:c>
      <x:c r="E1553" s="10" t="str">
        <x:v>功能需求</x:v>
      </x:c>
      <x:c r="F1553" s="10" t="str">
        <x:v>P1</x:v>
      </x:c>
      <x:c r="G1553" s="9" t="str">
        <x:v>验证本月主播收益类型汇总</x:v>
      </x:c>
      <x:c r="H1553" s="9" t="str">
        <x:v>资产数值</x:v>
      </x:c>
      <x:c r="I1553" s="9" t="str">
        <x:v>1. 执行角色为当前主播；当前处于主播中心页面
2. 所选本月范围内普通礼物100金币、定制礼物200金币、门票50金币、幸运礼物送出价值1000金币；幸运比例1%；另有虚拟礼物1000及失败消费100，无其他收益</x:v>
      </x:c>
      <x:c r="J1553" s="9" t="str">
        <x:v>1. 选择本月
2. 查看收益</x:v>
      </x:c>
      <x:c r="K1553" s="9" t="str">
        <x:v>收益为360金币（计算结果 = 360 金币）</x:v>
      </x:c>
      <x:c r="L1553" s="10" t="str"/>
      <x:c r="M1553" s="10" t="str">
        <x:v>未测</x:v>
      </x:c>
      <x:c r="N1553" s="10" t="str"/>
      <x:c r="O1553" s="9" t="str">
        <x:v>1. 来源（当前证据）：liveshow-proto/MainBasis/统一需求文档.md；位置：行1132、行1122
2. 规则：BR-04795a63a781c6ad
3. 未动态验证</x:v>
      </x:c>
    </x:row>
    <x:row r="1554" ht="85" customHeight="1">
      <x:c r="A1554" s="10" t="n">
        <x:v>1553</x:v>
      </x:c>
      <x:c r="B1554" s="10" t="str">
        <x:v>USER-04-0227</x:v>
      </x:c>
      <x:c r="C1554" s="10" t="str">
        <x:v>消息与社交</x:v>
      </x:c>
      <x:c r="D1554" s="10" t="str">
        <x:v>粉丝团群聊（粉丝团成员视角）</x:v>
      </x:c>
      <x:c r="E1554" s="10" t="str">
        <x:v>功能需求</x:v>
      </x:c>
      <x:c r="F1554" s="10" t="str">
        <x:v>P2</x:v>
      </x:c>
      <x:c r="G1554" s="9" t="str">
        <x:v>验证粉丝群会话同时间排序</x:v>
      </x:c>
      <x:c r="H1554" s="9" t="str">
        <x:v>排列次序</x:v>
      </x:c>
      <x:c r="I1554" s="9" t="str">
        <x:v>1. 执行角色为粉丝团成员；当前处于粉丝团群聊页面
2. 有效团籍对应G1和G2会话，最后消息同一时间，G1会话ID100、G2为101</x:v>
      </x:c>
      <x:c r="J1554" s="9" t="str">
        <x:v>1. 查看粉丝群会话顺序</x:v>
      </x:c>
      <x:c r="K1554" s="9" t="str">
        <x:v>G2排在G1前</x:v>
      </x:c>
      <x:c r="L1554" s="10" t="str"/>
      <x:c r="M1554" s="10" t="str">
        <x:v>未测</x:v>
      </x:c>
      <x:c r="N1554" s="10" t="str"/>
      <x:c r="O1554" s="9" t="str">
        <x:v>1. 来源（当前证据）：liveshow-proto/MainBasis/统一需求文档.md；位置：行1928、行1923
2. 规则：BR-50ded0446ac88079
3. 未动态验证</x:v>
      </x:c>
    </x:row>
    <x:row r="1555" ht="85" customHeight="1">
      <x:c r="A1555" s="10" t="n">
        <x:v>1554</x:v>
      </x:c>
      <x:c r="B1555" s="10" t="str">
        <x:v>USER-04-0228</x:v>
      </x:c>
      <x:c r="C1555" s="10" t="str">
        <x:v>消息与社交</x:v>
      </x:c>
      <x:c r="D1555" s="10" t="str">
        <x:v>粉丝团群聊（粉丝团成员视角）</x:v>
      </x:c>
      <x:c r="E1555" s="10" t="str">
        <x:v>功能需求</x:v>
      </x:c>
      <x:c r="F1555" s="10" t="str">
        <x:v>P2</x:v>
      </x:c>
      <x:c r="G1555" s="9" t="str">
        <x:v>验证粉丝群会话时间排序</x:v>
      </x:c>
      <x:c r="H1555" s="9" t="str">
        <x:v>排列次序</x:v>
      </x:c>
      <x:c r="I1555" s="9" t="str">
        <x:v>1. 执行角色为粉丝团成员；当前处于粉丝团群聊页面
2. G1最后消息10:00、G2为11:00，两群团籍均有效；原群G3团籍失效</x:v>
      </x:c>
      <x:c r="J1555" s="9" t="str">
        <x:v>1. 查看粉丝群会话顺序</x:v>
      </x:c>
      <x:c r="K1555" s="9" t="str">
        <x:v>G2排在G1前</x:v>
      </x:c>
      <x:c r="L1555" s="10" t="str"/>
      <x:c r="M1555" s="10" t="str">
        <x:v>未测</x:v>
      </x:c>
      <x:c r="N1555" s="10" t="str"/>
      <x:c r="O1555" s="9" t="str">
        <x:v>1. 来源（当前证据）：liveshow-proto/MainBasis/统一需求文档.md；位置：行1928、行1923
2. 规则：BR-92ba49be22a8a85b
3. 未动态验证</x:v>
      </x:c>
    </x:row>
    <x:row r="1556" ht="85" customHeight="1">
      <x:c r="A1556" s="10" t="n">
        <x:v>1555</x:v>
      </x:c>
      <x:c r="B1556" s="10" t="str">
        <x:v>USER-04-0229</x:v>
      </x:c>
      <x:c r="C1556" s="10" t="str">
        <x:v>消息与社交</x:v>
      </x:c>
      <x:c r="D1556" s="10" t="str">
        <x:v>粉丝团群聊（粉丝团成员视角）</x:v>
      </x:c>
      <x:c r="E1556" s="10" t="str">
        <x:v>功能需求</x:v>
      </x:c>
      <x:c r="F1556" s="10" t="str">
        <x:v>P1</x:v>
      </x:c>
      <x:c r="G1556" s="9" t="str">
        <x:v>验证粉丝群会话有效团籍范围</x:v>
      </x:c>
      <x:c r="H1556" s="9" t="str">
        <x:v>会话有效团籍过滤</x:v>
      </x:c>
      <x:c r="I1556" s="9" t="str">
        <x:v>1. 执行角色为粉丝团成员；当前处于粉丝团群聊页面
2. G1最后消息10:00、G2为11:00，两群团籍均有效；原群G3团籍失效</x:v>
      </x:c>
      <x:c r="J1556" s="9" t="str">
        <x:v>1. 查看粉丝群会话</x:v>
      </x:c>
      <x:c r="K1556" s="9" t="str">
        <x:v>不展示团籍失效的G3</x:v>
      </x:c>
      <x:c r="L1556" s="10" t="str"/>
      <x:c r="M1556" s="10" t="str">
        <x:v>未测</x:v>
      </x:c>
      <x:c r="N1556" s="10" t="str"/>
      <x:c r="O1556" s="9" t="str">
        <x:v>1. 来源（当前证据）：liveshow-proto/MainBasis/统一需求文档.md；位置：行1928、行1923
2. 规则：BR-c271694e1285e58b
3. 未动态验证</x:v>
      </x:c>
    </x:row>
    <x:row r="1557" ht="85" customHeight="1">
      <x:c r="A1557" s="10" t="n">
        <x:v>1556</x:v>
      </x:c>
      <x:c r="B1557" s="10" t="str">
        <x:v>USER-02-0179</x:v>
      </x:c>
      <x:c r="C1557" s="10" t="str">
        <x:v>首页与福利</x:v>
      </x:c>
      <x:c r="D1557" s="10" t="str">
        <x:v>充值福利-已领取（用户A视角）</x:v>
      </x:c>
      <x:c r="E1557" s="10" t="str">
        <x:v>功能需求</x:v>
      </x:c>
      <x:c r="F1557" s="10" t="str">
        <x:v>P1</x:v>
      </x:c>
      <x:c r="G1557" s="9" t="str">
        <x:v>验证已领取奖励账号隔离</x:v>
      </x:c>
      <x:c r="H1557" s="9" t="str">
        <x:v>奖励记录账号范围</x:v>
      </x:c>
      <x:c r="I1557" s="9" t="str">
        <x:v>1. 执行角色为用户A；当前处于充值福利-已领取页面
2. A已领取签到及任务奖励；B有另外一笔已领取奖励，A并未领取该笔</x:v>
      </x:c>
      <x:c r="J1557" s="9" t="str">
        <x:v>1. 查看已领取奖励</x:v>
      </x:c>
      <x:c r="K1557" s="9" t="str">
        <x:v>仅展示属于A的签到及任务奖励</x:v>
      </x:c>
      <x:c r="L1557" s="10" t="str"/>
      <x:c r="M1557" s="10" t="str">
        <x:v>未测</x:v>
      </x:c>
      <x:c r="N1557" s="10" t="str"/>
      <x:c r="O1557" s="9" t="str">
        <x:v>1. 来源（当前证据）：liveshow-proto/MainBasis/统一需求文档.md；位置：行1905、行1903
2. 规则：BR-5313cd1760078a7f
3. 未动态验证</x:v>
      </x:c>
    </x:row>
    <x:row r="1558" ht="85" customHeight="1">
      <x:c r="A1558" s="10" t="n">
        <x:v>1557</x:v>
      </x:c>
      <x:c r="B1558" s="10" t="str">
        <x:v>USER-01-0123</x:v>
      </x:c>
      <x:c r="C1558" s="10" t="str">
        <x:v>系统入口</x:v>
      </x:c>
      <x:c r="D1558" s="10" t="str">
        <x:v>登录与注册（未登录用户视角）</x:v>
      </x:c>
      <x:c r="E1558" s="10" t="str">
        <x:v>异常用例</x:v>
      </x:c>
      <x:c r="F1558" s="10" t="str">
        <x:v>P1</x:v>
      </x:c>
      <x:c r="G1558" s="9" t="str">
        <x:v>验证Google未同意协议后的协议未同意授权页限制</x:v>
      </x:c>
      <x:c r="H1558" s="9" t="str">
        <x:v>协议未同意授权页限制</x:v>
      </x:c>
      <x:c r="I1558" s="9" t="str">
        <x:v>1. 执行角色为未登录用户；当前处于登录与注册页面
2. 协议未勾选</x:v>
      </x:c>
      <x:c r="J1558" s="9" t="str">
        <x:v>1. 点击Google登录</x:v>
      </x:c>
      <x:c r="K1558" s="9" t="str">
        <x:v>不唤起第三方授权页面</x:v>
      </x:c>
      <x:c r="L1558" s="10" t="str"/>
      <x:c r="M1558" s="10" t="str">
        <x:v>未测</x:v>
      </x:c>
      <x:c r="N1558" s="10" t="str"/>
      <x:c r="O1558" s="9" t="str">
        <x:v>1. 来源（当前证据）：liveshow-proto/MainBasis/统一需求文档.md；位置：行1365、行1348
2. 规则：BR-f581c9f1cc9b0dbf
3. 未动态验证</x:v>
      </x:c>
    </x:row>
    <x:row r="1559" ht="85" customHeight="1">
      <x:c r="A1559" s="10" t="n">
        <x:v>1558</x:v>
      </x:c>
      <x:c r="B1559" s="10" t="str">
        <x:v>USER-01-0124</x:v>
      </x:c>
      <x:c r="C1559" s="10" t="str">
        <x:v>系统入口</x:v>
      </x:c>
      <x:c r="D1559" s="10" t="str">
        <x:v>登录与注册（未登录用户视角）</x:v>
      </x:c>
      <x:c r="E1559" s="10" t="str">
        <x:v>异常用例</x:v>
      </x:c>
      <x:c r="F1559" s="10" t="str">
        <x:v>P1</x:v>
      </x:c>
      <x:c r="G1559" s="9" t="str">
        <x:v>验证Google取消授权后的授权取消页面停留</x:v>
      </x:c>
      <x:c r="H1559" s="9" t="str">
        <x:v>授权取消页面停留</x:v>
      </x:c>
      <x:c r="I1559" s="9" t="str">
        <x:v>1. 执行角色为未登录用户；当前处于登录与注册页面
2. 协议已勾选</x:v>
      </x:c>
      <x:c r="J1559" s="9" t="str">
        <x:v>1. 点击Google登录
2. 在授权页面点击取消</x:v>
      </x:c>
      <x:c r="K1559" s="9" t="str">
        <x:v>停留登录与注册页</x:v>
      </x:c>
      <x:c r="L1559" s="10" t="str"/>
      <x:c r="M1559" s="10" t="str">
        <x:v>未测</x:v>
      </x:c>
      <x:c r="N1559" s="10" t="str"/>
      <x:c r="O1559" s="9" t="str">
        <x:v>1. 来源（当前证据）：liveshow-proto/MainBasis/统一需求文档.md；位置：行1367、行1348、行1360
2. 规则：BR-8b3f747d003ee91c
3. 未动态验证</x:v>
      </x:c>
    </x:row>
    <x:row r="1560" ht="160" customHeight="1">
      <x:c r="A1560" s="10" t="n">
        <x:v>1559</x:v>
      </x:c>
      <x:c r="B1560" s="10" t="str">
        <x:v>USER-01-0125</x:v>
      </x:c>
      <x:c r="C1560" s="10" t="str">
        <x:v>系统入口</x:v>
      </x:c>
      <x:c r="D1560" s="10" t="str">
        <x:v>登录与注册（未登录用户视角）</x:v>
      </x:c>
      <x:c r="E1560" s="10" t="str">
        <x:v>异常用例</x:v>
      </x:c>
      <x:c r="F1560" s="10" t="str">
        <x:v>P1</x:v>
      </x:c>
      <x:c r="G1560" s="9" t="str">
        <x:v>验证Google授权失败后的授权失败页面停留</x:v>
      </x:c>
      <x:c r="H1560" s="9" t="str">
        <x:v>授权失败页面停留</x:v>
      </x:c>
      <x:c r="I1560" s="9" t="str">
        <x:v>1. 执行角色为未登录用户；当前处于登录与注册页面
2. 协议已勾选
3. 第三方授权服务返回失败
4. 环境准备要求（尚未具备）：需开发提供仅测试构建可用的一次性授权失败回调；保留原渠道类型，回调进入应用失败处理分支，不使用账号封禁或取消授权代替服务失败</x:v>
      </x:c>
      <x:c r="J1560" s="9" t="str">
        <x:v>1. 点击Google登录</x:v>
      </x:c>
      <x:c r="K1560" s="9" t="str">
        <x:v>停留登录与注册页</x:v>
      </x:c>
      <x:c r="L1560" s="10" t="str"/>
      <x:c r="M1560" s="10" t="str">
        <x:v>未测</x:v>
      </x:c>
      <x:c r="N1560" s="10" t="str"/>
      <x:c r="O1560" s="9" t="str">
        <x:v>1. 来源（当前证据）：liveshow-proto/MainBasis/统一需求文档.md；位置：行1367、行1348、行1360
2. 规则：BR-b588f4ead2265ff6
3. 未动态验证
4. 环境待准备：本条第三方登录渠道的授权回调；时点：点击本条渠道登录并返回授权结果时；恢复：本条结束后撤销故障设置，恢复真实请求处理；使用新测试对象复跑正常路径，避免污染后续用例</x:v>
      </x:c>
    </x:row>
    <x:row r="1561" ht="85" customHeight="1">
      <x:c r="A1561" s="10" t="n">
        <x:v>1560</x:v>
      </x:c>
      <x:c r="B1561" s="10" t="str">
        <x:v>USER-01-0126</x:v>
      </x:c>
      <x:c r="C1561" s="10" t="str">
        <x:v>系统入口</x:v>
      </x:c>
      <x:c r="D1561" s="10" t="str">
        <x:v>登录与注册（未登录用户视角）</x:v>
      </x:c>
      <x:c r="E1561" s="10" t="str">
        <x:v>异常用例</x:v>
      </x:c>
      <x:c r="F1561" s="10" t="str">
        <x:v>P1</x:v>
      </x:c>
      <x:c r="G1561" s="9" t="str">
        <x:v>验证Google封禁账号拦截后的封禁账号提示文案</x:v>
      </x:c>
      <x:c r="H1561" s="9" t="str">
        <x:v>封禁账号提示文案</x:v>
      </x:c>
      <x:c r="I1561" s="9" t="str">
        <x:v>1. 执行角色为未登录用户；当前处于登录与注册页面
2. 协议已勾选
3. Google关联的账号已被平台封禁</x:v>
      </x:c>
      <x:c r="J1561" s="9" t="str">
        <x:v>1. 点击Google登录
2. 确认第三方账号授权</x:v>
      </x:c>
      <x:c r="K1561" s="9" t="str">
        <x:v>提示“账号已被封禁”</x:v>
      </x:c>
      <x:c r="L1561" s="10" t="str"/>
      <x:c r="M1561" s="10" t="str">
        <x:v>未测</x:v>
      </x:c>
      <x:c r="N1561" s="10" t="str"/>
      <x:c r="O1561" s="9" t="str">
        <x:v>1. 来源（当前证据）：liveshow-proto/MainBasis/统一需求文档.md；位置：行1361、行1368、行1348
2. 规则：BR-2d36c3ed1cbd803f
3. 未动态验证</x:v>
      </x:c>
    </x:row>
    <x:row r="1562" ht="130" customHeight="1">
      <x:c r="A1562" s="10" t="n">
        <x:v>1561</x:v>
      </x:c>
      <x:c r="B1562" s="10" t="str">
        <x:v>USER-05-0263</x:v>
      </x:c>
      <x:c r="C1562" s="10" t="str">
        <x:v>我的</x:v>
      </x:c>
      <x:c r="D1562" s="10" t="str">
        <x:v>我的（未登录用户视角）</x:v>
      </x:c>
      <x:c r="E1562" s="10" t="str">
        <x:v>业务流程</x:v>
      </x:c>
      <x:c r="F1562" s="10" t="str">
        <x:v>P1</x:v>
      </x:c>
      <x:c r="G1562" s="9" t="str">
        <x:v>验证Google授权后进入原绑定账号</x:v>
      </x:c>
      <x:c r="H1562" s="9" t="str">
        <x:v>登录账号身份一致性</x:v>
      </x:c>
      <x:c r="I1562" s="9" t="str">
        <x:v>1. 执行角色为未登录用户；当前处于登录与注册页面
2. 协议已勾选
3. Google账号已绑定一个正常状态的Luma Live账号
4. 已记录该Google账号原绑定的Luma Live用户ID；当前设备不登录其他账号</x:v>
      </x:c>
      <x:c r="J1562" s="9" t="str">
        <x:v>1. 点击Google登录
2. 确认第三方账号授权
3. 点击底部我的入口
4. 查看个人中心用户ID</x:v>
      </x:c>
      <x:c r="K1562" s="9" t="str">
        <x:v>个人中心用户ID为本次授权平台账号原来绑定的Luma Live用户ID</x:v>
      </x:c>
      <x:c r="L1562" s="10" t="str">
        <x:v>FLOW-311BB313</x:v>
      </x:c>
      <x:c r="M1562" s="10" t="str">
        <x:v>未测</x:v>
      </x:c>
      <x:c r="N1562" s="10" t="str"/>
      <x:c r="O1562" s="9" t="str">
        <x:v>1. 来源（当前证据）：liveshow-proto/MainBasis/统一需求文档.md；位置：行1358、行1359、行1348、行679、行677
2. 规则：BR-144e35ad5b00aa99
3. 未动态验证
4. 状态转换：ST-USER-001；共同业务对象：账号；当前阶段：完成有效凭证登录后的用户App观察</x:v>
      </x:c>
    </x:row>
    <x:row r="1563" ht="85" customHeight="1">
      <x:c r="A1563" s="10" t="n">
        <x:v>1562</x:v>
      </x:c>
      <x:c r="B1563" s="10" t="str">
        <x:v>USER-01-0127</x:v>
      </x:c>
      <x:c r="C1563" s="10" t="str">
        <x:v>系统入口</x:v>
      </x:c>
      <x:c r="D1563" s="10" t="str">
        <x:v>登录与注册（未登录用户视角）</x:v>
      </x:c>
      <x:c r="E1563" s="10" t="str">
        <x:v>异常用例</x:v>
      </x:c>
      <x:c r="F1563" s="10" t="str">
        <x:v>P1</x:v>
      </x:c>
      <x:c r="G1563" s="9" t="str">
        <x:v>验证Facebook未同意协议后的协议未同意授权页限制</x:v>
      </x:c>
      <x:c r="H1563" s="9" t="str">
        <x:v>协议未同意授权页限制</x:v>
      </x:c>
      <x:c r="I1563" s="9" t="str">
        <x:v>1. 执行角色为未登录用户；当前处于登录与注册页面
2. 协议未勾选</x:v>
      </x:c>
      <x:c r="J1563" s="9" t="str">
        <x:v>1. 点击Facebook登录</x:v>
      </x:c>
      <x:c r="K1563" s="9" t="str">
        <x:v>不唤起第三方授权页面</x:v>
      </x:c>
      <x:c r="L1563" s="10" t="str"/>
      <x:c r="M1563" s="10" t="str">
        <x:v>未测</x:v>
      </x:c>
      <x:c r="N1563" s="10" t="str"/>
      <x:c r="O1563" s="9" t="str">
        <x:v>1. 来源（当前证据）：liveshow-proto/MainBasis/统一需求文档.md；位置：行1365、行1348
2. 规则：BR-7c30481c931f1482
3. 未动态验证</x:v>
      </x:c>
    </x:row>
    <x:row r="1564" ht="85" customHeight="1">
      <x:c r="A1564" s="10" t="n">
        <x:v>1563</x:v>
      </x:c>
      <x:c r="B1564" s="10" t="str">
        <x:v>USER-01-0128</x:v>
      </x:c>
      <x:c r="C1564" s="10" t="str">
        <x:v>系统入口</x:v>
      </x:c>
      <x:c r="D1564" s="10" t="str">
        <x:v>登录与注册（未登录用户视角）</x:v>
      </x:c>
      <x:c r="E1564" s="10" t="str">
        <x:v>异常用例</x:v>
      </x:c>
      <x:c r="F1564" s="10" t="str">
        <x:v>P1</x:v>
      </x:c>
      <x:c r="G1564" s="9" t="str">
        <x:v>验证Facebook取消授权后的授权取消页面停留</x:v>
      </x:c>
      <x:c r="H1564" s="9" t="str">
        <x:v>授权取消页面停留</x:v>
      </x:c>
      <x:c r="I1564" s="9" t="str">
        <x:v>1. 执行角色为未登录用户；当前处于登录与注册页面
2. 协议已勾选</x:v>
      </x:c>
      <x:c r="J1564" s="9" t="str">
        <x:v>1. 点击Facebook登录
2. 在授权页面点击取消</x:v>
      </x:c>
      <x:c r="K1564" s="9" t="str">
        <x:v>停留登录与注册页</x:v>
      </x:c>
      <x:c r="L1564" s="10" t="str"/>
      <x:c r="M1564" s="10" t="str">
        <x:v>未测</x:v>
      </x:c>
      <x:c r="N1564" s="10" t="str"/>
      <x:c r="O1564" s="9" t="str">
        <x:v>1. 来源（当前证据）：liveshow-proto/MainBasis/统一需求文档.md；位置：行1367、行1348、行1360
2. 规则：BR-8b4a826d60c7655d
3. 未动态验证</x:v>
      </x:c>
    </x:row>
    <x:row r="1565" ht="160" customHeight="1">
      <x:c r="A1565" s="10" t="n">
        <x:v>1564</x:v>
      </x:c>
      <x:c r="B1565" s="10" t="str">
        <x:v>USER-01-0129</x:v>
      </x:c>
      <x:c r="C1565" s="10" t="str">
        <x:v>系统入口</x:v>
      </x:c>
      <x:c r="D1565" s="10" t="str">
        <x:v>登录与注册（未登录用户视角）</x:v>
      </x:c>
      <x:c r="E1565" s="10" t="str">
        <x:v>异常用例</x:v>
      </x:c>
      <x:c r="F1565" s="10" t="str">
        <x:v>P1</x:v>
      </x:c>
      <x:c r="G1565" s="9" t="str">
        <x:v>验证Facebook授权失败后的授权失败页面停留</x:v>
      </x:c>
      <x:c r="H1565" s="9" t="str">
        <x:v>授权失败页面停留</x:v>
      </x:c>
      <x:c r="I1565" s="9" t="str">
        <x:v>1. 执行角色为未登录用户；当前处于登录与注册页面
2. 协议已勾选
3. 第三方授权服务返回失败
4. 环境准备要求（尚未具备）：需开发提供仅测试构建可用的一次性授权失败回调；保留原渠道类型，回调进入应用失败处理分支，不使用账号封禁或取消授权代替服务失败</x:v>
      </x:c>
      <x:c r="J1565" s="9" t="str">
        <x:v>1. 点击Facebook登录</x:v>
      </x:c>
      <x:c r="K1565" s="9" t="str">
        <x:v>停留登录与注册页</x:v>
      </x:c>
      <x:c r="L1565" s="10" t="str"/>
      <x:c r="M1565" s="10" t="str">
        <x:v>未测</x:v>
      </x:c>
      <x:c r="N1565" s="10" t="str"/>
      <x:c r="O1565" s="9" t="str">
        <x:v>1. 来源（当前证据）：liveshow-proto/MainBasis/统一需求文档.md；位置：行1367、行1348、行1360
2. 规则：BR-23a25a6a8ef30d8e
3. 未动态验证
4. 环境待准备：本条第三方登录渠道的授权回调；时点：点击本条渠道登录并返回授权结果时；恢复：本条结束后撤销故障设置，恢复真实请求处理；使用新测试对象复跑正常路径，避免污染后续用例</x:v>
      </x:c>
    </x:row>
    <x:row r="1566" ht="85" customHeight="1">
      <x:c r="A1566" s="10" t="n">
        <x:v>1565</x:v>
      </x:c>
      <x:c r="B1566" s="10" t="str">
        <x:v>USER-01-0130</x:v>
      </x:c>
      <x:c r="C1566" s="10" t="str">
        <x:v>系统入口</x:v>
      </x:c>
      <x:c r="D1566" s="10" t="str">
        <x:v>登录与注册（未登录用户视角）</x:v>
      </x:c>
      <x:c r="E1566" s="10" t="str">
        <x:v>异常用例</x:v>
      </x:c>
      <x:c r="F1566" s="10" t="str">
        <x:v>P1</x:v>
      </x:c>
      <x:c r="G1566" s="9" t="str">
        <x:v>验证Facebook封禁账号拦截后的封禁账号提示文案</x:v>
      </x:c>
      <x:c r="H1566" s="9" t="str">
        <x:v>封禁账号提示文案</x:v>
      </x:c>
      <x:c r="I1566" s="9" t="str">
        <x:v>1. 执行角色为未登录用户；当前处于登录与注册页面
2. 协议已勾选
3. Facebook关联的账号已被平台封禁</x:v>
      </x:c>
      <x:c r="J1566" s="9" t="str">
        <x:v>1. 点击Facebook登录
2. 确认第三方账号授权</x:v>
      </x:c>
      <x:c r="K1566" s="9" t="str">
        <x:v>提示“账号已被封禁”</x:v>
      </x:c>
      <x:c r="L1566" s="10" t="str"/>
      <x:c r="M1566" s="10" t="str">
        <x:v>未测</x:v>
      </x:c>
      <x:c r="N1566" s="10" t="str"/>
      <x:c r="O1566" s="9" t="str">
        <x:v>1. 来源（当前证据）：liveshow-proto/MainBasis/统一需求文档.md；位置：行1361、行1368、行1348
2. 规则：BR-52f736acb23bf852
3. 未动态验证</x:v>
      </x:c>
    </x:row>
    <x:row r="1567" ht="130" customHeight="1">
      <x:c r="A1567" s="10" t="n">
        <x:v>1566</x:v>
      </x:c>
      <x:c r="B1567" s="10" t="str">
        <x:v>USER-05-0264</x:v>
      </x:c>
      <x:c r="C1567" s="10" t="str">
        <x:v>我的</x:v>
      </x:c>
      <x:c r="D1567" s="10" t="str">
        <x:v>我的（未登录用户视角）</x:v>
      </x:c>
      <x:c r="E1567" s="10" t="str">
        <x:v>业务流程</x:v>
      </x:c>
      <x:c r="F1567" s="10" t="str">
        <x:v>P1</x:v>
      </x:c>
      <x:c r="G1567" s="9" t="str">
        <x:v>验证Facebook授权后进入原绑定账号</x:v>
      </x:c>
      <x:c r="H1567" s="9" t="str">
        <x:v>登录账号身份一致性</x:v>
      </x:c>
      <x:c r="I1567" s="9" t="str">
        <x:v>1. 执行角色为未登录用户；当前处于登录与注册页面
2. 协议已勾选
3. Facebook账号已绑定一个正常状态的Luma Live账号
4. 已记录该Facebook账号原绑定的Luma Live用户ID；当前设备不登录其他账号</x:v>
      </x:c>
      <x:c r="J1567" s="9" t="str">
        <x:v>1. 点击Facebook登录
2. 确认第三方账号授权
3. 点击底部我的入口
4. 查看个人中心用户ID</x:v>
      </x:c>
      <x:c r="K1567" s="9" t="str">
        <x:v>个人中心用户ID为本次授权平台账号原来绑定的Luma Live用户ID</x:v>
      </x:c>
      <x:c r="L1567" s="10" t="str">
        <x:v>FLOW-311BB313</x:v>
      </x:c>
      <x:c r="M1567" s="10" t="str">
        <x:v>未测</x:v>
      </x:c>
      <x:c r="N1567" s="10" t="str"/>
      <x:c r="O1567" s="9" t="str">
        <x:v>1. 来源（当前证据）：liveshow-proto/MainBasis/统一需求文档.md；位置：行1358、行1359、行1348、行679、行677
2. 规则：BR-396506e3583e3f8b
3. 未动态验证
4. 状态转换：ST-USER-001；共同业务对象：账号；当前阶段：完成有效凭证登录后的用户App观察</x:v>
      </x:c>
    </x:row>
    <x:row r="1568" ht="85" customHeight="1">
      <x:c r="A1568" s="10" t="n">
        <x:v>1567</x:v>
      </x:c>
      <x:c r="B1568" s="10" t="str">
        <x:v>USER-01-0131</x:v>
      </x:c>
      <x:c r="C1568" s="10" t="str">
        <x:v>系统入口</x:v>
      </x:c>
      <x:c r="D1568" s="10" t="str">
        <x:v>登录与注册（未登录用户视角）</x:v>
      </x:c>
      <x:c r="E1568" s="10" t="str">
        <x:v>异常用例</x:v>
      </x:c>
      <x:c r="F1568" s="10" t="str">
        <x:v>P1</x:v>
      </x:c>
      <x:c r="G1568" s="9" t="str">
        <x:v>验证Apple ID未同意协议后的协议未同意授权页限制</x:v>
      </x:c>
      <x:c r="H1568" s="9" t="str">
        <x:v>协议未同意授权页限制</x:v>
      </x:c>
      <x:c r="I1568" s="9" t="str">
        <x:v>1. 执行角色为未登录用户；当前处于登录与注册页面
2. 测试设备为iOS
3. 协议未勾选</x:v>
      </x:c>
      <x:c r="J1568" s="9" t="str">
        <x:v>1. 点击Apple ID登录</x:v>
      </x:c>
      <x:c r="K1568" s="9" t="str">
        <x:v>不唤起第三方授权页面</x:v>
      </x:c>
      <x:c r="L1568" s="10" t="str"/>
      <x:c r="M1568" s="10" t="str">
        <x:v>未测</x:v>
      </x:c>
      <x:c r="N1568" s="10" t="str"/>
      <x:c r="O1568" s="9" t="str">
        <x:v>1. 来源（当前证据）：liveshow-proto/MainBasis/统一需求文档.md；位置：行1365、行1348
2. 规则：BR-f0f1d4561cea4164
3. 未动态验证</x:v>
      </x:c>
    </x:row>
    <x:row r="1569" ht="85" customHeight="1">
      <x:c r="A1569" s="10" t="n">
        <x:v>1568</x:v>
      </x:c>
      <x:c r="B1569" s="10" t="str">
        <x:v>USER-01-0132</x:v>
      </x:c>
      <x:c r="C1569" s="10" t="str">
        <x:v>系统入口</x:v>
      </x:c>
      <x:c r="D1569" s="10" t="str">
        <x:v>登录与注册（未登录用户视角）</x:v>
      </x:c>
      <x:c r="E1569" s="10" t="str">
        <x:v>异常用例</x:v>
      </x:c>
      <x:c r="F1569" s="10" t="str">
        <x:v>P1</x:v>
      </x:c>
      <x:c r="G1569" s="9" t="str">
        <x:v>验证Apple ID取消授权后的授权取消页面停留</x:v>
      </x:c>
      <x:c r="H1569" s="9" t="str">
        <x:v>授权取消页面停留</x:v>
      </x:c>
      <x:c r="I1569" s="9" t="str">
        <x:v>1. 执行角色为未登录用户；当前处于登录与注册页面
2. 测试设备为iOS
3. 协议已勾选</x:v>
      </x:c>
      <x:c r="J1569" s="9" t="str">
        <x:v>1. 点击Apple ID登录
2. 在授权页面点击取消</x:v>
      </x:c>
      <x:c r="K1569" s="9" t="str">
        <x:v>停留登录与注册页</x:v>
      </x:c>
      <x:c r="L1569" s="10" t="str"/>
      <x:c r="M1569" s="10" t="str">
        <x:v>未测</x:v>
      </x:c>
      <x:c r="N1569" s="10" t="str"/>
      <x:c r="O1569" s="9" t="str">
        <x:v>1. 来源（当前证据）：liveshow-proto/MainBasis/统一需求文档.md；位置：行1367、行1348、行1360
2. 规则：BR-616c465a7a3bea6f
3. 未动态验证</x:v>
      </x:c>
    </x:row>
    <x:row r="1570" ht="175" customHeight="1">
      <x:c r="A1570" s="10" t="n">
        <x:v>1569</x:v>
      </x:c>
      <x:c r="B1570" s="10" t="str">
        <x:v>USER-01-0133</x:v>
      </x:c>
      <x:c r="C1570" s="10" t="str">
        <x:v>系统入口</x:v>
      </x:c>
      <x:c r="D1570" s="10" t="str">
        <x:v>登录与注册（未登录用户视角）</x:v>
      </x:c>
      <x:c r="E1570" s="10" t="str">
        <x:v>异常用例</x:v>
      </x:c>
      <x:c r="F1570" s="10" t="str">
        <x:v>P1</x:v>
      </x:c>
      <x:c r="G1570" s="9" t="str">
        <x:v>验证Apple ID授权失败后的授权失败页面停留</x:v>
      </x:c>
      <x:c r="H1570" s="9" t="str">
        <x:v>授权失败页面停留</x:v>
      </x:c>
      <x:c r="I1570" s="9" t="str">
        <x:v>1. 执行角色为未登录用户；当前处于登录与注册页面
2. 测试设备为iOS
3. 协议已勾选
4. 第三方授权服务返回失败
5. 环境准备要求（尚未具备）：需开发提供仅测试构建可用的一次性授权失败回调；保留原渠道类型，回调进入应用失败处理分支，不使用账号封禁或取消授权代替服务失败</x:v>
      </x:c>
      <x:c r="J1570" s="9" t="str">
        <x:v>1. 点击Apple ID登录</x:v>
      </x:c>
      <x:c r="K1570" s="9" t="str">
        <x:v>停留登录与注册页</x:v>
      </x:c>
      <x:c r="L1570" s="10" t="str"/>
      <x:c r="M1570" s="10" t="str">
        <x:v>未测</x:v>
      </x:c>
      <x:c r="N1570" s="10" t="str"/>
      <x:c r="O1570" s="9" t="str">
        <x:v>1. 来源（当前证据）：liveshow-proto/MainBasis/统一需求文档.md；位置：行1367、行1348、行1360
2. 规则：BR-a3d538cd6e9eebfa
3. 未动态验证
4. 环境待准备：本条第三方登录渠道的授权回调；时点：点击本条渠道登录并返回授权结果时；恢复：本条结束后撤销故障设置，恢复真实请求处理；使用新测试对象复跑正常路径，避免污染后续用例</x:v>
      </x:c>
    </x:row>
    <x:row r="1571" ht="100" customHeight="1">
      <x:c r="A1571" s="10" t="n">
        <x:v>1570</x:v>
      </x:c>
      <x:c r="B1571" s="10" t="str">
        <x:v>USER-01-0134</x:v>
      </x:c>
      <x:c r="C1571" s="10" t="str">
        <x:v>系统入口</x:v>
      </x:c>
      <x:c r="D1571" s="10" t="str">
        <x:v>登录与注册（未登录用户视角）</x:v>
      </x:c>
      <x:c r="E1571" s="10" t="str">
        <x:v>异常用例</x:v>
      </x:c>
      <x:c r="F1571" s="10" t="str">
        <x:v>P1</x:v>
      </x:c>
      <x:c r="G1571" s="9" t="str">
        <x:v>验证Apple ID封禁账号拦截后的封禁账号提示文案</x:v>
      </x:c>
      <x:c r="H1571" s="9" t="str">
        <x:v>封禁账号提示文案</x:v>
      </x:c>
      <x:c r="I1571" s="9" t="str">
        <x:v>1. 执行角色为未登录用户；当前处于登录与注册页面
2. 测试设备为iOS
3. 协议已勾选
4. Apple ID关联的账号已被平台封禁</x:v>
      </x:c>
      <x:c r="J1571" s="9" t="str">
        <x:v>1. 点击Apple ID登录
2. 确认第三方账号授权</x:v>
      </x:c>
      <x:c r="K1571" s="9" t="str">
        <x:v>提示“账号已被封禁”</x:v>
      </x:c>
      <x:c r="L1571" s="10" t="str"/>
      <x:c r="M1571" s="10" t="str">
        <x:v>未测</x:v>
      </x:c>
      <x:c r="N1571" s="10" t="str"/>
      <x:c r="O1571" s="9" t="str">
        <x:v>1. 来源（当前证据）：liveshow-proto/MainBasis/统一需求文档.md；位置：行1361、行1368、行1348
2. 规则：BR-c1bd1ffff9de1165
3. 未动态验证</x:v>
      </x:c>
    </x:row>
    <x:row r="1572" ht="145" customHeight="1">
      <x:c r="A1572" s="10" t="n">
        <x:v>1571</x:v>
      </x:c>
      <x:c r="B1572" s="10" t="str">
        <x:v>USER-05-0265</x:v>
      </x:c>
      <x:c r="C1572" s="10" t="str">
        <x:v>我的</x:v>
      </x:c>
      <x:c r="D1572" s="10" t="str">
        <x:v>我的（未登录用户视角）</x:v>
      </x:c>
      <x:c r="E1572" s="10" t="str">
        <x:v>业务流程</x:v>
      </x:c>
      <x:c r="F1572" s="10" t="str">
        <x:v>P1</x:v>
      </x:c>
      <x:c r="G1572" s="9" t="str">
        <x:v>验证Apple ID授权后进入原绑定账号</x:v>
      </x:c>
      <x:c r="H1572" s="9" t="str">
        <x:v>登录账号身份一致性</x:v>
      </x:c>
      <x:c r="I1572" s="9" t="str">
        <x:v>1. 执行角色为未登录用户；当前处于登录与注册页面
2. 测试设备为iOS
3. 协议已勾选
4. Apple ID账号已绑定一个正常状态的Luma Live账号
5. 已记录该Apple ID账号原绑定的Luma Live用户ID；当前设备不登录其他账号</x:v>
      </x:c>
      <x:c r="J1572" s="9" t="str">
        <x:v>1. 点击Apple ID登录
2. 确认第三方账号授权
3. 点击底部我的入口
4. 查看个人中心用户ID</x:v>
      </x:c>
      <x:c r="K1572" s="9" t="str">
        <x:v>个人中心用户ID为本次授权平台账号原来绑定的Luma Live用户ID</x:v>
      </x:c>
      <x:c r="L1572" s="10" t="str">
        <x:v>FLOW-311BB313</x:v>
      </x:c>
      <x:c r="M1572" s="10" t="str">
        <x:v>未测</x:v>
      </x:c>
      <x:c r="N1572" s="10" t="str"/>
      <x:c r="O1572" s="9" t="str">
        <x:v>1. 来源（当前证据）：liveshow-proto/MainBasis/统一需求文档.md；位置：行1358、行1359、行1348、行679、行677
2. 规则：BR-1634df0be1c28a16
3. 未动态验证
4. 状态转换：ST-USER-001；共同业务对象：账号；当前阶段：完成有效凭证登录后的用户App观察</x:v>
      </x:c>
    </x:row>
    <x:row r="1573" ht="85" customHeight="1">
      <x:c r="A1573" s="10" t="n">
        <x:v>1572</x:v>
      </x:c>
      <x:c r="B1573" s="10" t="str">
        <x:v>USER-01-0135</x:v>
      </x:c>
      <x:c r="C1573" s="10" t="str">
        <x:v>系统入口</x:v>
      </x:c>
      <x:c r="D1573" s="10" t="str">
        <x:v>登录与注册（未登录用户视角）</x:v>
      </x:c>
      <x:c r="E1573" s="10" t="str">
        <x:v>异常用例</x:v>
      </x:c>
      <x:c r="F1573" s="10" t="str">
        <x:v>P1</x:v>
      </x:c>
      <x:c r="G1573" s="9" t="str">
        <x:v>验证TikTok未同意协议后的协议未同意授权页限制</x:v>
      </x:c>
      <x:c r="H1573" s="9" t="str">
        <x:v>协议未同意授权页限制</x:v>
      </x:c>
      <x:c r="I1573" s="9" t="str">
        <x:v>1. 执行角色为未登录用户；当前处于登录与注册页面
2. 协议未勾选</x:v>
      </x:c>
      <x:c r="J1573" s="9" t="str">
        <x:v>1. 点击TikTok登录</x:v>
      </x:c>
      <x:c r="K1573" s="9" t="str">
        <x:v>不唤起第三方授权页面</x:v>
      </x:c>
      <x:c r="L1573" s="10" t="str"/>
      <x:c r="M1573" s="10" t="str">
        <x:v>未测</x:v>
      </x:c>
      <x:c r="N1573" s="10" t="str"/>
      <x:c r="O1573" s="9" t="str">
        <x:v>1. 来源（当前证据）：liveshow-proto/MainBasis/统一需求文档.md；位置：行1365、行1348
2. 规则：BR-6dc5e53eb5aae088
3. 未动态验证</x:v>
      </x:c>
    </x:row>
    <x:row r="1574" ht="85" customHeight="1">
      <x:c r="A1574" s="10" t="n">
        <x:v>1573</x:v>
      </x:c>
      <x:c r="B1574" s="10" t="str">
        <x:v>USER-01-0136</x:v>
      </x:c>
      <x:c r="C1574" s="10" t="str">
        <x:v>系统入口</x:v>
      </x:c>
      <x:c r="D1574" s="10" t="str">
        <x:v>登录与注册（未登录用户视角）</x:v>
      </x:c>
      <x:c r="E1574" s="10" t="str">
        <x:v>异常用例</x:v>
      </x:c>
      <x:c r="F1574" s="10" t="str">
        <x:v>P1</x:v>
      </x:c>
      <x:c r="G1574" s="9" t="str">
        <x:v>验证TikTok取消授权后的授权取消页面停留</x:v>
      </x:c>
      <x:c r="H1574" s="9" t="str">
        <x:v>授权取消页面停留</x:v>
      </x:c>
      <x:c r="I1574" s="9" t="str">
        <x:v>1. 执行角色为未登录用户；当前处于登录与注册页面
2. 协议已勾选</x:v>
      </x:c>
      <x:c r="J1574" s="9" t="str">
        <x:v>1. 点击TikTok登录
2. 在授权页面点击取消</x:v>
      </x:c>
      <x:c r="K1574" s="9" t="str">
        <x:v>停留登录与注册页</x:v>
      </x:c>
      <x:c r="L1574" s="10" t="str"/>
      <x:c r="M1574" s="10" t="str">
        <x:v>未测</x:v>
      </x:c>
      <x:c r="N1574" s="10" t="str"/>
      <x:c r="O1574" s="9" t="str">
        <x:v>1. 来源（当前证据）：liveshow-proto/MainBasis/统一需求文档.md；位置：行1367、行1348、行1360
2. 规则：BR-18be47c3f3fbafaf
3. 未动态验证</x:v>
      </x:c>
    </x:row>
    <x:row r="1575" ht="160" customHeight="1">
      <x:c r="A1575" s="10" t="n">
        <x:v>1574</x:v>
      </x:c>
      <x:c r="B1575" s="10" t="str">
        <x:v>USER-01-0137</x:v>
      </x:c>
      <x:c r="C1575" s="10" t="str">
        <x:v>系统入口</x:v>
      </x:c>
      <x:c r="D1575" s="10" t="str">
        <x:v>登录与注册（未登录用户视角）</x:v>
      </x:c>
      <x:c r="E1575" s="10" t="str">
        <x:v>异常用例</x:v>
      </x:c>
      <x:c r="F1575" s="10" t="str">
        <x:v>P1</x:v>
      </x:c>
      <x:c r="G1575" s="9" t="str">
        <x:v>验证TikTok授权失败后的授权失败页面停留</x:v>
      </x:c>
      <x:c r="H1575" s="9" t="str">
        <x:v>授权失败页面停留</x:v>
      </x:c>
      <x:c r="I1575" s="9" t="str">
        <x:v>1. 执行角色为未登录用户；当前处于登录与注册页面
2. 协议已勾选
3. 第三方授权服务返回失败
4. 环境准备要求（尚未具备）：需开发提供仅测试构建可用的一次性授权失败回调；保留原渠道类型，回调进入应用失败处理分支，不使用账号封禁或取消授权代替服务失败</x:v>
      </x:c>
      <x:c r="J1575" s="9" t="str">
        <x:v>1. 点击TikTok登录</x:v>
      </x:c>
      <x:c r="K1575" s="9" t="str">
        <x:v>停留登录与注册页</x:v>
      </x:c>
      <x:c r="L1575" s="10" t="str"/>
      <x:c r="M1575" s="10" t="str">
        <x:v>未测</x:v>
      </x:c>
      <x:c r="N1575" s="10" t="str"/>
      <x:c r="O1575" s="9" t="str">
        <x:v>1. 来源（当前证据）：liveshow-proto/MainBasis/统一需求文档.md；位置：行1367、行1348、行1360
2. 规则：BR-ddec4cb981c0b840
3. 未动态验证
4. 环境待准备：本条第三方登录渠道的授权回调；时点：点击本条渠道登录并返回授权结果时；恢复：本条结束后撤销故障设置，恢复真实请求处理；使用新测试对象复跑正常路径，避免污染后续用例</x:v>
      </x:c>
    </x:row>
    <x:row r="1576" ht="85" customHeight="1">
      <x:c r="A1576" s="10" t="n">
        <x:v>1575</x:v>
      </x:c>
      <x:c r="B1576" s="10" t="str">
        <x:v>USER-01-0138</x:v>
      </x:c>
      <x:c r="C1576" s="10" t="str">
        <x:v>系统入口</x:v>
      </x:c>
      <x:c r="D1576" s="10" t="str">
        <x:v>登录与注册（未登录用户视角）</x:v>
      </x:c>
      <x:c r="E1576" s="10" t="str">
        <x:v>异常用例</x:v>
      </x:c>
      <x:c r="F1576" s="10" t="str">
        <x:v>P1</x:v>
      </x:c>
      <x:c r="G1576" s="9" t="str">
        <x:v>验证TikTok封禁账号拦截后的封禁账号提示文案</x:v>
      </x:c>
      <x:c r="H1576" s="9" t="str">
        <x:v>封禁账号提示文案</x:v>
      </x:c>
      <x:c r="I1576" s="9" t="str">
        <x:v>1. 执行角色为未登录用户；当前处于登录与注册页面
2. 协议已勾选
3. TikTok关联的账号已被平台封禁</x:v>
      </x:c>
      <x:c r="J1576" s="9" t="str">
        <x:v>1. 点击TikTok登录
2. 确认第三方账号授权</x:v>
      </x:c>
      <x:c r="K1576" s="9" t="str">
        <x:v>提示“账号已被封禁”</x:v>
      </x:c>
      <x:c r="L1576" s="10" t="str"/>
      <x:c r="M1576" s="10" t="str">
        <x:v>未测</x:v>
      </x:c>
      <x:c r="N1576" s="10" t="str"/>
      <x:c r="O1576" s="9" t="str">
        <x:v>1. 来源（当前证据）：liveshow-proto/MainBasis/统一需求文档.md；位置：行1361、行1368、行1348
2. 规则：BR-20a1c758fadb851a
3. 未动态验证</x:v>
      </x:c>
    </x:row>
    <x:row r="1577" ht="130" customHeight="1">
      <x:c r="A1577" s="10" t="n">
        <x:v>1576</x:v>
      </x:c>
      <x:c r="B1577" s="10" t="str">
        <x:v>USER-05-0266</x:v>
      </x:c>
      <x:c r="C1577" s="10" t="str">
        <x:v>我的</x:v>
      </x:c>
      <x:c r="D1577" s="10" t="str">
        <x:v>我的（未登录用户视角）</x:v>
      </x:c>
      <x:c r="E1577" s="10" t="str">
        <x:v>业务流程</x:v>
      </x:c>
      <x:c r="F1577" s="10" t="str">
        <x:v>P1</x:v>
      </x:c>
      <x:c r="G1577" s="9" t="str">
        <x:v>验证TikTok授权后进入原绑定账号</x:v>
      </x:c>
      <x:c r="H1577" s="9" t="str">
        <x:v>登录账号身份一致性</x:v>
      </x:c>
      <x:c r="I1577" s="9" t="str">
        <x:v>1. 执行角色为未登录用户；当前处于登录与注册页面
2. 协议已勾选
3. TikTok账号已绑定一个正常状态的Luma Live账号
4. 已记录该TikTok账号原绑定的Luma Live用户ID；当前设备不登录其他账号</x:v>
      </x:c>
      <x:c r="J1577" s="9" t="str">
        <x:v>1. 点击TikTok登录
2. 确认第三方账号授权
3. 点击底部我的入口
4. 查看个人中心用户ID</x:v>
      </x:c>
      <x:c r="K1577" s="9" t="str">
        <x:v>个人中心用户ID为本次授权平台账号原来绑定的Luma Live用户ID</x:v>
      </x:c>
      <x:c r="L1577" s="10" t="str">
        <x:v>FLOW-311BB313</x:v>
      </x:c>
      <x:c r="M1577" s="10" t="str">
        <x:v>未测</x:v>
      </x:c>
      <x:c r="N1577" s="10" t="str"/>
      <x:c r="O1577" s="9" t="str">
        <x:v>1. 来源（当前证据）：liveshow-proto/MainBasis/统一需求文档.md；位置：行1358、行1359、行1348、行679、行677
2. 规则：BR-c0fb9575b87c670a
3. 未动态验证
4. 状态转换：ST-USER-001；共同业务对象：账号；当前阶段：完成有效凭证登录后的用户App观察</x:v>
      </x:c>
    </x:row>
  </x:sheetData>
  <x:dataValidations count="3">
    <x:dataValidation type="list" sqref="E2:E1577">
      <x:formula1>"功能需求,业务流程,逻辑校验,异常用例"</x:formula1>
    </x:dataValidation>
    <x:dataValidation type="list" sqref="F2:F1577">
      <x:formula1>"P0,P1,P2,P3"</x:formula1>
    </x:dataValidation>
    <x:dataValidation type="list" sqref="M2:M1577">
      <x:formula1>"未测,通过,不通过,阻塞,不适用"</x:formula1>
    </x:dataValidation>
  </x:dataValidations>
  <x:pageMargins left="0.7" right="0.7" top="0.75" bottom="0.75" header="0.3" footer="0.3"/>
  <x:tableParts count="1">
    <x:tablePart xmlns:r="http://schemas.openxmlformats.org/officeDocument/2006/relationships" r:id="R3d739fd24bc54235"/>
  </x:tableParts>
</x:worksheet>
</file>

<file path=xl/worksheets/sheet3.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2" customWidth="1"/>
    <x:col min="2" max="2" width="13" customWidth="1" hidden="1"/>
    <x:col min="3" max="3" width="13" customWidth="1" hidden="1"/>
    <x:col min="4" max="4" width="20" customWidth="1" hidden="1"/>
    <x:col min="5" max="5" width="11" customWidth="1" hidden="1"/>
    <x:col min="6" max="6" width="12" customWidth="1"/>
    <x:col min="7" max="7" width="28" customWidth="1"/>
    <x:col min="8" max="8" width="18" customWidth="1" hidden="1"/>
    <x:col min="9" max="9" width="34" customWidth="1"/>
    <x:col min="10" max="10" width="45" customWidth="1"/>
    <x:col min="11" max="11" width="36" customWidth="1" hidden="1"/>
    <x:col min="12" max="12" width="12" customWidth="1"/>
    <x:col min="13" max="13" width="24" customWidth="1"/>
    <x:col min="14" max="14" width="34" customWidth="1" hidden="1"/>
    <x:col min="15" max="15" width="30" customWidth="1" hidden="1"/>
    <x:col min="16" max="16" width="20" customWidth="1" hidden="1"/>
    <x:col min="17" max="17" width="30" customWidth="1" hidden="1"/>
    <x:col min="18" max="18" width="12" customWidth="1"/>
    <x:col min="19" max="19" width="21" customWidth="1" hidden="1"/>
    <x:col min="20" max="20" width="12" customWidth="1"/>
  </x:cols>
  <x:sheetData>
    <x:row r="1" ht="34" customHeight="1">
      <x:c r="A1" s="11" t="str">
        <x:v>问题编号</x:v>
      </x:c>
      <x:c r="B1" s="11" t="str">
        <x:v>需求组编号</x:v>
      </x:c>
      <x:c r="C1" s="11" t="str">
        <x:v>父问题编号</x:v>
      </x:c>
      <x:c r="D1" s="11" t="str">
        <x:v>追问触发条件</x:v>
      </x:c>
      <x:c r="E1" s="11" t="str">
        <x:v>阻塞等级</x:v>
      </x:c>
      <x:c r="F1" s="11" t="str">
        <x:v>功能模块</x:v>
      </x:c>
      <x:c r="G1" s="11" t="str">
        <x:v>具体场景</x:v>
      </x:c>
      <x:c r="H1" s="11" t="str">
        <x:v>问题分类</x:v>
      </x:c>
      <x:c r="I1" s="11" t="str">
        <x:v>待决策问题</x:v>
      </x:c>
      <x:c r="J1" s="11" t="str">
        <x:v>可选方案</x:v>
      </x:c>
      <x:c r="K1" s="11" t="str">
        <x:v>测试建议</x:v>
      </x:c>
      <x:c r="L1" s="11" t="str">
        <x:v>产品结论</x:v>
      </x:c>
      <x:c r="M1" s="11" t="str">
        <x:v>结论补充</x:v>
      </x:c>
      <x:c r="N1" s="11" t="str">
        <x:v>已知依据</x:v>
      </x:c>
      <x:c r="O1" s="11" t="str">
        <x:v>影响范围</x:v>
      </x:c>
      <x:c r="P1" s="11" t="str">
        <x:v>已有用例编号</x:v>
      </x:c>
      <x:c r="Q1" s="11" t="str">
        <x:v>确认后待补用例</x:v>
      </x:c>
      <x:c r="R1" s="11" t="str">
        <x:v>负责人</x:v>
      </x:c>
      <x:c r="S1" s="11" t="str">
        <x:v>期望确认时间</x:v>
      </x:c>
      <x:c r="T1" s="11" t="str">
        <x:v>确认状态</x:v>
      </x:c>
    </x:row>
    <x:row r="2" ht="145" customHeight="1">
      <x:c r="A2" s="10" t="str">
        <x:v>Q-001</x:v>
      </x:c>
      <x:c r="B2" s="10" t="str">
        <x:v>RQ-001</x:v>
      </x:c>
      <x:c r="C2" s="10" t="str"/>
      <x:c r="D2" s="10" t="str"/>
      <x:c r="E2" s="10" t="str">
        <x:v>部分阻塞</x:v>
      </x:c>
      <x:c r="F2" s="10" t="str">
        <x:v>我的</x:v>
      </x:c>
      <x:c r="G2" s="9" t="str">
        <x:v>个人中心开播入口</x:v>
      </x:c>
      <x:c r="H2" s="9" t="str">
        <x:v>角色与权限</x:v>
      </x:c>
      <x:c r="I2" s="9" t="str">
        <x:v>已认证主播点击个人中心开始直播，直接进入开播设置还是先进入主播中心？</x:v>
      </x:c>
      <x:c r="J2" s="9" t="str">
        <x:v>A. 直接进入开播设置
B. 先进入主播中心</x:v>
      </x:c>
      <x:c r="K2" s="9" t="str">
        <x:v>请明确个人中心开播入口的唯一口径及适用范围；确认前不将候选方案作为确定性预期。</x:v>
      </x:c>
      <x:c r="L2" s="12" t="str"/>
      <x:c r="M2" s="12" t="str"/>
      <x:c r="N2" s="10" t="str">
        <x:v>1. liveshow-proto/MainBasis/需求待确认清单.md：行10；- [PENDING-profile-live-entry] 个人中心开播入口：已认证主播点击个人中心开始直播，直接进入开播设置还是先进入主播中心？ 选项：A. 直接进入开播设置；B. 先进入主播中心。影响端：用户App。依据：AN-52423cc339e3。</x:v>
      </x:c>
      <x:c r="O2" s="9" t="str">
        <x:v>1. 我的
2. 仅隔离个人中心开播入口相关的未确认分支；已确认功能继续测试</x:v>
      </x:c>
      <x:c r="P2" s="9" t="str"/>
      <x:c r="Q2" s="9" t="str">
        <x:v>1. 个人中心开播入口的选定规则主流程
2. 个人中心开播入口的边界及失败分支</x:v>
      </x:c>
      <x:c r="R2" s="9" t="str">
        <x:v>产品</x:v>
      </x:c>
      <x:c r="S2" s="9" t="str">
        <x:v>相关功能验收前</x:v>
      </x:c>
      <x:c r="T2" s="9" t="str">
        <x:v>待确认</x:v>
      </x:c>
    </x:row>
    <x:row r="3" ht="145" customHeight="1">
      <x:c r="A3" s="10" t="str">
        <x:v>Q-002</x:v>
      </x:c>
      <x:c r="B3" s="10" t="str">
        <x:v>RQ-002</x:v>
      </x:c>
      <x:c r="C3" s="10" t="str"/>
      <x:c r="D3" s="10" t="str"/>
      <x:c r="E3" s="10" t="str">
        <x:v>部分阻塞</x:v>
      </x:c>
      <x:c r="F3" s="10" t="str">
        <x:v>我的、消息与社交、直播</x:v>
      </x:c>
      <x:c r="G3" s="9" t="str">
        <x:v>等级勋章展示位置</x:v>
      </x:c>
      <x:c r="H3" s="9" t="str">
        <x:v>计算与统计口径</x:v>
      </x:c>
      <x:c r="I3" s="9" t="str">
        <x:v>等级勋章在用户App的哪些位置展示？</x:v>
      </x:c>
      <x:c r="J3" s="9" t="str">
        <x:v>A. 仅个人主页等级区域
B. 个人主页及直播资料卡等级区域
C. 复用现有已佩戴勋章区域</x:v>
      </x:c>
      <x:c r="K3" s="9" t="str">
        <x:v>请明确等级勋章展示位置的唯一口径及适用范围；确认前不将候选方案作为确定性预期。</x:v>
      </x:c>
      <x:c r="L3" s="12" t="str"/>
      <x:c r="M3" s="12" t="str"/>
      <x:c r="N3" s="10" t="str">
        <x:v>1. liveshow-proto/MainBasis/需求待确认清单.md：行14；- [PENDING-badge-location] 等级勋章展示位置：等级勋章在用户App的哪些位置展示？ 选项：A. 仅个人主页等级区域；B. 个人主页及直播资料卡等级区域；C. 复用现有已佩戴勋章区域。影响端：用户App、管理后台。依据：AN-f205606825f1。</x:v>
      </x:c>
      <x:c r="O3" s="9" t="str">
        <x:v>1. 我的、消息与社交、直播
2. 仅隔离等级勋章展示位置相关的未确认分支；已确认功能继续测试</x:v>
      </x:c>
      <x:c r="P3" s="9" t="str"/>
      <x:c r="Q3" s="9" t="str">
        <x:v>1. 等级勋章展示位置的选定规则主流程
2. 等级勋章展示位置的边界及失败分支</x:v>
      </x:c>
      <x:c r="R3" s="9" t="str">
        <x:v>多方确认</x:v>
      </x:c>
      <x:c r="S3" s="9" t="str">
        <x:v>相关功能验收前</x:v>
      </x:c>
      <x:c r="T3" s="9" t="str">
        <x:v>待确认</x:v>
      </x:c>
    </x:row>
    <x:row r="4" ht="130" customHeight="1">
      <x:c r="A4" s="10" t="str">
        <x:v>Q-003</x:v>
      </x:c>
      <x:c r="B4" s="10" t="str">
        <x:v>RQ-003</x:v>
      </x:c>
      <x:c r="C4" s="10" t="str"/>
      <x:c r="D4" s="10" t="str"/>
      <x:c r="E4" s="10" t="str">
        <x:v>部分阻塞</x:v>
      </x:c>
      <x:c r="F4" s="10" t="str">
        <x:v>我的</x:v>
      </x:c>
      <x:c r="G4" s="9" t="str">
        <x:v>升级勋章自动替换</x:v>
      </x:c>
      <x:c r="H4" s="9" t="str">
        <x:v>业务规则</x:v>
      </x:c>
      <x:c r="I4" s="9" t="str">
        <x:v>等级变化后是否自动替换该类型勋章？</x:v>
      </x:c>
      <x:c r="J4" s="9" t="str">
        <x:v>A. 立即自动替换
B. 获得新勋章后保留原佩戴状态</x:v>
      </x:c>
      <x:c r="K4" s="9" t="str">
        <x:v>请明确升级勋章自动替换的唯一口径及适用范围；确认前不将候选方案作为确定性预期。</x:v>
      </x:c>
      <x:c r="L4" s="12" t="str"/>
      <x:c r="M4" s="12" t="str"/>
      <x:c r="N4" s="10" t="str">
        <x:v>1. liveshow-proto/MainBasis/需求待确认清单.md：行18；- [PENDING-badge-auto] 升级勋章自动替换：等级变化后是否自动替换该类型勋章？ 选项：A. 立即自动替换；B. 获得新勋章后保留原佩戴状态。影响端：用户App、管理后台。依据：AN-f205606825f1。</x:v>
      </x:c>
      <x:c r="O4" s="9" t="str">
        <x:v>1. 我的
2. 仅隔离升级勋章自动替换相关的未确认分支；已确认功能继续测试</x:v>
      </x:c>
      <x:c r="P4" s="9" t="str"/>
      <x:c r="Q4" s="9" t="str">
        <x:v>1. 升级勋章自动替换的选定规则主流程
2. 升级勋章自动替换的边界及失败分支</x:v>
      </x:c>
      <x:c r="R4" s="9" t="str">
        <x:v>产品</x:v>
      </x:c>
      <x:c r="S4" s="9" t="str">
        <x:v>相关功能验收前</x:v>
      </x:c>
      <x:c r="T4" s="9" t="str">
        <x:v>待确认</x:v>
      </x:c>
    </x:row>
    <x:row r="5" ht="130" customHeight="1">
      <x:c r="A5" s="10" t="str">
        <x:v>Q-004</x:v>
      </x:c>
      <x:c r="B5" s="10" t="str">
        <x:v>RQ-004</x:v>
      </x:c>
      <x:c r="C5" s="10" t="str"/>
      <x:c r="D5" s="10" t="str"/>
      <x:c r="E5" s="10" t="str">
        <x:v>部分阻塞</x:v>
      </x:c>
      <x:c r="F5" s="10" t="str">
        <x:v>我的</x:v>
      </x:c>
      <x:c r="G5" s="9" t="str">
        <x:v>等级勋章手动佩戴</x:v>
      </x:c>
      <x:c r="H5" s="9" t="str">
        <x:v>计算与统计口径</x:v>
      </x:c>
      <x:c r="I5" s="9" t="str">
        <x:v>等级勋章是否允许用户手动佩戴和卸下？</x:v>
      </x:c>
      <x:c r="J5" s="9" t="str">
        <x:v>A. 自动展示且不能手动操作
B. 可手动佩戴和卸下</x:v>
      </x:c>
      <x:c r="K5" s="9" t="str">
        <x:v>请明确等级勋章手动佩戴的唯一口径及适用范围；确认前不将候选方案作为确定性预期。</x:v>
      </x:c>
      <x:c r="L5" s="12" t="str"/>
      <x:c r="M5" s="12" t="str"/>
      <x:c r="N5" s="10" t="str">
        <x:v>1. liveshow-proto/MainBasis/需求待确认清单.md：行22；- [PENDING-badge-wear] 等级勋章手动佩戴：等级勋章是否允许用户手动佩戴和卸下？ 选项：A. 自动展示且不能手动操作；B. 可手动佩戴和卸下。影响端：用户App、管理后台。依据：AN-f205606825f1。</x:v>
      </x:c>
      <x:c r="O5" s="9" t="str">
        <x:v>1. 我的
2. 仅隔离等级勋章手动佩戴相关的未确认分支；已确认功能继续测试</x:v>
      </x:c>
      <x:c r="P5" s="9" t="str"/>
      <x:c r="Q5" s="9" t="str">
        <x:v>1. 等级勋章手动佩戴的选定规则主流程
2. 等级勋章手动佩戴的边界及失败分支</x:v>
      </x:c>
      <x:c r="R5" s="9" t="str">
        <x:v>多方确认</x:v>
      </x:c>
      <x:c r="S5" s="9" t="str">
        <x:v>相关功能验收前</x:v>
      </x:c>
      <x:c r="T5" s="9" t="str">
        <x:v>待确认</x:v>
      </x:c>
    </x:row>
    <x:row r="6" ht="175" customHeight="1">
      <x:c r="A6" s="10" t="str">
        <x:v>Q-005</x:v>
      </x:c>
      <x:c r="B6" s="10" t="str">
        <x:v>RQ-005</x:v>
      </x:c>
      <x:c r="C6" s="10" t="str"/>
      <x:c r="D6" s="10" t="str"/>
      <x:c r="E6" s="10" t="str">
        <x:v>部分阻塞</x:v>
      </x:c>
      <x:c r="F6" s="10" t="str">
        <x:v>首页与福利、我的</x:v>
      </x:c>
      <x:c r="G6" s="9" t="str">
        <x:v>任务道具奖励冲突</x:v>
      </x:c>
      <x:c r="H6" s="9" t="str">
        <x:v>业务规则</x:v>
      </x:c>
      <x:c r="I6" s="9" t="str">
        <x:v>任务配置及福利页说明仅奖励金币，但已领取视图仍写道具入背包；本期是否允许任务奖励道具？</x:v>
      </x:c>
      <x:c r="J6" s="9" t="str">
        <x:v>A. 本期只支持金币并修正领取视图
B. 增加道具奖励并补充后台配置规则</x:v>
      </x:c>
      <x:c r="K6" s="9" t="str">
        <x:v>请明确任务道具奖励冲突的唯一口径及适用范围；确认前不将候选方案作为确定性预期。</x:v>
      </x:c>
      <x:c r="L6" s="12" t="str"/>
      <x:c r="M6" s="12" t="str"/>
      <x:c r="N6" s="10" t="str">
        <x:v>1. liveshow-proto/MainBasis/需求待确认清单.md：行26；- [PENDING-reward-prop-conflict] 任务道具奖励冲突：任务配置及福利页说明仅奖励金币，但已领取视图仍写道具入背包；本期是否允许任务奖励道具？ 选项：A. 本期只支持金币并修正领取视图；B. 增加道具奖励并补充后台配置规则。影响端：用户App、管理后台。依据：AN-a7de732767b6。</x:v>
      </x:c>
      <x:c r="O6" s="9" t="str">
        <x:v>1. 首页与福利、我的
2. 仅隔离任务道具奖励冲突相关的未确认分支；已确认功能继续测试</x:v>
      </x:c>
      <x:c r="P6" s="9" t="str"/>
      <x:c r="Q6" s="9" t="str">
        <x:v>1. 任务道具奖励冲突的选定规则主流程
2. 任务道具奖励冲突的边界及失败分支</x:v>
      </x:c>
      <x:c r="R6" s="9" t="str">
        <x:v>产品</x:v>
      </x:c>
      <x:c r="S6" s="9" t="str">
        <x:v>相关功能验收前</x:v>
      </x:c>
      <x:c r="T6" s="9" t="str">
        <x:v>待确认</x:v>
      </x:c>
    </x:row>
    <x:row r="7" ht="175" customHeight="1">
      <x:c r="A7" s="10" t="str">
        <x:v>Q-006</x:v>
      </x:c>
      <x:c r="B7" s="10" t="str">
        <x:v>RQ-006</x:v>
      </x:c>
      <x:c r="C7" s="10" t="str"/>
      <x:c r="D7" s="10" t="str"/>
      <x:c r="E7" s="10" t="str">
        <x:v>部分阻塞</x:v>
      </x:c>
      <x:c r="F7" s="10" t="str">
        <x:v>首页与福利、直播</x:v>
      </x:c>
      <x:c r="G7" s="9" t="str">
        <x:v>虚拟金币榜单范围</x:v>
      </x:c>
      <x:c r="H7" s="9" t="str">
        <x:v>业务规则</x:v>
      </x:c>
      <x:c r="I7" s="9" t="str">
        <x:v>系统概要允许虚拟赠礼计入榜单展示，具体适用于哪些榜单？</x:v>
      </x:c>
      <x:c r="J7" s="9" t="str">
        <x:v>A. 仅本场氛围榜
B. 本场榜及平台双榜
C. 由后台逐榜配置</x:v>
      </x:c>
      <x:c r="K7" s="9" t="str">
        <x:v>请明确虚拟金币榜单范围的唯一口径及适用范围；确认前不将候选方案作为确定性预期。</x:v>
      </x:c>
      <x:c r="L7" s="12" t="str"/>
      <x:c r="M7" s="12" t="str"/>
      <x:c r="N7" s="10" t="str">
        <x:v>1. liveshow-proto/MainBasis/需求待确认清单.md：行30；- [PENDING-virtual-board] 虚拟金币榜单范围：系统概要允许虚拟赠礼计入榜单展示，具体适用于哪些榜单？ 选项：A. 仅本场氛围榜；B. 本场榜及平台双榜；C. 由后台逐榜配置。影响端：用户App、公会App、管理后台。依据：AN-58bdfd055651、AN-9076ce003939、AN-ba0acac09cff、AN-bbb10e3b591b、AN-7861fb19ad1a。</x:v>
      </x:c>
      <x:c r="O7" s="9" t="str">
        <x:v>1. 首页与福利、直播
2. 仅隔离虚拟金币榜单范围相关的未确认分支；已确认功能继续测试</x:v>
      </x:c>
      <x:c r="P7" s="9" t="str"/>
      <x:c r="Q7" s="9" t="str">
        <x:v>1. 虚拟金币榜单范围的选定规则主流程
2. 虚拟金币榜单范围的边界及失败分支</x:v>
      </x:c>
      <x:c r="R7" s="9" t="str">
        <x:v>产品</x:v>
      </x:c>
      <x:c r="S7" s="9" t="str">
        <x:v>相关功能验收前</x:v>
      </x:c>
      <x:c r="T7" s="9" t="str">
        <x:v>待确认</x:v>
      </x:c>
    </x:row>
    <x:row r="8" ht="145" customHeight="1">
      <x:c r="A8" s="10" t="str">
        <x:v>Q-007</x:v>
      </x:c>
      <x:c r="B8" s="10" t="str">
        <x:v>RQ-007</x:v>
      </x:c>
      <x:c r="C8" s="10" t="str"/>
      <x:c r="D8" s="10" t="str"/>
      <x:c r="E8" s="10" t="str">
        <x:v>部分阻塞</x:v>
      </x:c>
      <x:c r="F8" s="10" t="str">
        <x:v>首页与福利</x:v>
      </x:c>
      <x:c r="G8" s="9" t="str">
        <x:v>搜索结果优先级</x:v>
      </x:c>
      <x:c r="H8" s="9" t="str">
        <x:v>业务规则</x:v>
      </x:c>
      <x:c r="I8" s="9" t="str">
        <x:v>昵称、用户 ID、房间号同时命中时，搜索结果按什么优先级排序？</x:v>
      </x:c>
      <x:c r="J8" s="9" t="str">
        <x:v>A. 精确匹配优先再按账号 ID
B. 直播中优先再按匹配程度
C. 按后台搜索权重</x:v>
      </x:c>
      <x:c r="K8" s="9" t="str">
        <x:v>请明确搜索结果优先级的唯一口径及适用范围；确认前不将候选方案作为确定性预期。</x:v>
      </x:c>
      <x:c r="L8" s="12" t="str"/>
      <x:c r="M8" s="12" t="str"/>
      <x:c r="N8" s="10" t="str">
        <x:v>1. liveshow-proto/MainBasis/需求待确认清单.md：行34；- [PENDING-search-sort] 搜索结果优先级：昵称、用户 ID、房间号同时命中时，搜索结果按什么优先级排序？ 选项：A. 精确匹配优先再按账号 ID；B. 直播中优先再按匹配程度；C. 按后台搜索权重。影响端：用户App。依据：AN-8adebba29dc6。</x:v>
      </x:c>
      <x:c r="O8" s="9" t="str">
        <x:v>1. 首页与福利
2. 仅隔离搜索结果优先级相关的未确认分支；已确认功能继续测试</x:v>
      </x:c>
      <x:c r="P8" s="9" t="str"/>
      <x:c r="Q8" s="9" t="str">
        <x:v>1. 搜索结果优先级的选定规则主流程
2. 搜索结果优先级的边界及失败分支</x:v>
      </x:c>
      <x:c r="R8" s="9" t="str">
        <x:v>产品</x:v>
      </x:c>
      <x:c r="S8" s="9" t="str">
        <x:v>相关功能验收前</x:v>
      </x:c>
      <x:c r="T8" s="9" t="str">
        <x:v>待确认</x:v>
      </x:c>
    </x:row>
    <x:row r="9" ht="145" customHeight="1">
      <x:c r="A9" s="10" t="str">
        <x:v>Q-008</x:v>
      </x:c>
      <x:c r="B9" s="10" t="str">
        <x:v>RQ-008</x:v>
      </x:c>
      <x:c r="C9" s="10" t="str"/>
      <x:c r="D9" s="10" t="str"/>
      <x:c r="E9" s="10" t="str">
        <x:v>部分阻塞</x:v>
      </x:c>
      <x:c r="F9" s="10" t="str">
        <x:v>消息与社交、主播中心</x:v>
      </x:c>
      <x:c r="G9" s="9" t="str">
        <x:v>粉丝列表排序</x:v>
      </x:c>
      <x:c r="H9" s="9" t="str">
        <x:v>计算与统计口径</x:v>
      </x:c>
      <x:c r="I9" s="9" t="str">
        <x:v>粉丝列表按哪个字段排序及处理相同值？</x:v>
      </x:c>
      <x:c r="J9" s="9" t="str">
        <x:v>A. 关注时间倒序后按 ID
B. 昵称升序后按 ID
C. 财富等级倒序后按 ID</x:v>
      </x:c>
      <x:c r="K9" s="9" t="str">
        <x:v>请明确粉丝列表排序的唯一口径及适用范围；确认前不将候选方案作为确定性预期。</x:v>
      </x:c>
      <x:c r="L9" s="12" t="str"/>
      <x:c r="M9" s="12" t="str"/>
      <x:c r="N9" s="10" t="str">
        <x:v>1. liveshow-proto/MainBasis/需求待确认清单.md：行38；- [PENDING-follower-sort] 粉丝列表排序：粉丝列表按哪个字段排序及处理相同值？ 选项：A. 关注时间倒序后按 ID；B. 昵称升序后按 ID；C. 财富等级倒序后按 ID。影响端：用户App。依据：AN-0a26d56ce987、AN-8adb4ebc8fae。</x:v>
      </x:c>
      <x:c r="O9" s="9" t="str">
        <x:v>1. 消息与社交、主播中心
2. 仅隔离粉丝列表排序相关的未确认分支；已确认功能继续测试</x:v>
      </x:c>
      <x:c r="P9" s="9" t="str"/>
      <x:c r="Q9" s="9" t="str">
        <x:v>1. 粉丝列表排序的选定规则主流程
2. 粉丝列表排序的边界及失败分支</x:v>
      </x:c>
      <x:c r="R9" s="9" t="str">
        <x:v>多方确认</x:v>
      </x:c>
      <x:c r="S9" s="9" t="str">
        <x:v>相关功能验收前</x:v>
      </x:c>
      <x:c r="T9" s="9" t="str">
        <x:v>待确认</x:v>
      </x:c>
    </x:row>
    <x:row r="10" ht="130" customHeight="1">
      <x:c r="A10" s="10" t="str">
        <x:v>Q-009</x:v>
      </x:c>
      <x:c r="B10" s="10" t="str">
        <x:v>RQ-009</x:v>
      </x:c>
      <x:c r="C10" s="10" t="str"/>
      <x:c r="D10" s="10" t="str"/>
      <x:c r="E10" s="10" t="str">
        <x:v>部分阻塞</x:v>
      </x:c>
      <x:c r="F10" s="10" t="str">
        <x:v>消息与社交</x:v>
      </x:c>
      <x:c r="G10" s="9" t="str">
        <x:v>好友列表排序</x:v>
      </x:c>
      <x:c r="H10" s="9" t="str">
        <x:v>计算与统计口径</x:v>
      </x:c>
      <x:c r="I10" s="9" t="str">
        <x:v>好友列表采用什么排序？</x:v>
      </x:c>
      <x:c r="J10" s="9" t="str">
        <x:v>A. 成为好友时间倒序后按 ID
B. 昵称升序后按 ID
C. 最近互动时间倒序后按 ID</x:v>
      </x:c>
      <x:c r="K10" s="9" t="str">
        <x:v>请明确好友列表排序的唯一口径及适用范围；确认前不将候选方案作为确定性预期。</x:v>
      </x:c>
      <x:c r="L10" s="12" t="str"/>
      <x:c r="M10" s="12" t="str"/>
      <x:c r="N10" s="10" t="str">
        <x:v>1. liveshow-proto/MainBasis/需求待确认清单.md：行42；- [PENDING-friend-sort] 好友列表排序：好友列表采用什么排序？ 选项：A. 成为好友时间倒序后按 ID；B. 昵称升序后按 ID；C. 最近互动时间倒序后按 ID。影响端：用户App。依据：AN-67388dbeec3b。</x:v>
      </x:c>
      <x:c r="O10" s="9" t="str">
        <x:v>1. 消息与社交
2. 仅隔离好友列表排序相关的未确认分支；已确认功能继续测试</x:v>
      </x:c>
      <x:c r="P10" s="9" t="str"/>
      <x:c r="Q10" s="9" t="str">
        <x:v>1. 好友列表排序的选定规则主流程
2. 好友列表排序的边界及失败分支</x:v>
      </x:c>
      <x:c r="R10" s="9" t="str">
        <x:v>多方确认</x:v>
      </x:c>
      <x:c r="S10" s="9" t="str">
        <x:v>相关功能验收前</x:v>
      </x:c>
      <x:c r="T10" s="9" t="str">
        <x:v>待确认</x:v>
      </x:c>
    </x:row>
    <x:row r="11" ht="130" customHeight="1">
      <x:c r="A11" s="10" t="str">
        <x:v>Q-010</x:v>
      </x:c>
      <x:c r="B11" s="10" t="str">
        <x:v>RQ-010</x:v>
      </x:c>
      <x:c r="C11" s="10" t="str"/>
      <x:c r="D11" s="10" t="str"/>
      <x:c r="E11" s="10" t="str">
        <x:v>部分阻塞</x:v>
      </x:c>
      <x:c r="F11" s="10" t="str">
        <x:v>消息与社交</x:v>
      </x:c>
      <x:c r="G11" s="9" t="str">
        <x:v>他人主页的粉丝团顺序</x:v>
      </x:c>
      <x:c r="H11" s="9" t="str">
        <x:v>计算与统计口径</x:v>
      </x:c>
      <x:c r="I11" s="9" t="str">
        <x:v>他人主页展示多个粉丝团时如何排序？</x:v>
      </x:c>
      <x:c r="J11" s="9" t="str">
        <x:v>A. 最近加入优先
B. 贡献最高优先
C. 粉丝等级最高优先</x:v>
      </x:c>
      <x:c r="K11" s="9" t="str">
        <x:v>请明确他人主页的粉丝团顺序的唯一口径及适用范围；确认前不将候选方案作为确定性预期。</x:v>
      </x:c>
      <x:c r="L11" s="12" t="str"/>
      <x:c r="M11" s="12" t="str"/>
      <x:c r="N11" s="10" t="str">
        <x:v>1. liveshow-proto/MainBasis/需求待确认清单.md：行46；- [PENDING-profile-clubs-sort] 他人主页的粉丝团顺序：他人主页展示多个粉丝团时如何排序？ 选项：A. 最近加入优先；B. 贡献最高优先；C. 粉丝等级最高优先。影响端：用户App。依据：AN-d6f642464ad5。</x:v>
      </x:c>
      <x:c r="O11" s="9" t="str">
        <x:v>1. 消息与社交
2. 仅隔离他人主页的粉丝团顺序相关的未确认分支；已确认功能继续测试</x:v>
      </x:c>
      <x:c r="P11" s="9" t="str"/>
      <x:c r="Q11" s="9" t="str">
        <x:v>1. 他人主页的粉丝团顺序的选定规则主流程
2. 他人主页的粉丝团顺序的边界及失败分支</x:v>
      </x:c>
      <x:c r="R11" s="9" t="str">
        <x:v>多方确认</x:v>
      </x:c>
      <x:c r="S11" s="9" t="str">
        <x:v>相关功能验收前</x:v>
      </x:c>
      <x:c r="T11" s="9" t="str">
        <x:v>待确认</x:v>
      </x:c>
    </x:row>
    <x:row r="12" ht="115" customHeight="1">
      <x:c r="A12" s="10" t="str">
        <x:v>Q-011</x:v>
      </x:c>
      <x:c r="B12" s="10" t="str">
        <x:v>RQ-011</x:v>
      </x:c>
      <x:c r="C12" s="10" t="str"/>
      <x:c r="D12" s="10" t="str"/>
      <x:c r="E12" s="10" t="str">
        <x:v>部分阻塞</x:v>
      </x:c>
      <x:c r="F12" s="10" t="str">
        <x:v>主播中心、直播</x:v>
      </x:c>
      <x:c r="G12" s="9" t="str">
        <x:v>房管列表排序</x:v>
      </x:c>
      <x:c r="H12" s="9" t="str">
        <x:v>计算与统计口径</x:v>
      </x:c>
      <x:c r="I12" s="9" t="str">
        <x:v>房管列表以什么顺序展示？</x:v>
      </x:c>
      <x:c r="J12" s="9" t="str">
        <x:v>A. 授权时间倒序
B. 授权时间正序
C. 账号 ID 升序</x:v>
      </x:c>
      <x:c r="K12" s="9" t="str">
        <x:v>请明确房管列表排序的唯一口径及适用范围；确认前不将候选方案作为确定性预期。</x:v>
      </x:c>
      <x:c r="L12" s="12" t="str"/>
      <x:c r="M12" s="12" t="str"/>
      <x:c r="N12" s="10" t="str">
        <x:v>1. liveshow-proto/MainBasis/需求待确认清单.md：行50；- [PENDING-moderator-sort] 房管列表排序：房管列表以什么顺序展示？ 选项：A. 授权时间倒序；B. 授权时间正序；C. 账号 ID 升序。影响端：用户App。依据：AN-6b663b6d1503。</x:v>
      </x:c>
      <x:c r="O12" s="9" t="str">
        <x:v>1. 主播中心、直播
2. 仅隔离房管列表排序相关的未确认分支；已确认功能继续测试</x:v>
      </x:c>
      <x:c r="P12" s="9" t="str"/>
      <x:c r="Q12" s="9" t="str">
        <x:v>1. 房管列表排序的选定规则主流程
2. 房管列表排序的边界及失败分支</x:v>
      </x:c>
      <x:c r="R12" s="9" t="str">
        <x:v>多方确认</x:v>
      </x:c>
      <x:c r="S12" s="9" t="str">
        <x:v>相关功能验收前</x:v>
      </x:c>
      <x:c r="T12" s="9" t="str">
        <x:v>待确认</x:v>
      </x:c>
    </x:row>
    <x:row r="13" ht="130" customHeight="1">
      <x:c r="A13" s="10" t="str">
        <x:v>Q-012</x:v>
      </x:c>
      <x:c r="B13" s="10" t="str">
        <x:v>RQ-012</x:v>
      </x:c>
      <x:c r="C13" s="10" t="str"/>
      <x:c r="D13" s="10" t="str"/>
      <x:c r="E13" s="10" t="str">
        <x:v>部分阻塞</x:v>
      </x:c>
      <x:c r="F13" s="10" t="str">
        <x:v>主播中心</x:v>
      </x:c>
      <x:c r="G13" s="9" t="str">
        <x:v>公会通知顺序</x:v>
      </x:c>
      <x:c r="H13" s="9" t="str">
        <x:v>计算与统计口径</x:v>
      </x:c>
      <x:c r="I13" s="9" t="str">
        <x:v>主播端公会通知列表如何排序？</x:v>
      </x:c>
      <x:c r="J13" s="9" t="str">
        <x:v>A. 生成时间倒序
B. 未读优先再按生成时间倒序</x:v>
      </x:c>
      <x:c r="K13" s="9" t="str">
        <x:v>请明确公会通知顺序的唯一口径及适用范围；确认前不将候选方案作为确定性预期。</x:v>
      </x:c>
      <x:c r="L13" s="12" t="str"/>
      <x:c r="M13" s="12" t="str"/>
      <x:c r="N13" s="10" t="str">
        <x:v>1. liveshow-proto/MainBasis/需求待确认清单.md：行54；- [PENDING-guild-notice-sort] 公会通知顺序：主播端公会通知列表如何排序？ 选项：A. 生成时间倒序；B. 未读优先再按生成时间倒序。影响端：用户App、公会App。依据：AN-205fe7899e2d。</x:v>
      </x:c>
      <x:c r="O13" s="9" t="str">
        <x:v>1. 主播中心
2. 仅隔离公会通知顺序相关的未确认分支；已确认功能继续测试</x:v>
      </x:c>
      <x:c r="P13" s="9" t="str"/>
      <x:c r="Q13" s="9" t="str">
        <x:v>1. 公会通知顺序的选定规则主流程
2. 公会通知顺序的边界及失败分支</x:v>
      </x:c>
      <x:c r="R13" s="9" t="str">
        <x:v>多方确认</x:v>
      </x:c>
      <x:c r="S13" s="9" t="str">
        <x:v>相关功能验收前</x:v>
      </x:c>
      <x:c r="T13" s="9" t="str">
        <x:v>待确认</x:v>
      </x:c>
    </x:row>
    <x:row r="14" ht="130" customHeight="1">
      <x:c r="A14" s="10" t="str">
        <x:v>Q-013</x:v>
      </x:c>
      <x:c r="B14" s="10" t="str">
        <x:v>RQ-013</x:v>
      </x:c>
      <x:c r="C14" s="10" t="str"/>
      <x:c r="D14" s="10" t="str"/>
      <x:c r="E14" s="10" t="str">
        <x:v>部分阻塞</x:v>
      </x:c>
      <x:c r="F14" s="10" t="str">
        <x:v>主播中心</x:v>
      </x:c>
      <x:c r="G14" s="9" t="str">
        <x:v>成员列表同值排序</x:v>
      </x:c>
      <x:c r="H14" s="9" t="str">
        <x:v>计算与统计口径</x:v>
      </x:c>
      <x:c r="I14" s="9" t="str">
        <x:v>粉丝团管理的贡献或加入时间相同时，使用什么次序？</x:v>
      </x:c>
      <x:c r="J14" s="9" t="str">
        <x:v>A. 用户 ID 升序
B. 另一贡献字段倒序后按 ID</x:v>
      </x:c>
      <x:c r="K14" s="9" t="str">
        <x:v>请明确成员列表同值排序的唯一口径及适用范围；确认前不将候选方案作为确定性预期。</x:v>
      </x:c>
      <x:c r="L14" s="12" t="str"/>
      <x:c r="M14" s="12" t="str"/>
      <x:c r="N14" s="10" t="str">
        <x:v>1. liveshow-proto/MainBasis/需求待确认清单.md：行58；- [PENDING-fan-tie] 成员列表同值排序：粉丝团管理的贡献或加入时间相同时，使用什么次序？ 选项：A. 用户 ID 升序；B. 另一贡献字段倒序后按 ID。影响端：用户App。依据：AN-ef6b1570b239。</x:v>
      </x:c>
      <x:c r="O14" s="9" t="str">
        <x:v>1. 主播中心
2. 仅隔离成员列表同值排序相关的未确认分支；已确认功能继续测试</x:v>
      </x:c>
      <x:c r="P14" s="9" t="str"/>
      <x:c r="Q14" s="9" t="str">
        <x:v>1. 成员列表同值排序的选定规则主流程
2. 成员列表同值排序的边界及失败分支</x:v>
      </x:c>
      <x:c r="R14" s="9" t="str">
        <x:v>多方确认</x:v>
      </x:c>
      <x:c r="S14" s="9" t="str">
        <x:v>相关功能验收前</x:v>
      </x:c>
      <x:c r="T14" s="9" t="str">
        <x:v>待确认</x:v>
      </x:c>
    </x:row>
    <x:row r="15" ht="130" customHeight="1">
      <x:c r="A15" s="10" t="str">
        <x:v>Q-014</x:v>
      </x:c>
      <x:c r="B15" s="10" t="str">
        <x:v>RQ-014</x:v>
      </x:c>
      <x:c r="C15" s="10" t="str"/>
      <x:c r="D15" s="10" t="str"/>
      <x:c r="E15" s="10" t="str">
        <x:v>部分阻塞</x:v>
      </x:c>
      <x:c r="F15" s="10" t="str">
        <x:v>主播中心</x:v>
      </x:c>
      <x:c r="G15" s="9" t="str">
        <x:v>直播数据明细排序</x:v>
      </x:c>
      <x:c r="H15" s="9" t="str">
        <x:v>计算与统计口径</x:v>
      </x:c>
      <x:c r="I15" s="9" t="str">
        <x:v>直播数据的日和月明细按什么顺序排列？</x:v>
      </x:c>
      <x:c r="J15" s="9" t="str">
        <x:v>A. 日期倒序
B. 日期正序</x:v>
      </x:c>
      <x:c r="K15" s="9" t="str">
        <x:v>请明确直播数据明细排序的唯一口径及适用范围；确认前不将候选方案作为确定性预期。</x:v>
      </x:c>
      <x:c r="L15" s="12" t="str"/>
      <x:c r="M15" s="12" t="str"/>
      <x:c r="N15" s="10" t="str">
        <x:v>1. liveshow-proto/MainBasis/需求待确认清单.md：行62；- [PENDING-live-detail-sort] 直播数据明细排序：直播数据的日和月明细按什么顺序排列？ 选项：A. 日期倒序；B. 日期正序。影响端：用户App。依据：AN-4a3fca14d996、AN-b6f8607b601f。</x:v>
      </x:c>
      <x:c r="O15" s="9" t="str">
        <x:v>1. 主播中心
2. 仅隔离直播数据明细排序相关的未确认分支；已确认功能继续测试</x:v>
      </x:c>
      <x:c r="P15" s="9" t="str"/>
      <x:c r="Q15" s="9" t="str">
        <x:v>1. 直播数据明细排序的选定规则主流程
2. 直播数据明细排序的边界及失败分支</x:v>
      </x:c>
      <x:c r="R15" s="9" t="str">
        <x:v>多方确认</x:v>
      </x:c>
      <x:c r="S15" s="9" t="str">
        <x:v>相关功能验收前</x:v>
      </x:c>
      <x:c r="T15" s="9" t="str">
        <x:v>待确认</x:v>
      </x:c>
    </x:row>
    <x:row r="16" ht="130" customHeight="1">
      <x:c r="A16" s="10" t="str">
        <x:v>Q-015</x:v>
      </x:c>
      <x:c r="B16" s="10" t="str">
        <x:v>RQ-015</x:v>
      </x:c>
      <x:c r="C16" s="10" t="str"/>
      <x:c r="D16" s="10" t="str"/>
      <x:c r="E16" s="10" t="str">
        <x:v>部分阻塞</x:v>
      </x:c>
      <x:c r="F16" s="10" t="str">
        <x:v>系统入口</x:v>
      </x:c>
      <x:c r="G16" s="9" t="str">
        <x:v>区号列表顺序</x:v>
      </x:c>
      <x:c r="H16" s="9" t="str">
        <x:v>计算与统计口径</x:v>
      </x:c>
      <x:c r="I16" s="9" t="str">
        <x:v>国家和地区区号列表按什么规则排序？</x:v>
      </x:c>
      <x:c r="J16" s="9" t="str">
        <x:v>A. 当前语言名称升序
B. 英文名称升序
C. 国际区号升序</x:v>
      </x:c>
      <x:c r="K16" s="9" t="str">
        <x:v>请明确区号列表顺序的唯一口径及适用范围；确认前不将候选方案作为确定性预期。</x:v>
      </x:c>
      <x:c r="L16" s="12" t="str"/>
      <x:c r="M16" s="12" t="str"/>
      <x:c r="N16" s="10" t="str">
        <x:v>1. liveshow-proto/MainBasis/需求待确认清单.md：行66；- [PENDING-country-sort] 区号列表顺序：国家和地区区号列表按什么规则排序？ 选项：A. 当前语言名称升序；B. 英文名称升序；C. 国际区号升序。影响端：用户App。依据：AN-5f1c2d451728。</x:v>
      </x:c>
      <x:c r="O16" s="9" t="str">
        <x:v>1. 系统入口
2. 仅隔离区号列表顺序相关的未确认分支；已确认功能继续测试</x:v>
      </x:c>
      <x:c r="P16" s="9" t="str"/>
      <x:c r="Q16" s="9" t="str">
        <x:v>1. 区号列表顺序的选定规则主流程
2. 区号列表顺序的边界及失败分支</x:v>
      </x:c>
      <x:c r="R16" s="9" t="str">
        <x:v>多方确认</x:v>
      </x:c>
      <x:c r="S16" s="9" t="str">
        <x:v>相关功能验收前</x:v>
      </x:c>
      <x:c r="T16" s="9" t="str">
        <x:v>待确认</x:v>
      </x:c>
    </x:row>
    <x:row r="17" ht="160" customHeight="1">
      <x:c r="A17" s="10" t="str">
        <x:v>Q-016</x:v>
      </x:c>
      <x:c r="B17" s="10" t="str">
        <x:v>RQ-016</x:v>
      </x:c>
      <x:c r="C17" s="10" t="str"/>
      <x:c r="D17" s="10" t="str"/>
      <x:c r="E17" s="10" t="str">
        <x:v>部分阻塞</x:v>
      </x:c>
      <x:c r="F17" s="10" t="str">
        <x:v>系统入口</x:v>
      </x:c>
      <x:c r="G17" s="9" t="str">
        <x:v>运营账号登录格式</x:v>
      </x:c>
      <x:c r="H17" s="9" t="str">
        <x:v>角色与权限</x:v>
      </x:c>
      <x:c r="I17" s="9" t="str">
        <x:v>运营账号必须是可接收验证码的邮箱，还是允许普通登录名？</x:v>
      </x:c>
      <x:c r="J17" s="9" t="str">
        <x:v>A. 必须为有效邮箱地址
B. 允许普通登录名并使用密码登录</x:v>
      </x:c>
      <x:c r="K17" s="9" t="str">
        <x:v>请明确运营账号登录格式的唯一口径及适用范围；确认前不将候选方案作为确定性预期。</x:v>
      </x:c>
      <x:c r="L17" s="12" t="str"/>
      <x:c r="M17" s="12" t="str"/>
      <x:c r="N17" s="10" t="str">
        <x:v>1. liveshow-proto/MainBasis/需求待确认清单.md：行70；- [PENDING-operation-login-format] 运营账号登录格式：运营账号必须是可接收验证码的邮箱，还是允许普通登录名？ 选项：A. 必须为有效邮箱地址；B. 允许普通登录名并使用密码登录。影响端：用户App、公会App、管理后台。依据：AN-ff08deec1174、AN-053fd74e2f42。</x:v>
      </x:c>
      <x:c r="O17" s="9" t="str">
        <x:v>1. 系统入口
2. 仅隔离运营账号登录格式相关的未确认分支；已确认功能继续测试</x:v>
      </x:c>
      <x:c r="P17" s="9" t="str"/>
      <x:c r="Q17" s="9" t="str">
        <x:v>1. 运营账号登录格式的选定规则主流程
2. 运营账号登录格式的边界及失败分支</x:v>
      </x:c>
      <x:c r="R17" s="9" t="str">
        <x:v>产品</x:v>
      </x:c>
      <x:c r="S17" s="9" t="str">
        <x:v>相关功能验收前</x:v>
      </x:c>
      <x:c r="T17" s="9" t="str">
        <x:v>待确认</x:v>
      </x:c>
    </x:row>
    <x:row r="18" ht="130" customHeight="1">
      <x:c r="A18" s="10" t="str">
        <x:v>Q-017</x:v>
      </x:c>
      <x:c r="B18" s="10" t="str">
        <x:v>RQ-017</x:v>
      </x:c>
      <x:c r="C18" s="10" t="str"/>
      <x:c r="D18" s="10" t="str"/>
      <x:c r="E18" s="10" t="str">
        <x:v>部分阻塞</x:v>
      </x:c>
      <x:c r="F18" s="10" t="str">
        <x:v>我的、消息与社交、直播、主播中心</x:v>
      </x:c>
      <x:c r="G18" s="9" t="str">
        <x:v>亲密度计算</x:v>
      </x:c>
      <x:c r="H18" s="9" t="str">
        <x:v>业务规则</x:v>
      </x:c>
      <x:c r="I18" s="9" t="str">
        <x:v>亲密度由哪些行为累计，采用什么单位？</x:v>
      </x:c>
      <x:c r="J18" s="9" t="str">
        <x:v>A. 有效送礼金币累计
B. 按行为配置独立积分</x:v>
      </x:c>
      <x:c r="K18" s="9" t="str">
        <x:v>请明确亲密度计算的唯一口径及适用范围；确认前不将候选方案作为确定性预期。</x:v>
      </x:c>
      <x:c r="L18" s="12" t="str"/>
      <x:c r="M18" s="12" t="str"/>
      <x:c r="N18" s="10" t="str">
        <x:v>1. liveshow-proto/MainBasis/需求待确认清单.md：行74；- [PENDING-intimacy] 亲密度计算：亲密度由哪些行为累计，采用什么单位？ 选项：A. 有效送礼金币累计；B. 按行为配置独立积分。影响端：用户App、管理后台。依据：AN-88f3346c11fe、AN-73b3892baa6f。</x:v>
      </x:c>
      <x:c r="O18" s="9" t="str">
        <x:v>1. 我的、消息与社交、直播、主播中心
2. 仅隔离亲密度计算相关的未确认分支；已确认功能继续测试</x:v>
      </x:c>
      <x:c r="P18" s="9" t="str"/>
      <x:c r="Q18" s="9" t="str">
        <x:v>1. 亲密度计算的选定规则主流程
2. 亲密度计算的边界及失败分支</x:v>
      </x:c>
      <x:c r="R18" s="9" t="str">
        <x:v>产品</x:v>
      </x:c>
      <x:c r="S18" s="9" t="str">
        <x:v>相关功能验收前</x:v>
      </x:c>
      <x:c r="T18" s="9" t="str">
        <x:v>待确认</x:v>
      </x:c>
    </x:row>
    <x:row r="19" ht="130" customHeight="1">
      <x:c r="A19" s="10" t="str">
        <x:v>Q-018</x:v>
      </x:c>
      <x:c r="B19" s="10" t="str">
        <x:v>RQ-018</x:v>
      </x:c>
      <x:c r="C19" s="10" t="str"/>
      <x:c r="D19" s="10" t="str"/>
      <x:c r="E19" s="10" t="str">
        <x:v>部分阻塞</x:v>
      </x:c>
      <x:c r="F19" s="10" t="str">
        <x:v>我的、消息与社交、直播、主播中心</x:v>
      </x:c>
      <x:c r="G19" s="9" t="str">
        <x:v>亲密度衰减</x:v>
      </x:c>
      <x:c r="H19" s="9" t="str">
        <x:v>业务规则</x:v>
      </x:c>
      <x:c r="I19" s="9" t="str">
        <x:v>除退团清零外，是否按不活跃时间衰减亲密度？</x:v>
      </x:c>
      <x:c r="J19" s="9" t="str">
        <x:v>A. 不衰减
B. 按配置的不活跃周期衰减</x:v>
      </x:c>
      <x:c r="K19" s="9" t="str">
        <x:v>请明确亲密度衰减的唯一口径及适用范围；确认前不将候选方案作为确定性预期。</x:v>
      </x:c>
      <x:c r="L19" s="12" t="str"/>
      <x:c r="M19" s="12" t="str"/>
      <x:c r="N19" s="10" t="str">
        <x:v>1. liveshow-proto/MainBasis/需求待确认清单.md：行78；- [PENDING-intimacy-decay] 亲密度衰减：除退团清零外，是否按不活跃时间衰减亲密度？ 选项：A. 不衰减；B. 按配置的不活跃周期衰减。影响端：用户App、管理后台。依据：AN-88f3346c11fe。</x:v>
      </x:c>
      <x:c r="O19" s="9" t="str">
        <x:v>1. 我的、消息与社交、直播、主播中心
2. 仅隔离亲密度衰减相关的未确认分支；已确认功能继续测试</x:v>
      </x:c>
      <x:c r="P19" s="9" t="str"/>
      <x:c r="Q19" s="9" t="str">
        <x:v>1. 亲密度衰减的选定规则主流程
2. 亲密度衰减的边界及失败分支</x:v>
      </x:c>
      <x:c r="R19" s="9" t="str">
        <x:v>产品</x:v>
      </x:c>
      <x:c r="S19" s="9" t="str">
        <x:v>相关功能验收前</x:v>
      </x:c>
      <x:c r="T19" s="9" t="str">
        <x:v>待确认</x:v>
      </x:c>
    </x:row>
    <x:row r="20" ht="115" customHeight="1">
      <x:c r="A20" s="10" t="str">
        <x:v>Q-019</x:v>
      </x:c>
      <x:c r="B20" s="10" t="str">
        <x:v>RQ-019</x:v>
      </x:c>
      <x:c r="C20" s="10" t="str"/>
      <x:c r="D20" s="10" t="str"/>
      <x:c r="E20" s="10" t="str">
        <x:v>部分阻塞</x:v>
      </x:c>
      <x:c r="F20" s="10" t="str">
        <x:v>我的</x:v>
      </x:c>
      <x:c r="G20" s="9" t="str">
        <x:v>未上榜提示</x:v>
      </x:c>
      <x:c r="H20" s="9" t="str">
        <x:v>交互与文案规则</x:v>
      </x:c>
      <x:c r="I20" s="9" t="str">
        <x:v>不在粉丝团贡献榜前 99 名时，本人排名显示什么？</x:v>
      </x:c>
      <x:c r="J20" s="9" t="str">
        <x:v>A. 显示真实名次
B. 显示未上榜</x:v>
      </x:c>
      <x:c r="K20" s="9" t="str">
        <x:v>请明确未上榜提示的唯一口径及适用范围；确认前不将候选方案作为确定性预期。</x:v>
      </x:c>
      <x:c r="L20" s="12" t="str"/>
      <x:c r="M20" s="12" t="str"/>
      <x:c r="N20" s="10" t="str">
        <x:v>1. liveshow-proto/MainBasis/需求待确认清单.md：行82；- [PENDING-rank-unlisted] 未上榜提示：不在粉丝团贡献榜前 99 名时，本人排名显示什么？ 选项：A. 显示真实名次；B. 显示未上榜。影响端：用户App。依据：AN-13788c4bdaec。</x:v>
      </x:c>
      <x:c r="O20" s="9" t="str">
        <x:v>1. 我的
2. 仅隔离未上榜提示相关的未确认分支；已确认功能继续测试</x:v>
      </x:c>
      <x:c r="P20" s="9" t="str"/>
      <x:c r="Q20" s="9" t="str">
        <x:v>1. 未上榜提示的选定规则主流程
2. 未上榜提示的边界及失败分支</x:v>
      </x:c>
      <x:c r="R20" s="9" t="str">
        <x:v>交互</x:v>
      </x:c>
      <x:c r="S20" s="9" t="str">
        <x:v>相关功能验收前</x:v>
      </x:c>
      <x:c r="T20" s="9" t="str">
        <x:v>待确认</x:v>
      </x:c>
    </x:row>
    <x:row r="21" ht="130" customHeight="1">
      <x:c r="A21" s="10" t="str">
        <x:v>Q-020</x:v>
      </x:c>
      <x:c r="B21" s="10" t="str">
        <x:v>RQ-020</x:v>
      </x:c>
      <x:c r="C21" s="10" t="str"/>
      <x:c r="D21" s="10" t="str"/>
      <x:c r="E21" s="10" t="str">
        <x:v>部分阻塞</x:v>
      </x:c>
      <x:c r="F21" s="10" t="str">
        <x:v>我的</x:v>
      </x:c>
      <x:c r="G21" s="9" t="str">
        <x:v>贡献数据缺失</x:v>
      </x:c>
      <x:c r="H21" s="9" t="str">
        <x:v>计算与统计口径</x:v>
      </x:c>
      <x:c r="I21" s="9" t="str">
        <x:v>贡献数据无法取得时如何区分零贡献和加载失败？</x:v>
      </x:c>
      <x:c r="J21" s="9" t="str">
        <x:v>A. 保留上次数据并提示失败
B. 显示独立缺失态并允许重试</x:v>
      </x:c>
      <x:c r="K21" s="9" t="str">
        <x:v>请明确贡献数据缺失的唯一口径及适用范围；确认前不将候选方案作为确定性预期。</x:v>
      </x:c>
      <x:c r="L21" s="12" t="str"/>
      <x:c r="M21" s="12" t="str"/>
      <x:c r="N21" s="10" t="str">
        <x:v>1. liveshow-proto/MainBasis/需求待确认清单.md：行86；- [PENDING-rank-missing] 贡献数据缺失：贡献数据无法取得时如何区分零贡献和加载失败？ 选项：A. 保留上次数据并提示失败；B. 显示独立缺失态并允许重试。影响端：用户App。依据：AN-13788c4bdaec。</x:v>
      </x:c>
      <x:c r="O21" s="9" t="str">
        <x:v>1. 我的
2. 仅隔离贡献数据缺失相关的未确认分支；已确认功能继续测试</x:v>
      </x:c>
      <x:c r="P21" s="9" t="str"/>
      <x:c r="Q21" s="9" t="str">
        <x:v>1. 贡献数据缺失的选定规则主流程
2. 贡献数据缺失的边界及失败分支</x:v>
      </x:c>
      <x:c r="R21" s="9" t="str">
        <x:v>多方确认</x:v>
      </x:c>
      <x:c r="S21" s="9" t="str">
        <x:v>相关功能验收前</x:v>
      </x:c>
      <x:c r="T21" s="9" t="str">
        <x:v>待确认</x:v>
      </x:c>
    </x:row>
    <x:row r="22" ht="115" customHeight="1">
      <x:c r="A22" s="10" t="str">
        <x:v>Q-021</x:v>
      </x:c>
      <x:c r="B22" s="10" t="str">
        <x:v>RQ-021</x:v>
      </x:c>
      <x:c r="C22" s="10" t="str"/>
      <x:c r="D22" s="10" t="str"/>
      <x:c r="E22" s="10" t="str">
        <x:v>部分阻塞</x:v>
      </x:c>
      <x:c r="F22" s="10" t="str">
        <x:v>首页与福利</x:v>
      </x:c>
      <x:c r="G22" s="9" t="str">
        <x:v>补签</x:v>
      </x:c>
      <x:c r="H22" s="9" t="str">
        <x:v>业务规则</x:v>
      </x:c>
      <x:c r="I22" s="9" t="str">
        <x:v>是否支持对漏签日期进行补签？</x:v>
      </x:c>
      <x:c r="J22" s="9" t="str">
        <x:v>A. 不支持补签
B. 支持按配置补签</x:v>
      </x:c>
      <x:c r="K22" s="9" t="str">
        <x:v>请明确补签的唯一口径及适用范围；确认前不将候选方案作为确定性预期。</x:v>
      </x:c>
      <x:c r="L22" s="12" t="str"/>
      <x:c r="M22" s="12" t="str"/>
      <x:c r="N22" s="10" t="str">
        <x:v>1. liveshow-proto/MainBasis/需求待确认清单.md：行90；- [PENDING-checkin-repair] 补签：是否支持对漏签日期进行补签？ 选项：A. 不支持补签；B. 支持按配置补签。影响端：用户App、管理后台。依据：AN-5ea05985e150。</x:v>
      </x:c>
      <x:c r="O22" s="9" t="str">
        <x:v>1. 首页与福利
2. 仅隔离补签相关的未确认分支；已确认功能继续测试</x:v>
      </x:c>
      <x:c r="P22" s="9" t="str"/>
      <x:c r="Q22" s="9" t="str">
        <x:v>1. 补签的选定规则主流程
2. 补签的边界及失败分支</x:v>
      </x:c>
      <x:c r="R22" s="9" t="str">
        <x:v>产品</x:v>
      </x:c>
      <x:c r="S22" s="9" t="str">
        <x:v>相关功能验收前</x:v>
      </x:c>
      <x:c r="T22" s="9" t="str">
        <x:v>待确认</x:v>
      </x:c>
    </x:row>
    <x:row r="23" ht="175" customHeight="1">
      <x:c r="A23" s="10" t="str">
        <x:v>Q-022</x:v>
      </x:c>
      <x:c r="B23" s="10" t="str">
        <x:v>RQ-022</x:v>
      </x:c>
      <x:c r="C23" s="10" t="str"/>
      <x:c r="D23" s="10" t="str"/>
      <x:c r="E23" s="10" t="str">
        <x:v>部分阻塞</x:v>
      </x:c>
      <x:c r="F23" s="10" t="str">
        <x:v>首页与福利、直播、主播中心</x:v>
      </x:c>
      <x:c r="G23" s="9" t="str">
        <x:v>业务时区</x:v>
      </x:c>
      <x:c r="H23" s="9" t="str">
        <x:v>计算与统计口径</x:v>
      </x:c>
      <x:c r="I23" s="9" t="str">
        <x:v>签到、任务、榜单、有效天和报表采用哪种业务时区策略？</x:v>
      </x:c>
      <x:c r="J23" s="9" t="str">
        <x:v>A. 全部统一Asia/Jakarta（UTC+7）
B. 全部读取服务端同一业务时区配置</x:v>
      </x:c>
      <x:c r="K23" s="9" t="str">
        <x:v>建议A，印尼业务日易于核对；如产品已有统一可读取配置则选择B。</x:v>
      </x:c>
      <x:c r="L23" s="12" t="str"/>
      <x:c r="M23" s="12" t="str"/>
      <x:c r="N23" s="10" t="str">
        <x:v>1. liveshow-proto/MainBasis/需求待确认清单.md：行94；- [PENDING-business-zone] 业务日和周界限：签到、任务、榜单、直播有效天和报表分别采用什么业务时区；任务周是否统一从周一开始？ 选项：A. 全端统一指定业务时区且周一开始；B. 按业务分别指定时区和周起始日。影响端：用户App、公会App、管理后台。依据：AN-6162c5b34166、AN-2d643ddb84e1。</x:v>
      </x:c>
      <x:c r="O23" s="9" t="str">
        <x:v>1. 首页与福利、直播、主播中心
2. 仅隔离业务时区相关的未确认分支；已确认功能继续测试</x:v>
      </x:c>
      <x:c r="P23" s="9" t="str"/>
      <x:c r="Q23" s="9" t="str">
        <x:v>1. 业务时区的选定规则主流程
2. 业务时区的边界及失败分支</x:v>
      </x:c>
      <x:c r="R23" s="9" t="str">
        <x:v>多方确认</x:v>
      </x:c>
      <x:c r="S23" s="9" t="str">
        <x:v>相关功能验收前</x:v>
      </x:c>
      <x:c r="T23" s="9" t="str">
        <x:v>待确认</x:v>
      </x:c>
    </x:row>
    <x:row r="24" ht="175" customHeight="1">
      <x:c r="A24" s="10" t="str">
        <x:v>Q-023</x:v>
      </x:c>
      <x:c r="B24" s="10" t="str">
        <x:v>RQ-022</x:v>
      </x:c>
      <x:c r="C24" s="10" t="str"/>
      <x:c r="D24" s="10" t="str"/>
      <x:c r="E24" s="10" t="str">
        <x:v>部分阻塞</x:v>
      </x:c>
      <x:c r="F24" s="10" t="str">
        <x:v>首页与福利、直播、主播中心</x:v>
      </x:c>
      <x:c r="G24" s="9" t="str">
        <x:v>任务周起始日</x:v>
      </x:c>
      <x:c r="H24" s="9" t="str">
        <x:v>业务规则</x:v>
      </x:c>
      <x:c r="I24" s="9" t="str">
        <x:v>周期任务的周起始日采用哪种策略？</x:v>
      </x:c>
      <x:c r="J24" s="9" t="str">
        <x:v>A. 全部以业务时区周一00:00开始
B. 全部读取各任务可查询的周起始日配置</x:v>
      </x:c>
      <x:c r="K24" s="9" t="str">
        <x:v>请明确任务周起始日的唯一口径及适用范围；确认前不将候选方案作为确定性预期。</x:v>
      </x:c>
      <x:c r="L24" s="12" t="str"/>
      <x:c r="M24" s="12" t="str"/>
      <x:c r="N24" s="10" t="str">
        <x:v>1. liveshow-proto/MainBasis/需求待确认清单.md：行94；- [PENDING-business-zone] 业务日和周界限：签到、任务、榜单、直播有效天和报表分别采用什么业务时区；任务周是否统一从周一开始？ 选项：A. 全端统一指定业务时区且周一开始；B. 按业务分别指定时区和周起始日。影响端：用户App、公会App、管理后台。依据：AN-6162c5b34166、AN-2d643ddb84e1。</x:v>
      </x:c>
      <x:c r="O24" s="9" t="str">
        <x:v>1. 首页与福利、直播、主播中心
2. 仅隔离任务周起始日相关的未确认分支；已确认功能继续测试</x:v>
      </x:c>
      <x:c r="P24" s="9" t="str"/>
      <x:c r="Q24" s="9" t="str">
        <x:v>1. 任务周起始日的选定规则主流程
2. 任务周起始日的边界及失败分支</x:v>
      </x:c>
      <x:c r="R24" s="9" t="str">
        <x:v>产品</x:v>
      </x:c>
      <x:c r="S24" s="9" t="str">
        <x:v>相关功能验收前</x:v>
      </x:c>
      <x:c r="T24" s="9" t="str">
        <x:v>待确认</x:v>
      </x:c>
    </x:row>
    <x:row r="25" ht="160" customHeight="1">
      <x:c r="A25" s="10" t="str">
        <x:v>Q-024</x:v>
      </x:c>
      <x:c r="B25" s="10" t="str">
        <x:v>RQ-023</x:v>
      </x:c>
      <x:c r="C25" s="10" t="str"/>
      <x:c r="D25" s="10" t="str"/>
      <x:c r="E25" s="10" t="str">
        <x:v>部分阻塞</x:v>
      </x:c>
      <x:c r="F25" s="10" t="str">
        <x:v>首页与福利</x:v>
      </x:c>
      <x:c r="G25" s="9" t="str">
        <x:v>任务关闭后的待领奖励</x:v>
      </x:c>
      <x:c r="H25" s="9" t="str">
        <x:v>业务规则</x:v>
      </x:c>
      <x:c r="I25" s="9" t="str">
        <x:v>任务到期或停用时，当天已达成且未超过领取截止时间的奖励是否还能领取？</x:v>
      </x:c>
      <x:c r="J25" s="9" t="str">
        <x:v>A. 仍可在原截止时间前领取
B. 任务到期或停用立即失效</x:v>
      </x:c>
      <x:c r="K25" s="9" t="str">
        <x:v>请明确任务关闭后的待领奖励的唯一口径及适用范围；确认前不将候选方案作为确定性预期。</x:v>
      </x:c>
      <x:c r="L25" s="12" t="str"/>
      <x:c r="M25" s="12" t="str"/>
      <x:c r="N25" s="10" t="str">
        <x:v>1. liveshow-proto/MainBasis/需求待确认清单.md：行98；- [PENDING-reward-disabled] 任务关闭后的待领奖励：任务到期或停用时，当天已达成且未超过领取截止时间的奖励是否还能领取？ 选项：A. 仍可在原截止时间前领取；B. 任务到期或停用立即失效。影响端：用户App、管理后台。依据：AN-6162c5b34166。</x:v>
      </x:c>
      <x:c r="O25" s="9" t="str">
        <x:v>1. 首页与福利
2. 仅隔离任务关闭后的待领奖励相关的未确认分支；已确认功能继续测试</x:v>
      </x:c>
      <x:c r="P25" s="9" t="str"/>
      <x:c r="Q25" s="9" t="str">
        <x:v>1. 任务关闭后的待领奖励的选定规则主流程
2. 任务关闭后的待领奖励的边界及失败分支</x:v>
      </x:c>
      <x:c r="R25" s="9" t="str">
        <x:v>产品</x:v>
      </x:c>
      <x:c r="S25" s="9" t="str">
        <x:v>相关功能验收前</x:v>
      </x:c>
      <x:c r="T25" s="9" t="str">
        <x:v>待确认</x:v>
      </x:c>
    </x:row>
    <x:row r="26" ht="145" customHeight="1">
      <x:c r="A26" s="10" t="str">
        <x:v>Q-025</x:v>
      </x:c>
      <x:c r="B26" s="10" t="str">
        <x:v>RQ-024</x:v>
      </x:c>
      <x:c r="C26" s="10" t="str"/>
      <x:c r="D26" s="10" t="str"/>
      <x:c r="E26" s="10" t="str">
        <x:v>部分阻塞</x:v>
      </x:c>
      <x:c r="F26" s="10" t="str">
        <x:v>主播中心</x:v>
      </x:c>
      <x:c r="G26" s="9" t="str">
        <x:v>有效时长排除条件</x:v>
      </x:c>
      <x:c r="H26" s="9" t="str">
        <x:v>计算与统计口径</x:v>
      </x:c>
      <x:c r="I26" s="9" t="str">
        <x:v>断流、后台挂起和暂停期间哪些时长计入每日 3 小时门槛？</x:v>
      </x:c>
      <x:c r="J26" s="9" t="str">
        <x:v>A. 仅连续成功推流时长
B. 会话持续时长扣除配置的无效区间</x:v>
      </x:c>
      <x:c r="K26" s="9" t="str">
        <x:v>请明确有效时长排除条件的唯一口径及适用范围；确认前不将候选方案作为确定性预期。</x:v>
      </x:c>
      <x:c r="L26" s="12" t="str"/>
      <x:c r="M26" s="12" t="str"/>
      <x:c r="N26" s="10" t="str">
        <x:v>1. liveshow-proto/MainBasis/需求待确认清单.md：行102；- [PENDING-effective-duration] 有效时长排除条件：断流、后台挂起和暂停期间哪些时长计入每日 3 小时门槛？ 选项：A. 仅连续成功推流时长；B. 会话持续时长扣除配置的无效区间。影响端：用户App、公会App、管理后台。依据：AN-2d643ddb84e1。</x:v>
      </x:c>
      <x:c r="O26" s="9" t="str">
        <x:v>1. 主播中心
2. 仅隔离有效时长排除条件相关的未确认分支；已确认功能继续测试</x:v>
      </x:c>
      <x:c r="P26" s="9" t="str"/>
      <x:c r="Q26" s="9" t="str">
        <x:v>1. 有效时长排除条件的选定规则主流程
2. 有效时长排除条件的边界及失败分支</x:v>
      </x:c>
      <x:c r="R26" s="9" t="str">
        <x:v>多方确认</x:v>
      </x:c>
      <x:c r="S26" s="9" t="str">
        <x:v>相关功能验收前</x:v>
      </x:c>
      <x:c r="T26" s="9" t="str">
        <x:v>待确认</x:v>
      </x:c>
    </x:row>
    <x:row r="27" ht="145" customHeight="1">
      <x:c r="A27" s="10" t="str">
        <x:v>Q-026</x:v>
      </x:c>
      <x:c r="B27" s="10" t="str">
        <x:v>RQ-025</x:v>
      </x:c>
      <x:c r="C27" s="10" t="str"/>
      <x:c r="D27" s="10" t="str"/>
      <x:c r="E27" s="10" t="str">
        <x:v>部分阻塞</x:v>
      </x:c>
      <x:c r="F27" s="10" t="str">
        <x:v>主播中心</x:v>
      </x:c>
      <x:c r="G27" s="9" t="str">
        <x:v>跨日直播有效时长归属</x:v>
      </x:c>
      <x:c r="H27" s="9" t="str">
        <x:v>计算与统计口径</x:v>
      </x:c>
      <x:c r="I27" s="9" t="str">
        <x:v>跨自然日场次的有效时长如何归属到业务日？</x:v>
      </x:c>
      <x:c r="J27" s="9" t="str">
        <x:v>A. 按实际发生时间切分到各日
B. 全部归入开播日</x:v>
      </x:c>
      <x:c r="K27" s="9" t="str">
        <x:v>请明确跨日直播有效时长归属的唯一口径及适用范围；确认前不将候选方案作为确定性预期。</x:v>
      </x:c>
      <x:c r="L27" s="12" t="str"/>
      <x:c r="M27" s="12" t="str"/>
      <x:c r="N27" s="10" t="str">
        <x:v>1. liveshow-proto/MainBasis/需求待确认清单.md：行106；- [PENDING-cross-day-live] 跨日直播时长分配：跨自然日的一场直播如何分配每天的有效时长及收益？ 选项：A. 按事件发生时间切分到各日；B. 全部归入开播日。影响端：用户App、公会App、管理后台。依据：AN-2d643ddb84e1。</x:v>
      </x:c>
      <x:c r="O27" s="9" t="str">
        <x:v>1. 主播中心
2. 仅隔离跨日直播有效时长归属相关的未确认分支；已确认功能继续测试</x:v>
      </x:c>
      <x:c r="P27" s="9" t="str"/>
      <x:c r="Q27" s="9" t="str">
        <x:v>1. 跨日直播有效时长归属的选定规则主流程
2. 跨日直播有效时长归属的边界及失败分支</x:v>
      </x:c>
      <x:c r="R27" s="9" t="str">
        <x:v>多方确认</x:v>
      </x:c>
      <x:c r="S27" s="9" t="str">
        <x:v>相关功能验收前</x:v>
      </x:c>
      <x:c r="T27" s="9" t="str">
        <x:v>待确认</x:v>
      </x:c>
    </x:row>
    <x:row r="28" ht="145" customHeight="1">
      <x:c r="A28" s="10" t="str">
        <x:v>Q-027</x:v>
      </x:c>
      <x:c r="B28" s="10" t="str">
        <x:v>RQ-025</x:v>
      </x:c>
      <x:c r="C28" s="10" t="str"/>
      <x:c r="D28" s="10" t="str"/>
      <x:c r="E28" s="10" t="str">
        <x:v>部分阻塞</x:v>
      </x:c>
      <x:c r="F28" s="10" t="str">
        <x:v>主播中心</x:v>
      </x:c>
      <x:c r="G28" s="9" t="str">
        <x:v>跨日直播收益归属</x:v>
      </x:c>
      <x:c r="H28" s="9" t="str">
        <x:v>业务规则</x:v>
      </x:c>
      <x:c r="I28" s="9" t="str">
        <x:v>跨自然日场次的收益如何归属到业务日？</x:v>
      </x:c>
      <x:c r="J28" s="9" t="str">
        <x:v>A. 按实际发生时间切分到各日
B. 全部归入开播日</x:v>
      </x:c>
      <x:c r="K28" s="9" t="str">
        <x:v>请明确跨日直播收益归属的唯一口径及适用范围；确认前不将候选方案作为确定性预期。</x:v>
      </x:c>
      <x:c r="L28" s="12" t="str"/>
      <x:c r="M28" s="12" t="str"/>
      <x:c r="N28" s="10" t="str">
        <x:v>1. liveshow-proto/MainBasis/需求待确认清单.md：行106；- [PENDING-cross-day-live] 跨日直播时长分配：跨自然日的一场直播如何分配每天的有效时长及收益？ 选项：A. 按事件发生时间切分到各日；B. 全部归入开播日。影响端：用户App、公会App、管理后台。依据：AN-2d643ddb84e1。</x:v>
      </x:c>
      <x:c r="O28" s="9" t="str">
        <x:v>1. 主播中心
2. 仅隔离跨日直播收益归属相关的未确认分支；已确认功能继续测试</x:v>
      </x:c>
      <x:c r="P28" s="9" t="str"/>
      <x:c r="Q28" s="9" t="str">
        <x:v>1. 跨日直播收益归属的选定规则主流程
2. 跨日直播收益归属的边界及失败分支</x:v>
      </x:c>
      <x:c r="R28" s="9" t="str">
        <x:v>产品</x:v>
      </x:c>
      <x:c r="S28" s="9" t="str">
        <x:v>相关功能验收前</x:v>
      </x:c>
      <x:c r="T28" s="9" t="str">
        <x:v>待确认</x:v>
      </x:c>
    </x:row>
    <x:row r="29" ht="145" customHeight="1">
      <x:c r="A29" s="10" t="str">
        <x:v>Q-028</x:v>
      </x:c>
      <x:c r="B29" s="10" t="str">
        <x:v>RQ-026</x:v>
      </x:c>
      <x:c r="C29" s="10" t="str"/>
      <x:c r="D29" s="10" t="str"/>
      <x:c r="E29" s="10" t="str">
        <x:v>部分阻塞</x:v>
      </x:c>
      <x:c r="F29" s="10" t="str">
        <x:v>主播中心、直播、我的</x:v>
      </x:c>
      <x:c r="G29" s="9" t="str">
        <x:v>指标刷新时效</x:v>
      </x:c>
      <x:c r="H29" s="9" t="str">
        <x:v>业务规则</x:v>
      </x:c>
      <x:c r="I29" s="9" t="str">
        <x:v>用户App直播、收益和等级指标采用哪种更新时效？</x:v>
      </x:c>
      <x:c r="J29" s="9" t="str">
        <x:v>A. 每次变动后5秒内更新
B. 按业务自然分钟汇总，变动后60秒内更新</x:v>
      </x:c>
      <x:c r="K29" s="9" t="str">
        <x:v>建议A用于可即时观察的指标；两项均为待评估候选时限，请技术确认可行性后由产品选择，当前不作为正式验收值。</x:v>
      </x:c>
      <x:c r="L29" s="12" t="str"/>
      <x:c r="M29" s="12" t="str"/>
      <x:c r="N29" s="10" t="str">
        <x:v>1. liveshow-proto/MainBasis/需求待确认清单.md：行110；- [PENDING-metric-latency] 指标刷新时效：直播、收益和等级变动后，各端指标最迟何时应更新？ 选项：A. 实时更新并指定秒级上限；B. 按固定汇总周期更新。影响端：用户App、公会App、管理后台。依据：AN-2d643ddb84e1、AN-4c265a228f16。</x:v>
      </x:c>
      <x:c r="O29" s="9" t="str">
        <x:v>1. 主播中心、直播、我的
2. 仅隔离指标刷新时效相关的未确认分支；已确认功能继续测试</x:v>
      </x:c>
      <x:c r="P29" s="9" t="str"/>
      <x:c r="Q29" s="9" t="str">
        <x:v>1. 指标刷新时效的选定规则主流程
2. 指标刷新时效的边界及失败分支</x:v>
      </x:c>
      <x:c r="R29" s="9" t="str">
        <x:v>多方确认</x:v>
      </x:c>
      <x:c r="S29" s="9" t="str">
        <x:v>相关功能验收前</x:v>
      </x:c>
      <x:c r="T29" s="9" t="str">
        <x:v>待确认</x:v>
      </x:c>
    </x:row>
    <x:row r="30" ht="130" customHeight="1">
      <x:c r="A30" s="10" t="str">
        <x:v>Q-029</x:v>
      </x:c>
      <x:c r="B30" s="10" t="str">
        <x:v>RQ-027</x:v>
      </x:c>
      <x:c r="C30" s="10" t="str"/>
      <x:c r="D30" s="10" t="str"/>
      <x:c r="E30" s="10" t="str">
        <x:v>部分阻塞</x:v>
      </x:c>
      <x:c r="F30" s="10" t="str">
        <x:v>钱包与账单</x:v>
      </x:c>
      <x:c r="G30" s="9" t="str">
        <x:v>首充资格</x:v>
      </x:c>
      <x:c r="H30" s="9" t="str">
        <x:v>业务规则</x:v>
      </x:c>
      <x:c r="I30" s="9" t="str">
        <x:v>首充资格按哪种充值成功记录判定？</x:v>
      </x:c>
      <x:c r="J30" s="9" t="str">
        <x:v>A. 账号首次任意渠道成功充值
B. 各活动分别以首次购买判定</x:v>
      </x:c>
      <x:c r="K30" s="9" t="str">
        <x:v>请明确首充资格的唯一口径及适用范围；确认前不将候选方案作为确定性预期。</x:v>
      </x:c>
      <x:c r="L30" s="12" t="str"/>
      <x:c r="M30" s="12" t="str"/>
      <x:c r="N30" s="10" t="str">
        <x:v>1. liveshow-proto/MainBasis/需求待确认清单.md：行114；- [PENDING-first-recharge] 首充资格：首充资格按哪种充值成功记录判定？ 选项：A. 账号首次任意渠道成功充值；B. 各活动分别以首次购买判定。影响端：用户App、管理后台。依据：AN-b13d526e82bf。</x:v>
      </x:c>
      <x:c r="O30" s="9" t="str">
        <x:v>1. 钱包与账单
2. 仅隔离首充资格相关的未确认分支；已确认功能继续测试</x:v>
      </x:c>
      <x:c r="P30" s="9" t="str"/>
      <x:c r="Q30" s="9" t="str">
        <x:v>1. 首充资格的选定规则主流程
2. 首充资格的边界及失败分支</x:v>
      </x:c>
      <x:c r="R30" s="9" t="str">
        <x:v>产品</x:v>
      </x:c>
      <x:c r="S30" s="9" t="str">
        <x:v>相关功能验收前</x:v>
      </x:c>
      <x:c r="T30" s="9" t="str">
        <x:v>待确认</x:v>
      </x:c>
    </x:row>
    <x:row r="31" ht="130" customHeight="1">
      <x:c r="A31" s="10" t="str">
        <x:v>Q-030</x:v>
      </x:c>
      <x:c r="B31" s="10" t="str">
        <x:v>RQ-028</x:v>
      </x:c>
      <x:c r="C31" s="10" t="str"/>
      <x:c r="D31" s="10" t="str"/>
      <x:c r="E31" s="10" t="str">
        <x:v>部分阻塞</x:v>
      </x:c>
      <x:c r="F31" s="10" t="str">
        <x:v>钱包与账单</x:v>
      </x:c>
      <x:c r="G31" s="9" t="str">
        <x:v>首充购买后的展示</x:v>
      </x:c>
      <x:c r="H31" s="9" t="str">
        <x:v>业务规则</x:v>
      </x:c>
      <x:c r="I31" s="9" t="str">
        <x:v>首充套餐成功购买后，是否继续展示？</x:v>
      </x:c>
      <x:c r="J31" s="9" t="str">
        <x:v>A. 隐藏该套餐
B. 保留套餐并显示不可购买</x:v>
      </x:c>
      <x:c r="K31" s="9" t="str">
        <x:v>请明确首充购买后的展示的唯一口径及适用范围；确认前不将候选方案作为确定性预期。</x:v>
      </x:c>
      <x:c r="L31" s="12" t="str"/>
      <x:c r="M31" s="12" t="str"/>
      <x:c r="N31" s="10" t="str">
        <x:v>1. liveshow-proto/MainBasis/需求待确认清单.md：行118；- [PENDING-first-recharge-hide] 首充购买后的展示：首充套餐成功购买后，是否继续展示？ 选项：A. 隐藏该套餐；B. 保留套餐并显示不可购买。影响端：用户App。依据：AN-b13d526e82bf。</x:v>
      </x:c>
      <x:c r="O31" s="9" t="str">
        <x:v>1. 钱包与账单
2. 仅隔离首充购买后的展示相关的未确认分支；已确认功能继续测试</x:v>
      </x:c>
      <x:c r="P31" s="9" t="str"/>
      <x:c r="Q31" s="9" t="str">
        <x:v>1. 首充购买后的展示的选定规则主流程
2. 首充购买后的展示的边界及失败分支</x:v>
      </x:c>
      <x:c r="R31" s="9" t="str">
        <x:v>产品</x:v>
      </x:c>
      <x:c r="S31" s="9" t="str">
        <x:v>相关功能验收前</x:v>
      </x:c>
      <x:c r="T31" s="9" t="str">
        <x:v>待确认</x:v>
      </x:c>
    </x:row>
    <x:row r="32" ht="145" customHeight="1">
      <x:c r="A32" s="10" t="str">
        <x:v>Q-031</x:v>
      </x:c>
      <x:c r="B32" s="10" t="str">
        <x:v>RQ-029</x:v>
      </x:c>
      <x:c r="C32" s="10" t="str"/>
      <x:c r="D32" s="10" t="str"/>
      <x:c r="E32" s="10" t="str">
        <x:v>部分阻塞</x:v>
      </x:c>
      <x:c r="F32" s="10" t="str">
        <x:v>钱包与账单、直播</x:v>
      </x:c>
      <x:c r="G32" s="9" t="str">
        <x:v>支付中套餐过期</x:v>
      </x:c>
      <x:c r="H32" s="9" t="str">
        <x:v>业务规则</x:v>
      </x:c>
      <x:c r="I32" s="9" t="str">
        <x:v>支付已经发起但尚未完成时套餐过期，订单能否按快照继续完成？</x:v>
      </x:c>
      <x:c r="J32" s="9" t="str">
        <x:v>A. 在原订单有效期内继续支付
B. 过期即取消未支付订单</x:v>
      </x:c>
      <x:c r="K32" s="9" t="str">
        <x:v>请明确支付中套餐过期的唯一口径及适用范围；确认前不将候选方案作为确定性预期。</x:v>
      </x:c>
      <x:c r="L32" s="12" t="str"/>
      <x:c r="M32" s="12" t="str"/>
      <x:c r="N32" s="10" t="str">
        <x:v>1. liveshow-proto/MainBasis/需求待确认清单.md：行122；- [PENDING-recharge-expiry] 支付中套餐过期：支付已经发起但尚未完成时套餐过期，订单能否按快照继续完成？ 选项：A. 在原订单有效期内继续支付；B. 过期即取消未支付订单。影响端：用户App、管理后台。依据：AN-b13d526e82bf。</x:v>
      </x:c>
      <x:c r="O32" s="9" t="str">
        <x:v>1. 钱包与账单、直播
2. 仅隔离支付中套餐过期相关的未确认分支；已确认功能继续测试</x:v>
      </x:c>
      <x:c r="P32" s="9" t="str"/>
      <x:c r="Q32" s="9" t="str">
        <x:v>1. 支付中套餐过期的选定规则主流程
2. 支付中套餐过期的边界及失败分支</x:v>
      </x:c>
      <x:c r="R32" s="9" t="str">
        <x:v>产品</x:v>
      </x:c>
      <x:c r="S32" s="9" t="str">
        <x:v>相关功能验收前</x:v>
      </x:c>
      <x:c r="T32" s="9" t="str">
        <x:v>待确认</x:v>
      </x:c>
    </x:row>
    <x:row r="33" ht="130" customHeight="1">
      <x:c r="A33" s="10" t="str">
        <x:v>Q-032</x:v>
      </x:c>
      <x:c r="B33" s="10" t="str">
        <x:v>RQ-030</x:v>
      </x:c>
      <x:c r="C33" s="10" t="str"/>
      <x:c r="D33" s="10" t="str"/>
      <x:c r="E33" s="10" t="str">
        <x:v>部分阻塞</x:v>
      </x:c>
      <x:c r="F33" s="10" t="str">
        <x:v>钱包与账单、直播</x:v>
      </x:c>
      <x:c r="G33" s="9" t="str">
        <x:v>无可购套餐</x:v>
      </x:c>
      <x:c r="H33" s="9" t="str">
        <x:v>业务规则</x:v>
      </x:c>
      <x:c r="I33" s="9" t="str">
        <x:v>没有可购充值套餐时页面如何展示并引导？</x:v>
      </x:c>
      <x:c r="J33" s="9" t="str">
        <x:v>A. 空态且不可发起支付
B. 展示下架套餐但不可购买</x:v>
      </x:c>
      <x:c r="K33" s="9" t="str">
        <x:v>请明确无可购套餐的唯一口径及适用范围；确认前不将候选方案作为确定性预期。</x:v>
      </x:c>
      <x:c r="L33" s="12" t="str"/>
      <x:c r="M33" s="12" t="str"/>
      <x:c r="N33" s="10" t="str">
        <x:v>1. liveshow-proto/MainBasis/需求待确认清单.md：行126；- [PENDING-recharge-empty] 无可购套餐：没有可购充值套餐时页面如何展示并引导？ 选项：A. 空态且不可发起支付；B. 展示下架套餐但不可购买。影响端：用户App。依据：AN-b13d526e82bf。</x:v>
      </x:c>
      <x:c r="O33" s="9" t="str">
        <x:v>1. 钱包与账单、直播
2. 仅隔离无可购套餐相关的未确认分支；已确认功能继续测试</x:v>
      </x:c>
      <x:c r="P33" s="9" t="str"/>
      <x:c r="Q33" s="9" t="str">
        <x:v>1. 无可购套餐的选定规则主流程
2. 无可购套餐的边界及失败分支</x:v>
      </x:c>
      <x:c r="R33" s="9" t="str">
        <x:v>产品</x:v>
      </x:c>
      <x:c r="S33" s="9" t="str">
        <x:v>相关功能验收前</x:v>
      </x:c>
      <x:c r="T33" s="9" t="str">
        <x:v>待确认</x:v>
      </x:c>
    </x:row>
    <x:row r="34" ht="160" customHeight="1">
      <x:c r="A34" s="10" t="str">
        <x:v>Q-033</x:v>
      </x:c>
      <x:c r="B34" s="10" t="str">
        <x:v>RQ-031</x:v>
      </x:c>
      <x:c r="C34" s="10" t="str"/>
      <x:c r="D34" s="10" t="str"/>
      <x:c r="E34" s="10" t="str">
        <x:v>部分阻塞</x:v>
      </x:c>
      <x:c r="F34" s="10" t="str">
        <x:v>我的、直播、主播中心</x:v>
      </x:c>
      <x:c r="G34" s="9" t="str">
        <x:v>财富等级礼物计入口径</x:v>
      </x:c>
      <x:c r="H34" s="9" t="str">
        <x:v>计算与统计口径</x:v>
      </x:c>
      <x:c r="I34" s="9" t="str">
        <x:v>财富等级是否计入幸运礼物？</x:v>
      </x:c>
      <x:c r="J34" s="9" t="str">
        <x:v>A. 仅计入普通和定制礼物
B. 普通、定制和幸运礼物均计入</x:v>
      </x:c>
      <x:c r="K34" s="9" t="str">
        <x:v>建议B，礼物范围完整；幸运礼物的计入金额由对应追问单独确认。</x:v>
      </x:c>
      <x:c r="L34" s="12" t="str"/>
      <x:c r="M34" s="12" t="str"/>
      <x:c r="N34" s="10" t="str">
        <x:v>1. liveshow-proto/MainBasis/需求待确认清单.md：行130；- [PENDING-level-gift-scope] 等级贡献计入类型：财富等级和粉丝等级分别计入哪些礼物类型，幸运礼物按何种价值计入？ 选项：A. 全部真实礼物按送出价值；B. 全部真实礼物按扣除返奖后的净消耗；C. 由等级类型分别配置。影响端：用户App、管理后台。依据：AN-3839cfde3299。</x:v>
      </x:c>
      <x:c r="O34" s="9" t="str">
        <x:v>1. 我的、直播、主播中心
2. 仅隔离财富等级礼物计入口径相关的未确认分支；已确认功能继续测试</x:v>
      </x:c>
      <x:c r="P34" s="9" t="str"/>
      <x:c r="Q34" s="9" t="str">
        <x:v>1. 财富等级礼物计入口径的选定规则主流程
2. 财富等级礼物计入口径的边界及失败分支</x:v>
      </x:c>
      <x:c r="R34" s="9" t="str">
        <x:v>多方确认</x:v>
      </x:c>
      <x:c r="S34" s="9" t="str">
        <x:v>相关功能验收前</x:v>
      </x:c>
      <x:c r="T34" s="9" t="str">
        <x:v>待确认</x:v>
      </x:c>
    </x:row>
    <x:row r="35" ht="160" customHeight="1">
      <x:c r="A35" s="10" t="str">
        <x:v>Q-033-01</x:v>
      </x:c>
      <x:c r="B35" s="10" t="str">
        <x:v>RQ-031</x:v>
      </x:c>
      <x:c r="C35" s="10" t="str">
        <x:v>Q-033</x:v>
      </x:c>
      <x:c r="D35" s="10" t="str">
        <x:v>Q-033选择B时</x:v>
      </x:c>
      <x:c r="E35" s="10" t="str">
        <x:v>部分阻塞</x:v>
      </x:c>
      <x:c r="F35" s="10" t="str">
        <x:v>我的、直播、主播中心</x:v>
      </x:c>
      <x:c r="G35" s="9" t="str">
        <x:v>财富等级中的幸运礼物计入金额</x:v>
      </x:c>
      <x:c r="H35" s="9" t="str">
        <x:v>计算与统计口径</x:v>
      </x:c>
      <x:c r="I35" s="9" t="str">
        <x:v>幸运礼物按什么金额计入财富等级？</x:v>
      </x:c>
      <x:c r="J35" s="9" t="str">
        <x:v>A. 按成功送出价值计入，不扣返奖
B. 按送出价值减返奖后的净消耗计入</x:v>
      </x:c>
      <x:c r="K35" s="9" t="str">
        <x:v>建议A，与已确认的贡献榜计入口径一致；等级口径仍须单独确认。</x:v>
      </x:c>
      <x:c r="L35" s="12" t="str"/>
      <x:c r="M35" s="12" t="str"/>
      <x:c r="N35" s="10" t="str">
        <x:v>1. liveshow-proto/MainBasis/需求待确认清单.md：行130；- [PENDING-level-gift-scope] 等级贡献计入类型：财富等级和粉丝等级分别计入哪些礼物类型，幸运礼物按何种价值计入？ 选项：A. 全部真实礼物按送出价值；B. 全部真实礼物按扣除返奖后的净消耗；C. 由等级类型分别配置。影响端：用户App、管理后台。依据：AN-3839cfde3299。</x:v>
      </x:c>
      <x:c r="O35" s="9" t="str">
        <x:v>1. 我的、直播、主播中心
2. 仅隔离财富等级礼物计入口径相关的未确认分支；已确认功能继续测试</x:v>
      </x:c>
      <x:c r="P35" s="9" t="str"/>
      <x:c r="Q35" s="9" t="str">
        <x:v>1. 财富等级礼物计入口径的选定规则主流程
2. 财富等级礼物计入口径的边界及失败分支</x:v>
      </x:c>
      <x:c r="R35" s="9" t="str">
        <x:v>多方确认</x:v>
      </x:c>
      <x:c r="S35" s="9" t="str">
        <x:v>相关功能验收前</x:v>
      </x:c>
      <x:c r="T35" s="9" t="str">
        <x:v>待前置结论</x:v>
      </x:c>
    </x:row>
    <x:row r="36" ht="160" customHeight="1">
      <x:c r="A36" s="10" t="str">
        <x:v>Q-034</x:v>
      </x:c>
      <x:c r="B36" s="10" t="str">
        <x:v>RQ-031</x:v>
      </x:c>
      <x:c r="C36" s="10" t="str"/>
      <x:c r="D36" s="10" t="str"/>
      <x:c r="E36" s="10" t="str">
        <x:v>部分阻塞</x:v>
      </x:c>
      <x:c r="F36" s="10" t="str">
        <x:v>我的、直播、主播中心</x:v>
      </x:c>
      <x:c r="G36" s="9" t="str">
        <x:v>粉丝等级礼物计入口径</x:v>
      </x:c>
      <x:c r="H36" s="9" t="str">
        <x:v>计算与统计口径</x:v>
      </x:c>
      <x:c r="I36" s="9" t="str">
        <x:v>粉丝等级是否计入幸运礼物？</x:v>
      </x:c>
      <x:c r="J36" s="9" t="str">
        <x:v>A. 仅计入普通和定制礼物
B. 普通、定制和幸运礼物均计入</x:v>
      </x:c>
      <x:c r="K36" s="9" t="str">
        <x:v>建议B，礼物范围完整；幸运礼物的计入金额由对应追问单独确认。</x:v>
      </x:c>
      <x:c r="L36" s="12" t="str"/>
      <x:c r="M36" s="12" t="str"/>
      <x:c r="N36" s="10" t="str">
        <x:v>1. liveshow-proto/MainBasis/需求待确认清单.md：行130；- [PENDING-level-gift-scope] 等级贡献计入类型：财富等级和粉丝等级分别计入哪些礼物类型，幸运礼物按何种价值计入？ 选项：A. 全部真实礼物按送出价值；B. 全部真实礼物按扣除返奖后的净消耗；C. 由等级类型分别配置。影响端：用户App、管理后台。依据：AN-3839cfde3299。</x:v>
      </x:c>
      <x:c r="O36" s="9" t="str">
        <x:v>1. 我的、直播、主播中心
2. 仅隔离粉丝等级礼物计入口径相关的未确认分支；已确认功能继续测试</x:v>
      </x:c>
      <x:c r="P36" s="9" t="str"/>
      <x:c r="Q36" s="9" t="str">
        <x:v>1. 粉丝等级礼物计入口径的选定规则主流程
2. 粉丝等级礼物计入口径的边界及失败分支</x:v>
      </x:c>
      <x:c r="R36" s="9" t="str">
        <x:v>多方确认</x:v>
      </x:c>
      <x:c r="S36" s="9" t="str">
        <x:v>相关功能验收前</x:v>
      </x:c>
      <x:c r="T36" s="9" t="str">
        <x:v>待确认</x:v>
      </x:c>
    </x:row>
    <x:row r="37" ht="160" customHeight="1">
      <x:c r="A37" s="10" t="str">
        <x:v>Q-034-01</x:v>
      </x:c>
      <x:c r="B37" s="10" t="str">
        <x:v>RQ-031</x:v>
      </x:c>
      <x:c r="C37" s="10" t="str">
        <x:v>Q-034</x:v>
      </x:c>
      <x:c r="D37" s="10" t="str">
        <x:v>Q-034选择B时</x:v>
      </x:c>
      <x:c r="E37" s="10" t="str">
        <x:v>部分阻塞</x:v>
      </x:c>
      <x:c r="F37" s="10" t="str">
        <x:v>我的、直播、主播中心</x:v>
      </x:c>
      <x:c r="G37" s="9" t="str">
        <x:v>粉丝等级中的幸运礼物计入金额</x:v>
      </x:c>
      <x:c r="H37" s="9" t="str">
        <x:v>计算与统计口径</x:v>
      </x:c>
      <x:c r="I37" s="9" t="str">
        <x:v>幸运礼物按什么金额计入粉丝等级？</x:v>
      </x:c>
      <x:c r="J37" s="9" t="str">
        <x:v>A. 按成功送出价值计入，不扣返奖
B. 按送出价值减返奖后的净消耗计入</x:v>
      </x:c>
      <x:c r="K37" s="9" t="str">
        <x:v>建议A，与已确认的贡献榜计入口径一致；等级口径仍须单独确认。</x:v>
      </x:c>
      <x:c r="L37" s="12" t="str"/>
      <x:c r="M37" s="12" t="str"/>
      <x:c r="N37" s="10" t="str">
        <x:v>1. liveshow-proto/MainBasis/需求待确认清单.md：行130；- [PENDING-level-gift-scope] 等级贡献计入类型：财富等级和粉丝等级分别计入哪些礼物类型，幸运礼物按何种价值计入？ 选项：A. 全部真实礼物按送出价值；B. 全部真实礼物按扣除返奖后的净消耗；C. 由等级类型分别配置。影响端：用户App、管理后台。依据：AN-3839cfde3299。</x:v>
      </x:c>
      <x:c r="O37" s="9" t="str">
        <x:v>1. 我的、直播、主播中心
2. 仅隔离粉丝等级礼物计入口径相关的未确认分支；已确认功能继续测试</x:v>
      </x:c>
      <x:c r="P37" s="9" t="str"/>
      <x:c r="Q37" s="9" t="str">
        <x:v>1. 粉丝等级礼物计入口径的选定规则主流程
2. 粉丝等级礼物计入口径的边界及失败分支</x:v>
      </x:c>
      <x:c r="R37" s="9" t="str">
        <x:v>多方确认</x:v>
      </x:c>
      <x:c r="S37" s="9" t="str">
        <x:v>相关功能验收前</x:v>
      </x:c>
      <x:c r="T37" s="9" t="str">
        <x:v>待前置结论</x:v>
      </x:c>
    </x:row>
    <x:row r="38" ht="145" customHeight="1">
      <x:c r="A38" s="10" t="str">
        <x:v>Q-035</x:v>
      </x:c>
      <x:c r="B38" s="10" t="str">
        <x:v>RQ-032</x:v>
      </x:c>
      <x:c r="C38" s="10" t="str"/>
      <x:c r="D38" s="10" t="str"/>
      <x:c r="E38" s="10" t="str">
        <x:v>部分阻塞</x:v>
      </x:c>
      <x:c r="F38" s="10" t="str">
        <x:v>我的、主播中心</x:v>
      </x:c>
      <x:c r="G38" s="9" t="str">
        <x:v>粉丝团累计收礼归属</x:v>
      </x:c>
      <x:c r="H38" s="9" t="str">
        <x:v>业务规则</x:v>
      </x:c>
      <x:c r="I38" s="9" t="str">
        <x:v>粉丝团等级累计收礼是否只计有效团员在入团期间的赠礼？</x:v>
      </x:c>
      <x:c r="J38" s="9" t="str">
        <x:v>A. 只计有效团员在团期间赠礼
B. 计入该主播的全部有效收礼</x:v>
      </x:c>
      <x:c r="K38" s="9" t="str">
        <x:v>请明确粉丝团累计收礼归属的唯一口径及适用范围；确认前不将候选方案作为确定性预期。</x:v>
      </x:c>
      <x:c r="L38" s="12" t="str"/>
      <x:c r="M38" s="12" t="str"/>
      <x:c r="N38" s="10" t="str">
        <x:v>1. liveshow-proto/MainBasis/需求待确认清单.md：行134；- [PENDING-club-level-attribution] 粉丝团累计收礼归属：粉丝团等级累计收礼是否只计有效团员在入团期间的赠礼？ 选项：A. 只计有效团员在团期间赠礼；B. 计入该主播的全部有效收礼。影响端：用户App、管理后台。依据：AN-3839cfde3299。</x:v>
      </x:c>
      <x:c r="O38" s="9" t="str">
        <x:v>1. 我的、主播中心
2. 仅隔离粉丝团累计收礼归属相关的未确认分支；已确认功能继续测试</x:v>
      </x:c>
      <x:c r="P38" s="9" t="str"/>
      <x:c r="Q38" s="9" t="str">
        <x:v>1. 粉丝团累计收礼归属的选定规则主流程
2. 粉丝团累计收礼归属的边界及失败分支</x:v>
      </x:c>
      <x:c r="R38" s="9" t="str">
        <x:v>产品</x:v>
      </x:c>
      <x:c r="S38" s="9" t="str">
        <x:v>相关功能验收前</x:v>
      </x:c>
      <x:c r="T38" s="9" t="str">
        <x:v>待确认</x:v>
      </x:c>
    </x:row>
    <x:row r="39" ht="160" customHeight="1">
      <x:c r="A39" s="10" t="str">
        <x:v>Q-036</x:v>
      </x:c>
      <x:c r="B39" s="10" t="str">
        <x:v>RQ-033</x:v>
      </x:c>
      <x:c r="C39" s="10" t="str"/>
      <x:c r="D39" s="10" t="str"/>
      <x:c r="E39" s="10" t="str">
        <x:v>部分阻塞</x:v>
      </x:c>
      <x:c r="F39" s="10" t="str">
        <x:v>钱包与账单、直播、主播中心</x:v>
      </x:c>
      <x:c r="G39" s="9" t="str">
        <x:v>小数收益存储精度</x:v>
      </x:c>
      <x:c r="H39" s="9" t="str">
        <x:v>计算与统计口径</x:v>
      </x:c>
      <x:c r="I39" s="9" t="str">
        <x:v>不足1金币的单笔幸运礼物收益如何存储？</x:v>
      </x:c>
      <x:c r="J39" s="9" t="str">
        <x:v>A. 保存整数，截去不足1金币部分
B. 保存两位小数，截去其后位数
C. 保存两位小数，按第三位四舍五入</x:v>
      </x:c>
      <x:c r="K39" s="9" t="str">
        <x:v>请明确小数收益存储精度的唯一口径及适用范围；确认前不将候选方案作为确定性预期。</x:v>
      </x:c>
      <x:c r="L39" s="12" t="str"/>
      <x:c r="M39" s="12" t="str"/>
      <x:c r="N39" s="10" t="str">
        <x:v>1. liveshow-proto/MainBasis/需求待确认清单.md：行138；- [PENDING-coin-precision] 金币和收益精度：幸运礼物收益出现不足 1 金币的小数时如何存储、累计和展示？ 选项：A. 每笔截断为整数；B. 保留小数累计后统一展示；C. 按明确精度四舍五入。影响端：用户App、公会App、管理后台。依据：AN-3839cfde3299。</x:v>
      </x:c>
      <x:c r="O39" s="9" t="str">
        <x:v>1. 钱包与账单、直播、主播中心
2. 仅隔离小数收益存储精度相关的未确认分支；已确认功能继续测试</x:v>
      </x:c>
      <x:c r="P39" s="9" t="str"/>
      <x:c r="Q39" s="9" t="str">
        <x:v>1. 小数收益存储精度的选定规则主流程
2. 小数收益存储精度的边界及失败分支</x:v>
      </x:c>
      <x:c r="R39" s="9" t="str">
        <x:v>多方确认</x:v>
      </x:c>
      <x:c r="S39" s="9" t="str">
        <x:v>相关功能验收前</x:v>
      </x:c>
      <x:c r="T39" s="9" t="str">
        <x:v>待确认</x:v>
      </x:c>
    </x:row>
    <x:row r="40" ht="160" customHeight="1">
      <x:c r="A40" s="10" t="str">
        <x:v>Q-036-01</x:v>
      </x:c>
      <x:c r="B40" s="10" t="str">
        <x:v>RQ-033</x:v>
      </x:c>
      <x:c r="C40" s="10" t="str">
        <x:v>Q-036</x:v>
      </x:c>
      <x:c r="D40" s="10" t="str">
        <x:v>Q-036选择B或C（保存两位小数）时</x:v>
      </x:c>
      <x:c r="E40" s="10" t="str">
        <x:v>部分阻塞</x:v>
      </x:c>
      <x:c r="F40" s="10" t="str">
        <x:v>钱包与账单、直播、主播中心</x:v>
      </x:c>
      <x:c r="G40" s="9" t="str">
        <x:v>小数收益展示</x:v>
      </x:c>
      <x:c r="H40" s="9" t="str">
        <x:v>业务规则</x:v>
      </x:c>
      <x:c r="I40" s="9" t="str">
        <x:v>客户端展示小数收益时采用什么规则？</x:v>
      </x:c>
      <x:c r="J40" s="9" t="str">
        <x:v>A. 按存储值显示两位小数
B. 四舍五入显示整数
C. 截断显示整数</x:v>
      </x:c>
      <x:c r="K40" s="9" t="str">
        <x:v>请明确小数收益展示的唯一口径及适用范围；确认前不将候选方案作为确定性预期。</x:v>
      </x:c>
      <x:c r="L40" s="12" t="str"/>
      <x:c r="M40" s="12" t="str"/>
      <x:c r="N40" s="10" t="str">
        <x:v>1. liveshow-proto/MainBasis/需求待确认清单.md：行138；- [PENDING-coin-precision] 金币和收益精度：幸运礼物收益出现不足 1 金币的小数时如何存储、累计和展示？ 选项：A. 每笔截断为整数；B. 保留小数累计后统一展示；C. 按明确精度四舍五入。影响端：用户App、公会App、管理后台。依据：AN-3839cfde3299。</x:v>
      </x:c>
      <x:c r="O40" s="9" t="str">
        <x:v>1. 钱包与账单、直播、主播中心
2. 仅隔离小数收益展示相关的未确认分支；已确认功能继续测试</x:v>
      </x:c>
      <x:c r="P40" s="9" t="str"/>
      <x:c r="Q40" s="9" t="str">
        <x:v>1. 小数收益展示的选定规则主流程
2. 小数收益展示的边界及失败分支</x:v>
      </x:c>
      <x:c r="R40" s="9" t="str">
        <x:v>产品</x:v>
      </x:c>
      <x:c r="S40" s="9" t="str">
        <x:v>相关功能验收前</x:v>
      </x:c>
      <x:c r="T40" s="9" t="str">
        <x:v>待前置结论</x:v>
      </x:c>
    </x:row>
    <x:row r="41" ht="160" customHeight="1">
      <x:c r="A41" s="10" t="str">
        <x:v>Q-037</x:v>
      </x:c>
      <x:c r="B41" s="10" t="str">
        <x:v>RQ-033</x:v>
      </x:c>
      <x:c r="C41" s="10" t="str"/>
      <x:c r="D41" s="10" t="str"/>
      <x:c r="E41" s="10" t="str">
        <x:v>部分阻塞</x:v>
      </x:c>
      <x:c r="F41" s="10" t="str">
        <x:v>钱包与账单、直播、主播中心</x:v>
      </x:c>
      <x:c r="G41" s="9" t="str">
        <x:v>小数收益累计顺序</x:v>
      </x:c>
      <x:c r="H41" s="9" t="str">
        <x:v>计算与统计口径</x:v>
      </x:c>
      <x:c r="I41" s="9" t="str">
        <x:v>小数收益先逐笔处理精度再累计，还是先累计再处理精度？</x:v>
      </x:c>
      <x:c r="J41" s="9" t="str">
        <x:v>A. 逐笔处理精度后相加
B. 保留原精度相加后统一处理</x:v>
      </x:c>
      <x:c r="K41" s="9" t="str">
        <x:v>请明确小数收益累计顺序的唯一口径及适用范围；确认前不将候选方案作为确定性预期。</x:v>
      </x:c>
      <x:c r="L41" s="12" t="str"/>
      <x:c r="M41" s="12" t="str"/>
      <x:c r="N41" s="10" t="str">
        <x:v>1. liveshow-proto/MainBasis/需求待确认清单.md：行138；- [PENDING-coin-precision] 金币和收益精度：幸运礼物收益出现不足 1 金币的小数时如何存储、累计和展示？ 选项：A. 每笔截断为整数；B. 保留小数累计后统一展示；C. 按明确精度四舍五入。影响端：用户App、公会App、管理后台。依据：AN-3839cfde3299。</x:v>
      </x:c>
      <x:c r="O41" s="9" t="str">
        <x:v>1. 钱包与账单、直播、主播中心
2. 仅隔离小数收益累计顺序相关的未确认分支；已确认功能继续测试</x:v>
      </x:c>
      <x:c r="P41" s="9" t="str"/>
      <x:c r="Q41" s="9" t="str">
        <x:v>1. 小数收益累计顺序的选定规则主流程
2. 小数收益累计顺序的边界及失败分支</x:v>
      </x:c>
      <x:c r="R41" s="9" t="str">
        <x:v>多方确认</x:v>
      </x:c>
      <x:c r="S41" s="9" t="str">
        <x:v>相关功能验收前</x:v>
      </x:c>
      <x:c r="T41" s="9" t="str">
        <x:v>待确认</x:v>
      </x:c>
    </x:row>
    <x:row r="42" ht="145" customHeight="1">
      <x:c r="A42" s="10" t="str">
        <x:v>Q-038</x:v>
      </x:c>
      <x:c r="B42" s="10" t="str">
        <x:v>RQ-034</x:v>
      </x:c>
      <x:c r="C42" s="10" t="str"/>
      <x:c r="D42" s="10" t="str"/>
      <x:c r="E42" s="10" t="str">
        <x:v>部分阻塞</x:v>
      </x:c>
      <x:c r="F42" s="10" t="str">
        <x:v>我的、主播中心</x:v>
      </x:c>
      <x:c r="G42" s="9" t="str">
        <x:v>等级冲正与降级</x:v>
      </x:c>
      <x:c r="H42" s="9" t="str">
        <x:v>计算与统计口径</x:v>
      </x:c>
      <x:c r="I42" s="9" t="str">
        <x:v>充值退款、消费冲正或撤销分别是否回扣成长值，以及是否降级？</x:v>
      </x:c>
      <x:c r="J42" s="9" t="str">
        <x:v>A. 按被撤销的有效赠礼回扣并重算等级
B. 回扣成长值但保留已达等级</x:v>
      </x:c>
      <x:c r="K42" s="9" t="str">
        <x:v>请明确等级冲正与降级的唯一口径及适用范围；确认前不将候选方案作为确定性预期。</x:v>
      </x:c>
      <x:c r="L42" s="12" t="str"/>
      <x:c r="M42" s="12" t="str"/>
      <x:c r="N42" s="10" t="str">
        <x:v>1. liveshow-proto/MainBasis/需求待确认清单.md：行142；- [PENDING-level-reversal] 等级冲正与降级：充值退款、消费冲正或撤销分别是否回扣成长值，以及是否降级？ 选项：A. 按被撤销的有效赠礼回扣并重算等级；B. 回扣成长值但保留已达等级。影响端：用户App、管理后台。依据：AN-4c265a228f16。</x:v>
      </x:c>
      <x:c r="O42" s="9" t="str">
        <x:v>1. 我的、主播中心
2. 仅隔离等级冲正与降级相关的未确认分支；已确认功能继续测试</x:v>
      </x:c>
      <x:c r="P42" s="9" t="str"/>
      <x:c r="Q42" s="9" t="str">
        <x:v>1. 等级冲正与降级的选定规则主流程
2. 等级冲正与降级的边界及失败分支</x:v>
      </x:c>
      <x:c r="R42" s="9" t="str">
        <x:v>多方确认</x:v>
      </x:c>
      <x:c r="S42" s="9" t="str">
        <x:v>相关功能验收前</x:v>
      </x:c>
      <x:c r="T42" s="9" t="str">
        <x:v>待确认</x:v>
      </x:c>
    </x:row>
    <x:row r="43" ht="130" customHeight="1">
      <x:c r="A43" s="10" t="str">
        <x:v>Q-039</x:v>
      </x:c>
      <x:c r="B43" s="10" t="str">
        <x:v>RQ-035</x:v>
      </x:c>
      <x:c r="C43" s="10" t="str"/>
      <x:c r="D43" s="10" t="str"/>
      <x:c r="E43" s="10" t="str">
        <x:v>部分阻塞</x:v>
      </x:c>
      <x:c r="F43" s="10" t="str">
        <x:v>我的、消息与社交、直播、主播中心</x:v>
      </x:c>
      <x:c r="G43" s="9" t="str">
        <x:v>历史等级快照</x:v>
      </x:c>
      <x:c r="H43" s="9" t="str">
        <x:v>计算与统计口径</x:v>
      </x:c>
      <x:c r="I43" s="9" t="str">
        <x:v>调整等级阈值后历史记录展示原等级还是重算等级？</x:v>
      </x:c>
      <x:c r="J43" s="9" t="str">
        <x:v>A. 保留事件发生时等级
B. 显示当前重算等级</x:v>
      </x:c>
      <x:c r="K43" s="9" t="str">
        <x:v>请明确历史等级快照的唯一口径及适用范围；确认前不将候选方案作为确定性预期。</x:v>
      </x:c>
      <x:c r="L43" s="12" t="str"/>
      <x:c r="M43" s="12" t="str"/>
      <x:c r="N43" s="10" t="str">
        <x:v>1. liveshow-proto/MainBasis/需求待确认清单.md：行146；- [PENDING-level-history] 历史等级快照：调整等级阈值后历史记录展示原等级还是重算等级？ 选项：A. 保留事件发生时等级；B. 显示当前重算等级。影响端：用户App、公会App、管理后台。依据：AN-10e4cbde5c33。</x:v>
      </x:c>
      <x:c r="O43" s="9" t="str">
        <x:v>1. 我的、消息与社交、直播、主播中心
2. 仅隔离历史等级快照相关的未确认分支；已确认功能继续测试</x:v>
      </x:c>
      <x:c r="P43" s="9" t="str"/>
      <x:c r="Q43" s="9" t="str">
        <x:v>1. 历史等级快照的选定规则主流程
2. 历史等级快照的边界及失败分支</x:v>
      </x:c>
      <x:c r="R43" s="9" t="str">
        <x:v>多方确认</x:v>
      </x:c>
      <x:c r="S43" s="9" t="str">
        <x:v>相关功能验收前</x:v>
      </x:c>
      <x:c r="T43" s="9" t="str">
        <x:v>待确认</x:v>
      </x:c>
    </x:row>
    <x:row r="44" ht="145" customHeight="1">
      <x:c r="A44" s="10" t="str">
        <x:v>Q-040</x:v>
      </x:c>
      <x:c r="B44" s="10" t="str">
        <x:v>RQ-036</x:v>
      </x:c>
      <x:c r="C44" s="10" t="str"/>
      <x:c r="D44" s="10" t="str"/>
      <x:c r="E44" s="10" t="str">
        <x:v>部分阻塞</x:v>
      </x:c>
      <x:c r="F44" s="10" t="str">
        <x:v>我的、消息与社交、直播</x:v>
      </x:c>
      <x:c r="G44" s="9" t="str">
        <x:v>等级勋章图刷新</x:v>
      </x:c>
      <x:c r="H44" s="9" t="str">
        <x:v>计算与统计口径</x:v>
      </x:c>
      <x:c r="I44" s="9" t="str">
        <x:v>后台修改等级勋章图后，客户端何时刷新？</x:v>
      </x:c>
      <x:c r="J44" s="9" t="str">
        <x:v>A. 下一次加载资料时更新
B. 重新登录后更新
C. 图片缓存5分钟，到期后下一次加载更新</x:v>
      </x:c>
      <x:c r="K44" s="9" t="str">
        <x:v>请明确等级勋章图刷新的唯一口径及适用范围；确认前不将候选方案作为确定性预期。</x:v>
      </x:c>
      <x:c r="L44" s="12" t="str"/>
      <x:c r="M44" s="12" t="str"/>
      <x:c r="N44" s="10" t="str">
        <x:v>1. liveshow-proto/MainBasis/需求待确认清单.md：行150；- [PENDING-badge-refresh] 等级勋章图刷新：后台修改等级勋章图后，客户端何时刷新？ 选项：A. 下一次加载资料时更新；B. 重新登录后更新；C. 按明确缓存有效期更新。影响端：用户App、管理后台。依据：AN-10e4cbde5c33。</x:v>
      </x:c>
      <x:c r="O44" s="9" t="str">
        <x:v>1. 我的、消息与社交、直播
2. 仅隔离等级勋章图刷新相关的未确认分支；已确认功能继续测试</x:v>
      </x:c>
      <x:c r="P44" s="9" t="str"/>
      <x:c r="Q44" s="9" t="str">
        <x:v>1. 等级勋章图刷新的选定规则主流程
2. 等级勋章图刷新的边界及失败分支</x:v>
      </x:c>
      <x:c r="R44" s="9" t="str">
        <x:v>多方确认</x:v>
      </x:c>
      <x:c r="S44" s="9" t="str">
        <x:v>相关功能验收前</x:v>
      </x:c>
      <x:c r="T44" s="9" t="str">
        <x:v>待确认</x:v>
      </x:c>
    </x:row>
    <x:row r="45" ht="130" customHeight="1">
      <x:c r="A45" s="10" t="str">
        <x:v>Q-041</x:v>
      </x:c>
      <x:c r="B45" s="10" t="str">
        <x:v>RQ-037</x:v>
      </x:c>
      <x:c r="C45" s="10" t="str"/>
      <x:c r="D45" s="10" t="str"/>
      <x:c r="E45" s="10" t="str">
        <x:v>部分阻塞</x:v>
      </x:c>
      <x:c r="F45" s="10" t="str">
        <x:v>我的、消息与社交、直播</x:v>
      </x:c>
      <x:c r="G45" s="9" t="str">
        <x:v>等级勋章图片缺失</x:v>
      </x:c>
      <x:c r="H45" s="9" t="str">
        <x:v>计算与统计口径</x:v>
      </x:c>
      <x:c r="I45" s="9" t="str">
        <x:v>等级勋章图无法加载时客户端显示什么？</x:v>
      </x:c>
      <x:c r="J45" s="9" t="str">
        <x:v>A. 显示默认等级图
B. 只显示等级文字</x:v>
      </x:c>
      <x:c r="K45" s="9" t="str">
        <x:v>请明确等级勋章图片缺失的唯一口径及适用范围；确认前不将候选方案作为确定性预期。</x:v>
      </x:c>
      <x:c r="L45" s="12" t="str"/>
      <x:c r="M45" s="12" t="str"/>
      <x:c r="N45" s="10" t="str">
        <x:v>1. liveshow-proto/MainBasis/需求待确认清单.md：行154；- [PENDING-badge-fallback] 等级勋章图片缺失：等级勋章图无法加载时客户端显示什么？ 选项：A. 显示默认等级图；B. 只显示等级文字。影响端：用户App、管理后台。依据：AN-d8d7a1c44fc2。</x:v>
      </x:c>
      <x:c r="O45" s="9" t="str">
        <x:v>1. 我的、消息与社交、直播
2. 仅隔离等级勋章图片缺失相关的未确认分支；已确认功能继续测试</x:v>
      </x:c>
      <x:c r="P45" s="9" t="str"/>
      <x:c r="Q45" s="9" t="str">
        <x:v>1. 等级勋章图片缺失的选定规则主流程
2. 等级勋章图片缺失的边界及失败分支</x:v>
      </x:c>
      <x:c r="R45" s="9" t="str">
        <x:v>多方确认</x:v>
      </x:c>
      <x:c r="S45" s="9" t="str">
        <x:v>相关功能验收前</x:v>
      </x:c>
      <x:c r="T45" s="9" t="str">
        <x:v>待确认</x:v>
      </x:c>
    </x:row>
    <x:row r="46" ht="130" customHeight="1">
      <x:c r="A46" s="10" t="str">
        <x:v>Q-042</x:v>
      </x:c>
      <x:c r="B46" s="10" t="str">
        <x:v>RQ-038</x:v>
      </x:c>
      <x:c r="C46" s="10" t="str"/>
      <x:c r="D46" s="10" t="str"/>
      <x:c r="E46" s="10" t="str">
        <x:v>部分阻塞</x:v>
      </x:c>
      <x:c r="F46" s="10" t="str">
        <x:v>主播中心</x:v>
      </x:c>
      <x:c r="G46" s="9" t="str">
        <x:v>分成记录详情</x:v>
      </x:c>
      <x:c r="H46" s="9" t="str">
        <x:v>业务规则</x:v>
      </x:c>
      <x:c r="I46" s="9" t="str">
        <x:v>点击主播分成记录后，本期是否提供独立详情页？</x:v>
      </x:c>
      <x:c r="J46" s="9" t="str">
        <x:v>A. 仅保留当前只读列表
B. 新增该笔分成详情页</x:v>
      </x:c>
      <x:c r="K46" s="9" t="str">
        <x:v>请明确分成记录详情的唯一口径及适用范围；确认前不将候选方案作为确定性预期。</x:v>
      </x:c>
      <x:c r="L46" s="12" t="str"/>
      <x:c r="M46" s="12" t="str"/>
      <x:c r="N46" s="10" t="str">
        <x:v>1. liveshow-proto/MainBasis/需求待确认清单.md：行158；- [PENDING-share-detail] 分成记录详情：主播点击分成日期记录后是否提供可操作的详情页，详情包含哪些内容？ 选项：A. 仅保留当前只读列表；B. 新增该笔分成详情页。影响端：用户App。依据：AN-7fdf6bcdd026。</x:v>
      </x:c>
      <x:c r="O46" s="9" t="str">
        <x:v>1. 主播中心
2. 仅隔离分成记录详情相关的未确认分支；已确认功能继续测试</x:v>
      </x:c>
      <x:c r="P46" s="9" t="str"/>
      <x:c r="Q46" s="9" t="str">
        <x:v>1. 分成记录详情的选定规则主流程
2. 分成记录详情的边界及失败分支</x:v>
      </x:c>
      <x:c r="R46" s="9" t="str">
        <x:v>产品</x:v>
      </x:c>
      <x:c r="S46" s="9" t="str">
        <x:v>相关功能验收前</x:v>
      </x:c>
      <x:c r="T46" s="9" t="str">
        <x:v>待确认</x:v>
      </x:c>
    </x:row>
    <x:row r="47" ht="145" customHeight="1">
      <x:c r="A47" s="10" t="str">
        <x:v>Q-043</x:v>
      </x:c>
      <x:c r="B47" s="10" t="str">
        <x:v>RQ-039</x:v>
      </x:c>
      <x:c r="C47" s="10" t="str"/>
      <x:c r="D47" s="10" t="str"/>
      <x:c r="E47" s="10" t="str">
        <x:v>部分阻塞</x:v>
      </x:c>
      <x:c r="F47" s="10" t="str">
        <x:v>消息与社交</x:v>
      </x:c>
      <x:c r="G47" s="9" t="str">
        <x:v>粉丝群举报对象</x:v>
      </x:c>
      <x:c r="H47" s="9" t="str">
        <x:v>角色与权限</x:v>
      </x:c>
      <x:c r="I47" s="9" t="str">
        <x:v>群管理的举报针对群、群主还是具体消息？</x:v>
      </x:c>
      <x:c r="J47" s="9" t="str">
        <x:v>A. 举报群主账号
B. 举报指定消息及其发送者
C. 单独举报粉丝群</x:v>
      </x:c>
      <x:c r="K47" s="9" t="str">
        <x:v>请明确粉丝群举报对象的唯一口径及适用范围；确认前不将候选方案作为确定性预期。</x:v>
      </x:c>
      <x:c r="L47" s="12" t="str"/>
      <x:c r="M47" s="12" t="str"/>
      <x:c r="N47" s="10" t="str">
        <x:v>1. liveshow-proto/MainBasis/需求待确认清单.md：行162；- [PENDING-group-report] 粉丝群举报对象：群管理的举报针对群、群主还是具体消息？ 选项：A. 举报群主账号；B. 举报指定消息及其发送者；C. 单独举报粉丝群。影响端：用户App、管理后台。依据：AN-3bc6aef15073。</x:v>
      </x:c>
      <x:c r="O47" s="9" t="str">
        <x:v>1. 消息与社交
2. 仅隔离粉丝群举报对象相关的未确认分支；已确认功能继续测试</x:v>
      </x:c>
      <x:c r="P47" s="9" t="str"/>
      <x:c r="Q47" s="9" t="str">
        <x:v>1. 粉丝群举报对象的选定规则主流程
2. 粉丝群举报对象的边界及失败分支</x:v>
      </x:c>
      <x:c r="R47" s="9" t="str">
        <x:v>产品</x:v>
      </x:c>
      <x:c r="S47" s="9" t="str">
        <x:v>相关功能验收前</x:v>
      </x:c>
      <x:c r="T47" s="9" t="str">
        <x:v>待确认</x:v>
      </x:c>
    </x:row>
    <x:row r="48" ht="115" customHeight="1">
      <x:c r="A48" s="10" t="str">
        <x:v>Q-044</x:v>
      </x:c>
      <x:c r="B48" s="10" t="str">
        <x:v>RQ-040</x:v>
      </x:c>
      <x:c r="C48" s="10" t="str"/>
      <x:c r="D48" s="10" t="str"/>
      <x:c r="E48" s="10" t="str">
        <x:v>部分阻塞</x:v>
      </x:c>
      <x:c r="F48" s="10" t="str">
        <x:v>首页与福利</x:v>
      </x:c>
      <x:c r="G48" s="9" t="str">
        <x:v>去完成入口</x:v>
      </x:c>
      <x:c r="H48" s="9" t="str">
        <x:v>流程与状态</x:v>
      </x:c>
      <x:c r="I48" s="9" t="str">
        <x:v>全部任务中点击“去完成”，各任务分别直接跳转到哪个入口，哪些任务只显示路径提示？</x:v>
      </x:c>
      <x:c r="J48" s="9" t="str">
        <x:v>A. 各任务均直接跳转（补充任务与入口对应关系）
B. 各任务均仅提示完成路径
C. 按任务分别指定跳转或路径提示</x:v>
      </x:c>
      <x:c r="K48" s="9" t="str">
        <x:v>条款只写进入对应功能或提示前往路径，未区分各任务的唯一去向；保留问题，避免一个预期包含互斥结果。</x:v>
      </x:c>
      <x:c r="L48" s="12" t="str"/>
      <x:c r="M48" s="12" t="str"/>
      <x:c r="N48" s="10" t="str">
        <x:v>1. liveshow-proto/MainBasis/统一需求文档.md：行636；- [REQ-29668ff3f5d8] 点击去完成 -&gt; 进入对应功能或提示前往路径。〔来源：AN-8c95e92c24b3；liveshow-proto/prototype/annotations/user.js；all-tasks.html/交互/1〕</x:v>
      </x:c>
      <x:c r="O48" s="9" t="str">
        <x:v>1. 首页与福利
2. 全部任务</x:v>
      </x:c>
      <x:c r="P48" s="9" t="str"/>
      <x:c r="Q48" s="9" t="str">
        <x:v>1. 各任务去完成按钮的唯一去向
2. 不能跳转的任务所需路径提示</x:v>
      </x:c>
      <x:c r="R48" s="9" t="str">
        <x:v>产品</x:v>
      </x:c>
      <x:c r="S48" s="9" t="str">
        <x:v>相关功能验收前</x:v>
      </x:c>
      <x:c r="T48" s="9" t="str">
        <x:v>待确认</x:v>
      </x:c>
    </x:row>
    <x:row r="49" ht="145" customHeight="1">
      <x:c r="A49" s="10" t="str">
        <x:v>Q-045</x:v>
      </x:c>
      <x:c r="B49" s="10" t="str">
        <x:v>RQ-041</x:v>
      </x:c>
      <x:c r="C49" s="10" t="str"/>
      <x:c r="D49" s="10" t="str"/>
      <x:c r="E49" s="10" t="str">
        <x:v>部分阻塞</x:v>
      </x:c>
      <x:c r="F49" s="10" t="str">
        <x:v>钱包与账单</x:v>
      </x:c>
      <x:c r="G49" s="9" t="str">
        <x:v>有效对象可进入</x:v>
      </x:c>
      <x:c r="H49" s="9" t="str">
        <x:v>流程与状态</x:v>
      </x:c>
      <x:c r="I49" s="9" t="str">
        <x:v>用户点击支出详情的业务对象后，各消费类型应进入主播主页还是具体场次信息？</x:v>
      </x:c>
      <x:c r="J49" s="9" t="str">
        <x:v>A. 全部进入消费对应主播主页
B. 全部进入对应场次信息
C. 按消费类型分别指定去向（补充对应关系）</x:v>
      </x:c>
      <x:c r="K49" s="9" t="str">
        <x:v>条款未明确不同支出类型点击业务对象后进入主播主页还是场次信息；保留问题，不能任意选择其中一个结果。</x:v>
      </x:c>
      <x:c r="L49" s="12" t="str"/>
      <x:c r="M49" s="12" t="str"/>
      <x:c r="N49" s="10" t="str">
        <x:v>1. liveshow-proto/MainBasis/统一需求文档.md：行1345；- [REQ-c8634d02c96a] 点击业务对象 -&gt; 进入仍可访问的主播或场次信息；对象已失效时仅保留订单快照，不重新发起消费。〔来源：AN-ab67735e782c；liveshow-proto/prototype/annotations/user.js；order-expense-detail.html/交互/1〕</x:v>
      </x:c>
      <x:c r="O49" s="9" t="str">
        <x:v>1. 钱包与账单
2. 支出订单详情</x:v>
      </x:c>
      <x:c r="P49" s="9" t="str"/>
      <x:c r="Q49" s="9" t="str">
        <x:v>1. 各消费类型的对象详情唯一去向
2. 目标账号或场次失效时的入口处理</x:v>
      </x:c>
      <x:c r="R49" s="9" t="str">
        <x:v>产品</x:v>
      </x:c>
      <x:c r="S49" s="9" t="str">
        <x:v>相关功能验收前</x:v>
      </x:c>
      <x:c r="T49" s="9" t="str">
        <x:v>待确认</x:v>
      </x:c>
    </x:row>
    <x:row r="50" ht="70" customHeight="1">
      <x:c r="A50" s="10" t="str">
        <x:v>Q-046</x:v>
      </x:c>
      <x:c r="B50" s="10" t="str">
        <x:v>RQ-042</x:v>
      </x:c>
      <x:c r="C50" s="10" t="str"/>
      <x:c r="D50" s="10" t="str"/>
      <x:c r="E50" s="10" t="str">
        <x:v>部分阻塞</x:v>
      </x:c>
      <x:c r="F50" s="10" t="str">
        <x:v>直播</x:v>
      </x:c>
      <x:c r="G50" s="9" t="str">
        <x:v>直播点赞</x:v>
      </x:c>
      <x:c r="H50" s="9" t="str">
        <x:v>流程与状态</x:v>
      </x:c>
      <x:c r="I50" s="9" t="str">
        <x:v>直播点赞通过哪个用户端入口触发？</x:v>
      </x:c>
      <x:c r="J50" s="9" t="str">
        <x:v>A. 双击直播画面
B. 独立点赞按钮
C. 同时提供双击和按钮</x:v>
      </x:c>
      <x:c r="K50" s="9" t="str">
        <x:v>当前两份MainBasis只有系统概要列出的点赞能力，未给出该项入口与反馈契约。明确后再补可执行用例，不能以常见直播产品行为作为确定预期。</x:v>
      </x:c>
      <x:c r="L50" s="12" t="str"/>
      <x:c r="M50" s="12" t="str"/>
      <x:c r="N50" s="10" t="str">
        <x:v>1. liveshow-proto/MainBasis/统一需求文档.md：行39；|直播互动|发送公屏消息、点赞、关注和分享直播。|</x:v>
      </x:c>
      <x:c r="O50" s="9" t="str">
        <x:v>1. 直播
2. 直播点赞流程；公屏、送礼、关注和分享的已确认分支不受影响</x:v>
      </x:c>
      <x:c r="P50" s="9" t="str"/>
      <x:c r="Q50" s="9" t="str">
        <x:v>1. 已确认点赞入口的触发操作</x:v>
      </x:c>
      <x:c r="R50" s="9" t="str">
        <x:v>产品</x:v>
      </x:c>
      <x:c r="S50" s="9" t="str">
        <x:v>相关功能验收前</x:v>
      </x:c>
      <x:c r="T50" s="9" t="str">
        <x:v>待确认</x:v>
      </x:c>
    </x:row>
    <x:row r="51" ht="70" customHeight="1">
      <x:c r="A51" s="10" t="str">
        <x:v>Q-047</x:v>
      </x:c>
      <x:c r="B51" s="10" t="str">
        <x:v>RQ-043</x:v>
      </x:c>
      <x:c r="C51" s="10" t="str"/>
      <x:c r="D51" s="10" t="str"/>
      <x:c r="E51" s="10" t="str">
        <x:v>部分阻塞</x:v>
      </x:c>
      <x:c r="F51" s="10" t="str">
        <x:v>直播</x:v>
      </x:c>
      <x:c r="G51" s="9" t="str">
        <x:v>直播点赞</x:v>
      </x:c>
      <x:c r="H51" s="9" t="str">
        <x:v>流程与状态</x:v>
      </x:c>
      <x:c r="I51" s="9" t="str">
        <x:v>点赞成功后用户应能观察到哪种结果？</x:v>
      </x:c>
      <x:c r="J51" s="9" t="str">
        <x:v>A. 仅互动动画
B. 仅点赞数量变化
C. 互动动画和数量变化</x:v>
      </x:c>
      <x:c r="K51" s="9" t="str">
        <x:v>当前两份MainBasis只有系统概要列出的点赞能力，未给出该项入口与反馈契约。明确后再补可执行用例，不能以常见直播产品行为作为确定预期。</x:v>
      </x:c>
      <x:c r="L51" s="12" t="str"/>
      <x:c r="M51" s="12" t="str"/>
      <x:c r="N51" s="10" t="str">
        <x:v>1. liveshow-proto/MainBasis/统一需求文档.md：行39；|直播互动|发送公屏消息、点赞、关注和分享直播。|</x:v>
      </x:c>
      <x:c r="O51" s="9" t="str">
        <x:v>1. 直播
2. 直播点赞流程；公屏、送礼、关注和分享的已确认分支不受影响</x:v>
      </x:c>
      <x:c r="P51" s="9" t="str"/>
      <x:c r="Q51" s="9" t="str">
        <x:v>1. 已确认点赞成功后的可观察反馈</x:v>
      </x:c>
      <x:c r="R51" s="9" t="str">
        <x:v>产品</x:v>
      </x:c>
      <x:c r="S51" s="9" t="str">
        <x:v>相关功能验收前</x:v>
      </x:c>
      <x:c r="T51" s="9" t="str">
        <x:v>待确认</x:v>
      </x:c>
    </x:row>
    <x:row r="52" ht="115" customHeight="1">
      <x:c r="A52" s="10" t="str">
        <x:v>Q-048</x:v>
      </x:c>
      <x:c r="B52" s="10" t="str">
        <x:v>RQ-044</x:v>
      </x:c>
      <x:c r="C52" s="10" t="str"/>
      <x:c r="D52" s="10" t="str"/>
      <x:c r="E52" s="10" t="str">
        <x:v>部分阻塞</x:v>
      </x:c>
      <x:c r="F52" s="10" t="str">
        <x:v>我的、主播中心</x:v>
      </x:c>
      <x:c r="G52" s="9" t="str">
        <x:v>粉丝团贡献榜的已注销成员</x:v>
      </x:c>
      <x:c r="H52" s="9" t="str">
        <x:v>业务规则</x:v>
      </x:c>
      <x:c r="I52" s="9" t="str">
        <x:v>粉丝团贡献榜仅展示有效团籍，但注销会解除团籍；已注销成员应继续显示历史贡献行吗？</x:v>
      </x:c>
      <x:c r="J52" s="9" t="str">
        <x:v>A. 排除已注销成员，历史数值仅保留在统计记录
B. 保留已注销成员历史贡献行，名称为账号已注销且禁止访问主页</x:v>
      </x:c>
      <x:c r="K52" s="9" t="str">
        <x:v>建议A，与仅显示有效团籍一致；若需要历史成员榜单则选择B，并明确这是对有效团籍过滤的例外。</x:v>
      </x:c>
      <x:c r="L52" s="12" t="str"/>
      <x:c r="M52" s="12" t="str"/>
      <x:c r="N52" s="10" t="str">
        <x:v>1. liveshow-proto/MainBasis/统一需求文档.md：行1117；账号注销后保留历史数值，名称显示“账号已注销”，不可进入主页。
2. 同文档REQ-1804ee8d77c7限定当前有效团籍，COMMON-fan-exit说明注销解除关系</x:v>
      </x:c>
      <x:c r="O52" s="9" t="str">
        <x:v>1. 用户App粉丝团贡献榜的注销成员过滤、名称及主页入口</x:v>
      </x:c>
      <x:c r="P52" s="9" t="str"/>
      <x:c r="Q52" s="9" t="str">
        <x:v>1. 注销成员榜单过滤及历史贡献显示
2. 注销成员主页访问限制</x:v>
      </x:c>
      <x:c r="R52" s="9" t="str">
        <x:v>产品</x:v>
      </x:c>
      <x:c r="S52" s="9" t="str">
        <x:v>相关功能验收前</x:v>
      </x:c>
      <x:c r="T52" s="9" t="str">
        <x:v>待确认</x:v>
      </x:c>
    </x:row>
    <x:row r="53" ht="70" customHeight="1">
      <x:c r="A53" s="10" t="str">
        <x:v>Q-049</x:v>
      </x:c>
      <x:c r="B53" s="10" t="str">
        <x:v>RQ-045</x:v>
      </x:c>
      <x:c r="C53" s="10" t="str"/>
      <x:c r="D53" s="10" t="str"/>
      <x:c r="E53" s="10" t="str">
        <x:v>部分阻塞</x:v>
      </x:c>
      <x:c r="F53" s="10" t="str">
        <x:v>我的、主播中心</x:v>
      </x:c>
      <x:c r="G53" s="9" t="str">
        <x:v>重新入团后的粉丝等级初始值</x:v>
      </x:c>
      <x:c r="H53" s="9" t="str">
        <x:v>业务规则</x:v>
      </x:c>
      <x:c r="I53" s="9" t="str">
        <x:v>重新入团后粉丝等级应显示0级还是1级？</x:v>
      </x:c>
      <x:c r="J53" s="9" t="str">
        <x:v>A. 各页面统一显示0级，新团籍从0开始累计
B. 成长值清零，各页面最低显示1级</x:v>
      </x:c>
      <x:c r="K53" s="9" t="str">
        <x:v>建议B，区分成长值清零与等级下限；需产品明确后再生成初始等级展示用例。</x:v>
      </x:c>
      <x:c r="L53" s="12" t="str"/>
      <x:c r="M53" s="12" t="str"/>
      <x:c r="N53" s="10" t="str">
        <x:v>1. 统一需求文档.md：REQ-91d599404b3b、REQ-0f1b9b9f419d说明重新加入从0开始；REQ-d76a006722e5规定粉丝等级最低1级</x:v>
      </x:c>
      <x:c r="O53" s="9" t="str">
        <x:v>1. 用户App重新加入粉丝团后的卡片、直播资料及贡献榜粉丝等级</x:v>
      </x:c>
      <x:c r="P53" s="9" t="str"/>
      <x:c r="Q53" s="9" t="str">
        <x:v>1. 重新入团初始粉丝等级
2. 粉丝等级下限在各页面一致</x:v>
      </x:c>
      <x:c r="R53" s="9" t="str">
        <x:v>产品</x:v>
      </x:c>
      <x:c r="S53" s="9" t="str">
        <x:v>相关功能验收前</x:v>
      </x:c>
      <x:c r="T53" s="9" t="str">
        <x:v>待确认</x:v>
      </x:c>
    </x:row>
    <x:row r="54" ht="100" customHeight="1">
      <x:c r="A54" s="10" t="str">
        <x:v>Q-050</x:v>
      </x:c>
      <x:c r="B54" s="10" t="str">
        <x:v>RQ-050</x:v>
      </x:c>
      <x:c r="C54" s="10" t="str"/>
      <x:c r="D54" s="10" t="str"/>
      <x:c r="E54" s="10" t="str">
        <x:v>部分阻塞</x:v>
      </x:c>
      <x:c r="F54" s="10" t="str">
        <x:v>系统入口</x:v>
      </x:c>
      <x:c r="G54" s="9" t="str">
        <x:v>未登录用户查看注销冷静期可取消截止时间</x:v>
      </x:c>
      <x:c r="H54" s="9" t="str">
        <x:v>业务规则</x:v>
      </x:c>
      <x:c r="I54" s="9" t="str">
        <x:v>可取消截止时间采用统一日期格式还是冷静期独立批注格式？</x:v>
      </x:c>
      <x:c r="J54" s="9" t="str">
        <x:v>A. 统一格式：dd/mm/yyyy HH.mm
B. 冷静期独立格式：MM/DD HH:mm</x:v>
      </x:c>
      <x:c r="K54" s="9" t="str">
        <x:v>先核对截止时刻对应的业务时间；格式确定后单独补充显示格式用例，不据此变更七日冷静期。</x:v>
      </x:c>
      <x:c r="L54" s="12" t="str"/>
      <x:c r="M54" s="12" t="str"/>
      <x:c r="N54" s="10" t="str">
        <x:v>1. liveshow-proto/MainBasis/需求待确认清单.md：PENDING-cooling-date-format
2. liveshow-proto/MainBasis/统一需求文档.md：COMMON-user-date-format</x:v>
      </x:c>
      <x:c r="O54" s="9" t="str">
        <x:v>1. 用户App注销冷静期弹窗的截止时间格式</x:v>
      </x:c>
      <x:c r="P54" s="9" t="str"/>
      <x:c r="Q54" s="9" t="str">
        <x:v>1. 冷静期截止时间显示格式</x:v>
      </x:c>
      <x:c r="R54" s="9" t="str">
        <x:v>产品</x:v>
      </x:c>
      <x:c r="S54" s="9" t="str"/>
      <x:c r="T54" s="9" t="str">
        <x:v>待确认</x:v>
      </x:c>
    </x:row>
  </x:sheetData>
  <x:dataValidations count="5">
    <x:dataValidation type="list" sqref="E2:E54">
      <x:formula1>"阻塞测试,部分阻塞,不阻塞"</x:formula1>
    </x:dataValidation>
    <x:dataValidation type="list" sqref="H2:H54">
      <x:formula1>"需求范围,业务规则,角色与权限,流程与状态,字段与数据校验,计算与统计口径,异常处理,跨端与跨模块一致性,配置和历史数据影响,交互与文案规则"</x:formula1>
    </x:dataValidation>
    <x:dataValidation type="list" sqref="L2:L54">
      <x:formula1>"A,B,C,D,其他"</x:formula1>
    </x:dataValidation>
    <x:dataValidation type="list" sqref="R2:R54">
      <x:formula1>"产品,交互,技术,多方确认"</x:formula1>
    </x:dataValidation>
    <x:dataValidation type="list" sqref="T2:T54">
      <x:formula1>"待前置结论,待确认,确认中,已确认,无需处理"</x:formula1>
    </x:dataValidation>
  </x:dataValidations>
  <x:pageMargins left="0.7" right="0.7" top="0.75" bottom="0.75" header="0.3" footer="0.3"/>
  <x:tableParts count="1">
    <x:tablePart xmlns:r="http://schemas.openxmlformats.org/officeDocument/2006/relationships" r:id="R5228a4ec7b2f4c68"/>
  </x:tableParts>
</x:worksheet>
</file>