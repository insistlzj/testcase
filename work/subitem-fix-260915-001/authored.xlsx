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79175b0d2b4acc" /></Relationships>
</file>

<file path=xl/workbook.xml><?xml version="1.0" encoding="utf-8"?>
<x:workbook xmlns:x="http://schemas.openxmlformats.org/spreadsheetml/2006/main">
  <x:sheets>
    <x:sheet xmlns:r="http://schemas.openxmlformats.org/officeDocument/2006/relationships" name="产品决策概览" sheetId="1" r:id="R193df7cde4de4dc6"/>
    <x:sheet xmlns:r="http://schemas.openxmlformats.org/officeDocument/2006/relationships" name="功能测试用例" sheetId="2" r:id="Reb5c9f15c3354a86"/>
    <x:sheet xmlns:r="http://schemas.openxmlformats.org/officeDocument/2006/relationships" name="需求待确认" sheetId="3" r:id="Rad8d39e1148d4d0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s>
  <x:fills count="5">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xf numFmtId="0" fontId="1" fillId="0"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976c37cd454989" /><Relationship Type="http://schemas.openxmlformats.org/officeDocument/2006/relationships/theme" Target="/xl/theme/theme1.xml" Id="Rbdf8026c8c7c4f74" /><Relationship Type="http://schemas.openxmlformats.org/officeDocument/2006/relationships/sharedStrings" Target="/xl/sharedStrings.xml" Id="R24db37e65cb14570" /><Relationship Type="http://schemas.openxmlformats.org/officeDocument/2006/relationships/worksheet" Target="/xl/worksheets/sheet1.xml" Id="R193df7cde4de4dc6" /><Relationship Type="http://schemas.openxmlformats.org/officeDocument/2006/relationships/worksheet" Target="/xl/worksheets/sheet2.xml" Id="Reb5c9f15c3354a86" /><Relationship Type="http://schemas.openxmlformats.org/officeDocument/2006/relationships/worksheet" Target="/xl/worksheets/sheet3.xml" Id="Rad8d39e1148d4d0f" /></Relationships>
</file>

<file path=xl/tables/table1.xml><?xml version="1.0" encoding="utf-8"?>
<x:table xmlns:x="http://schemas.openxmlformats.org/spreadsheetml/2006/main" id="1" name="LiveCasesTable" displayName="LiveCasesTable" ref="A1:O1558" headerRowCount="1" totalsRowCount="0" totalsRowShown="0">
  <x:autoFilter ref="A1:O1558"/>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43b4ac53714a50" /></Relationships>
</file>

<file path=xl/worksheets/_rels/sheet3.xml.rels>&#65279;<?xml version="1.0" encoding="utf-8"?><Relationships xmlns="http://schemas.openxmlformats.org/package/2006/relationships"><Relationship Type="http://schemas.openxmlformats.org/officeDocument/2006/relationships/table" Target="/xl/tables/table2.xml" Id="Ra1cb37f3602747ff"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阶段性-用户App-全部模块-260915-003 产品决策概览</x:v>
      </x: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COUNTA('需求待确认'!$A$2:$A$53)</x:f>
        <x:v>52</x:v>
      </x:c>
      <x:c r="C5" s="13"/>
      <x:c r="D5" s="20" t="str">
        <x:v>阻塞测试</x:v>
      </x:c>
      <x:c r="E5" s="22" t="n">
        <x:f>COUNTIFS('需求待确认'!$E$2:$E$53,"阻塞测试",'需求待确认'!$T$2:$T$53,"待确认")</x:f>
        <x:v>0</x:v>
      </x:c>
      <x:c r="F5" s="13"/>
      <x:c r="G5" s="20" t="str">
        <x:v>产品</x:v>
      </x:c>
      <x:c r="H5" s="22" t="n">
        <x:f>COUNTIFS('需求待确认'!$R$2:$R$53,"产品",'需求待确认'!$T$2:$T$53,"待确认")</x:f>
        <x:v>25</x:v>
      </x:c>
    </x:row>
    <x:row r="6">
      <x:c r="A6" s="20" t="str">
        <x:v>当前可回答</x:v>
      </x:c>
      <x:c r="B6" s="22" t="n">
        <x:f>COUNTIF('需求待确认'!$T$2:$T$53,"待确认")</x:f>
        <x:v>49</x:v>
      </x:c>
      <x:c r="C6" s="13"/>
      <x:c r="D6" s="20" t="str">
        <x:v>部分阻塞</x:v>
      </x:c>
      <x:c r="E6" s="22" t="n">
        <x:f>COUNTIFS('需求待确认'!$E$2:$E$53,"部分阻塞",'需求待确认'!$T$2:$T$53,"待确认")</x:f>
        <x:v>49</x:v>
      </x:c>
      <x:c r="F6" s="13"/>
      <x:c r="G6" s="20" t="str">
        <x:v>交互</x:v>
      </x:c>
      <x:c r="H6" s="22" t="n">
        <x:f>COUNTIFS('需求待确认'!$R$2:$R$53,"交互",'需求待确认'!$T$2:$T$53,"待确认")</x:f>
        <x:v>1</x:v>
      </x:c>
    </x:row>
    <x:row r="7">
      <x:c r="A7" s="20" t="str">
        <x:v>待前置结论</x:v>
      </x:c>
      <x:c r="B7" s="22" t="n">
        <x:f>COUNTIF('需求待确认'!$T$2:$T$53,"待前置结论")</x:f>
        <x:v>3</x:v>
      </x:c>
      <x:c r="C7" s="13"/>
      <x:c r="D7" s="20" t="str">
        <x:v>不阻塞</x:v>
      </x:c>
      <x:c r="E7" s="22" t="n">
        <x:f>COUNTIFS('需求待确认'!$E$2:$E$53,"不阻塞",'需求待确认'!$T$2:$T$53,"待确认")</x:f>
        <x:v>0</x:v>
      </x:c>
      <x:c r="F7" s="13"/>
      <x:c r="G7" s="20" t="str">
        <x:v>技术</x:v>
      </x:c>
      <x:c r="H7" s="22" t="n">
        <x:f>COUNTIFS('需求待确认'!$R$2:$R$53,"技术",'需求待确认'!$T$2:$T$53,"待确认")</x:f>
        <x:v>0</x:v>
      </x:c>
    </x:row>
    <x:row r="8">
      <x:c r="A8" s="20" t="str">
        <x:v>确认中</x:v>
      </x:c>
      <x:c r="B8" s="22" t="n">
        <x:f>COUNTIF('需求待确认'!$T$2:$T$53,"确认中")</x:f>
        <x:v>0</x:v>
      </x:c>
      <x:c r="C8" s="13"/>
      <x:c r="D8" s="13"/>
      <x:c r="E8" s="13"/>
      <x:c r="F8" s="13"/>
      <x:c r="G8" s="20" t="str">
        <x:v>多方确认</x:v>
      </x:c>
      <x:c r="H8" s="22" t="n">
        <x:f>COUNTIFS('需求待确认'!$R$2:$R$53,"多方确认",'需求待确认'!$T$2:$T$53,"待确认")</x:f>
        <x:v>23</x:v>
      </x:c>
    </x:row>
    <x:row r="9">
      <x:c r="A9" s="20" t="str">
        <x:v>已确认</x:v>
      </x:c>
      <x:c r="B9" s="22" t="n">
        <x:f>COUNTIF('需求待确认'!$T$2:$T$53,"已确认")</x:f>
        <x:v>0</x:v>
      </x:c>
      <x:c r="C9" s="13"/>
      <x:c r="D9" s="13"/>
      <x:c r="E9" s="13"/>
      <x:c r="F9" s="13"/>
      <x:c r="G9" s="13"/>
      <x:c r="H9" s="13"/>
    </x:row>
    <x:row r="10">
      <x:c r="A10" s="20" t="str">
        <x:v>无需处理</x:v>
      </x:c>
      <x:c r="B10" s="22" t="n">
        <x:f>COUNTIF('需求待确认'!$T$2:$T$53,"无需处理")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x:c r="H2" s="9" t="str">
        <x:v>Google授权页唤起</x:v>
      </x: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来源（当前证据）：liveshow-proto/MainBasis/统一需求文档.md；位置：行1349、行1365、行1347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反馈文案</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来源（当前证据）：liveshow-proto/MainBasis/统一需求文档.md；位置：行1364、行1347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反馈文案</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来源（当前证据）：liveshow-proto/MainBasis/统一需求文档.md；位置：行1366、行1347
2. 规则：BR-fc74b5bb47f9d41a
3. 未动态验证</x:v>
      </x:c>
    </x:row>
    <x:row r="5" ht="85"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反馈文案</x:v>
      </x:c>
      <x:c r="I5" s="9" t="str">
        <x:v>1. 执行角色为未登录用户；当前处于登录与注册页面
2. 协议已勾选
3. 第三方授权服务返回失败</x:v>
      </x:c>
      <x:c r="J5" s="9" t="str">
        <x:v>1. 点击Google登录</x:v>
      </x:c>
      <x:c r="K5" s="9" t="str">
        <x:v>提示“登录失败，请重试”</x:v>
      </x:c>
      <x:c r="L5" s="10" t="str"/>
      <x:c r="M5" s="10" t="str">
        <x:v>未测</x:v>
      </x:c>
      <x:c r="N5" s="10" t="str"/>
      <x:c r="O5" s="9" t="str">
        <x:v>1. 来源（当前证据）：liveshow-proto/MainBasis/统一需求文档.md；位置：行1366、行1347
2. 规则：BR-4a8f9653151dabd3
3. 未动态验证</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页面去向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来源（当前证据）：liveshow-proto/MainBasis/统一需求文档.md；位置：行1357、行1358、行1347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页面去向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来源（当前证据）：liveshow-proto/MainBasis/统一需求文档.md；位置：行1357、行1358、行1347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P0</x:v>
      </x:c>
      <x:c r="G8" s="9" t="str">
        <x:v>验证Google封禁账号拦截</x:v>
      </x:c>
      <x:c r="H8" s="9" t="str">
        <x:v>页面去向</x:v>
      </x:c>
      <x:c r="I8" s="9" t="str">
        <x:v>1. 执行角色为未登录用户；当前处于登录与注册页面
2. 协议已勾选
3. Google关联的账号已被平台封禁</x:v>
      </x:c>
      <x:c r="J8" s="9" t="str">
        <x:v>1. 点击Google登录
2. 确认第三方账号授权</x:v>
      </x:c>
      <x:c r="K8" s="9" t="str">
        <x:v>不能进入已登录首页</x:v>
      </x:c>
      <x:c r="L8" s="10" t="str"/>
      <x:c r="M8" s="10" t="str">
        <x:v>未测</x:v>
      </x:c>
      <x:c r="N8" s="10" t="str"/>
      <x:c r="O8" s="9" t="str">
        <x:v>1. 来源（当前证据）：liveshow-proto/MainBasis/统一需求文档.md；位置：行1360、行1367、行1347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展示内容</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来源（当前证据）：liveshow-proto/MainBasis/统一需求文档.md；位置：行1361、行1368、行1347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x:c r="H10" s="9" t="str">
        <x:v>Facebook授权页唤起</x:v>
      </x: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来源（当前证据）：liveshow-proto/MainBasis/统一需求文档.md；位置：行1350、行1365、行1347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反馈文案</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来源（当前证据）：liveshow-proto/MainBasis/统一需求文档.md；位置：行1364、行1347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反馈文案</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来源（当前证据）：liveshow-proto/MainBasis/统一需求文档.md；位置：行1366、行1347
2. 规则：BR-f404a1794303093f
3. 未动态验证</x:v>
      </x:c>
    </x:row>
    <x:row r="13" ht="85"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反馈文案</x:v>
      </x:c>
      <x:c r="I13" s="9" t="str">
        <x:v>1. 执行角色为未登录用户；当前处于登录与注册页面
2. 协议已勾选
3. 第三方授权服务返回失败</x:v>
      </x:c>
      <x:c r="J13" s="9" t="str">
        <x:v>1. 点击Facebook登录</x:v>
      </x:c>
      <x:c r="K13" s="9" t="str">
        <x:v>提示“登录失败，请重试”</x:v>
      </x:c>
      <x:c r="L13" s="10" t="str"/>
      <x:c r="M13" s="10" t="str">
        <x:v>未测</x:v>
      </x:c>
      <x:c r="N13" s="10" t="str"/>
      <x:c r="O13" s="9" t="str">
        <x:v>1. 来源（当前证据）：liveshow-proto/MainBasis/统一需求文档.md；位置：行1366、行1347
2. 规则：BR-8cce03440969a832
3. 未动态验证</x:v>
      </x:c>
    </x:row>
    <x:row r="14" ht="85" customHeight="1">
      <x:c r="A14" s="10" t="n">
        <x:v>13</x:v>
      </x:c>
      <x:c r="B14" s="10" t="str">
        <x:v>USER-01-0013</x:v>
      </x:c>
      <x:c r="C14" s="10" t="str">
        <x:v>系统入口</x:v>
      </x:c>
      <x:c r="D14" s="10" t="str">
        <x:v>登录与注册（未登录用户视角）</x:v>
      </x:c>
      <x:c r="E14" s="10" t="str">
        <x:v>业务流程</x:v>
      </x:c>
      <x:c r="F14" s="10" t="str">
        <x:v>P0</x:v>
      </x:c>
      <x:c r="G14" s="9" t="str">
        <x:v>验证Facebook已有账号登录</x:v>
      </x:c>
      <x:c r="H14" s="9" t="str">
        <x:v>页面去向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c r="M14" s="10" t="str">
        <x:v>未测</x:v>
      </x:c>
      <x:c r="N14" s="10" t="str"/>
      <x:c r="O14" s="9" t="str">
        <x:v>1. 来源（当前证据）：liveshow-proto/MainBasis/统一需求文档.md；位置：行1357、行1358、行1347
2. 规则：BR-9088dfad4510bc89
3. 未动态验证</x:v>
      </x:c>
    </x:row>
    <x:row r="15" ht="85"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页面去向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c r="M15" s="10" t="str">
        <x:v>未测</x:v>
      </x:c>
      <x:c r="N15" s="10" t="str"/>
      <x:c r="O15" s="9" t="str">
        <x:v>1. 来源（当前证据）：liveshow-proto/MainBasis/统一需求文档.md；位置：行1357、行1358、行1347
2. 规则：BR-a4376eb5acbd9250
3. 未动态验证</x:v>
      </x:c>
    </x:row>
    <x:row r="16" ht="85" customHeight="1">
      <x:c r="A16" s="10" t="n">
        <x:v>15</x:v>
      </x:c>
      <x:c r="B16" s="10" t="str">
        <x:v>USER-01-0015</x:v>
      </x:c>
      <x:c r="C16" s="10" t="str">
        <x:v>系统入口</x:v>
      </x:c>
      <x:c r="D16" s="10" t="str">
        <x:v>登录与注册（未登录用户视角）</x:v>
      </x:c>
      <x:c r="E16" s="10" t="str">
        <x:v>异常用例</x:v>
      </x:c>
      <x:c r="F16" s="10" t="str">
        <x:v>P0</x:v>
      </x:c>
      <x:c r="G16" s="9" t="str">
        <x:v>验证Facebook封禁账号拦截</x:v>
      </x:c>
      <x:c r="H16" s="9" t="str">
        <x:v>页面去向</x:v>
      </x:c>
      <x:c r="I16" s="9" t="str">
        <x:v>1. 执行角色为未登录用户；当前处于登录与注册页面
2. 协议已勾选
3. Facebook关联的账号已被平台封禁</x:v>
      </x:c>
      <x:c r="J16" s="9" t="str">
        <x:v>1. 点击Facebook登录
2. 确认第三方账号授权</x:v>
      </x:c>
      <x:c r="K16" s="9" t="str">
        <x:v>不能进入已登录首页</x:v>
      </x:c>
      <x:c r="L16" s="10" t="str"/>
      <x:c r="M16" s="10" t="str">
        <x:v>未测</x:v>
      </x:c>
      <x:c r="N16" s="10" t="str"/>
      <x:c r="O16" s="9" t="str">
        <x:v>1. 来源（当前证据）：liveshow-proto/MainBasis/统一需求文档.md；位置：行1360、行1367、行1347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展示内容</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来源（当前证据）：liveshow-proto/MainBasis/统一需求文档.md；位置：行1361、行1368、行1347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x:c r="H18" s="9" t="str">
        <x:v>Apple ID授权页唤起</x:v>
      </x: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来源（当前证据）：liveshow-proto/MainBasis/统一需求文档.md；位置：行1351、行1365、行1347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反馈文案</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来源（当前证据）：liveshow-proto/MainBasis/统一需求文档.md；位置：行1364、行1347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反馈文案</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来源（当前证据）：liveshow-proto/MainBasis/统一需求文档.md；位置：行1366、行1347
2. 规则：BR-bc7ab043422fbd25
3. 未动态验证</x:v>
      </x:c>
    </x:row>
    <x:row r="21" ht="8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反馈文案</x:v>
      </x:c>
      <x:c r="I21" s="9" t="str">
        <x:v>1. 执行角色为未登录用户；当前处于登录与注册页面
2. 测试设备为iOS
3. 协议已勾选
4. 第三方授权服务返回失败</x:v>
      </x:c>
      <x:c r="J21" s="9" t="str">
        <x:v>1. 点击Apple ID登录</x:v>
      </x:c>
      <x:c r="K21" s="9" t="str">
        <x:v>提示“登录失败，请重试”</x:v>
      </x:c>
      <x:c r="L21" s="10" t="str"/>
      <x:c r="M21" s="10" t="str">
        <x:v>未测</x:v>
      </x:c>
      <x:c r="N21" s="10" t="str"/>
      <x:c r="O21" s="9" t="str">
        <x:v>1. 来源（当前证据）：liveshow-proto/MainBasis/统一需求文档.md；位置：行1366、行1347
2. 规则：BR-cc9e8295803ffa07
3. 未动态验证</x:v>
      </x:c>
    </x:row>
    <x:row r="22" ht="100" customHeight="1">
      <x:c r="A22" s="10" t="n">
        <x:v>21</x:v>
      </x:c>
      <x:c r="B22" s="10" t="str">
        <x:v>USER-01-0021</x:v>
      </x:c>
      <x:c r="C22" s="10" t="str">
        <x:v>系统入口</x:v>
      </x:c>
      <x:c r="D22" s="10" t="str">
        <x:v>登录与注册（未登录用户视角）</x:v>
      </x:c>
      <x:c r="E22" s="10" t="str">
        <x:v>业务流程</x:v>
      </x:c>
      <x:c r="F22" s="10" t="str">
        <x:v>P0</x:v>
      </x:c>
      <x:c r="G22" s="9" t="str">
        <x:v>验证Apple ID已有账号登录</x:v>
      </x:c>
      <x:c r="H22" s="9" t="str">
        <x:v>页面去向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c r="M22" s="10" t="str">
        <x:v>未测</x:v>
      </x:c>
      <x:c r="N22" s="10" t="str"/>
      <x:c r="O22" s="9" t="str">
        <x:v>1. 来源（当前证据）：liveshow-proto/MainBasis/统一需求文档.md；位置：行1357、行1358、行1347
2. 规则：BR-30840822c4a081d8
3. 未动态验证</x:v>
      </x:c>
    </x:row>
    <x:row r="23" ht="10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页面去向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c r="M23" s="10" t="str">
        <x:v>未测</x:v>
      </x:c>
      <x:c r="N23" s="10" t="str"/>
      <x:c r="O23" s="9" t="str">
        <x:v>1. 来源（当前证据）：liveshow-proto/MainBasis/统一需求文档.md；位置：行1357、行1358、行1347
2. 规则：BR-6812f0007493cc8d
3. 未动态验证</x:v>
      </x:c>
    </x:row>
    <x:row r="24" ht="100" customHeight="1">
      <x:c r="A24" s="10" t="n">
        <x:v>23</x:v>
      </x:c>
      <x:c r="B24" s="10" t="str">
        <x:v>USER-01-0023</x:v>
      </x:c>
      <x:c r="C24" s="10" t="str">
        <x:v>系统入口</x:v>
      </x:c>
      <x:c r="D24" s="10" t="str">
        <x:v>登录与注册（未登录用户视角）</x:v>
      </x:c>
      <x:c r="E24" s="10" t="str">
        <x:v>异常用例</x:v>
      </x:c>
      <x:c r="F24" s="10" t="str">
        <x:v>P0</x:v>
      </x:c>
      <x:c r="G24" s="9" t="str">
        <x:v>验证Apple ID封禁账号拦截</x:v>
      </x:c>
      <x:c r="H24" s="9" t="str">
        <x:v>页面去向</x:v>
      </x:c>
      <x:c r="I24" s="9" t="str">
        <x:v>1. 执行角色为未登录用户；当前处于登录与注册页面
2. 测试设备为iOS
3. 协议已勾选
4. Apple ID关联的账号已被平台封禁</x:v>
      </x:c>
      <x:c r="J24" s="9" t="str">
        <x:v>1. 点击Apple ID登录
2. 确认第三方账号授权</x:v>
      </x:c>
      <x:c r="K24" s="9" t="str">
        <x:v>不能进入已登录首页</x:v>
      </x:c>
      <x:c r="L24" s="10" t="str"/>
      <x:c r="M24" s="10" t="str">
        <x:v>未测</x:v>
      </x:c>
      <x:c r="N24" s="10" t="str"/>
      <x:c r="O24" s="9" t="str">
        <x:v>1. 来源（当前证据）：liveshow-proto/MainBasis/统一需求文档.md；位置：行1360、行1367、行1347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展示内容</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来源（当前证据）：liveshow-proto/MainBasis/统一需求文档.md；位置：行1361、行1368、行1347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x:c r="H26" s="9" t="str">
        <x:v>TikTok授权页唤起</x:v>
      </x: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来源（当前证据）：liveshow-proto/MainBasis/统一需求文档.md；位置：行1352、行1365、行1347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反馈文案</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来源（当前证据）：liveshow-proto/MainBasis/统一需求文档.md；位置：行1364、行1347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反馈文案</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来源（当前证据）：liveshow-proto/MainBasis/统一需求文档.md；位置：行1366、行1347
2. 规则：BR-cd3164a4ada7e747
3. 未动态验证</x:v>
      </x:c>
    </x:row>
    <x:row r="29" ht="85"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反馈文案</x:v>
      </x:c>
      <x:c r="I29" s="9" t="str">
        <x:v>1. 执行角色为未登录用户；当前处于登录与注册页面
2. 协议已勾选
3. 第三方授权服务返回失败</x:v>
      </x:c>
      <x:c r="J29" s="9" t="str">
        <x:v>1. 点击TikTok登录</x:v>
      </x:c>
      <x:c r="K29" s="9" t="str">
        <x:v>提示“登录失败，请重试”</x:v>
      </x:c>
      <x:c r="L29" s="10" t="str"/>
      <x:c r="M29" s="10" t="str">
        <x:v>未测</x:v>
      </x:c>
      <x:c r="N29" s="10" t="str"/>
      <x:c r="O29" s="9" t="str">
        <x:v>1. 来源（当前证据）：liveshow-proto/MainBasis/统一需求文档.md；位置：行1366、行1347
2. 规则：BR-13075e369d0c2bdf
3. 未动态验证</x:v>
      </x:c>
    </x:row>
    <x:row r="30" ht="85" customHeight="1">
      <x:c r="A30" s="10" t="n">
        <x:v>29</x:v>
      </x:c>
      <x:c r="B30" s="10" t="str">
        <x:v>USER-01-0029</x:v>
      </x:c>
      <x:c r="C30" s="10" t="str">
        <x:v>系统入口</x:v>
      </x:c>
      <x:c r="D30" s="10" t="str">
        <x:v>登录与注册（未登录用户视角）</x:v>
      </x:c>
      <x:c r="E30" s="10" t="str">
        <x:v>业务流程</x:v>
      </x:c>
      <x:c r="F30" s="10" t="str">
        <x:v>P0</x:v>
      </x:c>
      <x:c r="G30" s="9" t="str">
        <x:v>验证TikTok已有账号登录</x:v>
      </x:c>
      <x:c r="H30" s="9" t="str">
        <x:v>页面去向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c r="M30" s="10" t="str">
        <x:v>未测</x:v>
      </x:c>
      <x:c r="N30" s="10" t="str"/>
      <x:c r="O30" s="9" t="str">
        <x:v>1. 来源（当前证据）：liveshow-proto/MainBasis/统一需求文档.md；位置：行1357、行1358、行1347
2. 规则：BR-d0e3c0c11fdeea3d
3. 未动态验证</x:v>
      </x:c>
    </x:row>
    <x:row r="31" ht="85"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页面去向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c r="M31" s="10" t="str">
        <x:v>未测</x:v>
      </x:c>
      <x:c r="N31" s="10" t="str"/>
      <x:c r="O31" s="9" t="str">
        <x:v>1. 来源（当前证据）：liveshow-proto/MainBasis/统一需求文档.md；位置：行1357、行1358、行1347
2. 规则：BR-73a88d361bd793e2
3. 未动态验证</x:v>
      </x:c>
    </x:row>
    <x:row r="32" ht="85" customHeight="1">
      <x:c r="A32" s="10" t="n">
        <x:v>31</x:v>
      </x:c>
      <x:c r="B32" s="10" t="str">
        <x:v>USER-01-0031</x:v>
      </x:c>
      <x:c r="C32" s="10" t="str">
        <x:v>系统入口</x:v>
      </x:c>
      <x:c r="D32" s="10" t="str">
        <x:v>登录与注册（未登录用户视角）</x:v>
      </x:c>
      <x:c r="E32" s="10" t="str">
        <x:v>异常用例</x:v>
      </x:c>
      <x:c r="F32" s="10" t="str">
        <x:v>P0</x:v>
      </x:c>
      <x:c r="G32" s="9" t="str">
        <x:v>验证TikTok封禁账号拦截</x:v>
      </x:c>
      <x:c r="H32" s="9" t="str">
        <x:v>页面去向</x:v>
      </x:c>
      <x:c r="I32" s="9" t="str">
        <x:v>1. 执行角色为未登录用户；当前处于登录与注册页面
2. 协议已勾选
3. TikTok关联的账号已被平台封禁</x:v>
      </x:c>
      <x:c r="J32" s="9" t="str">
        <x:v>1. 点击TikTok登录
2. 确认第三方账号授权</x:v>
      </x:c>
      <x:c r="K32" s="9" t="str">
        <x:v>不能进入已登录首页</x:v>
      </x:c>
      <x:c r="L32" s="10" t="str"/>
      <x:c r="M32" s="10" t="str">
        <x:v>未测</x:v>
      </x:c>
      <x:c r="N32" s="10" t="str"/>
      <x:c r="O32" s="9" t="str">
        <x:v>1. 来源（当前证据）：liveshow-proto/MainBasis/统一需求文档.md；位置：行1360、行1367、行1347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展示内容</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来源（当前证据）：liveshow-proto/MainBasis/统一需求文档.md；位置：行1361、行1368、行1347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展示内容</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来源（当前证据）：liveshow-proto/MainBasis/统一需求文档.md；位置：行1362、行1347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来源（当前证据）：liveshow-proto/MainBasis/统一需求文档.md；位置：行1369、行1347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来源（当前证据）：liveshow-proto/MainBasis/统一需求文档.md；位置：行1370、行1347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页面去向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来源（当前证据）：liveshow-proto/MainBasis/统一需求文档.md；位置：行1371、行1355、行1347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x:c r="H38" s="9" t="str">
        <x:v>默认登录方式</x:v>
      </x: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来源（当前证据）：liveshow-proto/MainBasis/统一需求文档.md；位置：行1389、行1383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x:c r="H39" s="9" t="str">
        <x:v>登录方式切换</x:v>
      </x: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来源（当前证据）：liveshow-proto/MainBasis/统一需求文档.md；位置：行1395、行1383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x:c r="H40" s="9" t="str">
        <x:v>登录方式切换</x:v>
      </x: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来源（当前证据）：liveshow-proto/MainBasis/统一需求文档.md；位置：行1395、行1383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x:c r="H41" s="9" t="str">
        <x:v>验证码重发倒计时</x:v>
      </x: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来源（当前证据）：liveshow-proto/MainBasis/统一需求文档.md；位置：行1392、行1383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来源（当前证据）：liveshow-proto/MainBasis/统一需求文档.md；位置：行1392、行1383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x:c r="H43" s="9" t="str">
        <x:v>验证码重发恢复</x:v>
      </x: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来源（当前证据）：liveshow-proto/MainBasis/统一需求文档.md；位置：行1392、行1383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来源（当前证据）：liveshow-proto/MainBasis/统一需求文档.md；位置：行1387、行1393、行1383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P0</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来源（当前证据）：liveshow-proto/MainBasis/统一需求文档.md；位置：行1387、行1383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P0</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来源（当前证据）：liveshow-proto/MainBasis/统一需求文档.md；位置：行1387、行1383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来源（当前证据）：liveshow-proto/MainBasis/统一需求文档.md；位置：行1387、行1393、行1383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来源（当前证据）：liveshow-proto/MainBasis/统一需求文档.md；位置：行1388、行1393、行1383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P0</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来源（当前证据）：liveshow-proto/MainBasis/统一需求文档.md；位置：行1393、行1383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来源（当前证据）：liveshow-proto/MainBasis/统一需求文档.md；位置：行1393、行1383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展示内容</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来源（当前证据）：liveshow-proto/MainBasis/统一需求文档.md；位置：行1391、行1383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来源（当前证据）：liveshow-proto/MainBasis/统一需求文档.md；位置：行1387、行1383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来源（当前证据）：liveshow-proto/MainBasis/统一需求文档.md；位置：行1387、行1383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来源（当前证据）：liveshow-proto/MainBasis/统一需求文档.md；位置：行1387、行1383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来源（当前证据）：liveshow-proto/MainBasis/统一需求文档.md；位置：行1387、行1383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来源（当前证据）：liveshow-proto/MainBasis/统一需求文档.md；位置：行1386、行1392、行1383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x:c r="H57" s="9" t="str">
        <x:v>手机号长度边界</x:v>
      </x: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来源（当前证据）：liveshow-proto/MainBasis/统一需求文档.md；位置：行1386、行1392、行1383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x:c r="H58" s="9" t="str">
        <x:v>手机号长度边界</x:v>
      </x: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来源（当前证据）：liveshow-proto/MainBasis/统一需求文档.md；位置：行1386、行1392、行1383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来源（当前证据）：liveshow-proto/MainBasis/统一需求文档.md；位置：行1386、行1392、行1383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x:c r="H60" s="9" t="str">
        <x:v>默认登录方式</x:v>
      </x: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来源（当前证据）：liveshow-proto/MainBasis/统一需求文档.md；位置：行1417、行1412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x:c r="H61" s="9" t="str">
        <x:v>登录方式切换</x:v>
      </x: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来源（当前证据）：liveshow-proto/MainBasis/统一需求文档.md；位置：行1421、行1412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x:c r="H62" s="9" t="str">
        <x:v>登录方式切换</x:v>
      </x: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来源（当前证据）：liveshow-proto/MainBasis/统一需求文档.md；位置：行1421、行1412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x:c r="H63" s="9" t="str">
        <x:v>验证码重发倒计时</x:v>
      </x: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来源（当前证据）：liveshow-proto/MainBasis/统一需求文档.md；位置：行1419、行1412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来源（当前证据）：liveshow-proto/MainBasis/统一需求文档.md；位置：行1419、行1412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x:c r="H65" s="9" t="str">
        <x:v>验证码重发恢复</x:v>
      </x: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来源（当前证据）：liveshow-proto/MainBasis/统一需求文档.md；位置：行1419、行1412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P0</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来源（当前证据）：liveshow-proto/MainBasis/统一需求文档.md；位置：行1415、行1420、行1412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P0</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来源（当前证据）：liveshow-proto/MainBasis/统一需求文档.md；位置：行1415、行1412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P0</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来源（当前证据）：liveshow-proto/MainBasis/统一需求文档.md；位置：行1415、行1412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来源（当前证据）：liveshow-proto/MainBasis/统一需求文档.md；位置：行1415、行1420、行1412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来源（当前证据）：liveshow-proto/MainBasis/统一需求文档.md；位置：行1416、行1420、行1412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P0</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来源（当前证据）：liveshow-proto/MainBasis/统一需求文档.md；位置：行1420、行1412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来源（当前证据）：liveshow-proto/MainBasis/统一需求文档.md；位置：行1420、行1412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展示内容</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来源（当前证据）：liveshow-proto/MainBasis/统一需求文档.md；位置：行1418、行1412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来源（当前证据）：liveshow-proto/MainBasis/统一需求文档.md；位置：行1415、行1412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来源（当前证据）：liveshow-proto/MainBasis/统一需求文档.md；位置：行1415、行1412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来源（当前证据）：liveshow-proto/MainBasis/统一需求文档.md；位置：行1415、行1412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来源（当前证据）：liveshow-proto/MainBasis/统一需求文档.md；位置：行1415、行1412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x:c r="H78" s="9" t="str">
        <x:v>邮箱格式校验</x:v>
      </x: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来源（当前证据）：liveshow-proto/MainBasis/统一需求文档.md；位置：行1414、行1419、行1412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来源（当前证据）：liveshow-proto/MainBasis/统一需求文档.md；位置：行1414、行1419、行1412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来源（当前证据）：liveshow-proto/MainBasis/统一需求文档.md；位置：行1414、行1419、行1412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来源（当前证据）：liveshow-proto/MainBasis/统一需求文档.md；位置：行1414、行1419、行1412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来源（当前证据）：liveshow-proto/MainBasis/统一需求文档.md；位置：行1414、行1419、行1412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展示内容</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来源（当前证据）：liveshow-proto/MainBasis/统一需求文档.md；位置：行1401、行1407、行1399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展示内容</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来源（当前证据）：liveshow-proto/MainBasis/统一需求文档.md；位置：行1407、行1399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x:c r="H85" s="9" t="str">
        <x:v>地区搜索空态</x:v>
      </x: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来源（当前证据）：liveshow-proto/MainBasis/统一需求文档.md；位置：行1401、行1399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来源（当前证据）：liveshow-proto/MainBasis/统一需求文档.md；位置：行1407、行1399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P2</x:v>
      </x:c>
      <x:c r="G87" s="9" t="str">
        <x:v>验证不提供86区号</x:v>
      </x:c>
      <x:c r="H87" s="9" t="str">
        <x:v>展示内容</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来源（当前证据）：liveshow-proto/MainBasis/统一需求文档.md；位置：行1404、行1399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展示内容</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来源（当前证据）：liveshow-proto/MainBasis/统一需求文档.md；位置：行1402、行1399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页面去向</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来源（当前证据）：liveshow-proto/MainBasis/统一需求文档.md；位置：行1408、行1399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P2</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来源（当前证据）：liveshow-proto/MainBasis/统一需求文档.md；位置：行1408、行1399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P2</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来源（当前证据）：liveshow-proto/MainBasis/统一需求文档.md；位置：行1408、行1399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展示内容</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来源（当前证据）：liveshow-proto/MainBasis/统一需求文档.md；位置：行1409、行1399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展示内容</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来源（当前证据）：liveshow-proto/MainBasis/统一需求文档.md；位置：行1403、行1399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展示内容</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来源（当前证据）：liveshow-proto/MainBasis/统一需求文档.md；位置：行1403、行1399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展示内容</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来源（当前证据）：liveshow-proto/MainBasis/统一需求文档.md；位置：行1376、行1374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展示内容</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来源（当前证据）：liveshow-proto/MainBasis/统一需求文档.md；位置：行1377、行1374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展示内容</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来源（当前证据）：liveshow-proto/MainBasis/统一需求文档.md；位置：行1376、行1374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x:c r="H98" s="9" t="str">
        <x:v>昵称必填校验</x:v>
      </x: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来源（当前证据）：liveshow-proto/MainBasis/统一需求文档.md；位置：行1377、行1374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页面去向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来源（当前证据）：liveshow-proto/MainBasis/统一需求文档.md；位置：行1377、行1379、行1374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x:c r="H100" s="9" t="str">
        <x:v>昵称长度上限</x:v>
      </x: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来源（当前证据）：liveshow-proto/MainBasis/统一需求文档.md；位置：行1377、行1374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展示内容</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来源（当前证据）：liveshow-proto/MainBasis/统一需求文档.md；位置：行1378、行1379、行1374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页面去向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来源（当前证据）：liveshow-proto/MainBasis/统一需求文档.md；位置：行1380、行1374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P2</x:v>
      </x:c>
      <x:c r="G103" s="9" t="str">
        <x:v>验证用户ID不可修改</x:v>
      </x:c>
      <x:c r="H103" s="9" t="str">
        <x:v>用户ID只读性</x:v>
      </x: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来源（当前证据）：liveshow-proto/MainBasis/统一需求文档.md；位置：行1427、行1425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展示内容</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来源（当前证据）：liveshow-proto/MainBasis/统一需求文档.md；位置：行1428、行1425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P2</x:v>
      </x:c>
      <x:c r="G105" s="9" t="str">
        <x:v>验证头像审核通过</x:v>
      </x:c>
      <x:c r="H105" s="9" t="str">
        <x:v>审核后头像生效</x:v>
      </x: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来源（当前证据）：liveshow-proto/MainBasis/统一需求文档.md；位置：行1429、行1435、行1425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P2</x:v>
      </x:c>
      <x:c r="G106" s="9" t="str">
        <x:v>验证昵称审核通过</x:v>
      </x:c>
      <x:c r="H106" s="9" t="str">
        <x:v>审核后昵称生效</x:v>
      </x: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来源（当前证据）：liveshow-proto/MainBasis/统一需求文档.md；位置：行1430、行1438、行1425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P2</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来源（当前证据）：liveshow-proto/MainBasis/统一需求文档.md；位置：行1436、行1425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展示内容</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来源（当前证据）：liveshow-proto/MainBasis/统一需求文档.md；位置：行1432、行1425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来源（当前证据）：liveshow-proto/MainBasis/统一需求文档.md；位置：行1434、行1425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来源（当前证据）：liveshow-proto/MainBasis/统一需求文档.md；位置：行1434、行1425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x:c r="H111" s="9" t="str">
        <x:v>个性签名保存</x:v>
      </x: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来源（当前证据）：liveshow-proto/MainBasis/统一需求文档.md；位置：行1431、行1435、行1425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P2</x:v>
      </x:c>
      <x:c r="G112" s="9" t="str">
        <x:v>验证审核中保存状态</x:v>
      </x:c>
      <x:c r="H112" s="9" t="str">
        <x:v>资料保存加载状态</x:v>
      </x: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来源（当前证据）：liveshow-proto/MainBasis/统一需求文档.md；位置：行1437、行1425
2. 规则：BR-588c9ac0ae661890
3. 未动态验证</x:v>
      </x:c>
    </x:row>
    <x:row r="113" ht="85"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反馈文案</x:v>
      </x:c>
      <x:c r="I113" s="9" t="str">
        <x:v>1. 执行角色为已登录普通用户；当前处于资料编辑页面
2. 昵称审核返回不合规</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来源（当前证据）：liveshow-proto/MainBasis/统一需求文档.md；位置：行1438、行1425
2. 规则：BR-a5ea2fd6db8d9a1a
3. 未动态验证</x:v>
      </x:c>
    </x:row>
    <x:row r="114" ht="8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反馈文案</x:v>
      </x:c>
      <x:c r="I114" s="9" t="str">
        <x:v>1. 执行角色为已登录普通用户；当前处于资料编辑页面
2. 审核请求返回网络错误</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来源（当前证据）：liveshow-proto/MainBasis/统一需求文档.md；位置：行1438、行1425
2. 规则：BR-8167d76f89aaf33f
3. 未动态验证</x:v>
      </x:c>
    </x:row>
    <x:row r="115" ht="85"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x:c r="H115" s="9" t="str">
        <x:v>审核失败输入保留</x:v>
      </x:c>
      <x:c r="I115" s="9" t="str">
        <x:v>1. 执行角色为已登录普通用户；当前处于资料编辑页面
2. 原昵称为QA旧昵称；审核返回拒绝</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来源（当前证据）：liveshow-proto/MainBasis/统一需求文档.md；位置：行1439、行1425
2. 规则：BR-e0c24efed9ef3806
3. 未动态验证</x:v>
      </x:c>
    </x:row>
    <x:row r="116" ht="85"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x:c r="H116" s="9" t="str">
        <x:v>生效昵称保留</x:v>
      </x:c>
      <x:c r="I116" s="9" t="str">
        <x:v>1. 执行角色为已登录普通用户；当前处于资料编辑页面
2. 原昵称为QA旧昵称；审核返回拒绝</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来源（当前证据）：liveshow-proto/MainBasis/统一需求文档.md；位置：行1439、行678、行1425
2. 规则：BR-3787f51eb947f26d
3. 未动态验证</x:v>
      </x:c>
    </x:row>
    <x:row r="117" ht="85" customHeight="1">
      <x:c r="A117" s="10" t="n">
        <x:v>116</x:v>
      </x:c>
      <x:c r="B117" s="10" t="str">
        <x:v>USER-05-0015</x:v>
      </x:c>
      <x:c r="C117" s="10" t="str">
        <x:v>我的</x:v>
      </x:c>
      <x:c r="D117" s="10" t="str">
        <x:v>资料编辑（已登录普通用户视角）</x:v>
      </x:c>
      <x:c r="E117" s="10" t="str">
        <x:v>逻辑校验</x:v>
      </x:c>
      <x:c r="F117" s="10" t="str">
        <x:v>P1</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来源（当前证据）：liveshow-proto/MainBasis/统一需求文档.md；位置：行1430、行1436、行1425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P1</x:v>
      </x:c>
      <x:c r="G118" s="9" t="str">
        <x:v>验证昵称超过最大长度</x:v>
      </x:c>
      <x:c r="H118" s="9" t="str">
        <x:v>展示内容</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来源（当前证据）：liveshow-proto/MainBasis/统一需求文档.md；位置：行1430、行1436、行1425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P1</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来源（当前证据）：liveshow-proto/MainBasis/统一需求文档.md；位置：行1431、行1436、行1425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P1</x:v>
      </x:c>
      <x:c r="G120" s="9" t="str">
        <x:v>验证个性签名超过最大长度</x:v>
      </x:c>
      <x:c r="H120" s="9" t="str">
        <x:v>展示内容</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来源（当前证据）：liveshow-proto/MainBasis/统一需求文档.md；位置：行1431、行1436、行1425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P1</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来源（当前证据）：liveshow-proto/MainBasis/统一需求文档.md；位置：行1433、行1436、行1425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P1</x:v>
      </x:c>
      <x:c r="G122" s="9" t="str">
        <x:v>验证地区超过最大长度</x:v>
      </x:c>
      <x:c r="H122" s="9" t="str">
        <x:v>展示内容</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来源（当前证据）：liveshow-proto/MainBasis/统一需求文档.md；位置：行1433、行1436、行1425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P2</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来源（当前证据）：liveshow-proto/MainBasis/统一需求文档.md；位置：行1444、行1442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P2</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来源（当前证据）：liveshow-proto/MainBasis/统一需求文档.md；位置：行1444、行1442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P2</x:v>
      </x:c>
      <x:c r="G125" s="9" t="str">
        <x:v>验证邮箱脱敏</x:v>
      </x:c>
      <x:c r="H125" s="9" t="str">
        <x:v>邮箱账号脱敏</x:v>
      </x: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来源（当前证据）：liveshow-proto/MainBasis/统一需求文档.md；位置：行1445、行1442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P2</x:v>
      </x:c>
      <x:c r="G126" s="9" t="str">
        <x:v>验证未设置密码展示</x:v>
      </x:c>
      <x:c r="H126" s="9" t="str">
        <x:v>密码设置状态</x:v>
      </x: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来源（当前证据）：liveshow-proto/MainBasis/统一需求文档.md；位置：行1446、行1476、行1442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P2</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来源（当前证据）：liveshow-proto/MainBasis/统一需求文档.md；位置：行1446、行1442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P2</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来源（当前证据）：liveshow-proto/MainBasis/统一需求文档.md；位置：行1446、行1442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P2</x:v>
      </x:c>
      <x:c r="G129" s="9" t="str">
        <x:v>验证设置密码入口</x:v>
      </x:c>
      <x:c r="H129" s="9" t="str">
        <x:v>设置密码页面去向</x:v>
      </x: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来源（当前证据）：liveshow-proto/MainBasis/统一需求文档.md；位置：行1461、行1479、行1442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P2</x:v>
      </x:c>
      <x:c r="G130" s="9" t="str">
        <x:v>验证修改密码入口</x:v>
      </x:c>
      <x:c r="H130" s="9" t="str">
        <x:v>修改密码页面去向</x:v>
      </x: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来源（当前证据）：liveshow-proto/MainBasis/统一需求文档.md；位置：行1461、行1442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x:c r="H131" s="9" t="str">
        <x:v>通知授权弹窗</x:v>
      </x: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来源（当前证据）：liveshow-proto/MainBasis/统一需求文档.md；位置：行1463、行1555、行1442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展示内容</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来源（当前证据）：liveshow-proto/MainBasis/统一需求文档.md；位置：行1463、行1560、行1442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展示内容</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来源（当前证据）：liveshow-proto/MainBasis/统一需求文档.md；位置：行1464、行1563、行1442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展示内容</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来源（当前证据）：liveshow-proto/MainBasis/统一需求文档.md；位置：行1561、行1442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展示内容</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来源（当前证据）：liveshow-proto/MainBasis/统一需求文档.md；位置：行1561、行1442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展示内容</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来源（当前证据）：liveshow-proto/MainBasis/统一需求文档.md；位置：行1568、行1442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反馈文案</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来源（当前证据）：liveshow-proto/MainBasis/统一需求文档.md；位置：行1571、行1442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P2</x:v>
      </x:c>
      <x:c r="G138" s="9" t="str">
        <x:v>验证应用通知不代替系统权限</x:v>
      </x:c>
      <x:c r="H138" s="9" t="str">
        <x:v>展示内容</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来源（当前证据）：liveshow-proto/MainBasis/统一需求文档.md；位置：行1562、行1442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P2</x:v>
      </x:c>
      <x:c r="G139" s="9" t="str">
        <x:v>验证通知分类独立</x:v>
      </x:c>
      <x:c r="H139" s="9" t="str">
        <x:v>展示内容</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来源（当前证据）：liveshow-proto/MainBasis/统一需求文档.md；位置：行1457、行1569、行1442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来源（当前证据）：liveshow-proto/MainBasis/统一需求文档.md；位置：行1450、行1442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来源（当前证据）：liveshow-proto/MainBasis/统一需求文档.md；位置：行1450、行1442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来源（当前证据）：liveshow-proto/MainBasis/统一需求文档.md；位置：行1450、行1442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P0</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来源（当前证据）：liveshow-proto/MainBasis/统一需求文档.md；位置：行1458、行1467、行1442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P0</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来源（当前证据）：liveshow-proto/MainBasis/统一需求文档.md；位置：行1458、行1467、行1442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P0</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来源（当前证据）：liveshow-proto/MainBasis/统一需求文档.md；位置：行1451、行1442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来源（当前证据）：liveshow-proto/MainBasis/统一需求文档.md；位置：行1458、行1468、行1442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来源（当前证据）：liveshow-proto/MainBasis/统一需求文档.md；位置：行1458、行1468、行1442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P2</x:v>
      </x:c>
      <x:c r="G148" s="9" t="str">
        <x:v>验证注销确认风险提示</x:v>
      </x:c>
      <x:c r="H148" s="9" t="str">
        <x:v>反馈文案</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来源（当前证据）：liveshow-proto/MainBasis/统一需求文档.md；位置：行1466、行1442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来源（当前证据）：liveshow-proto/MainBasis/统一需求文档.md；位置：行1468、行1442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x:c r="H150" s="9" t="str">
        <x:v>注销提交取消</x:v>
      </x: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来源（当前证据）：liveshow-proto/MainBasis/统一需求文档.md；位置：行1469、行1442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P0</x:v>
      </x:c>
      <x:c r="G151" s="9" t="str">
        <x:v>验证倒计时完成提交</x:v>
      </x:c>
      <x:c r="H151" s="9" t="str">
        <x:v>页面去向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来源（当前证据）：liveshow-proto/MainBasis/统一需求文档.md；位置：行1469、行1442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P2</x:v>
      </x:c>
      <x:c r="G152" s="9" t="str">
        <x:v>验证退出登录确认</x:v>
      </x:c>
      <x:c r="H152" s="9" t="str">
        <x:v>展示内容</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来源（当前证据）：liveshow-proto/MainBasis/统一需求文档.md；位置：行1471、行1442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页面去向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来源（当前证据）：liveshow-proto/MainBasis/统一需求文档.md；位置：行1471、行1442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展示内容</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来源（当前证据）：liveshow-proto/MainBasis/统一需求文档.md；位置：行1455、行1442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x:c r="H155" s="9" t="str">
        <x:v>界面语言切换</x:v>
      </x: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来源（当前证据）：liveshow-proto/MainBasis/统一需求文档.md；位置：行1462、行498、行1442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x:c r="H156" s="9" t="str">
        <x:v>界面语言切换</x:v>
      </x: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来源（当前证据）：liveshow-proto/MainBasis/统一需求文档.md；位置：行1462、行498、行1442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x:c r="H157" s="9" t="str">
        <x:v>界面语言切换</x:v>
      </x: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来源（当前证据）：liveshow-proto/MainBasis/统一需求文档.md；位置：行1462、行498、行1442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x:c r="H158" s="9" t="str">
        <x:v>界面语言切换</x:v>
      </x: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来源（当前证据）：liveshow-proto/MainBasis/统一需求文档.md；位置：行1462、行498、行1442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P2</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来源（当前证据）：liveshow-proto/MainBasis/统一需求文档.md；位置：行1484、行1482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P2</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来源（当前证据）：liveshow-proto/MainBasis/统一需求文档.md；位置：行1484、行1482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P2</x:v>
      </x:c>
      <x:c r="G161" s="9" t="str">
        <x:v>验证设置密码手机号验证</x:v>
      </x:c>
      <x:c r="H161" s="9" t="str">
        <x:v>验证码接收手机号</x:v>
      </x: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来源（当前证据）：liveshow-proto/MainBasis/统一需求文档.md；位置：行1491、行1482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P2</x:v>
      </x:c>
      <x:c r="G162" s="9" t="str">
        <x:v>验证设置密码邮箱验证</x:v>
      </x:c>
      <x:c r="H162" s="9" t="str">
        <x:v>验证码接收邮箱</x:v>
      </x: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来源（当前证据）：liveshow-proto/MainBasis/统一需求文档.md；位置：行1491、行1482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x:c r="H163" s="9" t="str">
        <x:v>验证码重发按钮状态</x:v>
      </x: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来源（当前证据）：liveshow-proto/MainBasis/统一需求文档.md；位置：行1491、行1482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x:c r="H164" s="9" t="str">
        <x:v>验证码重发恢复</x:v>
      </x: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来源（当前证据）：liveshow-proto/MainBasis/统一需求文档.md；位置：行1491、行1482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来源（当前证据）：liveshow-proto/MainBasis/统一需求文档.md；位置：行1485、行1492、行1482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来源（当前证据）：liveshow-proto/MainBasis/统一需求文档.md；位置：行1486、行1492、行1482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来源（当前证据）：liveshow-proto/MainBasis/统一需求文档.md；位置：行1486、行1493、行1482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P0</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来源（当前证据）：liveshow-proto/MainBasis/统一需求文档.md；位置：行1486、行1493、行1482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反馈文案</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来源（当前证据）：liveshow-proto/MainBasis/统一需求文档.md；位置：行1487、行1493、行1482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P0</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来源（当前证据）：liveshow-proto/MainBasis/统一需求文档.md；位置：行1485、行1482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P0</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来源（当前证据）：liveshow-proto/MainBasis/统一需求文档.md；位置：行1489、行1482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P0</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来源（当前证据）：liveshow-proto/MainBasis/统一需求文档.md；位置：行1489、行1482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P0</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来源（当前证据）：liveshow-proto/MainBasis/统一需求文档.md；位置：行1489、行1482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P2</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来源（当前证据）：liveshow-proto/MainBasis/统一需求文档.md；位置：行1511、行1509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P2</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来源（当前证据）：liveshow-proto/MainBasis/统一需求文档.md；位置：行1511、行1509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P2</x:v>
      </x:c>
      <x:c r="G176" s="9" t="str">
        <x:v>验证重置密码手机号验证</x:v>
      </x:c>
      <x:c r="H176" s="9" t="str">
        <x:v>验证码接收手机号</x:v>
      </x: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来源（当前证据）：liveshow-proto/MainBasis/统一需求文档.md；位置：行1518、行1509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P2</x:v>
      </x:c>
      <x:c r="G177" s="9" t="str">
        <x:v>验证重置密码邮箱验证</x:v>
      </x:c>
      <x:c r="H177" s="9" t="str">
        <x:v>验证码接收邮箱</x:v>
      </x: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来源（当前证据）：liveshow-proto/MainBasis/统一需求文档.md；位置：行1518、行1509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x:c r="H178" s="9" t="str">
        <x:v>验证码重发按钮状态</x:v>
      </x: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来源（当前证据）：liveshow-proto/MainBasis/统一需求文档.md；位置：行1518、行1509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x:c r="H179" s="9" t="str">
        <x:v>验证码重发恢复</x:v>
      </x: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来源（当前证据）：liveshow-proto/MainBasis/统一需求文档.md；位置：行1518、行1509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来源（当前证据）：liveshow-proto/MainBasis/统一需求文档.md；位置：行1512、行1519、行1509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来源（当前证据）：liveshow-proto/MainBasis/统一需求文档.md；位置：行1513、行1519、行1509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P0</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来源（当前证据）：liveshow-proto/MainBasis/统一需求文档.md；位置：行1513、行1520、行1509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P0</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来源（当前证据）：liveshow-proto/MainBasis/统一需求文档.md；位置：行1513、行1520、行1509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反馈文案</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来源（当前证据）：liveshow-proto/MainBasis/统一需求文档.md；位置：行1514、行1520、行1509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P0</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来源（当前证据）：liveshow-proto/MainBasis/统一需求文档.md；位置：行1512、行1509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P0</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来源（当前证据）：liveshow-proto/MainBasis/统一需求文档.md；位置：行1516、行1509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P0</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来源（当前证据）：liveshow-proto/MainBasis/统一需求文档.md；位置：行1516、行1509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P0</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来源（当前证据）：liveshow-proto/MainBasis/统一需求文档.md；位置：行1516、行1509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P0</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来源（当前证据）：liveshow-proto/MainBasis/统一需求文档.md；位置：行1501、行1496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来源（当前证据）：liveshow-proto/MainBasis/统一需求文档.md；位置：行1499、行1504、行1496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来源（当前证据）：liveshow-proto/MainBasis/统一需求文档.md；位置：行1499、行1504、行1496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来源（当前证据）：liveshow-proto/MainBasis/统一需求文档.md；位置：行1500、行1504、行1496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来源（当前证据）：liveshow-proto/MainBasis/统一需求文档.md；位置：行1500、行1504、行1496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x:c r="H194" s="9" t="str">
        <x:v>密码修改后页面去向</x:v>
      </x: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来源（当前证据）：liveshow-proto/MainBasis/统一需求文档.md；位置：行1506、行1496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P2</x:v>
      </x:c>
      <x:c r="G195" s="9" t="str">
        <x:v>验证忘记密码入口</x:v>
      </x:c>
      <x:c r="H195" s="9" t="str">
        <x:v>密码重置页面去向</x:v>
      </x: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来源（当前证据）：liveshow-proto/MainBasis/统一需求文档.md；位置：行1503、行1505、行1496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P2</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来源（当前证据）：liveshow-proto/MainBasis/统一需求文档.md；位置：行678、行676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P2</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来源（当前证据）：liveshow-proto/MainBasis/统一需求文档.md；位置：行678、行676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P2</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来源（当前证据）：liveshow-proto/MainBasis/统一需求文档.md；位置：行678、行676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P2</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来源（当前证据）：liveshow-proto/MainBasis/统一需求文档.md；位置：行678、行676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来源（当前证据）：liveshow-proto/MainBasis/统一需求文档.md；位置：行679、行676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来源（当前证据）：liveshow-proto/MainBasis/统一需求文档.md；位置：行679、行676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P2</x:v>
      </x:c>
      <x:c r="G202" s="9" t="str">
        <x:v>验证粉丝计数</x:v>
      </x:c>
      <x:c r="H202" s="9" t="str">
        <x:v>展示内容</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来源（当前证据）：liveshow-proto/MainBasis/统一需求文档.md；位置：行680、行676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P2</x:v>
      </x:c>
      <x:c r="G203" s="9" t="str">
        <x:v>验证关注计数</x:v>
      </x:c>
      <x:c r="H203" s="9" t="str">
        <x:v>关注人数统计</x:v>
      </x: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来源（当前证据）：liveshow-proto/MainBasis/统一需求文档.md；位置：行680、行676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P2</x:v>
      </x:c>
      <x:c r="G204" s="9" t="str">
        <x:v>验证好友计数</x:v>
      </x:c>
      <x:c r="H204" s="9" t="str">
        <x:v>好友人数统计</x:v>
      </x: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来源（当前证据）：liveshow-proto/MainBasis/统一需求文档.md；位置：行680、行676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P2</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来源（当前证据）：liveshow-proto/MainBasis/统一需求文档.md；位置：行681、行676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来源（当前证据）：liveshow-proto/MainBasis/统一需求文档.md；位置：行686、行676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来源（当前证据）：liveshow-proto/MainBasis/统一需求文档.md；位置：行687、行676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x:c r="H208" s="9" t="str">
        <x:v>充值页面去向</x:v>
      </x: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来源（当前证据）：liveshow-proto/MainBasis/统一需求文档.md；位置：行688、行676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来源（当前证据）：liveshow-proto/MainBasis/统一需求文档.md；位置：行689、行676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来源（当前证据）：liveshow-proto/MainBasis/统一需求文档.md；位置：行690、行676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来源（当前证据）：liveshow-proto/MainBasis/统一需求文档.md；位置：行691、行676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来源（当前证据）：liveshow-proto/MainBasis/统一需求文档.md；位置：行695、行676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来源（当前证据）：liveshow-proto/MainBasis/统一需求文档.md；位置：行696、行676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来源（当前证据）：liveshow-proto/MainBasis/统一需求文档.md；位置：行694、行676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展示内容</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来源（当前证据）：liveshow-proto/MainBasis/统一需求文档.md；位置：行701、行699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展示内容</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来源（当前证据）：liveshow-proto/MainBasis/统一需求文档.md；位置：行702、行699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x:c r="H217" s="9" t="str">
        <x:v>WhatsApp联系方式复制</x:v>
      </x: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来源（当前证据）：liveshow-proto/MainBasis/统一需求文档.md；位置：行704、行699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x:c r="H218" s="9" t="str">
        <x:v>客服邮箱复制</x:v>
      </x: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来源（当前证据）：liveshow-proto/MainBasis/统一需求文档.md；位置：行704、行699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展示内容</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来源（当前证据）：liveshow-proto/MainBasis/统一需求文档.md；位置：行703、行699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来源（当前证据）：liveshow-proto/MainBasis/统一需求文档.md；位置：行519、行517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来源（当前证据）：liveshow-proto/MainBasis/统一需求文档.md；位置：行519、行517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来源（当前证据）：liveshow-proto/MainBasis/统一需求文档.md；位置：行519、行517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来源（当前证据）：liveshow-proto/MainBasis/统一需求文档.md；位置：行519、行517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x:c r="H224" s="9" t="str">
        <x:v>场次访问次数累计</x:v>
      </x: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来源（当前证据）：liveshow-proto/MainBasis/统一需求文档.md；位置：行519、行517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x:c r="H225" s="9" t="str">
        <x:v>场次访问次数累计</x:v>
      </x: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来源（当前证据）：liveshow-proto/MainBasis/统一需求文档.md；位置：行519、行517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P2</x:v>
      </x:c>
      <x:c r="G226" s="9" t="str">
        <x:v>验证列表曝光不累计访问</x:v>
      </x:c>
      <x:c r="H226" s="9" t="str">
        <x:v>展示内容</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来源（当前证据）：liveshow-proto/MainBasis/统一需求文档.md；位置：行519、行517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展示内容</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来源（当前证据）：liveshow-proto/MainBasis/统一需求文档.md；位置：行520、行517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P2</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来源（当前证据）：liveshow-proto/MainBasis/统一需求文档.md；位置：行520、行517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反馈文案</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来源（当前证据）：liveshow-proto/MainBasis/统一需求文档.md；位置：行520、行517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来源（当前证据）：liveshow-proto/MainBasis/统一需求文档.md；位置：行521、行528、行517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x:c r="H231" s="9" t="str">
        <x:v>关注主播区可见性</x:v>
      </x: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来源（当前证据）：liveshow-proto/MainBasis/统一需求文档.md；位置：行528、行517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来源（当前证据）：liveshow-proto/MainBasis/统一需求文档.md；位置：行522、行517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展示内容</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来源（当前证据）：liveshow-proto/MainBasis/统一需求文档.md；位置：行522、行517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页面去向</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来源（当前证据）：liveshow-proto/MainBasis/统一需求文档.md；位置：行522、行517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来源（当前证据）：liveshow-proto/MainBasis/统一需求文档.md；位置：行533、行517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展示内容</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来源（当前证据）：liveshow-proto/MainBasis/统一需求文档.md；位置：行534、行517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展示内容</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来源（当前证据）：liveshow-proto/MainBasis/统一需求文档.md；位置：行534、行517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x:c r="H238" s="9" t="str">
        <x:v>密码房卡片可见性</x:v>
      </x: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来源（当前证据）：liveshow-proto/MainBasis/统一需求文档.md；位置：行530、行517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x:c r="H239" s="9" t="str">
        <x:v>粉丝专属房访问资格</x:v>
      </x: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来源（当前证据）：liveshow-proto/MainBasis/统一需求文档.md；位置：行530、行517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P2</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来源（当前证据）：liveshow-proto/MainBasis/统一需求文档.md；位置：行530、行517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来源（当前证据）：liveshow-proto/MainBasis/统一需求文档.md；位置：行531、行517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来源（当前证据）：liveshow-proto/MainBasis/统一需求文档.md；位置：行531、行517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来源（当前证据）：liveshow-proto/MainBasis/统一需求文档.md；位置：行531、行517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来源（当前证据）：liveshow-proto/MainBasis/统一需求文档.md；位置：行523、行532、行517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来源（当前证据）：liveshow-proto/MainBasis/统一需求文档.md；位置：行523、行532、行517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来源（当前证据）：liveshow-proto/MainBasis/统一需求文档.md；位置：行523、行532、行517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展示内容</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来源（当前证据）：liveshow-proto/MainBasis/统一需求文档.md；位置：行535、行517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展示内容</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来源（当前证据）：liveshow-proto/MainBasis/统一需求文档.md；位置：行535、行517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展示内容</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来源（当前证据）：liveshow-proto/MainBasis/统一需求文档.md；位置：行532、行517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展示内容</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来源（当前证据）：liveshow-proto/MainBasis/统一需求文档.md；位置：行1538、行517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页面去向</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来源（当前证据）：liveshow-proto/MainBasis/统一需求文档.md；位置：行526、行517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页面去向</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来源（当前证据）：liveshow-proto/MainBasis/统一需求文档.md；位置：行526、行517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页面去向</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来源（当前证据）：liveshow-proto/MainBasis/统一需求文档.md；位置：行526、行517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页面去向</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来源（当前证据）：liveshow-proto/MainBasis/统一需求文档.md；位置：行526、行517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P2</x:v>
      </x:c>
      <x:c r="G255" s="9" t="str">
        <x:v>验证游客浏览主播榜</x:v>
      </x:c>
      <x:c r="H255" s="9" t="str">
        <x:v>页面去向</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来源（当前证据）：liveshow-proto/MainBasis/统一需求文档.md；位置：行525、行517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P2</x:v>
      </x:c>
      <x:c r="G256" s="9" t="str">
        <x:v>验证游客浏览贡献榜</x:v>
      </x:c>
      <x:c r="H256" s="9" t="str">
        <x:v>页面去向</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来源（当前证据）：liveshow-proto/MainBasis/统一需求文档.md；位置：行525、行517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P2</x:v>
      </x:c>
      <x:c r="G257" s="9" t="str">
        <x:v>验证游客浏览福利</x:v>
      </x:c>
      <x:c r="H257" s="9" t="str">
        <x:v>页面去向</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来源（当前证据）：liveshow-proto/MainBasis/统一需求文档.md；位置：行525、行517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P2</x:v>
      </x:c>
      <x:c r="G258" s="9" t="str">
        <x:v>验证游客浏览邀请好友</x:v>
      </x:c>
      <x:c r="H258" s="9" t="str">
        <x:v>页面去向</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来源（当前证据）：liveshow-proto/MainBasis/统一需求文档.md；位置：行525、行517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来源（当前证据）：liveshow-proto/MainBasis/统一需求文档.md；位置：行541、行538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来源（当前证据）：liveshow-proto/MainBasis/统一需求文档.md；位置：行541、行538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来源（当前证据）：liveshow-proto/MainBasis/统一需求文档.md；位置：行541、行538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P1</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来源（当前证据）：liveshow-proto/MainBasis/统一需求文档.md；位置：行541、行542、行538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P1</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来源（当前证据）：liveshow-proto/MainBasis/统一需求文档.md；位置：行541、行542、行538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展示内容</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来源（当前证据）：liveshow-proto/MainBasis/统一需求文档.md；位置：行542、行538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展示内容</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来源（当前证据）：liveshow-proto/MainBasis/统一需求文档.md；位置：行544、行538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P0</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来源（当前证据）：liveshow-proto/MainBasis/统一需求文档.md；位置：行547、行538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展示内容</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来源（当前证据）：liveshow-proto/MainBasis/统一需求文档.md；位置：行547、行538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展示内容</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来源（当前证据）：liveshow-proto/MainBasis/统一需求文档.md；位置：行547、行538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P2</x:v>
      </x:c>
      <x:c r="G269" s="9" t="str">
        <x:v>验证注销账号主页禁止进入</x:v>
      </x:c>
      <x:c r="H269" s="9" t="str">
        <x:v>页面去向</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来源（当前证据）：liveshow-proto/MainBasis/统一需求文档.md；位置：行547、行538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页面去向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来源（当前证据）：liveshow-proto/MainBasis/统一需求文档.md；位置：行550、行538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展示内容</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来源（当前证据）：liveshow-proto/MainBasis/统一需求文档.md；位置：行549、行540、行538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展示内容</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来源（当前证据）：liveshow-proto/MainBasis/统一需求文档.md；位置：行549、行540、行538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展示内容</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来源（当前证据）：liveshow-proto/MainBasis/统一需求文档.md；位置：行549、行540、行538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P2</x:v>
      </x:c>
      <x:c r="G274" s="9" t="str">
        <x:v>验证游客点击账号</x:v>
      </x:c>
      <x:c r="H274" s="9" t="str">
        <x:v>页面去向</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来源（当前证据）：liveshow-proto/MainBasis/统一需求文档.md；位置：行550、行538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来源（当前证据）：liveshow-proto/MainBasis/统一需求文档.md；位置：行556、行553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来源（当前证据）：liveshow-proto/MainBasis/统一需求文档.md；位置：行556、行553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来源（当前证据）：liveshow-proto/MainBasis/统一需求文档.md；位置：行556、行553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P1</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来源（当前证据）：liveshow-proto/MainBasis/统一需求文档.md；位置：行556、行557、行553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P1</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来源（当前证据）：liveshow-proto/MainBasis/统一需求文档.md；位置：行556、行557、行553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展示内容</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来源（当前证据）：liveshow-proto/MainBasis/统一需求文档.md；位置：行557、行553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展示内容</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来源（当前证据）：liveshow-proto/MainBasis/统一需求文档.md；位置：行560、行553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P0</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来源（当前证据）：liveshow-proto/MainBasis/统一需求文档.md；位置：行563、行553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展示内容</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来源（当前证据）：liveshow-proto/MainBasis/统一需求文档.md；位置：行563、行553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展示内容</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来源（当前证据）：liveshow-proto/MainBasis/统一需求文档.md；位置：行563、行553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P2</x:v>
      </x:c>
      <x:c r="G285" s="9" t="str">
        <x:v>验证注销账号主页禁止进入</x:v>
      </x:c>
      <x:c r="H285" s="9" t="str">
        <x:v>页面去向</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来源（当前证据）：liveshow-proto/MainBasis/统一需求文档.md；位置：行563、行553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页面去向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来源（当前证据）：liveshow-proto/MainBasis/统一需求文档.md；位置：行566、行553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展示内容</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来源（当前证据）：liveshow-proto/MainBasis/统一需求文档.md；位置：行565、行555、行553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展示内容</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来源（当前证据）：liveshow-proto/MainBasis/统一需求文档.md；位置：行565、行555、行553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展示内容</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来源（当前证据）：liveshow-proto/MainBasis/统一需求文档.md；位置：行565、行555、行553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P2</x:v>
      </x:c>
      <x:c r="G290" s="9" t="str">
        <x:v>验证游客点击账号</x:v>
      </x:c>
      <x:c r="H290" s="9" t="str">
        <x:v>页面去向</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来源（当前证据）：liveshow-proto/MainBasis/统一需求文档.md；位置：行566、行553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来源（当前证据）：liveshow-proto/MainBasis/统一需求文档.md；位置：行541、行538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来源（当前证据）：liveshow-proto/MainBasis/统一需求文档.md；位置：行545、行538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展示内容</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来源（当前证据）：liveshow-proto/MainBasis/统一需求文档.md；位置：行543、行538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展示内容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来源（当前证据）：liveshow-proto/MainBasis/统一需求文档.md；位置：行576、行569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来源（当前证据）：liveshow-proto/MainBasis/统一需求文档.md；位置：行577、行569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来源（当前证据）：liveshow-proto/MainBasis/统一需求文档.md；位置：行577、行569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P1</x:v>
      </x:c>
      <x:c r="G297" s="9" t="str">
        <x:v>验证全空格搜索拦截</x:v>
      </x:c>
      <x:c r="H297" s="9" t="str">
        <x:v>页面去向</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来源（当前证据）：liveshow-proto/MainBasis/统一需求文档.md；位置：行571、行569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展示内容</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来源（当前证据）：liveshow-proto/MainBasis/统一需求文档.md；位置：行571、行569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来源（当前证据）：liveshow-proto/MainBasis/统一需求文档.md；位置：行574、行569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P1</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来源（当前证据）：liveshow-proto/MainBasis/统一需求文档.md；位置：行574、行569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P1</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来源（当前证据）：liveshow-proto/MainBasis/统一需求文档.md；位置：行574、行569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页面去向</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来源（当前证据）：liveshow-proto/MainBasis/统一需求文档.md；位置：行578、行569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来源（当前证据）：liveshow-proto/MainBasis/统一需求文档.md；位置：行579、行569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展示内容</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来源（当前证据）：liveshow-proto/MainBasis/统一需求文档.md；位置：行579、行569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展示内容</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来源（当前证据）：liveshow-proto/MainBasis/统一需求文档.md；位置：行572、行569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展示内容</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来源（当前证据）：liveshow-proto/MainBasis/统一需求文档.md；位置：行573、行569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页面去向</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来源（当前证据）：liveshow-proto/MainBasis/统一需求文档.md；位置：行571、行578、行569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页面去向</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来源（当前证据）：liveshow-proto/MainBasis/统一需求文档.md；位置：行571、行578、行569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页面去向</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来源（当前证据）：liveshow-proto/MainBasis/统一需求文档.md；位置：行571、行578、行569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展示内容</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来源（当前证据）：liveshow-proto/MainBasis/统一需求文档.md；位置：行584、行582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展示内容</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来源（当前证据）：liveshow-proto/MainBasis/统一需求文档.md；位置：行588、行582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来源（当前证据）：liveshow-proto/MainBasis/统一需求文档.md；位置：行587、行582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来源（当前证据）：liveshow-proto/MainBasis/统一需求文档.md；位置：行587、行582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展示内容</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来源（当前证据）：liveshow-proto/MainBasis/统一需求文档.md；位置：行586、行582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展示内容</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来源（当前证据）：liveshow-proto/MainBasis/统一需求文档.md；位置：行586、行582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展示内容</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来源（当前证据）：liveshow-proto/MainBasis/统一需求文档.md；位置：行588、行582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展示内容</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来源（当前证据）：liveshow-proto/MainBasis/统一需求文档.md；位置：行588、行582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页面去向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来源（当前证据）：liveshow-proto/MainBasis/统一需求文档.md；位置：行589、行582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页面去向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来源（当前证据）：liveshow-proto/MainBasis/统一需求文档.md；位置：行590、行582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页面去向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来源（当前证据）：liveshow-proto/MainBasis/统一需求文档.md；位置：行590、行582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展示内容</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来源（当前证据）：liveshow-proto/MainBasis/统一需求文档.md；位置：行591、行582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P2</x:v>
      </x:c>
      <x:c r="G322" s="9" t="str">
        <x:v>验证登录不等于签到</x:v>
      </x:c>
      <x:c r="H322" s="9" t="str">
        <x:v>签到进度触发条件</x:v>
      </x: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来源（当前证据）：liveshow-proto/MainBasis/统一需求文档.md；位置：行598、行610、行594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P2</x:v>
      </x:c>
      <x:c r="G323" s="9" t="str">
        <x:v>验证今日未签到按钮</x:v>
      </x:c>
      <x:c r="H323" s="9" t="str">
        <x:v>展示内容</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来源（当前证据）：liveshow-proto/MainBasis/统一需求文档.md；位置：行600、行594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来源（当前证据）：liveshow-proto/MainBasis/统一需求文档.md；位置：行612、行594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来源（当前证据）：liveshow-proto/MainBasis/统一需求文档.md；位置：行612、行1907、行594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P2</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来源（当前证据）：liveshow-proto/MainBasis/统一需求文档.md；位置：行612、行594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x:c r="H327" s="9" t="str">
        <x:v>断签后奖励档位</x:v>
      </x: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来源（当前证据）：liveshow-proto/MainBasis/统一需求文档.md；位置：行613、行615、行594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来源（当前证据）：liveshow-proto/MainBasis/统一需求文档.md；位置：行614、行615、行594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P2</x:v>
      </x:c>
      <x:c r="G329" s="9" t="str">
        <x:v>验证仅登录仍会断签</x:v>
      </x:c>
      <x:c r="H329" s="9" t="str">
        <x:v>断签后连续天数</x:v>
      </x: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来源（当前证据）：liveshow-proto/MainBasis/统一需求文档.md；位置：行613、行594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P2</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来源（当前证据）：liveshow-proto/MainBasis/统一需求文档.md；位置：行611、行594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P2</x:v>
      </x:c>
      <x:c r="G331" s="9" t="str">
        <x:v>验证任务未完成不可领取</x:v>
      </x:c>
      <x:c r="H331" s="9" t="str">
        <x:v>反馈文案</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来源（当前证据）：liveshow-proto/MainBasis/统一需求文档.md；位置：行621、行594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P2</x:v>
      </x:c>
      <x:c r="G332" s="9" t="str">
        <x:v>验证任务达标手动领取</x:v>
      </x:c>
      <x:c r="H332" s="9" t="str">
        <x:v>任务奖励领取状态</x:v>
      </x: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来源（当前证据）：liveshow-proto/MainBasis/统一需求文档.md；位置：行618、行594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P2</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来源（当前证据）：liveshow-proto/MainBasis/统一需求文档.md；位置：行608、行618、行594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P2</x:v>
      </x:c>
      <x:c r="G334" s="9" t="str">
        <x:v>验证每档条件独立领取</x:v>
      </x:c>
      <x:c r="H334" s="9" t="str">
        <x:v>任务档位领取独立性</x:v>
      </x: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来源（当前证据）：liveshow-proto/MainBasis/统一需求文档.md；位置：行618、行594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P0</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来源（当前证据）：liveshow-proto/MainBasis/统一需求文档.md；位置：行620、行1906、行594
2. 规则：BR-759bfbd2d8fd4a5e
3. 未动态验证</x:v>
      </x:c>
    </x:row>
    <x:row r="336" ht="130"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x:c r="H336" s="9" t="str">
        <x:v>领取失败状态保留</x:v>
      </x:c>
      <x:c r="I336" s="9" t="str">
        <x:v>1. 执行角色为已登录普通用户；当前处于充值福利页面
2. 条件达标且未过期；领奖请求返回失败</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来源（当前证据）：liveshow-proto/MainBasis/统一需求文档.md；位置：行620、行594
2. 规则：BR-f84df39a57281dc9
3. 未动态验证
4. 状态转换：ST-USER-037；共同业务对象：任务奖励；当前阶段：领取请求失败后的用户App观察</x:v>
      </x:c>
    </x:row>
    <x:row r="337" ht="85" customHeight="1">
      <x:c r="A337" s="10" t="n">
        <x:v>336</x:v>
      </x:c>
      <x:c r="B337" s="10" t="str">
        <x:v>USER-02-0118</x:v>
      </x:c>
      <x:c r="C337" s="10" t="str">
        <x:v>首页与福利</x:v>
      </x:c>
      <x:c r="D337" s="10" t="str">
        <x:v>充值福利（已登录普通用户视角）</x:v>
      </x:c>
      <x:c r="E337" s="10" t="str">
        <x:v>业务流程</x:v>
      </x:c>
      <x:c r="F337" s="10" t="str">
        <x:v>P1</x:v>
      </x:c>
      <x:c r="G337" s="9" t="str">
        <x:v>验证领取失败后重试</x:v>
      </x:c>
      <x:c r="H337" s="9" t="str">
        <x:v>失败奖励重试领取</x:v>
      </x:c>
      <x:c r="I337" s="9" t="str">
        <x:v>1. 执行角色为已登录普通用户；当前处于充值福利页面
2. 首次领取失败且未入账；奖励仍有效；服务已恢复</x:v>
      </x:c>
      <x:c r="J337" s="9" t="str">
        <x:v>1. 点击领取</x:v>
      </x:c>
      <x:c r="K337" s="9" t="str">
        <x:v>该奖励领取成功一次</x:v>
      </x:c>
      <x:c r="L337" s="10" t="str"/>
      <x:c r="M337" s="10" t="str">
        <x:v>未测</x:v>
      </x:c>
      <x:c r="N337" s="10" t="str"/>
      <x:c r="O337" s="9" t="str">
        <x:v>1. 来源（当前证据）：liveshow-proto/MainBasis/统一需求文档.md；位置：行620、行594
2. 规则：BR-4643463b409870d4
3. 未动态验证</x:v>
      </x:c>
    </x:row>
    <x:row r="338" ht="130" customHeight="1">
      <x:c r="A338" s="10" t="n">
        <x:v>337</x:v>
      </x:c>
      <x:c r="B338" s="10" t="str">
        <x:v>USER-02-0119</x:v>
      </x:c>
      <x:c r="C338" s="10" t="str">
        <x:v>首页与福利</x:v>
      </x:c>
      <x:c r="D338" s="10" t="str">
        <x:v>充值福利（已登录普通用户视角）</x:v>
      </x:c>
      <x:c r="E338" s="10" t="str">
        <x:v>异常用例</x:v>
      </x:c>
      <x:c r="F338" s="10" t="str">
        <x:v>P0</x:v>
      </x:c>
      <x:c r="G338" s="9" t="str">
        <x:v>验证逾期任务奖励失效</x:v>
      </x:c>
      <x:c r="H338" s="9" t="str">
        <x:v>反馈文案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来源（当前证据）：liveshow-proto/MainBasis/统一需求文档.md；位置：行619、行594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来源（当前证据）：liveshow-proto/MainBasis/统一需求文档.md；位置：行619、行594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P2</x:v>
      </x:c>
      <x:c r="G340" s="9" t="str">
        <x:v>验证停用任务不新增进度</x:v>
      </x:c>
      <x:c r="H340" s="9" t="str">
        <x:v>停用任务进度限制</x:v>
      </x: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来源（当前证据）：liveshow-proto/MainBasis/统一需求文档.md；位置：行608、行594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P2</x:v>
      </x:c>
      <x:c r="G341" s="9" t="str">
        <x:v>验证停用任务不收回已领金币</x:v>
      </x:c>
      <x:c r="H341" s="9" t="str">
        <x:v>展示内容</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来源（当前证据）：liveshow-proto/MainBasis/统一需求文档.md；位置：行608、行594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P2</x:v>
      </x:c>
      <x:c r="G342" s="9" t="str">
        <x:v>验证改配置不补发已领实例</x:v>
      </x:c>
      <x:c r="H342" s="9" t="str">
        <x:v>展示内容</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来源（当前证据）：liveshow-proto/MainBasis/统一需求文档.md；位置：行1908、行594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页面去向</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来源（当前证据）：liveshow-proto/MainBasis/统一需求文档.md；位置：行596、行603、行594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页面去向</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来源（当前证据）：liveshow-proto/MainBasis/统一需求文档.md；位置：行597、行605、行594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P2</x:v>
      </x:c>
      <x:c r="G345" s="9" t="str">
        <x:v>验证充值赠送提示取最大套餐</x:v>
      </x:c>
      <x:c r="H345" s="9" t="str">
        <x:v>反馈文案</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来源（当前证据）：liveshow-proto/MainBasis/统一需求文档.md；位置：行606、行594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x:c r="H346" s="9" t="str">
        <x:v>周期任务进度</x:v>
      </x: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来源（当前证据）：liveshow-proto/MainBasis/统一需求文档.md；位置：行617、行594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x:c r="H347" s="9" t="str">
        <x:v>周期任务进度</x:v>
      </x: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来源（当前证据）：liveshow-proto/MainBasis/统一需求文档.md；位置：行617、行594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x:c r="H348" s="9" t="str">
        <x:v>周期任务进度</x:v>
      </x: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来源（当前证据）：liveshow-proto/MainBasis/统一需求文档.md；位置：行617、行594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P2</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来源（当前证据）：liveshow-proto/MainBasis/统一需求文档.md；位置：行617、行594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P2</x:v>
      </x:c>
      <x:c r="G350" s="9" t="str">
        <x:v>验证游客签到限制</x:v>
      </x:c>
      <x:c r="H350" s="9" t="str">
        <x:v>页面去向</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来源（当前证据）：liveshow-proto/MainBasis/统一需求文档.md；位置：行622、行594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P2</x:v>
      </x:c>
      <x:c r="G351" s="9" t="str">
        <x:v>验证游客领奖限制</x:v>
      </x:c>
      <x:c r="H351" s="9" t="str">
        <x:v>页面去向</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来源（当前证据）：liveshow-proto/MainBasis/统一需求文档.md；位置：行622、行594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P2</x:v>
      </x:c>
      <x:c r="G352" s="9" t="str">
        <x:v>验证游客充值限制</x:v>
      </x:c>
      <x:c r="H352" s="9" t="str">
        <x:v>页面去向</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来源（当前证据）：liveshow-proto/MainBasis/统一需求文档.md；位置：行622、行594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P2</x:v>
      </x:c>
      <x:c r="G353" s="9" t="str">
        <x:v>验证运营账号邀请好友限制</x:v>
      </x:c>
      <x:c r="H353" s="9" t="str">
        <x:v>反馈文案</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来源（当前证据）：liveshow-proto/MainBasis/统一需求文档.md；位置：行622、行510、行594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P2</x:v>
      </x:c>
      <x:c r="G354" s="9" t="str">
        <x:v>验证运营账号充值福利限制</x:v>
      </x:c>
      <x:c r="H354" s="9" t="str">
        <x:v>反馈文案</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来源（当前证据）：liveshow-proto/MainBasis/统一需求文档.md；位置：行622、行510、行594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P2</x:v>
      </x:c>
      <x:c r="G355" s="9" t="str">
        <x:v>验证运营账号签到限制</x:v>
      </x:c>
      <x:c r="H355" s="9" t="str">
        <x:v>反馈文案</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来源（当前证据）：liveshow-proto/MainBasis/统一需求文档.md；位置：行622、行510、行594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P2</x:v>
      </x:c>
      <x:c r="G356" s="9" t="str">
        <x:v>验证运营账号任务奖励限制</x:v>
      </x:c>
      <x:c r="H356" s="9" t="str">
        <x:v>反馈文案</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来源（当前证据）：liveshow-proto/MainBasis/统一需求文档.md；位置：行622、行510、行594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P2</x:v>
      </x:c>
      <x:c r="G357" s="9" t="str">
        <x:v>验证运营账号全部任务限制</x:v>
      </x:c>
      <x:c r="H357" s="9" t="str">
        <x:v>反馈文案</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来源（当前证据）：liveshow-proto/MainBasis/统一需求文档.md；位置：行622、行510、行594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P2</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来源（当前证据）：liveshow-proto/MainBasis/统一需求文档.md；位置：行627、行634、行625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P2</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来源（当前证据）：liveshow-proto/MainBasis/统一需求文档.md；位置：行628、行629、行630、行625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P2</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来源（当前证据）：liveshow-proto/MainBasis/统一需求文档.md；位置：行628、行629、行630、行625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P2</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来源（当前证据）：liveshow-proto/MainBasis/统一需求文档.md；位置：行628、行629、行630、行625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P2</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来源（当前证据）：liveshow-proto/MainBasis/统一需求文档.md；位置：行628、行629、行630、行625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P2</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来源（当前证据）：liveshow-proto/MainBasis/统一需求文档.md；位置：行636、行625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P2</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来源（当前证据）：liveshow-proto/MainBasis/统一需求文档.md；位置：行636、行625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P2</x:v>
      </x:c>
      <x:c r="G365" s="9" t="str">
        <x:v>验证已领取禁重复</x:v>
      </x:c>
      <x:c r="H365" s="9" t="str">
        <x:v>任务奖励重复领取限制</x:v>
      </x: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来源（当前证据）：liveshow-proto/MainBasis/统一需求文档.md；位置：行632、行636、行625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x:c r="H366" s="9" t="str">
        <x:v>福利页面去向</x:v>
      </x: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来源（当前证据）：liveshow-proto/MainBasis/统一需求文档.md；位置：行637、行625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P2</x:v>
      </x:c>
      <x:c r="G367" s="9" t="str">
        <x:v>验证成功邀请人数</x:v>
      </x:c>
      <x:c r="H367" s="9" t="str">
        <x:v>成功邀请人数统计</x:v>
      </x: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来源（当前证据）：liveshow-proto/MainBasis/统一需求文档.md；位置：行642、行640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P2</x:v>
      </x:c>
      <x:c r="G368" s="9" t="str">
        <x:v>验证邀请记录范围</x:v>
      </x:c>
      <x:c r="H368" s="9" t="str">
        <x:v>邀请记录账号范围</x:v>
      </x: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来源（当前证据）：liveshow-proto/MainBasis/统一需求文档.md；位置：行647、行640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来源（当前证据）：liveshow-proto/MainBasis/统一需求文档.md；位置：行647、行640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x:c r="H370" s="9" t="str">
        <x:v>邀请记录字段展示</x:v>
      </x: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来源（当前证据）：liveshow-proto/MainBasis/统一需求文档.md；位置：行644、行640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x:c r="H371" s="9" t="str">
        <x:v>邀请记录分页</x:v>
      </x: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来源（当前证据）：liveshow-proto/MainBasis/统一需求文档.md；位置：行649、行640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来源（当前证据）：liveshow-proto/MainBasis/统一需求文档.md；位置：行650、行1914、行640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反馈文案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来源（当前证据）：liveshow-proto/MainBasis/统一需求文档.md；位置：行1916、行1915、行640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x:c r="H374" s="9" t="str">
        <x:v>系统分享唤起</x:v>
      </x: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来源（当前证据）：liveshow-proto/MainBasis/统一需求文档.md；位置：行1917、行640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x:c r="H375" s="9" t="str">
        <x:v>邀请图片保存反馈</x:v>
      </x: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来源（当前证据）：liveshow-proto/MainBasis/统一需求文档.md；位置：行1918、行640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P2</x:v>
      </x:c>
      <x:c r="G376" s="9" t="str">
        <x:v>验证分享不计成功邀请</x:v>
      </x:c>
      <x:c r="H376" s="9" t="str">
        <x:v>成功邀请计数条件</x:v>
      </x: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来源（当前证据）：liveshow-proto/MainBasis/统一需求文档.md；位置：行1915、行640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x:c r="H377" s="9" t="str">
        <x:v>邀请分享面板关闭</x:v>
      </x: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来源（当前证据）：liveshow-proto/MainBasis/统一需求文档.md；位置：行1919、行640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x:c r="H378" s="9" t="str">
        <x:v>邀请分享面板关闭</x:v>
      </x: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来源（当前证据）：liveshow-proto/MainBasis/统一需求文档.md；位置：行1919、行640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P2</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来源（当前证据）：liveshow-proto/MainBasis/统一需求文档.md；位置：行966、行958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P2</x:v>
      </x:c>
      <x:c r="G380" s="9" t="str">
        <x:v>验证停用公会不可检索</x:v>
      </x:c>
      <x:c r="H380" s="9" t="str">
        <x:v>展示内容</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来源（当前证据）：liveshow-proto/MainBasis/统一需求文档.md；位置：行966、行500、行958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展示内容</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来源（当前证据）：liveshow-proto/MainBasis/统一需求文档.md；位置：行966、行958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来源（当前证据）：liveshow-proto/MainBasis/统一需求文档.md；位置：行967、行958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来源（当前证据）：liveshow-proto/MainBasis/统一需求文档.md；位置：行961、行968、行958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展示内容</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来源（当前证据）：liveshow-proto/MainBasis/统一需求文档.md；位置：行970、行958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展示内容</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来源（当前证据）：liveshow-proto/MainBasis/统一需求文档.md；位置：行961、行958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展示内容</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来源（当前证据）：liveshow-proto/MainBasis/统一需求文档.md；位置：行970、行958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展示内容</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来源（当前证据）：liveshow-proto/MainBasis/统一需求文档.md；位置：行970、行958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P2</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来源（当前证据）：liveshow-proto/MainBasis/统一需求文档.md；位置：行971、行977、行958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P2</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来源（当前证据）：liveshow-proto/MainBasis/统一需求文档.md；位置：行971、行977、行958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P2</x:v>
      </x:c>
      <x:c r="G390" s="9" t="str">
        <x:v>验证已入会禁止其他申请</x:v>
      </x:c>
      <x:c r="H390" s="9" t="str">
        <x:v>入会申请按钮状态</x:v>
      </x: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来源（当前证据）：liveshow-proto/MainBasis/统一需求文档.md；位置：行969、行972、行958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P2</x:v>
      </x:c>
      <x:c r="G391" s="9" t="str">
        <x:v>验证审核中禁止其他申请</x:v>
      </x:c>
      <x:c r="H391" s="9" t="str">
        <x:v>入会申请按钮状态</x:v>
      </x: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来源（当前证据）：liveshow-proto/MainBasis/统一需求文档.md；位置：行972、行499、行958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来源（当前证据）：liveshow-proto/MainBasis/统一需求文档.md；位置：行971、行958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展示内容</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来源（当前证据）：liveshow-proto/MainBasis/统一需求文档.md；位置：行981、行975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展示内容</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来源（当前证据）：liveshow-proto/MainBasis/统一需求文档.md；位置：行981、行975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P2</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来源（当前证据）：liveshow-proto/MainBasis/统一需求文档.md；位置：行987、行975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来源（当前证据）：liveshow-proto/MainBasis/统一需求文档.md；位置：行978、行987、行975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P2</x:v>
      </x:c>
      <x:c r="G397" s="9" t="str">
        <x:v>验证电话号码印尼区号</x:v>
      </x:c>
      <x:c r="H397" s="9" t="str">
        <x:v>展示内容</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来源（当前证据）：liveshow-proto/MainBasis/统一需求文档.md；位置：行979、行975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来源（当前证据）：liveshow-proto/MainBasis/统一需求文档.md；位置：行985、行988、行975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P0</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来源（当前证据）：liveshow-proto/MainBasis/统一需求文档.md；位置：行985、行988、行975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来源（当前证据）：liveshow-proto/MainBasis/统一需求文档.md；位置：行981、行988、行975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P0</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来源（当前证据）：liveshow-proto/MainBasis/统一需求文档.md；位置：行984、行499、行975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来源（当前证据）：liveshow-proto/MainBasis/统一需求文档.md；位置：行989、行975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x:c r="H403" s="9" t="str">
        <x:v>入会资料必填校验</x:v>
      </x: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来源（当前证据）：liveshow-proto/MainBasis/统一需求文档.md；位置：行978、行987、行975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x:c r="H404" s="9" t="str">
        <x:v>入会资料必填校验</x:v>
      </x: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来源（当前证据）：liveshow-proto/MainBasis/统一需求文档.md；位置：行979、行987、行975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x:c r="H405" s="9" t="str">
        <x:v>入会资料必填校验</x:v>
      </x: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来源（当前证据）：liveshow-proto/MainBasis/统一需求文档.md；位置：行980、行987、行975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x:c r="H406" s="9" t="str">
        <x:v>入会资料必填校验</x:v>
      </x: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来源（当前证据）：liveshow-proto/MainBasis/统一需求文档.md；位置：行982、行987、行975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x:c r="H407" s="9" t="str">
        <x:v>入会资料必填校验</x:v>
      </x: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来源（当前证据）：liveshow-proto/MainBasis/统一需求文档.md；位置：行982、行987、行975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x:c r="H408" s="9" t="str">
        <x:v>上传照片文件类型</x:v>
      </x: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来源（当前证据）：liveshow-proto/MainBasis/统一需求文档.md；位置：行980、行975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x:c r="H409" s="9" t="str">
        <x:v>上传照片文件类型</x:v>
      </x: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来源（当前证据）：liveshow-proto/MainBasis/统一需求文档.md；位置：行982、行975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x:c r="H410" s="9" t="str">
        <x:v>上传照片文件类型</x:v>
      </x: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来源（当前证据）：liveshow-proto/MainBasis/统一需求文档.md；位置：行982、行975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P2</x:v>
      </x:c>
      <x:c r="G411" s="9" t="str">
        <x:v>验证我的公会仅本人申请</x:v>
      </x:c>
      <x:c r="H411" s="9" t="str">
        <x:v>申请记录账号范围</x:v>
      </x: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来源（当前证据）：liveshow-proto/MainBasis/统一需求文档.md；位置：行998、行992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来源（当前证据）：liveshow-proto/MainBasis/统一需求文档.md；位置：行998、行992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P2</x:v>
      </x:c>
      <x:c r="G413" s="9" t="str">
        <x:v>验证同公会多次申请合并</x:v>
      </x:c>
      <x:c r="H413" s="9" t="str">
        <x:v>同公会申请卡片合并</x:v>
      </x: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来源（当前证据）：liveshow-proto/MainBasis/统一需求文档.md；位置：行999、行992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x:c r="H414" s="9" t="str">
        <x:v>公会申请时间排序</x:v>
      </x: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来源（当前证据）：liveshow-proto/MainBasis/统一需求文档.md；位置：行1000、行992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P2</x:v>
      </x:c>
      <x:c r="G415" s="9" t="str">
        <x:v>验证退出被驳回仍已加入</x:v>
      </x:c>
      <x:c r="H415" s="9" t="str">
        <x:v>展示内容</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来源（当前证据）：liveshow-proto/MainBasis/统一需求文档.md；位置：行1001、行992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页面去向</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来源（当前证据）：liveshow-proto/MainBasis/统一需求文档.md；位置：行1002、行992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P0</x:v>
      </x:c>
      <x:c r="G417" s="9" t="str">
        <x:v>验证公会通过自动到平台</x:v>
      </x:c>
      <x:c r="H417" s="9" t="str">
        <x:v>审核节点自动流转</x:v>
      </x: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来源（当前证据）：liveshow-proto/MainBasis/统一需求文档.md；位置：行1019、行499、行1005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x:c r="H418" s="9" t="str">
        <x:v>入会关系状态</x:v>
      </x: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来源（当前证据）：liveshow-proto/MainBasis/统一需求文档.md；位置：行499、行1008、行1005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P2</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来源（当前证据）：liveshow-proto/MainBasis/统一需求文档.md；位置：行986、行1021、行1005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P2</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来源（当前证据）：liveshow-proto/MainBasis/统一需求文档.md；位置：行986、行1021、行1005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来源（当前证据）：liveshow-proto/MainBasis/统一需求文档.md；位置：行1018、行1005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展示内容</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来源（当前证据）：liveshow-proto/MainBasis/统一需求文档.md；位置：行1025、行1005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P2</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来源（当前证据）：liveshow-proto/MainBasis/统一需求文档.md；位置：行1014、行1015、行1016、行1025、行1005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P2</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来源（当前证据）：liveshow-proto/MainBasis/统一需求文档.md；位置：行1014、行1015、行1016、行1025、行1005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P2</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来源（当前证据）：liveshow-proto/MainBasis/统一需求文档.md；位置：行1014、行1015、行1016、行1025、行1005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P2</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来源（当前证据）：liveshow-proto/MainBasis/统一需求文档.md；位置：行1014、行1015、行1016、行1025、行1005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x:c r="H427" s="9" t="str">
        <x:v>申请资料收起状态</x:v>
      </x: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来源（当前证据）：liveshow-proto/MainBasis/统一需求文档.md；位置：行1025、行1005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x:c r="H428" s="9" t="str">
        <x:v>申请资料展开独立性</x:v>
      </x: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来源（当前证据）：liveshow-proto/MainBasis/统一需求文档.md；位置：行1025、行1005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P2</x:v>
      </x:c>
      <x:c r="G429" s="9" t="str">
        <x:v>验证申请材料保持历史快照</x:v>
      </x:c>
      <x:c r="H429" s="9" t="str">
        <x:v>申请材料历史快照</x:v>
      </x: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来源（当前证据）：liveshow-proto/MainBasis/统一需求文档.md；位置：行1022、行1005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x:c r="H430" s="9" t="str">
        <x:v>空申请原因可见性</x:v>
      </x: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来源（当前证据）：liveshow-proto/MainBasis/统一需求文档.md；位置：行1012、行1005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展示内容</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来源（当前证据）：liveshow-proto/MainBasis/统一需求文档.md；位置：行1013、行1005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来源（当前证据）：liveshow-proto/MainBasis/统一需求文档.md；位置：行1023、行1005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P2</x:v>
      </x:c>
      <x:c r="G433" s="9" t="str">
        <x:v>验证退出申请处理中隐藏重复入口</x:v>
      </x:c>
      <x:c r="H433" s="9" t="str">
        <x:v>重复退会入口可见性</x:v>
      </x: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来源（当前证据）：liveshow-proto/MainBasis/统一需求文档.md；位置：行1023、行1005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P2</x:v>
      </x:c>
      <x:c r="G434" s="9" t="str">
        <x:v>验证退会处理中关系保留</x:v>
      </x:c>
      <x:c r="H434" s="9" t="str">
        <x:v>退会中公会关系保留</x:v>
      </x: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来源（当前证据）：liveshow-proto/MainBasis/统一需求文档.md；位置：行1021、行1005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x:c r="H435" s="9" t="str">
        <x:v>退会后公会关系解除</x:v>
      </x: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来源（当前证据）：liveshow-proto/MainBasis/统一需求文档.md；位置：行1020、行1021、行1005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页面去向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来源（当前证据）：liveshow-proto/MainBasis/统一需求文档.md；位置：行1024、行1005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P2</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来源（当前证据）：liveshow-proto/MainBasis/统一需求文档.md；位置：行1030、行1028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P2</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来源（当前证据）：liveshow-proto/MainBasis/统一需求文档.md；位置：行1030、行1028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P2</x:v>
      </x:c>
      <x:c r="G439" s="9" t="str">
        <x:v>验证空退会原因</x:v>
      </x:c>
      <x:c r="H439" s="9" t="str">
        <x:v>退会原因必填校验</x:v>
      </x: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来源（当前证据）：liveshow-proto/MainBasis/统一需求文档.md；位置：行1036、行1028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P2</x:v>
      </x:c>
      <x:c r="G440" s="9" t="str">
        <x:v>验证空格退会原因</x:v>
      </x:c>
      <x:c r="H440" s="9" t="str">
        <x:v>退会原因必填校验</x:v>
      </x: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来源（当前证据）：liveshow-proto/MainBasis/统一需求文档.md；位置：行1031、行1028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来源（当前证据）：liveshow-proto/MainBasis/统一需求文档.md；位置：行1036、行1028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来源（当前证据）：liveshow-proto/MainBasis/统一需求文档.md；位置：行1032、行1028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P2</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来源（当前证据）：liveshow-proto/MainBasis/统一需求文档.md；位置：行1033、行1028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P2</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来源（当前证据）：liveshow-proto/MainBasis/统一需求文档.md；位置：行1291、行1289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P2</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来源（当前证据）：liveshow-proto/MainBasis/统一需求文档.md；位置：行1294、行1295、行1289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P2</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来源（当前证据）：liveshow-proto/MainBasis/统一需求文档.md；位置：行1294、行1295、行1289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展示内容</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来源（当前证据）：liveshow-proto/MainBasis/统一需求文档.md；位置：行1296、行1289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P2</x:v>
      </x:c>
      <x:c r="G448" s="9" t="str">
        <x:v>验证价格USD两位小数</x:v>
      </x:c>
      <x:c r="H448" s="9" t="str">
        <x:v>展示内容</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来源（当前证据）：liveshow-proto/MainBasis/统一需求文档.md；位置：行1299、行1289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来源（当前证据）：liveshow-proto/MainBasis/统一需求文档.md；位置：行1300、行1289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来源（当前证据）：liveshow-proto/MainBasis/统一需求文档.md；位置：行1300、行1289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P2</x:v>
      </x:c>
      <x:c r="G451" s="9" t="str">
        <x:v>验证已下架套餐过滤</x:v>
      </x:c>
      <x:c r="H451" s="9" t="str">
        <x:v>展示内容</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来源（当前证据）：liveshow-proto/MainBasis/统一需求文档.md；位置：行1300、行1289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P2</x:v>
      </x:c>
      <x:c r="G452" s="9" t="str">
        <x:v>验证过期活动套餐过滤</x:v>
      </x:c>
      <x:c r="H452" s="9" t="str">
        <x:v>展示内容</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来源（当前证据）：liveshow-proto/MainBasis/统一需求文档.md；位置：行1300、行1289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P2</x:v>
      </x:c>
      <x:c r="G453" s="9" t="str">
        <x:v>验证达到限购次数过滤</x:v>
      </x:c>
      <x:c r="H453" s="9" t="str">
        <x:v>套餐限购资格</x:v>
      </x: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来源（当前证据）：liveshow-proto/MainBasis/统一需求文档.md；位置：行1300、行1301、行1289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P2</x:v>
      </x:c>
      <x:c r="G454" s="9" t="str">
        <x:v>验证未达到限购仍可购买</x:v>
      </x:c>
      <x:c r="H454" s="9" t="str">
        <x:v>套餐限购资格</x:v>
      </x: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来源（当前证据）：liveshow-proto/MainBasis/统一需求文档.md；位置：行1301、行1289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P2</x:v>
      </x:c>
      <x:c r="G455" s="9" t="str">
        <x:v>验证零限购为不限购</x:v>
      </x:c>
      <x:c r="H455" s="9" t="str">
        <x:v>套餐限购资格</x:v>
      </x: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来源（当前证据）：liveshow-proto/MainBasis/统一需求文档.md；位置：行1301、行1289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来源（当前证据）：liveshow-proto/MainBasis/统一需求文档.md；位置：行1301、行1289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展示内容</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来源（当前证据）：liveshow-proto/MainBasis/统一需求文档.md；位置：行1305、行1289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x:c r="H458" s="9" t="str">
        <x:v>套餐支付发起</x:v>
      </x: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来源（当前证据）：liveshow-proto/MainBasis/统一需求文档.md；位置：行1305、行1289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来源（当前证据）：liveshow-proto/MainBasis/统一需求文档.md；位置：行1302、行1295、行1289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P0</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来源（当前证据）：liveshow-proto/MainBasis/统一需求文档.md；位置：行1302、行1289
2. 规则：BR-04b92a0758602ecd
3. 未动态验证</x:v>
      </x:c>
    </x:row>
    <x:row r="461" ht="85" customHeight="1">
      <x:c r="A461" s="10" t="n">
        <x:v>460</x:v>
      </x:c>
      <x:c r="B461" s="10" t="str">
        <x:v>USER-08-0018</x:v>
      </x:c>
      <x:c r="C461" s="10" t="str">
        <x:v>钱包与账单</x:v>
      </x:c>
      <x:c r="D461" s="10" t="str">
        <x:v>余额充值（真实金币用户视角）</x:v>
      </x:c>
      <x:c r="E461" s="10" t="str">
        <x:v>逻辑校验</x:v>
      </x:c>
      <x:c r="F461" s="10" t="str">
        <x:v>P0</x:v>
      </x:c>
      <x:c r="G461" s="9" t="str">
        <x:v>验证重复支付回调只入账一次</x:v>
      </x:c>
      <x:c r="H461" s="9" t="str">
        <x:v>资产数值</x:v>
      </x:c>
      <x:c r="I461" s="9" t="str">
        <x:v>1. 执行角色为真实金币用户；当前处于余额充值页面
2. 余额原为100；1100金币订单已成功入账；测试渠道重复回调已完成</x:v>
      </x:c>
      <x:c r="J461" s="9" t="str">
        <x:v>1. 刷新充值页余额</x:v>
      </x:c>
      <x:c r="K461" s="9" t="str">
        <x:v>余额仍为1200金币</x:v>
      </x:c>
      <x:c r="L461" s="10" t="str"/>
      <x:c r="M461" s="10" t="str">
        <x:v>未测</x:v>
      </x:c>
      <x:c r="N461" s="10" t="str"/>
      <x:c r="O461" s="9" t="str">
        <x:v>1. 来源（当前证据）：liveshow-proto/MainBasis/统一需求文档.md；位置：行1302、行1289
2. 规则：BR-652484cbd533d5e6
3. 未动态验证</x:v>
      </x:c>
    </x:row>
    <x:row r="462" ht="130" customHeight="1">
      <x:c r="A462" s="10" t="n">
        <x:v>461</x:v>
      </x:c>
      <x:c r="B462" s="10" t="str">
        <x:v>USER-08-0019</x:v>
      </x:c>
      <x:c r="C462" s="10" t="str">
        <x:v>钱包与账单</x:v>
      </x:c>
      <x:c r="D462" s="10" t="str">
        <x:v>余额充值（真实金币用户视角）</x:v>
      </x:c>
      <x:c r="E462" s="10" t="str">
        <x:v>逻辑校验</x:v>
      </x:c>
      <x:c r="F462" s="10" t="str">
        <x:v>P0</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来源（当前证据）：liveshow-proto/MainBasis/统一需求文档.md；位置：行1303、行506、行1289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P2</x:v>
      </x:c>
      <x:c r="G463" s="9" t="str">
        <x:v>验证用户侧无退款入口</x:v>
      </x:c>
      <x:c r="H463" s="9" t="str">
        <x:v>展示内容</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来源（当前证据）：liveshow-proto/MainBasis/统一需求文档.md；位置：行1303、行1289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x:c r="H464" s="9" t="str">
        <x:v>余额明细页面去向</x:v>
      </x: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来源（当前证据）：liveshow-proto/MainBasis/统一需求文档.md；位置：行1307、行1289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页面去向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来源（当前证据）：liveshow-proto/MainBasis/统一需求文档.md；位置：行1307、行1289
2. 规则：BR-2250e009a3d8c36a
3. 未动态验证</x:v>
      </x:c>
    </x:row>
    <x:row r="466" ht="85" customHeight="1">
      <x:c r="A466" s="10" t="n">
        <x:v>465</x:v>
      </x:c>
      <x:c r="B466" s="10" t="str">
        <x:v>USER-08-0023</x:v>
      </x:c>
      <x:c r="C466" s="10" t="str">
        <x:v>钱包与账单</x:v>
      </x:c>
      <x:c r="D466" s="10" t="str">
        <x:v>余额充值（真实金币用户视角）</x:v>
      </x:c>
      <x:c r="E466" s="10" t="str">
        <x:v>异常用例</x:v>
      </x:c>
      <x:c r="F466" s="10" t="str">
        <x:v>P0</x:v>
      </x:c>
      <x:c r="G466" s="9" t="str">
        <x:v>验证支付失败不增加余额</x:v>
      </x:c>
      <x:c r="H466" s="9" t="str">
        <x:v>资产数值</x:v>
      </x:c>
      <x:c r="I466" s="9" t="str">
        <x:v>1. 执行角色为真实金币用户；当前处于余额充值页面
2. 支付前余额100；已准备沙箱支付订单</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来源（当前证据）：liveshow-proto/MainBasis/统一需求文档.md；位置：行1302、行1306、行1289
2. 规则：BR-45b6760416a66ceb
3. 未动态验证</x:v>
      </x:c>
    </x:row>
    <x:row r="467" ht="85" customHeight="1">
      <x:c r="A467" s="10" t="n">
        <x:v>466</x:v>
      </x:c>
      <x:c r="B467" s="10" t="str">
        <x:v>USER-08-0024</x:v>
      </x:c>
      <x:c r="C467" s="10" t="str">
        <x:v>钱包与账单</x:v>
      </x:c>
      <x:c r="D467" s="10" t="str">
        <x:v>余额充值（真实金币用户视角）</x:v>
      </x:c>
      <x:c r="E467" s="10" t="str">
        <x:v>异常用例</x:v>
      </x:c>
      <x:c r="F467" s="10" t="str">
        <x:v>P0</x:v>
      </x:c>
      <x:c r="G467" s="9" t="str">
        <x:v>验证支付超时不增加余额</x:v>
      </x:c>
      <x:c r="H467" s="9" t="str">
        <x:v>资产数值</x:v>
      </x:c>
      <x:c r="I467" s="9" t="str">
        <x:v>1. 执行角色为真实金币用户；当前处于余额充值页面
2. 支付前余额100；已准备沙箱支付订单</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来源（当前证据）：liveshow-proto/MainBasis/统一需求文档.md；位置：行1302、行1306、行1289
2. 规则：BR-403dd1780b1ae938
3. 未动态验证</x:v>
      </x:c>
    </x:row>
    <x:row r="468" ht="85" customHeight="1">
      <x:c r="A468" s="10" t="n">
        <x:v>467</x:v>
      </x:c>
      <x:c r="B468" s="10" t="str">
        <x:v>USER-08-0025</x:v>
      </x:c>
      <x:c r="C468" s="10" t="str">
        <x:v>钱包与账单</x:v>
      </x:c>
      <x:c r="D468" s="10" t="str">
        <x:v>余额充值（真实金币用户视角）</x:v>
      </x:c>
      <x:c r="E468" s="10" t="str">
        <x:v>异常用例</x:v>
      </x:c>
      <x:c r="F468" s="10" t="str">
        <x:v>P0</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来源（当前证据）：liveshow-proto/MainBasis/统一需求文档.md；位置：行1302、行1306、行1289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P2</x:v>
      </x:c>
      <x:c r="G469" s="9" t="str">
        <x:v>验证本人流水隔离</x:v>
      </x:c>
      <x:c r="H469" s="9" t="str">
        <x:v>展示内容</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来源（当前证据）：liveshow-proto/MainBasis/统一需求文档.md；位置：行1316、行1310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来源（当前证据）：liveshow-proto/MainBasis/统一需求文档.md；位置：行1316、行1310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x:c r="H471" s="9" t="str">
        <x:v>同时间流水排序</x:v>
      </x: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来源（当前证据）：liveshow-proto/MainBasis/统一需求文档.md；位置：行1316、行1310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P2</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来源（当前证据）：liveshow-proto/MainBasis/统一需求文档.md；位置：行1313、行1310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P2</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来源（当前证据）：liveshow-proto/MainBasis/统一需求文档.md；位置：行1313、行1310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P0</x:v>
      </x:c>
      <x:c r="G474" s="9" t="str">
        <x:v>验证退款单独冲正不改原流水</x:v>
      </x:c>
      <x:c r="H474" s="9" t="str">
        <x:v>退款冲正流水保留</x:v>
      </x: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来源（当前证据）：liveshow-proto/MainBasis/统一需求文档.md；位置：行1315、行506、行1310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P2</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来源（当前证据）：liveshow-proto/MainBasis/统一需求文档.md；位置：行1317、行1310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P2</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来源（当前证据）：liveshow-proto/MainBasis/统一需求文档.md；位置：行1317、行1310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P2</x:v>
      </x:c>
      <x:c r="G477" s="9" t="str">
        <x:v>验证充值流水进入充值详情</x:v>
      </x:c>
      <x:c r="H477" s="9" t="str">
        <x:v>页面去向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来源（当前证据）：liveshow-proto/MainBasis/统一需求文档.md；位置：行1317、行1310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P2</x:v>
      </x:c>
      <x:c r="G478" s="9" t="str">
        <x:v>验证消费流水进入支出详情</x:v>
      </x:c>
      <x:c r="H478" s="9" t="str">
        <x:v>页面去向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来源（当前证据）：liveshow-proto/MainBasis/统一需求文档.md；位置：行1317、行1310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P2</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来源（当前证据）：liveshow-proto/MainBasis/统一需求文档.md；位置：行1312、行1310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P2</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来源（当前证据）：liveshow-proto/MainBasis/统一需求文档.md；位置：行1312、行1310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P2</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来源（当前证据）：liveshow-proto/MainBasis/统一需求文档.md；位置：行1322、行1323、行1324、行1326、行1327、行1320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P2</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来源（当前证据）：liveshow-proto/MainBasis/统一需求文档.md；位置：行1322、行1323、行1324、行1326、行1327、行1320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P2</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来源（当前证据）：liveshow-proto/MainBasis/统一需求文档.md；位置：行1322、行1323、行1324、行1326、行1327、行1320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P2</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来源（当前证据）：liveshow-proto/MainBasis/统一需求文档.md；位置：行1322、行1323、行1324、行1326、行1327、行1320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P2</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来源（当前证据）：liveshow-proto/MainBasis/统一需求文档.md；位置：行1322、行1323、行1324、行1326、行1327、行1320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P2</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来源（当前证据）：liveshow-proto/MainBasis/统一需求文档.md；位置：行1325、行1320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P2</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来源（当前证据）：liveshow-proto/MainBasis/统一需求文档.md；位置：行1325、行1320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P2</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来源（当前证据）：liveshow-proto/MainBasis/统一需求文档.md；位置：行1329、行1320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P2</x:v>
      </x:c>
      <x:c r="G489" s="9" t="str">
        <x:v>验证充值详情无退款入口</x:v>
      </x:c>
      <x:c r="H489" s="9" t="str">
        <x:v>展示内容</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来源（当前证据）：liveshow-proto/MainBasis/统一需求文档.md；位置：行1328、行1320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P2</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来源（当前证据）：liveshow-proto/MainBasis/统一需求文档.md；位置：行1330、行1320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P2</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来源（当前证据）：liveshow-proto/MainBasis/统一需求文档.md；位置：行1330、行1320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来源（当前证据）：liveshow-proto/MainBasis/统一需求文档.md；位置：行1330、行1320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P2</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来源（当前证据）：liveshow-proto/MainBasis/统一需求文档.md；位置：行1335、行1336、行1338、行1343、行1333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P2</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来源（当前证据）：liveshow-proto/MainBasis/统一需求文档.md；位置：行1335、行1336、行1338、行1343、行1333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P2</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来源（当前证据）：liveshow-proto/MainBasis/统一需求文档.md；位置：行1335、行1336、行1338、行1343、行1333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P2</x:v>
      </x:c>
      <x:c r="G496" s="9" t="str">
        <x:v>验证消费主播信息</x:v>
      </x:c>
      <x:c r="H496" s="9" t="str">
        <x:v>展示内容</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来源（当前证据）：liveshow-proto/MainBasis/统一需求文档.md；位置：行1339、行1333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P2</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来源（当前证据）：liveshow-proto/MainBasis/统一需求文档.md；位置：行1343、行1333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P2</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来源（当前证据）：liveshow-proto/MainBasis/统一需求文档.md；位置：行1343、行1333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P2</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来源（当前证据）：liveshow-proto/MainBasis/统一需求文档.md；位置：行1343、行1333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P2</x:v>
      </x:c>
      <x:c r="G500" s="9" t="str">
        <x:v>验证礼物消费不可退款</x:v>
      </x:c>
      <x:c r="H500" s="9" t="str">
        <x:v>展示内容</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来源（当前证据）：liveshow-proto/MainBasis/统一需求文档.md；位置：行1341、行1333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P2</x:v>
      </x:c>
      <x:c r="G501" s="9" t="str">
        <x:v>验证门票消费不可退款</x:v>
      </x:c>
      <x:c r="H501" s="9" t="str">
        <x:v>展示内容</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来源（当前证据）：liveshow-proto/MainBasis/统一需求文档.md；位置：行1341、行1333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P2</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来源（当前证据）：liveshow-proto/MainBasis/统一需求文档.md；位置：行1344、行1333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展示内容</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来源（当前证据）：liveshow-proto/MainBasis/统一需求文档.md；位置：行656、行658、行653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x:c r="H504" s="9" t="str">
        <x:v>会话时间排序</x:v>
      </x: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来源（当前证据）：liveshow-proto/MainBasis/统一需求文档.md；位置：行662、行653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x:c r="H505" s="9" t="str">
        <x:v>同时间会话排序</x:v>
      </x: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来源（当前证据）：liveshow-proto/MainBasis/统一需求文档.md；位置：行662、行653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来源（当前证据）：liveshow-proto/MainBasis/统一需求文档.md；位置：行655、行653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来源（当前证据）：liveshow-proto/MainBasis/统一需求文档.md；位置：行655、行653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来源（当前证据）：liveshow-proto/MainBasis/统一需求文档.md；位置：行655、行653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来源（当前证据）：liveshow-proto/MainBasis/统一需求文档.md；位置：行655、行653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来源（当前证据）：liveshow-proto/MainBasis/统一需求文档.md；位置：行655、行653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P2</x:v>
      </x:c>
      <x:c r="G511" s="9" t="str">
        <x:v>验证进入私信清未读</x:v>
      </x:c>
      <x:c r="H511" s="9" t="str">
        <x:v>私信未读计数清零</x:v>
      </x: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来源（当前证据）：liveshow-proto/MainBasis/统一需求文档.md；位置：行663、行653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P2</x:v>
      </x:c>
      <x:c r="G512" s="9" t="str">
        <x:v>验证新消息更新会话</x:v>
      </x:c>
      <x:c r="H512" s="9" t="str">
        <x:v>新消息会话摘要更新</x:v>
      </x: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来源（当前证据）：liveshow-proto/MainBasis/统一需求文档.md；位置：行663、行653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P2</x:v>
      </x:c>
      <x:c r="G513" s="9" t="str">
        <x:v>验证粉丝群与私信分别维护</x:v>
      </x:c>
      <x:c r="H513" s="9" t="str">
        <x:v>展示内容</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来源（当前证据）：liveshow-proto/MainBasis/统一需求文档.md；位置：行658、行1926、行653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P2</x:v>
      </x:c>
      <x:c r="G514" s="9" t="str">
        <x:v>验证团籍失效移除会话</x:v>
      </x:c>
      <x:c r="H514" s="9" t="str">
        <x:v>展示内容</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来源（当前证据）：liveshow-proto/MainBasis/统一需求文档.md；位置：行1928、行653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P2</x:v>
      </x:c>
      <x:c r="G515" s="9" t="str">
        <x:v>验证有效粉丝群进入清未读</x:v>
      </x:c>
      <x:c r="H515" s="9" t="str">
        <x:v>粉丝群未读计数清零</x:v>
      </x: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来源（当前证据）：liveshow-proto/MainBasis/统一需求文档.md；位置：行1928、行653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P2</x:v>
      </x:c>
      <x:c r="G516" s="9" t="str">
        <x:v>验证系统通知仅当前账号</x:v>
      </x:c>
      <x:c r="H516" s="9" t="str">
        <x:v>展示内容</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来源（当前证据）：liveshow-proto/MainBasis/统一需求文档.md；位置：行672、行666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来源（当前证据）：liveshow-proto/MainBasis/统一需求文档.md；位置：行669、行673、行666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来源（当前证据）：liveshow-proto/MainBasis/统一需求文档.md；位置：行669、行666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P2</x:v>
      </x:c>
      <x:c r="G519" s="9" t="str">
        <x:v>验证进入标为已读</x:v>
      </x:c>
      <x:c r="H519" s="9" t="str">
        <x:v>通知已读状态</x:v>
      </x: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来源（当前证据）：liveshow-proto/MainBasis/统一需求文档.md；位置：行670、行666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P2</x:v>
      </x:c>
      <x:c r="G520" s="9" t="str">
        <x:v>验证通知只读无业务操作</x:v>
      </x:c>
      <x:c r="H520" s="9" t="str">
        <x:v>通知操作入口可见性</x:v>
      </x: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来源（当前证据）：liveshow-proto/MainBasis/统一需求文档.md；位置：行671、行666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P2</x:v>
      </x:c>
      <x:c r="G521" s="9" t="str">
        <x:v>验证关闭系统权限仍收到站内通知</x:v>
      </x:c>
      <x:c r="H521" s="9" t="str">
        <x:v>展示内容</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来源（当前证据）：liveshow-proto/MainBasis/统一需求文档.md；位置：行672、行1547、行666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P2</x:v>
      </x:c>
      <x:c r="G522" s="9" t="str">
        <x:v>验证粉丝列表范围</x:v>
      </x:c>
      <x:c r="H522" s="9" t="str">
        <x:v>展示内容</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来源（当前证据）：liveshow-proto/MainBasis/统一需求文档.md；位置：行713、行707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展示内容</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来源（当前证据）：liveshow-proto/MainBasis/统一需求文档.md；位置：行709、行707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来源（当前证据）：liveshow-proto/MainBasis/统一需求文档.md；位置：行709、行707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展示内容</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来源（当前证据）：liveshow-proto/MainBasis/统一需求文档.md；位置：行715、行707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页面去向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来源（当前证据）：liveshow-proto/MainBasis/统一需求文档.md；位置：行715、行707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页面去向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来源（当前证据）：liveshow-proto/MainBasis/统一需求文档.md；位置：行715、行707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P2</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来源（当前证据）：liveshow-proto/MainBasis/统一需求文档.md；位置：行863、行854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x:c r="H529" s="9" t="str">
        <x:v>好友账号搜索结果</x:v>
      </x: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来源（当前证据）：liveshow-proto/MainBasis/统一需求文档.md；位置：行856、行854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x:c r="H530" s="9" t="str">
        <x:v>好友列表搜索恢复</x:v>
      </x: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来源（当前证据）：liveshow-proto/MainBasis/统一需求文档.md；位置：行856、行854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x:c r="H531" s="9" t="str">
        <x:v>好友搜索空态</x:v>
      </x: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来源（当前证据）：liveshow-proto/MainBasis/统一需求文档.md；位置：行865、行854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页面去向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来源（当前证据）：liveshow-proto/MainBasis/统一需求文档.md；位置：行866、行854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页面去向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来源（当前证据）：liveshow-proto/MainBasis/统一需求文档.md；位置：行866、行854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P2</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来源（当前证据）：liveshow-proto/MainBasis/统一需求文档.md；位置：行723、行718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P2</x:v>
      </x:c>
      <x:c r="G535" s="9" t="str">
        <x:v>验证关注模糊搜索不区分大小写</x:v>
      </x:c>
      <x:c r="H535" s="9" t="str">
        <x:v>关注账号搜索结果</x:v>
      </x: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来源（当前证据）：liveshow-proto/MainBasis/统一需求文档.md；位置：行720、行718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P2</x:v>
      </x:c>
      <x:c r="G536" s="9" t="str">
        <x:v>验证关注空搜索恢复</x:v>
      </x:c>
      <x:c r="H536" s="9" t="str">
        <x:v>关注列表搜索恢复</x:v>
      </x: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来源（当前证据）：liveshow-proto/MainBasis/统一需求文档.md；位置：行720、行718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P2</x:v>
      </x:c>
      <x:c r="G537" s="9" t="str">
        <x:v>验证关注无匹配空态</x:v>
      </x:c>
      <x:c r="H537" s="9" t="str">
        <x:v>关注搜索空态</x:v>
      </x: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来源（当前证据）：liveshow-proto/MainBasis/统一需求文档.md；位置：行725、行718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页面去向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来源（当前证据）：liveshow-proto/MainBasis/统一需求文档.md；位置：行725、行718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页面去向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来源（当前证据）：liveshow-proto/MainBasis/统一需求文档.md；位置：行725、行718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P2</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来源（当前证据）：liveshow-proto/MainBasis/统一需求文档.md；位置：行860、行854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P2</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来源（当前证据）：liveshow-proto/MainBasis/统一需求文档.md；位置：行861、行854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P2</x:v>
      </x:c>
      <x:c r="G542" s="9" t="str">
        <x:v>验证关注不自动成为好友</x:v>
      </x:c>
      <x:c r="H542" s="9" t="str">
        <x:v>关注与好友关系独立性</x:v>
      </x: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来源（当前证据）：liveshow-proto/MainBasis/统一需求文档.md；位置：行862、行854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页面去向</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来源（当前证据）：liveshow-proto/MainBasis/统一需求文档.md；位置：行866、行854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页面去向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来源（当前证据）：liveshow-proto/MainBasis/统一需求文档.md；位置：行867、行854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P1</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来源（当前证据）：liveshow-proto/MainBasis/统一需求文档.md；位置：行876、行870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来源（当前证据）：liveshow-proto/MainBasis/统一需求文档.md；位置：行876、行870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P2</x:v>
      </x:c>
      <x:c r="G547" s="9" t="str">
        <x:v>验证同意后不可重复操作</x:v>
      </x:c>
      <x:c r="H547" s="9" t="str">
        <x:v>展示内容</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来源（当前证据）：liveshow-proto/MainBasis/统一需求文档.md；位置：行879、行870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P2</x:v>
      </x:c>
      <x:c r="G548" s="9" t="str">
        <x:v>验证拒绝后不可重复操作</x:v>
      </x:c>
      <x:c r="H548" s="9" t="str">
        <x:v>展示内容</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来源（当前证据）：liveshow-proto/MainBasis/统一需求文档.md；位置：行879、行870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P2</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来源（当前证据）：liveshow-proto/MainBasis/统一需求文档.md；位置：行876、行870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P2</x:v>
      </x:c>
      <x:c r="G550" s="9" t="str">
        <x:v>验证失效申请无处理按钮</x:v>
      </x:c>
      <x:c r="H550" s="9" t="str">
        <x:v>失效申请操作可见性</x:v>
      </x: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来源（当前证据）：liveshow-proto/MainBasis/统一需求文档.md；位置：行880、行870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来源（当前证据）：liveshow-proto/MainBasis/统一需求文档.md；位置：行874、行878、行870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x:c r="H552" s="9" t="str">
        <x:v>私信消息时间排序</x:v>
      </x: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来源（当前证据）：liveshow-proto/MainBasis/统一需求文档.md；位置：行885、行883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x:c r="H553" s="9" t="str">
        <x:v>同时间私信消息排序</x:v>
      </x: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来源（当前证据）：liveshow-proto/MainBasis/统一需求文档.md；位置：行892、行883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P2</x:v>
      </x:c>
      <x:c r="G554" s="9" t="str">
        <x:v>验证好友不受三条限制</x:v>
      </x:c>
      <x:c r="H554" s="9" t="str">
        <x:v>私信发送条数限制</x:v>
      </x: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来源（当前证据）：liveshow-proto/MainBasis/统一需求文档.md；位置：行887、行883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P2</x:v>
      </x:c>
      <x:c r="G555" s="9" t="str">
        <x:v>验证非好友第三条允许</x:v>
      </x:c>
      <x:c r="H555" s="9" t="str">
        <x:v>私信发送条数限制</x:v>
      </x: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来源（当前证据）：liveshow-proto/MainBasis/统一需求文档.md；位置：行887、行883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来源（当前证据）：liveshow-proto/MainBasis/统一需求文档.md；位置：行893、行883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来源（当前证据）：liveshow-proto/MainBasis/统一需求文档.md；位置：行893、行883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P2</x:v>
      </x:c>
      <x:c r="G558" s="9" t="str">
        <x:v>验证双向非好友独立计数</x:v>
      </x:c>
      <x:c r="H558" s="9" t="str">
        <x:v>双向私信限额独立性</x:v>
      </x: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来源（当前证据）：liveshow-proto/MainBasis/统一需求文档.md；位置：行887、行883
2. 规则：BR-b0290758f7cb2601
3. 未动态验证</x:v>
      </x:c>
    </x:row>
    <x:row r="559" ht="8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来源（当前证据）：liveshow-proto/MainBasis/统一需求文档.md；位置：行893、行883
2. 规则：BR-270a32f9e34991f9
3. 未动态验证</x:v>
      </x:c>
    </x:row>
    <x:row r="560" ht="8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来源（当前证据）：liveshow-proto/MainBasis/统一需求文档.md；位置：行893、行883
2. 规则：BR-739305ad352e6357
3. 未动态验证</x:v>
      </x:c>
    </x:row>
    <x:row r="561" ht="85" customHeight="1">
      <x:c r="A561" s="10" t="n">
        <x:v>560</x:v>
      </x:c>
      <x:c r="B561" s="10" t="str">
        <x:v>USER-04-0053</x:v>
      </x:c>
      <x:c r="C561" s="10" t="str">
        <x:v>消息与社交</x:v>
      </x:c>
      <x:c r="D561" s="10" t="str">
        <x:v>1 对 1 私信（普通消息发送用户视角）</x:v>
      </x:c>
      <x:c r="E561" s="10" t="str">
        <x:v>业务流程</x:v>
      </x:c>
      <x:c r="F561" s="10" t="str">
        <x:v>P1</x:v>
      </x:c>
      <x:c r="G561" s="9" t="str">
        <x:v>验证失败图标重试</x:v>
      </x:c>
      <x:c r="H561" s="9" t="str">
        <x:v>失败消息重发</x:v>
      </x:c>
      <x:c r="I561" s="9" t="str">
        <x:v>1. 执行角色为普通消息发送用户；当前处于1 对 1 私信页面
2. 文本消息发送失败；网络已恢复且仍有发送资格</x:v>
      </x:c>
      <x:c r="J561" s="9" t="str">
        <x:v>1. 点击失败图标</x:v>
      </x:c>
      <x:c r="K561" s="9" t="str">
        <x:v>重新发送该条消息</x:v>
      </x:c>
      <x:c r="L561" s="10" t="str"/>
      <x:c r="M561" s="10" t="str">
        <x:v>未测</x:v>
      </x:c>
      <x:c r="N561" s="10" t="str"/>
      <x:c r="O561" s="9" t="str">
        <x:v>1. 来源（当前证据）：liveshow-proto/MainBasis/统一需求文档.md；位置：行893、行883
2. 规则：BR-f53d4a53c7f1ad8f
3. 未动态验证</x:v>
      </x:c>
    </x:row>
    <x:row r="562" ht="85" customHeight="1">
      <x:c r="A562" s="10" t="n">
        <x:v>561</x:v>
      </x:c>
      <x:c r="B562" s="10" t="str">
        <x:v>USER-04-0054</x:v>
      </x:c>
      <x:c r="C562" s="10" t="str">
        <x:v>消息与社交</x:v>
      </x:c>
      <x:c r="D562" s="10" t="str">
        <x:v>1 对 1 私信（普通消息发送用户视角）</x:v>
      </x:c>
      <x:c r="E562" s="10" t="str">
        <x:v>功能需求</x:v>
      </x:c>
      <x:c r="F562" s="10" t="str">
        <x:v>P2</x:v>
      </x:c>
      <x:c r="G562" s="9" t="str">
        <x:v>验证对方进入更新已读</x:v>
      </x:c>
      <x:c r="H562" s="9" t="str">
        <x:v>消息已读状态</x:v>
      </x: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来源（当前证据）：liveshow-proto/MainBasis/统一需求文档.md；位置：行886、行883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P2</x:v>
      </x:c>
      <x:c r="G563" s="9" t="str">
        <x:v>验证删除好友清记录</x:v>
      </x:c>
      <x:c r="H563" s="9" t="str">
        <x:v>解除好友后聊天清理</x:v>
      </x: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来源（当前证据）：liveshow-proto/MainBasis/统一需求文档.md；位置：行889、行883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P2</x:v>
      </x:c>
      <x:c r="G564" s="9" t="str">
        <x:v>验证私信发送文本</x:v>
      </x:c>
      <x:c r="H564" s="9" t="str">
        <x:v>文本消息发送</x:v>
      </x: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来源（当前证据）：liveshow-proto/MainBasis/统一需求文档.md；位置：行885、行893、行883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x:c r="H565" s="9" t="str">
        <x:v>拉黑后消息拒收</x:v>
      </x: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来源（当前证据）：liveshow-proto/MainBasis/统一需求文档.md；位置：行890、行883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P2</x:v>
      </x:c>
      <x:c r="G566" s="9" t="str">
        <x:v>验证私信发送图片</x:v>
      </x:c>
      <x:c r="H566" s="9" t="str">
        <x:v>图片消息发送</x:v>
      </x: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来源（当前证据）：liveshow-proto/MainBasis/统一需求文档.md；位置：行885、行893、行883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x:c r="H567" s="9" t="str">
        <x:v>拉黑后消息拒收</x:v>
      </x: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来源（当前证据）：liveshow-proto/MainBasis/统一需求文档.md；位置：行890、行883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P2</x:v>
      </x:c>
      <x:c r="G568" s="9" t="str">
        <x:v>验证私信发送语音</x:v>
      </x:c>
      <x:c r="H568" s="9" t="str">
        <x:v>语音消息发送</x:v>
      </x: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来源（当前证据）：liveshow-proto/MainBasis/统一需求文档.md；位置：行885、行893、行883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x:c r="H569" s="9" t="str">
        <x:v>拉黑后消息拒收</x:v>
      </x: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来源（当前证据）：liveshow-proto/MainBasis/统一需求文档.md；位置：行890、行883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来源（当前证据）：liveshow-proto/MainBasis/统一需求文档.md；位置：行898、行896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来源（当前证据）：liveshow-proto/MainBasis/统一需求文档.md；位置：行898、行896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来源（当前证据）：liveshow-proto/MainBasis/统一需求文档.md；位置：行898、行896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来源（当前证据）：liveshow-proto/MainBasis/统一需求文档.md；位置：行898、行896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x:c r="H574" s="9" t="str">
        <x:v>群消息时间排序</x:v>
      </x: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来源（当前证据）：liveshow-proto/MainBasis/统一需求文档.md；位置：行905、行896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P2</x:v>
      </x:c>
      <x:c r="G575" s="9" t="str">
        <x:v>验证有效成员发送群消息</x:v>
      </x:c>
      <x:c r="H575" s="9" t="str">
        <x:v>群消息发送资格</x:v>
      </x: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来源（当前证据）：liveshow-proto/MainBasis/统一需求文档.md；位置：行901、行906、行896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P2</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来源（当前证据）：liveshow-proto/MainBasis/统一需求文档.md；位置：行902、行896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P2</x:v>
      </x:c>
      <x:c r="G577" s="9" t="str">
        <x:v>验证有效直播卡片入场</x:v>
      </x:c>
      <x:c r="H577" s="9" t="str">
        <x:v>页面去向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来源（当前证据）：liveshow-proto/MainBasis/统一需求文档.md；位置：行906、行896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P2</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来源（当前证据）：liveshow-proto/MainBasis/统一需求文档.md；位置：行903、行906、行896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P2</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来源（当前证据）：liveshow-proto/MainBasis/统一需求文档.md；位置：行903、行906、行896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P2</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来源（当前证据）：liveshow-proto/MainBasis/统一需求文档.md；位置：行906、行896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P2</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来源（当前证据）：liveshow-proto/MainBasis/统一需求文档.md；位置：行906、行896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来源（当前证据）：liveshow-proto/MainBasis/统一需求文档.md；位置：行906、行896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来源（当前证据）：liveshow-proto/MainBasis/统一需求文档.md；位置：行906、行896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来源（当前证据）：liveshow-proto/MainBasis/统一需求文档.md；位置：行906、行896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来源（当前证据）：liveshow-proto/MainBasis/统一需求文档.md；位置：行906、行896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来源（当前证据）：liveshow-proto/MainBasis/统一需求文档.md；位置：行906、行896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来源（当前证据）：liveshow-proto/MainBasis/统一需求文档.md；位置：行906、行896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P2</x:v>
      </x:c>
      <x:c r="G588" s="9" t="str">
        <x:v>验证普通成员无管理权限</x:v>
      </x:c>
      <x:c r="H588" s="9" t="str">
        <x:v>展示内容</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来源（当前证据）：liveshow-proto/MainBasis/统一需求文档.md；位置：行913、行909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P2</x:v>
      </x:c>
      <x:c r="G589" s="9" t="str">
        <x:v>验证群免打扰不影响接收</x:v>
      </x:c>
      <x:c r="H589" s="9" t="str">
        <x:v>免打扰下消息接收</x:v>
      </x: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来源（当前证据）：liveshow-proto/MainBasis/统一需求文档.md；位置：行912、行916、行909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P2</x:v>
      </x:c>
      <x:c r="G590" s="9" t="str">
        <x:v>验证退团需要确认</x:v>
      </x:c>
      <x:c r="H590" s="9" t="str">
        <x:v>展示内容</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来源（当前证据）：liveshow-proto/MainBasis/统一需求文档.md；位置：行916、行909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页面去向</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来源（当前证据）：liveshow-proto/MainBasis/统一需求文档.md；位置：行916、行909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P2</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来源（当前证据）：liveshow-proto/MainBasis/统一需求文档.md；位置：行915、行513、行909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展示内容</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来源（当前证据）：liveshow-proto/MainBasis/统一需求文档.md；位置：行925、行919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来源（当前证据）：liveshow-proto/MainBasis/统一需求文档.md；位置：行925、行919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P1</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来源（当前证据）：liveshow-proto/MainBasis/统一需求文档.md；位置：行921、行925、行919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P1</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来源（当前证据）：liveshow-proto/MainBasis/统一需求文档.md；位置：行925、行919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来源（当前证据）：liveshow-proto/MainBasis/统一需求文档.md；位置：行925、行919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展示内容</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来源（当前证据）：liveshow-proto/MainBasis/统一需求文档.md；位置：行925、行919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页面去向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来源（当前证据）：liveshow-proto/MainBasis/统一需求文档.md；位置：行927、行919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P2</x:v>
      </x:c>
      <x:c r="G600" s="9" t="str">
        <x:v>验证群主免打扰不影响成员</x:v>
      </x:c>
      <x:c r="H600" s="9" t="str">
        <x:v>展示内容</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来源（当前证据）：liveshow-proto/MainBasis/统一需求文档.md；位置：行924、行919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页面去向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来源（当前证据）：liveshow-proto/MainBasis/统一需求文档.md；位置：行928、行919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来源（当前证据）：liveshow-proto/MainBasis/统一需求文档.md；位置：行933、行931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来源（当前证据）：liveshow-proto/MainBasis/统一需求文档.md；位置：行933、行931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来源（当前证据）：liveshow-proto/MainBasis/统一需求文档.md；位置：行933、行931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来源（当前证据）：liveshow-proto/MainBasis/统一需求文档.md；位置：行933、行931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P2</x:v>
      </x:c>
      <x:c r="G606" s="9" t="str">
        <x:v>验证单聊免打扰仍收消息</x:v>
      </x:c>
      <x:c r="H606" s="9" t="str">
        <x:v>免打扰下消息接收</x:v>
      </x: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来源（当前证据）：liveshow-proto/MainBasis/统一需求文档.md；位置：行934、行935、行931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P2</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来源（当前证据）：liveshow-proto/MainBasis/统一需求文档.md；位置：行938、行1972、行931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P2</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来源（当前证据）：liveshow-proto/MainBasis/统一需求文档.md；位置：行938、行1971、行931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P2</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来源（当前证据）：liveshow-proto/MainBasis/统一需求文档.md；位置：行938、行1971、行931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x:c r="H610" s="9" t="str">
        <x:v>拉黑确认对象</x:v>
      </x: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来源（当前证据）：liveshow-proto/MainBasis/统一需求文档.md；位置：行1969、行931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页面去向</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来源（当前证据）：liveshow-proto/MainBasis/统一需求文档.md；位置：行938、行931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展示内容</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来源（当前证据）：liveshow-proto/MainBasis/统一需求文档.md；位置：行1041、行1048、行1039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P2</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来源（当前证据）：liveshow-proto/MainBasis/统一需求文档.md；位置：行1049、行1039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P2</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来源（当前证据）：liveshow-proto/MainBasis/统一需求文档.md；位置：行1049、行1039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P2</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来源（当前证据）：liveshow-proto/MainBasis/统一需求文档.md；位置：行1046、行1938、行1039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x:c r="H616" s="9" t="str">
        <x:v>删除好友确认弹窗</x:v>
      </x: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来源（当前证据）：liveshow-proto/MainBasis/统一需求文档.md；位置：行1938、行1039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P2</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来源（当前证据）：liveshow-proto/MainBasis/统一需求文档.md；位置：行1936、行1039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页面去向</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来源（当前证据）：liveshow-proto/MainBasis/统一需求文档.md；位置：行1938、行1039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P2</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来源（当前证据）：liveshow-proto/MainBasis/统一需求文档.md；位置：行1051、行1039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P2</x:v>
      </x:c>
      <x:c r="G620" s="9" t="str">
        <x:v>验证确认拉黑隐藏社交操作</x:v>
      </x:c>
      <x:c r="H620" s="9" t="str">
        <x:v>拉黑后社交入口可见性</x:v>
      </x: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来源（当前证据）：liveshow-proto/MainBasis/统一需求文档.md；位置：行1944、行1948、行1039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P2</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来源（当前证据）：liveshow-proto/MainBasis/统一需求文档.md；位置：行1947、行1948、行1039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来源（当前证据）：liveshow-proto/MainBasis/统一需求文档.md；位置：行1061、行1054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来源（当前证据）：liveshow-proto/MainBasis/统一需求文档.md；位置：行1061、行1054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展示内容</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来源（当前证据）：liveshow-proto/MainBasis/统一需求文档.md；位置：行1062、行1054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页面去向</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来源（当前证据）：liveshow-proto/MainBasis/统一需求文档.md；位置：行1067、行1054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展示内容</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来源（当前证据）：liveshow-proto/MainBasis/统一需求文档.md；位置：行1067、行1054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P2</x:v>
      </x:c>
      <x:c r="G627" s="9" t="str">
        <x:v>验证主播历史数据不串号</x:v>
      </x:c>
      <x:c r="H627" s="9" t="str">
        <x:v>展示内容</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来源（当前证据）：liveshow-proto/MainBasis/统一需求文档.md；位置：行1066、行1054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P2</x:v>
      </x:c>
      <x:c r="G628" s="9" t="str">
        <x:v>验证运营号无加入粉丝团入口</x:v>
      </x:c>
      <x:c r="H628" s="9" t="str">
        <x:v>运营账号入团入口</x:v>
      </x: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来源（当前证据）：liveshow-proto/MainBasis/统一需求文档.md；位置：行1065、行1054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P2</x:v>
      </x:c>
      <x:c r="G629" s="9" t="str">
        <x:v>验证成功礼物数量统计</x:v>
      </x:c>
      <x:c r="H629" s="9" t="str">
        <x:v>展示内容</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来源（当前证据）：liveshow-proto/MainBasis/统一需求文档.md；位置：行1076、行1077、行1072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来源（当前证据）：liveshow-proto/MainBasis/统一需求文档.md；位置：行1080、行1076、行1072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来源（当前证据）：liveshow-proto/MainBasis/统一需求文档.md；位置：行1080、行1076、行1072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P2</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来源（当前证据）：liveshow-proto/MainBasis/统一需求文档.md；位置：行1078、行1072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P2</x:v>
      </x:c>
      <x:c r="G633" s="9" t="str">
        <x:v>验证幸运礼物按件数</x:v>
      </x:c>
      <x:c r="H633" s="9" t="str">
        <x:v>展示内容</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来源（当前证据）：liveshow-proto/MainBasis/统一需求文档.md；位置：行1079、行1072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x:c r="H634" s="9" t="str">
        <x:v>礼物目录排序</x:v>
      </x: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来源（当前证据）：liveshow-proto/MainBasis/统一需求文档.md；位置：行1081、行1072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x:c r="H635" s="9" t="str">
        <x:v>主播主页返回去向</x:v>
      </x: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来源（当前证据）：liveshow-proto/MainBasis/统一需求文档.md；位置：行1082、行1072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来源（当前证据）：liveshow-proto/MainBasis/统一需求文档.md；位置：行784、行779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展示内容</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来源（当前证据）：liveshow-proto/MainBasis/统一需求文档.md；位置：行780、行779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页面去向</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来源（当前证据）：liveshow-proto/MainBasis/统一需求文档.md；位置：行781、行785、行779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P1</x:v>
      </x:c>
      <x:c r="G639" s="9" t="str">
        <x:v>验证场次举报说明200字符</x:v>
      </x:c>
      <x:c r="H639" s="9" t="str">
        <x:v>举报说明长度上限</x:v>
      </x: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来源（当前证据）：liveshow-proto/MainBasis/统一需求文档.md；位置：行781、行785、行779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P1</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来源（当前证据）：liveshow-proto/MainBasis/统一需求文档.md；位置：行781、行779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来源（当前证据）：liveshow-proto/MainBasis/统一需求文档.md；位置：行792、行788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展示内容</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来源（当前证据）：liveshow-proto/MainBasis/统一需求文档.md；位置：行789、行788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页面去向</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来源（当前证据）：liveshow-proto/MainBasis/统一需求文档.md；位置：行790、行793、行788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P1</x:v>
      </x:c>
      <x:c r="G644" s="9" t="str">
        <x:v>验证账号举报说明200字符</x:v>
      </x:c>
      <x:c r="H644" s="9" t="str">
        <x:v>举报说明长度上限</x:v>
      </x: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来源（当前证据）：liveshow-proto/MainBasis/统一需求文档.md；位置：行790、行793、行788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P1</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来源（当前证据）：liveshow-proto/MainBasis/统一需求文档.md；位置：行790、行788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P2</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来源（当前证据）：liveshow-proto/MainBasis/统一需求文档.md；位置：行952、行941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P2</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来源（当前证据）：liveshow-proto/MainBasis/统一需求文档.md；位置：行952、行941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P2</x:v>
      </x:c>
      <x:c r="G648" s="9" t="str">
        <x:v>验证黑名单时间倒序</x:v>
      </x:c>
      <x:c r="H648" s="9" t="str">
        <x:v>展示内容</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来源（当前证据）：liveshow-proto/MainBasis/统一需求文档.md；位置：行953、行941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P2</x:v>
      </x:c>
      <x:c r="G649" s="9" t="str">
        <x:v>验证取消拉黑确认</x:v>
      </x:c>
      <x:c r="H649" s="9" t="str">
        <x:v>取消拉黑确认弹窗</x:v>
      </x: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来源（当前证据）：liveshow-proto/MainBasis/统一需求文档.md；位置：行955、行941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P2</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来源（当前证据）：liveshow-proto/MainBasis/统一需求文档.md；位置：行955、行941
2. 规则：BR-d5de30b1dc38b037
3. 未动态验证</x:v>
      </x:c>
    </x:row>
    <x:row r="651" ht="8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反馈文案</x:v>
      </x:c>
      <x:c r="I651" s="9" t="str">
        <x:v>1. 执行角色为已登录普通用户；当前处于黑名单管理页面
2. 列表有B；请求返回失败</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来源（当前证据）：liveshow-proto/MainBasis/统一需求文档.md；位置：行955、行941
2. 规则：BR-719ced9c5f8e97cc
3. 未动态验证</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来源（当前证据）：liveshow-proto/MainBasis/统一需求文档.md；位置：行944、行941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P2</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来源（当前证据）：liveshow-proto/MainBasis/统一需求文档.md；位置：行1123、行1125、行1121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来源（当前证据）：liveshow-proto/MainBasis/统一需求文档.md；位置：行1123、行1125、行1121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来源（当前证据）：liveshow-proto/MainBasis/统一需求文档.md；位置：行1123、行1125、行1121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展示内容</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来源（当前证据）：liveshow-proto/MainBasis/统一需求文档.md；位置：行1124、行1121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展示内容</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来源（当前证据）：liveshow-proto/MainBasis/统一需求文档.md；位置：行1130、行1121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P2</x:v>
      </x:c>
      <x:c r="G658" s="9" t="str">
        <x:v>验证切换本月指标</x:v>
      </x:c>
      <x:c r="H658" s="9" t="str">
        <x:v>展示内容</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来源（当前证据）：liveshow-proto/MainBasis/统一需求文档.md；位置：行1141、行1121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P2</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来源（当前证据）：liveshow-proto/MainBasis/统一需求文档.md；位置：行1141、行1121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P2</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来源（当前证据）：liveshow-proto/MainBasis/统一需求文档.md；位置：行1127、行1121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P2</x:v>
      </x:c>
      <x:c r="G661" s="9" t="str">
        <x:v>验证当前粉丝非团成员</x:v>
      </x:c>
      <x:c r="H661" s="9" t="str">
        <x:v>展示内容</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来源（当前证据）：liveshow-proto/MainBasis/统一需求文档.md；位置：行1128、行1121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P2</x:v>
      </x:c>
      <x:c r="G662" s="9" t="str">
        <x:v>验证观众周期内去重</x:v>
      </x:c>
      <x:c r="H662" s="9" t="str">
        <x:v>展示内容</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来源（当前证据）：liveshow-proto/MainBasis/统一需求文档.md；位置：行1134、行1121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P2</x:v>
      </x:c>
      <x:c r="G663" s="9" t="str">
        <x:v>验证新增粉丝不扣取关</x:v>
      </x:c>
      <x:c r="H663" s="9" t="str">
        <x:v>展示内容</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来源（当前证据）：liveshow-proto/MainBasis/统一需求文档.md；位置：行1135、行1121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P2</x:v>
      </x:c>
      <x:c r="G664" s="9" t="str">
        <x:v>验证未满三小时无达标标记</x:v>
      </x:c>
      <x:c r="H664" s="9" t="str">
        <x:v>展示内容</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来源（当前证据）：liveshow-proto/MainBasis/统一需求文档.md；位置：行1137、行1121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展示内容</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来源（当前证据）：liveshow-proto/MainBasis/统一需求文档.md；位置：行1136、行1137、行1121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P2</x:v>
      </x:c>
      <x:c r="G666" s="9" t="str">
        <x:v>验证四小时进度上限</x:v>
      </x:c>
      <x:c r="H666" s="9" t="str">
        <x:v>展示内容</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来源（当前证据）：liveshow-proto/MainBasis/统一需求文档.md；位置：行1136、行1121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P2</x:v>
      </x:c>
      <x:c r="G667" s="9" t="str">
        <x:v>验证权限关闭提示</x:v>
      </x:c>
      <x:c r="H667" s="9" t="str">
        <x:v>展示内容</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来源（当前证据）：liveshow-proto/MainBasis/统一需求文档.md；位置：行1129、行1121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P0</x:v>
      </x:c>
      <x:c r="G668" s="9" t="str">
        <x:v>验证权限关闭阻止开播</x:v>
      </x:c>
      <x:c r="H668" s="9" t="str">
        <x:v>反馈文案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来源（当前证据）：liveshow-proto/MainBasis/统一需求文档.md；位置：行1142、行1121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P2</x:v>
      </x:c>
      <x:c r="G669" s="9" t="str">
        <x:v>验证知道了关闭权限弹窗</x:v>
      </x:c>
      <x:c r="H669" s="9" t="str">
        <x:v>展示内容</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来源（当前证据）：liveshow-proto/MainBasis/统一需求文档.md；位置：行1142、行1121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P0</x:v>
      </x:c>
      <x:c r="G670" s="9" t="str">
        <x:v>验证有效权限进入开播设置</x:v>
      </x:c>
      <x:c r="H670" s="9" t="str">
        <x:v>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来源（当前证据）：liveshow-proto/MainBasis/统一需求文档.md；位置：行1139、行1142、行1121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来源（当前证据）：liveshow-proto/MainBasis/统一需求文档.md；位置：行1144、行1121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展示内容</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来源（当前证据）：liveshow-proto/MainBasis/统一需求文档.md；位置：行1144、行1121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来源（当前证据）：liveshow-proto/MainBasis/统一需求文档.md；位置：行1138、行1121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来源（当前证据）：liveshow-proto/MainBasis/统一需求文档.md；位置：行1143、行1121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来源（当前证据）：liveshow-proto/MainBasis/统一需求文档.md；位置：行1143、行1121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来源（当前证据）：liveshow-proto/MainBasis/统一需求文档.md；位置：行1143、行1121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来源（当前证据）：liveshow-proto/MainBasis/统一需求文档.md；位置：行1143、行1121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来源（当前证据）：liveshow-proto/MainBasis/统一需求文档.md；位置：行1126、行1121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来源（当前证据）：liveshow-proto/MainBasis/统一需求文档.md；位置：行1144、行1121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来源（当前证据）：liveshow-proto/MainBasis/统一需求文档.md；位置：行1144、行1121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P2</x:v>
      </x:c>
      <x:c r="G681" s="9" t="str">
        <x:v>验证房管本人有效授权</x:v>
      </x:c>
      <x:c r="H681" s="9" t="str">
        <x:v>展示内容</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来源（当前证据）：liveshow-proto/MainBasis/统一需求文档.md；位置：行1155、行1147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x:c r="H682" s="9" t="str">
        <x:v>房管人数上限</x:v>
      </x: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来源（当前证据）：liveshow-proto/MainBasis/统一需求文档.md；位置：行1150、行1156、行1147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P2</x:v>
      </x:c>
      <x:c r="G683" s="9" t="str">
        <x:v>验证三人上限保留添加入口</x:v>
      </x:c>
      <x:c r="H683" s="9" t="str">
        <x:v>展示内容</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来源（当前证据）：liveshow-proto/MainBasis/统一需求文档.md；位置：行1156、行1147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反馈文案</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来源（当前证据）：liveshow-proto/MainBasis/统一需求文档.md；位置：行1156、行1147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P2</x:v>
      </x:c>
      <x:c r="G685" s="9" t="str">
        <x:v>验证房管搜索排除现有房管</x:v>
      </x:c>
      <x:c r="H685" s="9" t="str">
        <x:v>房管搜索对象过滤</x:v>
      </x: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来源（当前证据）：liveshow-proto/MainBasis/统一需求文档.md；位置：行1156、行1147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P2</x:v>
      </x:c>
      <x:c r="G686" s="9" t="str">
        <x:v>验证房管搜索排除拉黑账号</x:v>
      </x:c>
      <x:c r="H686" s="9" t="str">
        <x:v>房管搜索对象过滤</x:v>
      </x: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来源（当前证据）：liveshow-proto/MainBasis/统一需求文档.md；位置：行1151、行1156、行1147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P2</x:v>
      </x:c>
      <x:c r="G687" s="9" t="str">
        <x:v>验证取消房管二次确认</x:v>
      </x:c>
      <x:c r="H687" s="9" t="str">
        <x:v>展示内容</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来源（当前证据）：liveshow-proto/MainBasis/统一需求文档.md；位置：行1156、行1147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P2</x:v>
      </x:c>
      <x:c r="G688" s="9" t="str">
        <x:v>验证取消房管生效</x:v>
      </x:c>
      <x:c r="H688" s="9" t="str">
        <x:v>房管授权撤销</x:v>
      </x: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来源（当前证据）：liveshow-proto/MainBasis/统一需求文档.md；位置：行1156、行1147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P2</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来源（当前证据）：liveshow-proto/MainBasis/统一需求文档.md；位置：行1153、行1147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P2</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来源（当前证据）：liveshow-proto/MainBasis/统一需求文档.md；位置：行1152、行1156、行1147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P2</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来源（当前证据）：liveshow-proto/MainBasis/统一需求文档.md；位置：行1152、行1156、行1147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P2</x:v>
      </x:c>
      <x:c r="G692" s="9" t="str">
        <x:v>验证解除拉黑不恢复房管</x:v>
      </x:c>
      <x:c r="H692" s="9" t="str">
        <x:v>拉黑解除后房管授权</x:v>
      </x: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来源（当前证据）：liveshow-proto/MainBasis/统一需求文档.md；位置：行1152、行1680、行950、行1147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P2</x:v>
      </x:c>
      <x:c r="G693" s="9" t="str">
        <x:v>验证有效公会通知范围</x:v>
      </x:c>
      <x:c r="H693" s="9" t="str">
        <x:v>展示内容</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来源（当前证据）：liveshow-proto/MainBasis/统一需求文档.md；位置：行1164、行1159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来源（当前证据）：liveshow-proto/MainBasis/统一需求文档.md；位置：行1161、行1162、行1159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来源（当前证据）：liveshow-proto/MainBasis/统一需求文档.md；位置：行1161、行1162、行1159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来源（当前证据）：liveshow-proto/MainBasis/统一需求文档.md；位置：行1161、行1162、行1159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x:c r="H697" s="9" t="str">
        <x:v>通知卡片内容展开</x:v>
      </x: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来源（当前证据）：liveshow-proto/MainBasis/统一需求文档.md；位置：行1166、行1159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P2</x:v>
      </x:c>
      <x:c r="G698" s="9" t="str">
        <x:v>验证通知已读更新</x:v>
      </x:c>
      <x:c r="H698" s="9" t="str">
        <x:v>公会通知已读状态</x:v>
      </x: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来源（当前证据）：liveshow-proto/MainBasis/统一需求文档.md；位置：行1166、行1159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展示内容</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来源（当前证据）：liveshow-proto/MainBasis/统一需求文档.md；位置：行1165、行1159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来源（当前证据）：liveshow-proto/MainBasis/统一需求文档.md；位置：行1172、行1169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P2</x:v>
      </x:c>
      <x:c r="G701" s="9" t="str">
        <x:v>验证未申请去加入</x:v>
      </x:c>
      <x:c r="H701" s="9" t="str">
        <x:v>页面去向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来源（当前证据）：liveshow-proto/MainBasis/统一需求文档.md；位置：行1175、行1183、行1169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P2</x:v>
      </x:c>
      <x:c r="G702" s="9" t="str">
        <x:v>验证提交后资料可展开</x:v>
      </x:c>
      <x:c r="H702" s="9" t="str">
        <x:v>展示内容</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来源（当前证据）：liveshow-proto/MainBasis/统一需求文档.md；位置：行1183、行1169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P2</x:v>
      </x:c>
      <x:c r="G703" s="9" t="str">
        <x:v>验证公会审核中不能开播</x:v>
      </x:c>
      <x:c r="H703" s="9" t="str">
        <x:v>直播资格限制</x:v>
      </x: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来源（当前证据）：liveshow-proto/MainBasis/统一需求文档.md；位置：行1178、行1169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P2</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来源（当前证据）：liveshow-proto/MainBasis/统一需求文档.md；位置：行1177、行1180、行1169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P2</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来源（当前证据）：liveshow-proto/MainBasis/统一需求文档.md；位置：行1177、行1180、行1169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P2</x:v>
      </x:c>
      <x:c r="G706" s="9" t="str">
        <x:v>验证平台审核中不能开播</x:v>
      </x:c>
      <x:c r="H706" s="9" t="str">
        <x:v>审核中操作限制</x:v>
      </x: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来源（当前证据）：liveshow-proto/MainBasis/统一需求文档.md；位置：行1180、行1169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P2</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来源（当前证据）：liveshow-proto/MainBasis/统一需求文档.md；位置：行1179、行1169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P2</x:v>
      </x:c>
      <x:c r="G708" s="9" t="str">
        <x:v>验证公会驳回重新申请</x:v>
      </x:c>
      <x:c r="H708" s="9" t="str">
        <x:v>页面去向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来源（当前证据）：liveshow-proto/MainBasis/统一需求文档.md；位置：行1179、行1183、行1169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P0</x:v>
      </x:c>
      <x:c r="G709" s="9" t="str">
        <x:v>验证平台驳回重新初审</x:v>
      </x:c>
      <x:c r="H709" s="9" t="str">
        <x:v>展示内容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来源（当前证据）：liveshow-proto/MainBasis/统一需求文档.md；位置：行1181、行1169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来源（当前证据）：liveshow-proto/MainBasis/统一需求文档.md；位置：行1182、行1169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展示内容</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来源（当前证据）：liveshow-proto/MainBasis/统一需求文档.md；位置：行1200、行1208、行1186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展示内容</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来源（当前证据）：liveshow-proto/MainBasis/统一需求文档.md；位置：行1208、行1186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P1</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来源（当前证据）：liveshow-proto/MainBasis/统一需求文档.md；位置：行1189、行1186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P1</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来源（当前证据）：liveshow-proto/MainBasis/统一需求文档.md；位置：行1189、行1186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展示内容</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来源（当前证据）：liveshow-proto/MainBasis/统一需求文档.md；位置：行1977、行1979、行1186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来源（当前证据）：liveshow-proto/MainBasis/统一需求文档.md；位置：行1980、行1186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来源（当前证据）：liveshow-proto/MainBasis/统一需求文档.md；位置：行1980、行1186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展示内容</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来源（当前证据）：liveshow-proto/MainBasis/统一需求文档.md；位置：行1980、行1186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P2</x:v>
      </x:c>
      <x:c r="G719" s="9" t="str">
        <x:v>验证普通房取消密码及票价必填</x:v>
      </x:c>
      <x:c r="H719" s="9" t="str">
        <x:v>普通房配置必填条件</x:v>
      </x: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来源（当前证据）：liveshow-proto/MainBasis/统一需求文档.md；位置：行1989、行1186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P2</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来源（当前证据）：liveshow-proto/MainBasis/统一需求文档.md；位置：行1995、行1186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P2</x:v>
      </x:c>
      <x:c r="G721" s="9" t="str">
        <x:v>验证密码房平台关闭不可选择</x:v>
      </x:c>
      <x:c r="H721" s="9" t="str">
        <x:v>密码房可选状态</x:v>
      </x: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来源（当前证据）：liveshow-proto/MainBasis/统一需求文档.md；位置：行2006、行1186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P2</x:v>
      </x:c>
      <x:c r="G722" s="9" t="str">
        <x:v>验证门票价格全部平铺</x:v>
      </x:c>
      <x:c r="H722" s="9" t="str">
        <x:v>展示内容</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来源（当前证据）：liveshow-proto/MainBasis/统一需求文档.md；位置：行1994、行1186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P2</x:v>
      </x:c>
      <x:c r="G723" s="9" t="str">
        <x:v>验证门票价格单选</x:v>
      </x:c>
      <x:c r="H723" s="9" t="str">
        <x:v>门票档位单选</x:v>
      </x: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来源（当前证据）：liveshow-proto/MainBasis/统一需求文档.md；位置：行1192、行1186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P2</x:v>
      </x:c>
      <x:c r="G724" s="9" t="str">
        <x:v>验证未选门票不保存</x:v>
      </x:c>
      <x:c r="H724" s="9" t="str">
        <x:v>反馈文案</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来源（当前证据）：liveshow-proto/MainBasis/统一需求文档.md；位置：行1204、行1186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来源（当前证据）：liveshow-proto/MainBasis/统一需求文档.md；位置：行1998、行1186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来源（当前证据）：liveshow-proto/MainBasis/统一需求文档.md；位置：行1998、行1186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P2</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来源（当前证据）：liveshow-proto/MainBasis/统一需求文档.md；位置：行1194、行1195、行1186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P2</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来源（当前证据）：liveshow-proto/MainBasis/统一需求文档.md；位置：行1194、行1195、行1186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P2</x:v>
      </x:c>
      <x:c r="G729" s="9" t="str">
        <x:v>验证未建粉丝团不能限制成员</x:v>
      </x:c>
      <x:c r="H729" s="9" t="str">
        <x:v>成员限制开关资格</x:v>
      </x: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来源（当前证据）：liveshow-proto/MainBasis/统一需求文档.md；位置：行1202、行1186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P2</x:v>
      </x:c>
      <x:c r="G730" s="9" t="str">
        <x:v>验证访问开关保存下次默认</x:v>
      </x:c>
      <x:c r="H730" s="9" t="str">
        <x:v>展示内容</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来源（当前证据）：liveshow-proto/MainBasis/统一需求文档.md；位置：行1203、行1209、行1186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P2</x:v>
      </x:c>
      <x:c r="G731" s="9" t="str">
        <x:v>验证关闭抽屉不保存访问开关</x:v>
      </x:c>
      <x:c r="H731" s="9" t="str">
        <x:v>展示内容</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来源（当前证据）：liveshow-proto/MainBasis/统一需求文档.md；位置：行1209、行1186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展示内容</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来源（当前证据）：liveshow-proto/MainBasis/统一需求文档.md；位置：行2017、行1186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x:c r="H733" s="9" t="str">
        <x:v>美颜参数重置</x:v>
      </x: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来源（当前证据）：liveshow-proto/MainBasis/统一需求文档.md；位置：行1205、行2021、行1186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来源（当前证据）：liveshow-proto/MainBasis/统一需求文档.md；位置：行1206、行1186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P0</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来源（当前证据）：liveshow-proto/MainBasis/统一需求文档.md；位置：行1206、行1186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P2</x:v>
      </x:c>
      <x:c r="G736" s="9" t="str">
        <x:v>验证开播倒计时结束</x:v>
      </x:c>
      <x:c r="H736" s="9" t="str">
        <x:v>页面去向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来源（当前证据）：liveshow-proto/MainBasis/统一需求文档.md；位置：行1206、行1186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P2</x:v>
      </x:c>
      <x:c r="G737" s="9" t="str">
        <x:v>验证首次开播直接权限弹窗</x:v>
      </x:c>
      <x:c r="H737" s="9" t="str">
        <x:v>展示内容</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来源（当前证据）：liveshow-proto/MainBasis/统一需求文档.md；位置：行1199、行1206、行1186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来源（当前证据）：liveshow-proto/MainBasis/统一需求文档.md；位置：行1193、行2011、行1186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来源（当前证据）：liveshow-proto/MainBasis/统一需求文档.md；位置：行1193、行2011、行1186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来源（当前证据）：liveshow-proto/MainBasis/统一需求文档.md；位置：行1193、行2011、行1186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来源（当前证据）：liveshow-proto/MainBasis/统一需求文档.md；位置：行1193、行2011、行1186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来源（当前证据）：liveshow-proto/MainBasis/统一需求文档.md；位置：行1193、行2011、行1186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来源（当前证据）：liveshow-proto/MainBasis/统一需求文档.md；位置：行1193、行2011、行1186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来源（当前证据）：liveshow-proto/MainBasis/统一需求文档.md；位置：行2011、行1186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来源（当前证据）：liveshow-proto/MainBasis/统一需求文档.md；位置：行2011、行1186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来源（当前证据）：liveshow-proto/MainBasis/统一需求文档.md；位置：行2011、行1186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来源（当前证据）：liveshow-proto/MainBasis/统一需求文档.md；位置：行2011、行1186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来源（当前证据）：liveshow-proto/MainBasis/统一需求文档.md；位置：行2011、行1186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来源（当前证据）：liveshow-proto/MainBasis/统一需求文档.md；位置：行2011、行1186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P0</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来源（当前证据）：liveshow-proto/MainBasis/统一需求文档.md；位置：行1207、行1186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P0</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来源（当前证据）：liveshow-proto/MainBasis/统一需求文档.md；位置：行1207、行1186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P0</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来源（当前证据）：liveshow-proto/MainBasis/统一需求文档.md；位置：行1207、行1186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P0</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来源（当前证据）：liveshow-proto/MainBasis/统一需求文档.md；位置：行1207、行1186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P1</x:v>
      </x:c>
      <x:c r="G754" s="9" t="str">
        <x:v>验证美颜强度0边界</x:v>
      </x:c>
      <x:c r="H754" s="9" t="str">
        <x:v>展示内容</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来源（当前证据）：liveshow-proto/MainBasis/统一需求文档.md；位置：行2019、行2021、行1186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P1</x:v>
      </x:c>
      <x:c r="G755" s="9" t="str">
        <x:v>验证美颜强度100边界</x:v>
      </x:c>
      <x:c r="H755" s="9" t="str">
        <x:v>展示内容</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来源（当前证据）：liveshow-proto/MainBasis/统一需求文档.md；位置：行2019、行2021、行1186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P2</x:v>
      </x:c>
      <x:c r="G756" s="9" t="str">
        <x:v>验证主播粉丝列表范围</x:v>
      </x:c>
      <x:c r="H756" s="9" t="str">
        <x:v>展示内容</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来源（当前证据）：liveshow-proto/MainBasis/统一需求文档.md；位置：行1214、行1217、行1212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展示内容</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来源（当前证据）：liveshow-proto/MainBasis/统一需求文档.md；位置：行1216、行1212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页面去向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来源（当前证据）：liveshow-proto/MainBasis/统一需求文档.md；位置：行1219、行1212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P2</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来源（当前证据）：liveshow-proto/MainBasis/统一需求文档.md；位置：行1229、行1222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来源（当前证据）：liveshow-proto/MainBasis/统一需求文档.md；位置：行1230、行1222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来源（当前证据）：liveshow-proto/MainBasis/统一需求文档.md；位置：行1231、行1222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来源（当前证据）：liveshow-proto/MainBasis/统一需求文档.md；位置：行1231、行1222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来源（当前证据）：liveshow-proto/MainBasis/统一需求文档.md；位置：行1224、行1222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来源（当前证据）：liveshow-proto/MainBasis/统一需求文档.md；位置：行1224、行1222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P2</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来源（当前证据）：liveshow-proto/MainBasis/统一需求文档.md；位置：行1224、行1222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P2</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来源（当前证据）：liveshow-proto/MainBasis/统一需求文档.md；位置：行1224、行1222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P2</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来源（当前证据）：liveshow-proto/MainBasis/统一需求文档.md；位置：行1224、行1222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来源（当前证据）：liveshow-proto/MainBasis/统一需求文档.md；位置：行1232、行1600、行1601、行1222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来源（当前证据）：liveshow-proto/MainBasis/统一需求文档.md；位置：行1232、行1600、行1601、行1222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来源（当前证据）：liveshow-proto/MainBasis/统一需求文档.md；位置：行1232、行1600、行1601、行1222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P2</x:v>
      </x:c>
      <x:c r="G771" s="9" t="str">
        <x:v>验证取消禁言不改变状态</x:v>
      </x:c>
      <x:c r="H771" s="9" t="str">
        <x:v>展示内容</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来源（当前证据）：liveshow-proto/MainBasis/统一需求文档.md；位置：行1603、行1222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P2</x:v>
      </x:c>
      <x:c r="G772" s="9" t="str">
        <x:v>验证确认单人禁言</x:v>
      </x:c>
      <x:c r="H772" s="9" t="str">
        <x:v>群成员禁言状态</x:v>
      </x: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来源（当前证据）：liveshow-proto/MainBasis/统一需求文档.md；位置：行1603、行1222
2. 规则：BR-6b04575720bcd484
3. 未动态验证</x:v>
      </x:c>
    </x:row>
    <x:row r="773" ht="8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展示内容</x:v>
      </x:c>
      <x:c r="I773" s="9" t="str">
        <x:v>1. 执行角色为所属粉丝团主播；当前处于粉丝团页面
2. A可发言；禁言请求返回失败</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来源（当前证据）：liveshow-proto/MainBasis/统一需求文档.md；位置：行1603、行1222
2. 规则：BR-813620ddb93d5145
3. 未动态验证</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展示内容</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来源（当前证据）：liveshow-proto/MainBasis/统一需求文档.md；位置：行1232、行1222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P2</x:v>
      </x:c>
      <x:c r="G775" s="9" t="str">
        <x:v>验证确认移除成员</x:v>
      </x:c>
      <x:c r="H775" s="9" t="str">
        <x:v>粉丝团成员移除</x:v>
      </x: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来源（当前证据）：liveshow-proto/MainBasis/统一需求文档.md；位置：行1228、行1232、行1222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页面去向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来源（当前证据）：liveshow-proto/MainBasis/统一需求文档.md；位置：行1233、行1222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来源（当前证据）：liveshow-proto/MainBasis/统一需求文档.md；位置：行1238、行1243、行1236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来源（当前证据）：liveshow-proto/MainBasis/统一需求文档.md；位置：行1238、行1244、行1236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来源（当前证据）：liveshow-proto/MainBasis/统一需求文档.md；位置：行1238、行1236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P2</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来源（当前证据）：liveshow-proto/MainBasis/统一需求文档.md；位置：行1240、行1244、行1236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P2</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来源（当前证据）：liveshow-proto/MainBasis/统一需求文档.md；位置：行1240、行1243、行1236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P2</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来源（当前证据）：liveshow-proto/MainBasis/统一需求文档.md；位置：行1240、行1243、行1236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P2</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来源（当前证据）：liveshow-proto/MainBasis/统一需求文档.md；位置：行1241、行1236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P2</x:v>
      </x:c>
      <x:c r="G784" s="9" t="str">
        <x:v>验证数据范围仅当前主播</x:v>
      </x:c>
      <x:c r="H784" s="9" t="str">
        <x:v>展示内容</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来源（当前证据）：liveshow-proto/MainBasis/统一需求文档.md；位置：行1255、行1247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来源（当前证据）：liveshow-proto/MainBasis/统一需求文档.md；位置：行1249、行507、行1247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P0</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来源（当前证据）：liveshow-proto/MainBasis/统一需求文档.md；位置：行1249、行507、行1247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P0</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来源（当前证据）：liveshow-proto/MainBasis/统一需求文档.md；位置：行1249、行507、行1247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P0</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来源（当前证据）：liveshow-proto/MainBasis/统一需求文档.md；位置：行1249、行507、行1247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P0</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来源（当前证据）：liveshow-proto/MainBasis/统一需求文档.md；位置：行1249、行509、行1247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P2</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来源（当前证据）：liveshow-proto/MainBasis/统一需求文档.md；位置：行1249、行1247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P2</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来源（当前证据）：liveshow-proto/MainBasis/统一需求文档.md；位置：行1254、行2032、行1247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展示内容</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来源（当前证据）：liveshow-proto/MainBasis/统一需求文档.md；位置：行1250、行2028、行1247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P2</x:v>
      </x:c>
      <x:c r="G793" s="9" t="str">
        <x:v>验证单日六小时仍计一天</x:v>
      </x:c>
      <x:c r="H793" s="9" t="str">
        <x:v>展示内容</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来源（当前证据）：liveshow-proto/MainBasis/统一需求文档.md；位置：行1250、行1247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P2</x:v>
      </x:c>
      <x:c r="G794" s="9" t="str">
        <x:v>验证未满三小时不计有效天</x:v>
      </x:c>
      <x:c r="H794" s="9" t="str">
        <x:v>展示内容</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来源（当前证据）：liveshow-proto/MainBasis/统一需求文档.md；位置：行1250、行1247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展示内容</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来源（当前证据）：liveshow-proto/MainBasis/统一需求文档.md；位置：行2026、行1247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P2</x:v>
      </x:c>
      <x:c r="G796" s="9" t="str">
        <x:v>验证无数据月归零</x:v>
      </x:c>
      <x:c r="H796" s="9" t="str">
        <x:v>展示内容</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来源（当前证据）：liveshow-proto/MainBasis/统一需求文档.md；位置：行2034、行1247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来源（当前证据）：liveshow-proto/MainBasis/统一需求文档.md；位置：行1256、行1247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展示内容</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来源（当前证据）：liveshow-proto/MainBasis/统一需求文档.md；位置：行1270、行1272、行1259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P2</x:v>
      </x:c>
      <x:c r="G799" s="9" t="str">
        <x:v>验证直播中记录无结束时间</x:v>
      </x:c>
      <x:c r="H799" s="9" t="str">
        <x:v>展示内容</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来源（当前证据）：liveshow-proto/MainBasis/统一需求文档.md；位置：行1262、行1259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P2</x:v>
      </x:c>
      <x:c r="G800" s="9" t="str">
        <x:v>验证历史场次配置快照</x:v>
      </x:c>
      <x:c r="H800" s="9" t="str">
        <x:v>展示内容</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来源（当前证据）：liveshow-proto/MainBasis/统一需求文档.md；位置：行1261、行1265、行1259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P2</x:v>
      </x:c>
      <x:c r="G801" s="9" t="str">
        <x:v>验证未实际开始不计场次</x:v>
      </x:c>
      <x:c r="H801" s="9" t="str">
        <x:v>展示内容</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来源（当前证据）：liveshow-proto/MainBasis/统一需求文档.md；位置：行1267、行1259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来源（当前证据）：liveshow-proto/MainBasis/统一需求文档.md；位置：行1271、行1259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展示内容</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来源（当前证据）：liveshow-proto/MainBasis/统一需求文档.md；位置：行1274、行1259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展示内容</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来源（当前证据）：liveshow-proto/MainBasis/统一需求文档.md；位置：行1269、行1259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展示内容</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来源（当前证据）：liveshow-proto/MainBasis/统一需求文档.md；位置：行1272、行1273、行1259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展示内容</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来源（当前证据）：liveshow-proto/MainBasis/统一需求文档.md；位置：行1272、行1273、行1259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展示内容</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来源（当前证据）：liveshow-proto/MainBasis/统一需求文档.md；位置：行1272、行1273、行1259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展示内容</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来源（当前证据）：liveshow-proto/MainBasis/统一需求文档.md；位置：行1272、行1273、行1259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展示内容</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来源（当前证据）：liveshow-proto/MainBasis/统一需求文档.md；位置：行1272、行1273、行1259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P2</x:v>
      </x:c>
      <x:c r="G810" s="9" t="str">
        <x:v>验证分成仅本人上传结果</x:v>
      </x:c>
      <x:c r="H810" s="9" t="str">
        <x:v>展示内容</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来源（当前证据）：liveshow-proto/MainBasis/统一需求文档.md；位置：行1284、行1277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P2</x:v>
      </x:c>
      <x:c r="G811" s="9" t="str">
        <x:v>验证分成金额印尼格式</x:v>
      </x:c>
      <x:c r="H811" s="9" t="str">
        <x:v>展示内容</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来源（当前证据）：liveshow-proto/MainBasis/统一需求文档.md；位置：行1280、行1283、行1277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来源（当前证据）：liveshow-proto/MainBasis/统一需求文档.md；位置：行1284、行1277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P2</x:v>
      </x:c>
      <x:c r="G813" s="9" t="str">
        <x:v>验证无线上结算申请审批</x:v>
      </x:c>
      <x:c r="H813" s="9" t="str">
        <x:v>分成申请审批入口</x:v>
      </x: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来源（当前证据）：liveshow-proto/MainBasis/统一需求文档.md；位置：行1281、行508、行1277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x:c r="H814" s="9" t="str">
        <x:v>主播中心返回去向</x:v>
      </x: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来源（当前证据）：liveshow-proto/MainBasis/统一需求文档.md；位置：行1286、行1277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P2</x:v>
      </x:c>
      <x:c r="G815" s="9" t="str">
        <x:v>验证普通房直接观看</x:v>
      </x:c>
      <x:c r="H815" s="9" t="str">
        <x:v>普通房准入方式</x:v>
      </x: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来源（当前证据）：liveshow-proto/MainBasis/统一需求文档.md；位置：行771、行758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展示内容</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来源（当前证据）：liveshow-proto/MainBasis/统一需求文档.md；位置：行761、行758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展示内容</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来源（当前证据）：liveshow-proto/MainBasis/统一需求文档.md；位置：行759、行758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来源（当前证据）：liveshow-proto/MainBasis/统一需求文档.md；位置：行760、行1740、行758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来源（当前证据）：liveshow-proto/MainBasis/统一需求文档.md；位置：行760、行1740、行758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来源（当前证据）：liveshow-proto/MainBasis/统一需求文档.md；位置：行760、行1740、行758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P2</x:v>
      </x:c>
      <x:c r="G821" s="9" t="str">
        <x:v>验证门票房未购票遮挡</x:v>
      </x:c>
      <x:c r="H821" s="9" t="str">
        <x:v>展示内容</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来源（当前证据）：liveshow-proto/MainBasis/统一需求文档.md；位置：行772、行1649、行758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P2</x:v>
      </x:c>
      <x:c r="G822" s="9" t="str">
        <x:v>验证密码房未验证遮挡</x:v>
      </x:c>
      <x:c r="H822" s="9" t="str">
        <x:v>密码校验前直播遮挡</x:v>
      </x: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来源（当前证据）：liveshow-proto/MainBasis/统一需求文档.md；位置：行772、行758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来源（当前证据）：liveshow-proto/MainBasis/统一需求文档.md；位置：行1649、行758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P0</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来源（当前证据）：liveshow-proto/MainBasis/统一需求文档.md；位置：行1649、行758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P0</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来源（当前证据）：liveshow-proto/MainBasis/统一需求文档.md；位置：行1649、行758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P0</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来源（当前证据）：liveshow-proto/MainBasis/统一需求文档.md；位置：行1649、行758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P2</x:v>
      </x:c>
      <x:c r="G827" s="9" t="str">
        <x:v>验证取消门票购买</x:v>
      </x:c>
      <x:c r="H827" s="9" t="str">
        <x:v>取消购票页面去向</x:v>
      </x: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来源（当前证据）：liveshow-proto/MainBasis/统一需求文档.md；位置：行1649、行758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P0</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来源（当前证据）：liveshow-proto/MainBasis/统一需求文档.md；位置：行1645、行504、行758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P2</x:v>
      </x:c>
      <x:c r="G829" s="9" t="str">
        <x:v>验证门票被踢出不退款</x:v>
      </x:c>
      <x:c r="H829" s="9" t="str">
        <x:v>展示内容</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来源（当前证据）：liveshow-proto/MainBasis/统一需求文档.md；位置：行1646、行758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P2</x:v>
      </x:c>
      <x:c r="G830" s="9" t="str">
        <x:v>验证被踢出不能凭票重进</x:v>
      </x:c>
      <x:c r="H830" s="9" t="str">
        <x:v>展示内容</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来源（当前证据）：liveshow-proto/MainBasis/统一需求文档.md；位置：行1647、行1663、行758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P2</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来源（当前证据）：liveshow-proto/MainBasis/统一需求文档.md；位置：行1647、行1663、行758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P2</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来源（当前证据）：liveshow-proto/MainBasis/统一需求文档.md；位置：行1638、行758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P2</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来源（当前证据）：liveshow-proto/MainBasis/统一需求文档.md；位置：行1638、行758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页面去向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来源（当前证据）：liveshow-proto/MainBasis/统一需求文档.md；位置：行773、行758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P2</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来源（当前证据）：liveshow-proto/MainBasis/统一需求文档.md；位置：行1639、行758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P2</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来源（当前证据）：liveshow-proto/MainBasis/统一需求文档.md；位置：行1639、行758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P2</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来源（当前证据）：liveshow-proto/MainBasis/统一需求文档.md；位置：行1639、行758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P2</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来源（当前证据）：liveshow-proto/MainBasis/统一需求文档.md；位置：行1639、行758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P2</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来源（当前证据）：liveshow-proto/MainBasis/统一需求文档.md；位置：行1639、行758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P2</x:v>
      </x:c>
      <x:c r="G840" s="9" t="str">
        <x:v>验证密码校验取消返回</x:v>
      </x:c>
      <x:c r="H840" s="9" t="str">
        <x:v>取消密码校验页面去向</x:v>
      </x: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来源（当前证据）：liveshow-proto/MainBasis/统一需求文档.md；位置：行1639、行758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P2</x:v>
      </x:c>
      <x:c r="G841" s="9" t="str">
        <x:v>验证成员限制拦截非成员</x:v>
      </x:c>
      <x:c r="H841" s="9" t="str">
        <x:v>反馈文案</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来源（当前证据）：liveshow-proto/MainBasis/统一需求文档.md；位置：行1657、行758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P2</x:v>
      </x:c>
      <x:c r="G842" s="9" t="str">
        <x:v>验证成员限制不踢出已在线非成员</x:v>
      </x:c>
      <x:c r="H842" s="9" t="str">
        <x:v>展示内容</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来源（当前证据）：liveshow-proto/MainBasis/统一需求文档.md；位置：行769、行1655、行758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P2</x:v>
      </x:c>
      <x:c r="G843" s="9" t="str">
        <x:v>验证非成员离开后受新限制</x:v>
      </x:c>
      <x:c r="H843" s="9" t="str">
        <x:v>展示内容</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来源（当前证据）：liveshow-proto/MainBasis/统一需求文档.md；位置：行1655、行758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P2</x:v>
      </x:c>
      <x:c r="G844" s="9" t="str">
        <x:v>验证本场禁言禁止发送</x:v>
      </x:c>
      <x:c r="H844" s="9" t="str">
        <x:v>场次禁言发送限制</x:v>
      </x: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来源（当前证据）：liveshow-proto/MainBasis/统一需求文档.md；位置：行1633、行758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P2</x:v>
      </x:c>
      <x:c r="G845" s="9" t="str">
        <x:v>验证禁言不影响观看</x:v>
      </x:c>
      <x:c r="H845" s="9" t="str">
        <x:v>展示内容</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来源（当前证据）：liveshow-proto/MainBasis/统一需求文档.md；位置：行1630、行758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P2</x:v>
      </x:c>
      <x:c r="G846" s="9" t="str">
        <x:v>验证禁言不影响送礼</x:v>
      </x:c>
      <x:c r="H846" s="9" t="str">
        <x:v>禁言下送礼资格</x:v>
      </x: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来源（当前证据）：liveshow-proto/MainBasis/统一需求文档.md；位置：行1630、行758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P2</x:v>
      </x:c>
      <x:c r="G847" s="9" t="str">
        <x:v>验证禁言不影响私信</x:v>
      </x:c>
      <x:c r="H847" s="9" t="str">
        <x:v>禁言下私信资格</x:v>
      </x: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来源（当前证据）：liveshow-proto/MainBasis/统一需求文档.md；位置：行1630、行758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P2</x:v>
      </x:c>
      <x:c r="G848" s="9" t="str">
        <x:v>验证解除禁言立即恢复</x:v>
      </x:c>
      <x:c r="H848" s="9" t="str">
        <x:v>解除禁言后公屏发送</x:v>
      </x: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来源（当前证据）：liveshow-proto/MainBasis/统一需求文档.md；位置：行1631、行758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P2</x:v>
      </x:c>
      <x:c r="G849" s="9" t="str">
        <x:v>验证新场次恢复发言</x:v>
      </x:c>
      <x:c r="H849" s="9" t="str">
        <x:v>新场次公屏发送资格</x:v>
      </x: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来源（当前证据）：liveshow-proto/MainBasis/统一需求文档.md；位置：行1632、行758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P2</x:v>
      </x:c>
      <x:c r="G850" s="9" t="str">
        <x:v>验证被踢出新场可进入</x:v>
      </x:c>
      <x:c r="H850" s="9" t="str">
        <x:v>页面去向</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来源（当前证据）：liveshow-proto/MainBasis/统一需求文档.md；位置：行768、行758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来源（当前证据）：liveshow-proto/MainBasis/统一需求文档.md；位置：行1575、行758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来源（当前证据）：liveshow-proto/MainBasis/统一需求文档.md；位置：行1575、行758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P2</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来源（当前证据）：liveshow-proto/MainBasis/统一需求文档.md；位置：行1575、行758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P2</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来源（当前证据）：liveshow-proto/MainBasis/统一需求文档.md；位置：行1577、行758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P2</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来源（当前证据）：liveshow-proto/MainBasis/统一需求文档.md；位置：行1576、行1584、行758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P2</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来源（当前证据）：liveshow-proto/MainBasis/统一需求文档.md；位置：行1585、行758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展示内容</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来源（当前证据）：liveshow-proto/MainBasis/统一需求文档.md；位置：行1585、行758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P2</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来源（当前证据）：liveshow-proto/MainBasis/统一需求文档.md；位置：行1586、行758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P2</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来源（当前证据）：liveshow-proto/MainBasis/统一需求文档.md；位置：行1586、行758
2. 规则：BR-75b4f0dbb395b480
3. 未动态验证
4. 状态转换：ST-USER-026；共同业务对象：消费订单；当前阶段：尝试消费后的用户App观察</x:v>
      </x:c>
    </x:row>
    <x:row r="860" ht="85" customHeight="1">
      <x:c r="A860" s="10" t="n">
        <x:v>859</x:v>
      </x:c>
      <x:c r="B860" s="10" t="str">
        <x:v>USER-03-0051</x:v>
      </x:c>
      <x:c r="C860" s="10" t="str">
        <x:v>直播</x:v>
      </x:c>
      <x:c r="D860" s="10" t="str">
        <x:v>直播间（普通房）（普通观众视角）</x:v>
      </x:c>
      <x:c r="E860" s="10" t="str">
        <x:v>异常用例</x:v>
      </x:c>
      <x:c r="F860" s="10" t="str">
        <x:v>P0</x:v>
      </x:c>
      <x:c r="G860" s="9" t="str">
        <x:v>验证送礼请求失败</x:v>
      </x:c>
      <x:c r="H860" s="9" t="str">
        <x:v>资产数值</x:v>
      </x:c>
      <x:c r="I860" s="9" t="str">
        <x:v>1. 执行角色为普通观众；当前处于直播间（普通房）页面
2. 余额100；礼物A单价10；请求返回失败</x:v>
      </x:c>
      <x:c r="J860" s="9" t="str">
        <x:v>1. 选择A及数量1
2. 点击赠送</x:v>
      </x:c>
      <x:c r="K860" s="9" t="str">
        <x:v>余额仍为100金币</x:v>
      </x:c>
      <x:c r="L860" s="10" t="str"/>
      <x:c r="M860" s="10" t="str">
        <x:v>未测</x:v>
      </x:c>
      <x:c r="N860" s="10" t="str"/>
      <x:c r="O860" s="9" t="str">
        <x:v>1. 来源（当前证据）：liveshow-proto/MainBasis/统一需求文档.md；位置：行1583、行758
2. 规则：BR-24647c44d15b63c3
3. 未动态验证</x:v>
      </x:c>
    </x:row>
    <x:row r="861" ht="85" customHeight="1">
      <x:c r="A861" s="10" t="n">
        <x:v>860</x:v>
      </x:c>
      <x:c r="B861" s="10" t="str">
        <x:v>USER-03-0052</x:v>
      </x:c>
      <x:c r="C861" s="10" t="str">
        <x:v>直播</x:v>
      </x:c>
      <x:c r="D861" s="10" t="str">
        <x:v>直播间（普通房）（普通观众视角）</x:v>
      </x:c>
      <x:c r="E861" s="10" t="str">
        <x:v>功能需求</x:v>
      </x:c>
      <x:c r="F861" s="10" t="str">
        <x:v>P2</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来源（当前证据）：liveshow-proto/MainBasis/统一需求文档.md；位置：行1578、行758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P2</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来源（当前证据）：liveshow-proto/MainBasis/统一需求文档.md；位置：行1578、行758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P2</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来源（当前证据）：liveshow-proto/MainBasis/统一需求文档.md；位置：行505、行1586、行758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P2</x:v>
      </x:c>
      <x:c r="G864" s="9" t="str">
        <x:v>验证快捷充值成功不自动送礼</x:v>
      </x:c>
      <x:c r="H864" s="9" t="str">
        <x:v>页面去向</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来源（当前证据）：liveshow-proto/MainBasis/统一需求文档.md；位置：行1594、行758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P2</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来源（当前证据）：liveshow-proto/MainBasis/统一需求文档.md；位置：行1595、行758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P2</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来源（当前证据）：liveshow-proto/MainBasis/统一需求文档.md；位置：行1595、行758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P2</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来源（当前证据）：liveshow-proto/MainBasis/统一需求文档.md；位置：行1595、行758
2. 规则：BR-3a360d3b35a81650
3. 未动态验证</x:v>
      </x:c>
    </x:row>
    <x:row r="868" ht="85" customHeight="1">
      <x:c r="A868" s="10" t="n">
        <x:v>867</x:v>
      </x:c>
      <x:c r="B868" s="10" t="str">
        <x:v>USER-03-0059</x:v>
      </x:c>
      <x:c r="C868" s="10" t="str">
        <x:v>直播</x:v>
      </x:c>
      <x:c r="D868" s="10" t="str">
        <x:v>直播间（普通房）（普通观众视角）</x:v>
      </x:c>
      <x:c r="E868" s="10" t="str">
        <x:v>功能需求</x:v>
      </x:c>
      <x:c r="F868" s="10" t="str">
        <x:v>P2</x:v>
      </x:c>
      <x:c r="G868" s="9" t="str">
        <x:v>验证快捷充值失败保留选择：支付失败返回</x:v>
      </x:c>
      <x:c r="H868" s="9" t="str">
        <x:v>支付失败返回</x:v>
      </x:c>
      <x:c r="I868" s="9" t="str">
        <x:v>1. 执行角色为普通观众；当前处于直播间（普通房）页面
2. 已选礼物A数量10；沙箱支付返回失败</x:v>
      </x:c>
      <x:c r="J868" s="9" t="str">
        <x:v>1. 选择套餐
2. 发起支付</x:v>
      </x:c>
      <x:c r="K868" s="9" t="str">
        <x:v>返回礼物视图</x:v>
      </x:c>
      <x:c r="L868" s="10" t="str"/>
      <x:c r="M868" s="10" t="str">
        <x:v>未测</x:v>
      </x:c>
      <x:c r="N868" s="10" t="str"/>
      <x:c r="O868" s="9" t="str">
        <x:v>1. 来源（当前证据）：liveshow-proto/MainBasis/统一需求文档.md；位置：行1595、行758
2. 规则：BR-4b874c20c1d33e75
3. 未动态验证</x:v>
      </x:c>
    </x:row>
    <x:row r="869" ht="85" customHeight="1">
      <x:c r="A869" s="10" t="n">
        <x:v>868</x:v>
      </x:c>
      <x:c r="B869" s="10" t="str">
        <x:v>USER-03-0060</x:v>
      </x:c>
      <x:c r="C869" s="10" t="str">
        <x:v>直播</x:v>
      </x:c>
      <x:c r="D869" s="10" t="str">
        <x:v>直播间（普通房）（普通观众视角）</x:v>
      </x:c>
      <x:c r="E869" s="10" t="str">
        <x:v>功能需求</x:v>
      </x:c>
      <x:c r="F869" s="10" t="str">
        <x:v>P2</x:v>
      </x:c>
      <x:c r="G869" s="9" t="str">
        <x:v>验证快捷充值失败保留选择：失败礼物选择保留</x:v>
      </x:c>
      <x:c r="H869" s="9" t="str">
        <x:v>失败礼物选择保留</x:v>
      </x:c>
      <x:c r="I869" s="9" t="str">
        <x:v>1. 执行角色为普通观众；当前处于直播间（普通房）页面
2. 已选礼物A数量10；沙箱支付返回失败</x:v>
      </x:c>
      <x:c r="J869" s="9" t="str">
        <x:v>1. 选择套餐
2. 发起支付</x:v>
      </x:c>
      <x:c r="K869" s="9" t="str">
        <x:v>选中礼物仍为A</x:v>
      </x:c>
      <x:c r="L869" s="10" t="str"/>
      <x:c r="M869" s="10" t="str">
        <x:v>未测</x:v>
      </x:c>
      <x:c r="N869" s="10" t="str"/>
      <x:c r="O869" s="9" t="str">
        <x:v>1. 来源（当前证据）：liveshow-proto/MainBasis/统一需求文档.md；位置：行1595、行758
2. 规则：BR-26c845a3188c6cec
3. 未动态验证</x:v>
      </x:c>
    </x:row>
    <x:row r="870" ht="85" customHeight="1">
      <x:c r="A870" s="10" t="n">
        <x:v>869</x:v>
      </x:c>
      <x:c r="B870" s="10" t="str">
        <x:v>USER-03-0061</x:v>
      </x:c>
      <x:c r="C870" s="10" t="str">
        <x:v>直播</x:v>
      </x:c>
      <x:c r="D870" s="10" t="str">
        <x:v>直播间（普通房）（普通观众视角）</x:v>
      </x:c>
      <x:c r="E870" s="10" t="str">
        <x:v>功能需求</x:v>
      </x:c>
      <x:c r="F870" s="10" t="str">
        <x:v>P2</x:v>
      </x:c>
      <x:c r="G870" s="9" t="str">
        <x:v>验证快捷充值失败保留选择：失败数量选择保留</x:v>
      </x:c>
      <x:c r="H870" s="9" t="str">
        <x:v>失败数量选择保留</x:v>
      </x:c>
      <x:c r="I870" s="9" t="str">
        <x:v>1. 执行角色为普通观众；当前处于直播间（普通房）页面
2. 已选礼物A数量10；沙箱支付返回失败</x:v>
      </x:c>
      <x:c r="J870" s="9" t="str">
        <x:v>1. 选择套餐
2. 发起支付</x:v>
      </x:c>
      <x:c r="K870" s="9" t="str">
        <x:v>赠送数量仍为10</x:v>
      </x:c>
      <x:c r="L870" s="10" t="str"/>
      <x:c r="M870" s="10" t="str">
        <x:v>未测</x:v>
      </x:c>
      <x:c r="N870" s="10" t="str"/>
      <x:c r="O870" s="9" t="str">
        <x:v>1. 来源（当前证据）：liveshow-proto/MainBasis/统一需求文档.md；位置：行1595、行758
2. 规则：BR-b4360aa31dd09de3
3. 未动态验证</x:v>
      </x:c>
    </x:row>
    <x:row r="871" ht="85" customHeight="1">
      <x:c r="A871" s="10" t="n">
        <x:v>870</x:v>
      </x:c>
      <x:c r="B871" s="10" t="str">
        <x:v>USER-03-0062</x:v>
      </x:c>
      <x:c r="C871" s="10" t="str">
        <x:v>直播</x:v>
      </x:c>
      <x:c r="D871" s="10" t="str">
        <x:v>直播间（普通房）（普通观众视角）</x:v>
      </x:c>
      <x:c r="E871" s="10" t="str">
        <x:v>功能需求</x:v>
      </x:c>
      <x:c r="F871" s="10" t="str">
        <x:v>P2</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来源（当前证据）：liveshow-proto/MainBasis/统一需求文档.md；位置：行1608、行758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P2</x:v>
      </x:c>
      <x:c r="G872" s="9" t="str">
        <x:v>验证未关注不能入团</x:v>
      </x:c>
      <x:c r="H872" s="9" t="str">
        <x:v>反馈文案</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来源（当前证据）：liveshow-proto/MainBasis/统一需求文档.md；位置：行1611、行1615、行758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P2</x:v>
      </x:c>
      <x:c r="G873" s="9" t="str">
        <x:v>验证贡献未达标不能入团</x:v>
      </x:c>
      <x:c r="H873" s="9" t="str">
        <x:v>反馈文案</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来源（当前证据）：liveshow-proto/MainBasis/统一需求文档.md；位置：行1608、行1615、行758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展示内容</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来源（当前证据）：liveshow-proto/MainBasis/统一需求文档.md；位置：行1611、行1616、行758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P2</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来源（当前证据）：liveshow-proto/MainBasis/统一需求文档.md；位置：行1612、行758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P2</x:v>
      </x:c>
      <x:c r="G876" s="9" t="str">
        <x:v>验证四百九十九人允许加入</x:v>
      </x:c>
      <x:c r="H876" s="9" t="str">
        <x:v>粉丝团成员容量上限</x:v>
      </x: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来源（当前证据）：liveshow-proto/MainBasis/统一需求文档.md；位置：行1612、行1616、行758
2. 规则：BR-0087d2423a239e82
3. 未动态验证</x:v>
      </x:c>
    </x:row>
    <x:row r="877" ht="85"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反馈文案</x:v>
      </x:c>
      <x:c r="I877" s="9" t="str">
        <x:v>1. 执行角色为普通观众；当前处于直播间（普通房）页面
2. 所有条件满足但加入请求返回失败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来源（当前证据）：liveshow-proto/MainBasis/统一需求文档.md；位置：行1615、行758
2. 规则：BR-eaa8d2660b684722
3. 未动态验证</x:v>
      </x:c>
    </x:row>
    <x:row r="878" ht="130" customHeight="1">
      <x:c r="A878" s="10" t="n">
        <x:v>877</x:v>
      </x:c>
      <x:c r="B878" s="10" t="str">
        <x:v>USER-03-0069</x:v>
      </x:c>
      <x:c r="C878" s="10" t="str">
        <x:v>直播</x:v>
      </x:c>
      <x:c r="D878" s="10" t="str">
        <x:v>直播间（普通房）（普通观众视角）</x:v>
      </x:c>
      <x:c r="E878" s="10" t="str">
        <x:v>功能需求</x:v>
      </x:c>
      <x:c r="F878" s="10" t="str">
        <x:v>P2</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来源（当前证据）：liveshow-proto/MainBasis/统一需求文档.md；位置：行1625、行758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来源（当前证据）：liveshow-proto/MainBasis/统一需求文档.md；位置：行1626、行758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x:c r="H880" s="9" t="str">
        <x:v>退团确认弹窗</x:v>
      </x: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来源（当前证据）：liveshow-proto/MainBasis/统一需求文档.md；位置：行1626、行758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展示内容</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来源（当前证据）：liveshow-proto/MainBasis/统一需求文档.md；位置：行1670、行758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P2</x:v>
      </x:c>
      <x:c r="G882" s="9" t="str">
        <x:v>验证普通观众只读房管列表</x:v>
      </x:c>
      <x:c r="H882" s="9" t="str">
        <x:v>展示内容</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来源（当前证据）：liveshow-proto/MainBasis/统一需求文档.md；位置：行1683、行758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页面去向</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来源（当前证据）：liveshow-proto/MainBasis/统一需求文档.md；位置：行1691、行758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页面去向</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来源（当前证据）：liveshow-proto/MainBasis/统一需求文档.md；位置：行1691、行758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来源（当前证据）：liveshow-proto/MainBasis/统一需求文档.md；位置：行776、行1735、行758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x:c r="H886" s="9" t="str">
        <x:v>直播系统分享唤起</x:v>
      </x: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来源（当前证据）：liveshow-proto/MainBasis/统一需求文档.md；位置：行1736、行758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页面去向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来源（当前证据）：liveshow-proto/MainBasis/统一需求文档.md；位置：行1736、行1734、行758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展示内容</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来源（当前证据）：liveshow-proto/MainBasis/统一需求文档.md；位置：行1736、行758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P2</x:v>
      </x:c>
      <x:c r="G889" s="9" t="str">
        <x:v>验证运营门票免票</x:v>
      </x:c>
      <x:c r="H889" s="9" t="str">
        <x:v>展示内容</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来源（当前证据）：liveshow-proto/MainBasis/统一需求文档.md；位置：行1648、行758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P2</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来源（当前证据）：liveshow-proto/MainBasis/统一需求文档.md；位置：行767、行758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P2</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来源（当前证据）：liveshow-proto/MainBasis/统一需求文档.md；位置：行1577、行758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P2</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来源（当前证据）：liveshow-proto/MainBasis/统一需求文档.md；位置：行1580、行1585、行758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P2</x:v>
      </x:c>
      <x:c r="G893" s="9" t="str">
        <x:v>验证运营定制礼物可送</x:v>
      </x:c>
      <x:c r="H893" s="9" t="str">
        <x:v>运营账号定制礼物赠送</x:v>
      </x: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来源（当前证据）：liveshow-proto/MainBasis/统一需求文档.md；位置：行1580、行758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P2</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来源（当前证据）：liveshow-proto/MainBasis/统一需求文档.md；位置：行1580、行758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P2</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来源（当前证据）：liveshow-proto/MainBasis/统一需求文档.md；位置：行1586、行758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P2</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来源（当前证据）：liveshow-proto/MainBasis/统一需求文档.md；位置：行1586、行758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P2</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来源（当前证据）：liveshow-proto/MainBasis/统一需求文档.md；位置：行1610、行1614、行758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P2</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来源（当前证据）：liveshow-proto/MainBasis/统一需求文档.md；位置：行1610、行1614、行758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P2</x:v>
      </x:c>
      <x:c r="G899" s="9" t="str">
        <x:v>验证运营绕过成员限制</x:v>
      </x:c>
      <x:c r="H899" s="9" t="str">
        <x:v>展示内容</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来源（当前证据）：liveshow-proto/MainBasis/统一需求文档.md；位置：行769、行1656、行758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展示内容</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来源（当前证据）：liveshow-proto/MainBasis/统一需求文档.md；位置：行1695、行1699、行758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P2</x:v>
      </x:c>
      <x:c r="G901" s="9" t="str">
        <x:v>验证取消禁言不生效</x:v>
      </x:c>
      <x:c r="H901" s="9" t="str">
        <x:v>展示内容</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来源（当前证据）：liveshow-proto/MainBasis/统一需求文档.md；位置：行1699、行758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P2</x:v>
      </x:c>
      <x:c r="G902" s="9" t="str">
        <x:v>验证确认禁言生效</x:v>
      </x:c>
      <x:c r="H902" s="9" t="str">
        <x:v>场次禁言状态</x:v>
      </x: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来源（当前证据）：liveshow-proto/MainBasis/统一需求文档.md；位置：行1704、行758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P2</x:v>
      </x:c>
      <x:c r="G903" s="9" t="str">
        <x:v>验证房管踢出确认</x:v>
      </x:c>
      <x:c r="H903" s="9" t="str">
        <x:v>展示内容</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来源（当前证据）：liveshow-proto/MainBasis/统一需求文档.md；位置：行1699、行758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P2</x:v>
      </x:c>
      <x:c r="G904" s="9" t="str">
        <x:v>验证取消踢出保持在房</x:v>
      </x:c>
      <x:c r="H904" s="9" t="str">
        <x:v>展示内容</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来源（当前证据）：liveshow-proto/MainBasis/统一需求文档.md；位置：行1709、行758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P2</x:v>
      </x:c>
      <x:c r="G905" s="9" t="str">
        <x:v>验证确认踢出移除观众</x:v>
      </x:c>
      <x:c r="H905" s="9" t="str">
        <x:v>在线观众移除</x:v>
      </x: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来源（当前证据）：liveshow-proto/MainBasis/统一需求文档.md；位置：行1709、行758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P2</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来源（当前证据）：liveshow-proto/MainBasis/统一需求文档.md；位置：行1696、行758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P2</x:v>
      </x:c>
      <x:c r="G907" s="9" t="str">
        <x:v>验证房管不能踢巡房人员</x:v>
      </x:c>
      <x:c r="H907" s="9" t="str">
        <x:v>展示内容</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来源（当前证据）：liveshow-proto/MainBasis/统一需求文档.md；位置：行1697、行774、行758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P2</x:v>
      </x:c>
      <x:c r="G908" s="9" t="str">
        <x:v>验证取消授权立即失去权限</x:v>
      </x:c>
      <x:c r="H908" s="9" t="str">
        <x:v>展示内容</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来源（当前证据）：liveshow-proto/MainBasis/统一需求文档.md；位置：行1682、行758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P2</x:v>
      </x:c>
      <x:c r="G909" s="9" t="str">
        <x:v>验证固定房间ID跨场次</x:v>
      </x:c>
      <x:c r="H909" s="9" t="str">
        <x:v>展示内容</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来源（当前证据）：liveshow-proto/MainBasis/统一需求文档.md；位置：行797、行796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P2</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来源（当前证据）：liveshow-proto/MainBasis/统一需求文档.md；位置：行1748、行1753、行796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P2</x:v>
      </x:c>
      <x:c r="G911" s="9" t="str">
        <x:v>验证在线列表移除离线用户</x:v>
      </x:c>
      <x:c r="H911" s="9" t="str">
        <x:v>展示内容</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来源（当前证据）：liveshow-proto/MainBasis/统一需求文档.md；位置：行1769、行796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P2</x:v>
      </x:c>
      <x:c r="G912" s="9" t="str">
        <x:v>验证按停留时长排序</x:v>
      </x:c>
      <x:c r="H912" s="9" t="str">
        <x:v>在线停留时长排序</x:v>
      </x: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来源（当前证据）：liveshow-proto/MainBasis/统一需求文档.md；位置：行1772、行1776、行796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P2</x:v>
      </x:c>
      <x:c r="G913" s="9" t="str">
        <x:v>验证取消房管仍可观看</x:v>
      </x:c>
      <x:c r="H913" s="9" t="str">
        <x:v>展示内容</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来源（当前证据）：liveshow-proto/MainBasis/统一需求文档.md；位置：行1774、行796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P2</x:v>
      </x:c>
      <x:c r="G914" s="9" t="str">
        <x:v>验证禁言用户离开不解除</x:v>
      </x:c>
      <x:c r="H914" s="9" t="str">
        <x:v>展示内容</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来源（当前证据）：liveshow-proto/MainBasis/统一需求文档.md；位置：行1787、行796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x:c r="H915" s="9" t="str">
        <x:v>恢复发言确认弹窗</x:v>
      </x: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来源（当前证据）：liveshow-proto/MainBasis/统一需求文档.md；位置：行1788、行796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P2</x:v>
      </x:c>
      <x:c r="G916" s="9" t="str">
        <x:v>验证恢复发言成功</x:v>
      </x:c>
      <x:c r="H916" s="9" t="str">
        <x:v>禁言记录移除</x:v>
      </x: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来源（当前证据）：liveshow-proto/MainBasis/统一需求文档.md；位置：行1793、行796
2. 规则：BR-3a3cde2803c75795
3. 未动态验证</x:v>
      </x:c>
    </x:row>
    <x:row r="917" ht="85"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x:v>
      </x:c>
      <x:c r="J917" s="9" t="str">
        <x:v>1. 点击恢复A发言
2. 点击确认</x:v>
      </x:c>
      <x:c r="K917" s="9" t="str">
        <x:v>A仍被禁言</x:v>
      </x:c>
      <x:c r="L917" s="10" t="str"/>
      <x:c r="M917" s="10" t="str">
        <x:v>未测</x:v>
      </x:c>
      <x:c r="N917" s="10" t="str"/>
      <x:c r="O917" s="9" t="str">
        <x:v>1. 来源（当前证据）：liveshow-proto/MainBasis/统一需求文档.md；位置：行1788、行796
2. 规则：BR-e7cb36ea34528844
3. 未动态验证</x:v>
      </x:c>
    </x:row>
    <x:row r="918" ht="85"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x:v>
      </x:c>
      <x:c r="J918" s="9" t="str">
        <x:v>1. 点击恢复A发言
2. 点击确认</x:v>
      </x:c>
      <x:c r="K918" s="9" t="str">
        <x:v>提示“请求失败”</x:v>
      </x:c>
      <x:c r="L918" s="10" t="str"/>
      <x:c r="M918" s="10" t="str">
        <x:v>未测</x:v>
      </x:c>
      <x:c r="N918" s="10" t="str"/>
      <x:c r="O918" s="9" t="str">
        <x:v>1. 来源（当前证据）：liveshow-proto/MainBasis/统一需求文档.md；位置：行1788、行796
2. 规则：BR-b84dc03c7c83e243
3. 未动态验证</x:v>
      </x:c>
    </x:row>
    <x:row r="919" ht="85" customHeight="1">
      <x:c r="A919" s="10" t="n">
        <x:v>918</x:v>
      </x:c>
      <x:c r="B919" s="10" t="str">
        <x:v>USER-03-0110</x:v>
      </x:c>
      <x:c r="C919" s="10" t="str">
        <x:v>直播</x:v>
      </x:c>
      <x:c r="D919" s="10" t="str">
        <x:v>直播间（主播）（正在普通房直播的主播视角）</x:v>
      </x:c>
      <x:c r="E919" s="10" t="str">
        <x:v>功能需求</x:v>
      </x:c>
      <x:c r="F919" s="10" t="str">
        <x:v>P2</x:v>
      </x:c>
      <x:c r="G919" s="9" t="str">
        <x:v>验证恢复发言取消</x:v>
      </x:c>
      <x:c r="H919" s="9" t="str">
        <x:v>展示内容</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来源（当前证据）：liveshow-proto/MainBasis/统一需求文档.md；位置：行1793、行796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展示内容</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来源（当前证据）：liveshow-proto/MainBasis/统一需求文档.md；位置：行1812、行796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P2</x:v>
      </x:c>
      <x:c r="G921" s="9" t="str">
        <x:v>验证快捷答谢不自动发送</x:v>
      </x:c>
      <x:c r="H921" s="9" t="str">
        <x:v>展示内容</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来源（当前证据）：liveshow-proto/MainBasis/统一需求文档.md；位置：行1801、行1811、行796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x:c r="H922" s="9" t="str">
        <x:v>答谢消息发送内容</x:v>
      </x: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来源（当前证据）：liveshow-proto/MainBasis/统一需求文档.md；位置：行1810、行1812、行796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展示内容</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来源（当前证据）：liveshow-proto/MainBasis/统一需求文档.md；位置：行1816、行796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P2</x:v>
      </x:c>
      <x:c r="G924" s="9" t="str">
        <x:v>验证重点标签不赋予房管</x:v>
      </x:c>
      <x:c r="H924" s="9" t="str">
        <x:v>展示内容</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来源（当前证据）：liveshow-proto/MainBasis/统一需求文档.md；位置：行1818、行1819、行796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P2</x:v>
      </x:c>
      <x:c r="G925" s="9" t="str">
        <x:v>验证普通房无密码修改</x:v>
      </x:c>
      <x:c r="H925" s="9" t="str">
        <x:v>房间密码入口可用性</x:v>
      </x: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来源（当前证据）：liveshow-proto/MainBasis/统一需求文档.md；位置：行1859、行796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展示内容</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来源（当前证据）：liveshow-proto/MainBasis/统一需求文档.md；位置：行808、行796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来源（当前证据）：liveshow-proto/MainBasis/统一需求文档.md；位置：行809、行1860、行796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P2</x:v>
      </x:c>
      <x:c r="G928" s="9" t="str">
        <x:v>验证取消结束直播</x:v>
      </x:c>
      <x:c r="H928" s="9" t="str">
        <x:v>页面去向</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来源（当前证据）：liveshow-proto/MainBasis/统一需求文档.md；位置：行1866、行796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P0</x:v>
      </x:c>
      <x:c r="G929" s="9" t="str">
        <x:v>验证确认结束直播</x:v>
      </x:c>
      <x:c r="H929" s="9" t="str">
        <x:v>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来源（当前证据）：liveshow-proto/MainBasis/统一需求文档.md；位置：行1866、行796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P2</x:v>
      </x:c>
      <x:c r="G930" s="9" t="str">
        <x:v>验证重复结束只处理一次</x:v>
      </x:c>
      <x:c r="H930" s="9" t="str">
        <x:v>展示内容</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来源（当前证据）：liveshow-proto/MainBasis/统一需求文档.md；位置：行1866、行796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P0</x:v>
      </x:c>
      <x:c r="G931" s="9" t="str">
        <x:v>验证最终权限关闭立即结束</x:v>
      </x:c>
      <x:c r="H931" s="9" t="str">
        <x:v>展示内容</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来源（当前证据）：liveshow-proto/MainBasis/统一需求文档.md；位置：行802、行501、行796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x:c r="H932" s="9" t="str">
        <x:v>连麦主播ID搜索</x:v>
      </x: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来源（当前证据）：liveshow-proto/MainBasis/统一需求文档.md；位置：行1834、行1836、行796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x:c r="H933" s="9" t="str">
        <x:v>连麦主播昵称搜索</x:v>
      </x: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来源（当前证据）：liveshow-proto/MainBasis/统一需求文档.md；位置：行1834、行796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x:c r="H934" s="9" t="str">
        <x:v>连麦搜索状态恢复</x:v>
      </x: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来源（当前证据）：liveshow-proto/MainBasis/统一需求文档.md；位置：行1837、行796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P2</x:v>
      </x:c>
      <x:c r="G935" s="9" t="str">
        <x:v>验证连麦非普通房过滤</x:v>
      </x:c>
      <x:c r="H935" s="9" t="str">
        <x:v>反馈文案</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来源（当前证据）：liveshow-proto/MainBasis/统一需求文档.md；位置：行1830、行796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P2</x:v>
      </x:c>
      <x:c r="G936" s="9" t="str">
        <x:v>验证连麦未直播过滤</x:v>
      </x:c>
      <x:c r="H936" s="9" t="str">
        <x:v>反馈文案</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来源（当前证据）：liveshow-proto/MainBasis/统一需求文档.md；位置：行1837、行796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P2</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来源（当前证据）：liveshow-proto/MainBasis/统一需求文档.md；位置：行1836、行796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P2</x:v>
      </x:c>
      <x:c r="G938" s="9" t="str">
        <x:v>验证连麦拉黑主播过滤</x:v>
      </x:c>
      <x:c r="H938" s="9" t="str">
        <x:v>连麦搜索对象过滤</x:v>
      </x: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来源（当前证据）：liveshow-proto/MainBasis/统一需求文档.md；位置：行1836、行796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P2</x:v>
      </x:c>
      <x:c r="G939" s="9" t="str">
        <x:v>验证发送连麦邀请</x:v>
      </x:c>
      <x:c r="H939" s="9" t="str">
        <x:v>连麦邀请发送状态</x:v>
      </x: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来源（当前证据）：liveshow-proto/MainBasis/统一需求文档.md；位置：行1830、行796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P2</x:v>
      </x:c>
      <x:c r="G940" s="9" t="str">
        <x:v>验证已有邀请阻止另发</x:v>
      </x:c>
      <x:c r="H940" s="9" t="str">
        <x:v>反馈文案</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来源（当前证据）：liveshow-proto/MainBasis/统一需求文档.md；位置：行1837、行796
2. 规则：BR-537c4816a1f30c3e
3. 未动态验证</x:v>
      </x:c>
    </x:row>
    <x:row r="941" ht="85"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x:v>
      </x:c>
      <x:c r="J941" s="9" t="str">
        <x:v>1. 点击可邀请主播B</x:v>
      </x:c>
      <x:c r="K941" s="9" t="str">
        <x:v>没有新增连麦邀请</x:v>
      </x:c>
      <x:c r="L941" s="10" t="str"/>
      <x:c r="M941" s="10" t="str">
        <x:v>未测</x:v>
      </x:c>
      <x:c r="N941" s="10" t="str"/>
      <x:c r="O941" s="9" t="str">
        <x:v>1. 来源（当前证据）：liveshow-proto/MainBasis/统一需求文档.md；位置：行1830、行796
2. 规则：BR-7a02d55edce91fb8
3. 未动态验证</x:v>
      </x:c>
    </x:row>
    <x:row r="942" ht="85"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x:v>
      </x:c>
      <x:c r="J942" s="9" t="str">
        <x:v>1. 点击可邀请主播B</x:v>
      </x:c>
      <x:c r="K942" s="9" t="str">
        <x:v>提示“请求失败”</x:v>
      </x:c>
      <x:c r="L942" s="10" t="str"/>
      <x:c r="M942" s="10" t="str">
        <x:v>未测</x:v>
      </x:c>
      <x:c r="N942" s="10" t="str"/>
      <x:c r="O942" s="9" t="str">
        <x:v>1. 来源（当前证据）：liveshow-proto/MainBasis/统一需求文档.md；位置：行1830、行796
2. 规则：BR-b9874fce44fa611a
3. 未动态验证</x:v>
      </x:c>
    </x:row>
    <x:row r="943" ht="85" customHeight="1">
      <x:c r="A943" s="10" t="n">
        <x:v>942</x:v>
      </x:c>
      <x:c r="B943" s="10" t="str">
        <x:v>USER-03-0134</x:v>
      </x:c>
      <x:c r="C943" s="10" t="str">
        <x:v>直播</x:v>
      </x:c>
      <x:c r="D943" s="10" t="str">
        <x:v>直播间（主播）（普通房未连麦主播视角）</x:v>
      </x:c>
      <x:c r="E943" s="10" t="str">
        <x:v>功能需求</x:v>
      </x:c>
      <x:c r="F943" s="10" t="str">
        <x:v>P2</x:v>
      </x:c>
      <x:c r="G943" s="9" t="str">
        <x:v>验证收到多邀请计数</x:v>
      </x:c>
      <x:c r="H943" s="9" t="str">
        <x:v>有效连麦邀请计数</x:v>
      </x: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来源（当前证据）：liveshow-proto/MainBasis/统一需求文档.md；位置：行1828、行800、行796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x:c r="H944" s="9" t="str">
        <x:v>连麦邀请提示合并</x:v>
      </x: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来源（当前证据）：liveshow-proto/MainBasis/统一需求文档.md；位置：行1844、行796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x:c r="H945" s="9" t="str">
        <x:v>待处理连麦邀请列表</x:v>
      </x: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来源（当前证据）：liveshow-proto/MainBasis/统一需求文档.md；位置：行1846、行796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P2</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来源（当前证据）：liveshow-proto/MainBasis/统一需求文档.md；位置：行1846、行796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P2</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来源（当前证据）：liveshow-proto/MainBasis/统一需求文档.md；位置：行1846、行796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x:c r="H948" s="9" t="str">
        <x:v>连麦连接建立</x:v>
      </x: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来源（当前证据）：liveshow-proto/MainBasis/统一需求文档.md；位置：行1846、行503、行796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P2</x:v>
      </x:c>
      <x:c r="G949" s="9" t="str">
        <x:v>验证接受时重新检查对方状态</x:v>
      </x:c>
      <x:c r="H949" s="9" t="str">
        <x:v>展示内容</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来源（当前证据）：liveshow-proto/MainBasis/统一需求文档.md；位置：行1842、行1846、行796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P2</x:v>
      </x:c>
      <x:c r="G950" s="9" t="str">
        <x:v>验证接受使自己发出的邀请失效</x:v>
      </x:c>
      <x:c r="H950" s="9" t="str">
        <x:v>已发连麦邀请失效</x:v>
      </x: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来源（当前证据）：liveshow-proto/MainBasis/统一需求文档.md；位置：行1845、行796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P2</x:v>
      </x:c>
      <x:c r="G951" s="9" t="str">
        <x:v>验证接受保留其他收到邀请</x:v>
      </x:c>
      <x:c r="H951" s="9" t="str">
        <x:v>其他收到邀请保留</x:v>
      </x: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来源（当前证据）：liveshow-proto/MainBasis/统一需求文档.md；位置：行1845、行796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P2</x:v>
      </x:c>
      <x:c r="G952" s="9" t="str">
        <x:v>验证结束直播使邀请失效</x:v>
      </x:c>
      <x:c r="H952" s="9" t="str">
        <x:v>场次结束邀请失效</x:v>
      </x: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来源（当前证据）：liveshow-proto/MainBasis/统一需求文档.md；位置：行1829、行1865、行796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P2</x:v>
      </x:c>
      <x:c r="G953" s="9" t="str">
        <x:v>验证分享接收对象范围</x:v>
      </x:c>
      <x:c r="H953" s="9" t="str">
        <x:v>展示内容</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来源（当前证据）：liveshow-proto/MainBasis/统一需求文档.md；位置：行1850、行796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P2</x:v>
      </x:c>
      <x:c r="G954" s="9" t="str">
        <x:v>验证确认分享直播卡片</x:v>
      </x:c>
      <x:c r="H954" s="9" t="str">
        <x:v>直播分享卡片发送</x:v>
      </x: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来源（当前证据）：liveshow-proto/MainBasis/统一需求文档.md；位置：行1851、行1853、行796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P2</x:v>
      </x:c>
      <x:c r="G955" s="9" t="str">
        <x:v>验证取消分享不发消息</x:v>
      </x:c>
      <x:c r="H955" s="9" t="str">
        <x:v>展示内容</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来源（当前证据）：liveshow-proto/MainBasis/统一需求文档.md；位置：行1853、行796
2. 规则：BR-32e68835319098bf
3. 未动态验证</x:v>
      </x:c>
    </x:row>
    <x:row r="956" ht="85"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来源（当前证据）：liveshow-proto/MainBasis/统一需求文档.md；位置：行1853、行796
2. 规则：BR-0494771b7846ec81
3. 未动态验证</x:v>
      </x:c>
    </x:row>
    <x:row r="957" ht="85"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来源（当前证据）：liveshow-proto/MainBasis/统一需求文档.md；位置：行1853、行796
2. 规则：BR-4bf10a1c2e543720
3. 未动态验证</x:v>
      </x:c>
    </x:row>
    <x:row r="958" ht="85" customHeight="1">
      <x:c r="A958" s="10" t="n">
        <x:v>957</x:v>
      </x:c>
      <x:c r="B958" s="10" t="str">
        <x:v>USER-03-0149</x:v>
      </x:c>
      <x:c r="C958" s="10" t="str">
        <x:v>直播</x:v>
      </x:c>
      <x:c r="D958" s="10" t="str">
        <x:v>直播间-主播-密码房（密码房主播视角）</x:v>
      </x:c>
      <x:c r="E958" s="10" t="str">
        <x:v>功能需求</x:v>
      </x:c>
      <x:c r="F958" s="10" t="str">
        <x:v>P2</x:v>
      </x:c>
      <x:c r="G958" s="9" t="str">
        <x:v>验证密码房无连麦入口</x:v>
      </x:c>
      <x:c r="H958" s="9" t="str">
        <x:v>连麦入口可见性</x:v>
      </x: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来源（当前证据）：liveshow-proto/MainBasis/统一需求文档.md；位置：行1870、行812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P2</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来源（当前证据）：liveshow-proto/MainBasis/统一需求文档.md；位置：行1879、行812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P2</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来源（当前证据）：liveshow-proto/MainBasis/统一需求文档.md；位置：行1879、行812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P2</x:v>
      </x:c>
      <x:c r="G961" s="9" t="str">
        <x:v>验证取消修改保留密码</x:v>
      </x:c>
      <x:c r="H961" s="9" t="str">
        <x:v>取消编辑后房间密码保留</x:v>
      </x: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来源（当前证据）：liveshow-proto/MainBasis/统一需求文档.md；位置：行1879、行812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P2</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来源（当前证据）：liveshow-proto/MainBasis/统一需求文档.md；位置：行820、行812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P2</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来源（当前证据）：liveshow-proto/MainBasis/统一需求文档.md；位置：行820、行812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P2</x:v>
      </x:c>
      <x:c r="G964" s="9" t="str">
        <x:v>验证访问开关独立</x:v>
      </x:c>
      <x:c r="H964" s="9" t="str">
        <x:v>展示内容</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来源（当前证据）：liveshow-proto/MainBasis/统一需求文档.md；位置：行1885、行812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P2</x:v>
      </x:c>
      <x:c r="G965" s="9" t="str">
        <x:v>验证访问范围取消不保存</x:v>
      </x:c>
      <x:c r="H965" s="9" t="str">
        <x:v>展示内容</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来源（当前证据）：liveshow-proto/MainBasis/统一需求文档.md；位置：行1888、行812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P2</x:v>
      </x:c>
      <x:c r="G966" s="9" t="str">
        <x:v>验证主播改密码不踢在线用户</x:v>
      </x:c>
      <x:c r="H966" s="9" t="str">
        <x:v>修改密码后在线观看保持</x:v>
      </x: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来源（当前证据）：liveshow-proto/MainBasis/统一需求文档.md；位置：行818、行1878、行758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P2</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来源（当前证据）：liveshow-proto/MainBasis/统一需求文档.md；位置：行818、行1639、行758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P2</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来源（当前证据）：liveshow-proto/MainBasis/统一需求文档.md；位置：行824、行823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P2</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来源（当前证据）：liveshow-proto/MainBasis/统一需求文档.md；位置：行824、行823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P2</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来源（当前证据）：liveshow-proto/MainBasis/统一需求文档.md；位置：行826、行823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P2</x:v>
      </x:c>
      <x:c r="G971" s="9" t="str">
        <x:v>验证取消退出保持连麦</x:v>
      </x:c>
      <x:c r="H971" s="9" t="str">
        <x:v>连麦连接保持</x:v>
      </x: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来源（当前证据）：liveshow-proto/MainBasis/统一需求文档.md；位置：行832、行823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P0</x:v>
      </x:c>
      <x:c r="G972" s="9" t="str">
        <x:v>验证确认退出双方继续直播</x:v>
      </x:c>
      <x:c r="H972" s="9" t="str">
        <x:v>连麦退出后直播状态</x:v>
      </x: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来源（当前证据）：liveshow-proto/MainBasis/统一需求文档.md；位置：行1898、行1899、行823
2. 规则：BR-71317d6808997167
3. 未动态验证
4. 状态转换：ST-USER-020；共同业务对象：连麦会话；当前阶段：结束连麦后的用户App观察</x:v>
      </x:c>
    </x:row>
    <x:row r="973" ht="8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x:v>
      </x:c>
      <x:c r="J973" s="9" t="str">
        <x:v>1. 点击退出连麦
2. 点击确认</x:v>
      </x:c>
      <x:c r="K973" s="9" t="str">
        <x:v>保持当前连麦画面</x:v>
      </x:c>
      <x:c r="L973" s="10" t="str"/>
      <x:c r="M973" s="10" t="str">
        <x:v>未测</x:v>
      </x:c>
      <x:c r="N973" s="10" t="str"/>
      <x:c r="O973" s="9" t="str">
        <x:v>1. 来源（当前证据）：liveshow-proto/MainBasis/统一需求文档.md；位置：行1899、行823
2. 规则：BR-d1014b8b5328941d
3. 未动态验证</x:v>
      </x:c>
    </x:row>
    <x:row r="974" ht="8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x:v>
      </x:c>
      <x:c r="J974" s="9" t="str">
        <x:v>1. 点击退出连麦
2. 点击确认</x:v>
      </x:c>
      <x:c r="K974" s="9" t="str">
        <x:v>提示“退出失败”</x:v>
      </x:c>
      <x:c r="L974" s="10" t="str"/>
      <x:c r="M974" s="10" t="str">
        <x:v>未测</x:v>
      </x:c>
      <x:c r="N974" s="10" t="str"/>
      <x:c r="O974" s="9" t="str">
        <x:v>1. 来源（当前证据）：liveshow-proto/MainBasis/统一需求文档.md；位置：行1899、行823
2. 规则：BR-3b3303d610a73889
3. 未动态验证</x:v>
      </x:c>
    </x:row>
    <x:row r="975" ht="130" customHeight="1">
      <x:c r="A975" s="10" t="n">
        <x:v>974</x:v>
      </x:c>
      <x:c r="B975" s="10" t="str">
        <x:v>USER-03-0166</x:v>
      </x:c>
      <x:c r="C975" s="10" t="str">
        <x:v>直播</x:v>
      </x:c>
      <x:c r="D975" s="10" t="str">
        <x:v>直播间-连麦中-主播（连麦中的主播视角）</x:v>
      </x:c>
      <x:c r="E975" s="10" t="str">
        <x:v>功能需求</x:v>
      </x:c>
      <x:c r="F975" s="10" t="str">
        <x:v>P2</x:v>
      </x:c>
      <x:c r="G975" s="9" t="str">
        <x:v>验证对方结束本方继续</x:v>
      </x:c>
      <x:c r="H975" s="9" t="str">
        <x:v>展示内容</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来源（当前证据）：liveshow-proto/MainBasis/统一需求文档.md；位置：行830、行823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P2</x:v>
      </x:c>
      <x:c r="G976" s="9" t="str">
        <x:v>验证连麦中不能再发邀请</x:v>
      </x:c>
      <x:c r="H976" s="9" t="str">
        <x:v>反馈文案</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来源（当前证据）：liveshow-proto/MainBasis/统一需求文档.md；位置：行1893、行1894、行823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P2</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来源（当前证据）：liveshow-proto/MainBasis/统一需求文档.md；位置：行1845、行503、行823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P2</x:v>
      </x:c>
      <x:c r="G978" s="9" t="str">
        <x:v>验证连麦中禁切门票房</x:v>
      </x:c>
      <x:c r="H978" s="9" t="str">
        <x:v>反馈文案</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来源（当前证据）：liveshow-proto/MainBasis/统一需求文档.md；位置：行1893、行1894、行823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P2</x:v>
      </x:c>
      <x:c r="G979" s="9" t="str">
        <x:v>验证连麦中禁切密码房</x:v>
      </x:c>
      <x:c r="H979" s="9" t="str">
        <x:v>反馈文案</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来源（当前证据）：liveshow-proto/MainBasis/统一需求文档.md；位置：行1893、行1894、行823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P2</x:v>
      </x:c>
      <x:c r="G980" s="9" t="str">
        <x:v>验证连麦中观众管理不中断</x:v>
      </x:c>
      <x:c r="H980" s="9" t="str">
        <x:v>管理操作下连麦保持</x:v>
      </x: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来源（当前证据）：liveshow-proto/MainBasis/统一需求文档.md；位置：行1894、行823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P2</x:v>
      </x:c>
      <x:c r="G981" s="9" t="str">
        <x:v>验证连麦中转发不中断</x:v>
      </x:c>
      <x:c r="H981" s="9" t="str">
        <x:v>转发操作下连麦保持</x:v>
      </x: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来源（当前证据）：liveshow-proto/MainBasis/统一需求文档.md；位置：行1894、行823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P2</x:v>
      </x:c>
      <x:c r="G982" s="9" t="str">
        <x:v>验证观众结束页对象</x:v>
      </x:c>
      <x:c r="H982" s="9" t="str">
        <x:v>展示内容</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来源（当前证据）：liveshow-proto/MainBasis/统一需求文档.md；位置：行836、行837、行835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P2</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来源（当前证据）：liveshow-proto/MainBasis/统一需求文档.md；位置：行840、行835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P2</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来源（当前证据）：liveshow-proto/MainBasis/统一需求文档.md；位置：行843、行835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P2</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来源（当前证据）：liveshow-proto/MainBasis/统一需求文档.md；位置：行843、行835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x:c r="H986" s="9" t="str">
        <x:v>直播广场返回去向</x:v>
      </x: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来源（当前证据）：liveshow-proto/MainBasis/统一需求文档.md；位置：行839、行835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P2</x:v>
      </x:c>
      <x:c r="G987" s="9" t="str">
        <x:v>验证新场次重新准入</x:v>
      </x:c>
      <x:c r="H987" s="9" t="str">
        <x:v>展示内容</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来源（当前证据）：liveshow-proto/MainBasis/统一需求文档.md；位置：行842、行835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展示内容</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来源（当前证据）：liveshow-proto/MainBasis/统一需求文档.md；位置：行847、行846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P2</x:v>
      </x:c>
      <x:c r="G989" s="9" t="str">
        <x:v>验证结束页观看人次</x:v>
      </x:c>
      <x:c r="H989" s="9" t="str">
        <x:v>累计观看人次</x:v>
      </x: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来源（当前证据）：liveshow-proto/MainBasis/统一需求文档.md；位置：行848、行846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P2</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来源（当前证据）：liveshow-proto/MainBasis/统一需求文档.md；位置：行849、行846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页面去向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来源（当前证据）：liveshow-proto/MainBasis/统一需求文档.md；位置：行851、行846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页面去向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来源（当前证据）：liveshow-proto/MainBasis/统一需求文档.md；位置：行851、行846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展示内容</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来源（当前证据）：liveshow-proto/MainBasis/统一需求文档.md；位置：行732、行728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P2</x:v>
      </x:c>
      <x:c r="G994" s="9" t="str">
        <x:v>验证点击卡片直接佩戴</x:v>
      </x:c>
      <x:c r="H994" s="9" t="str">
        <x:v>装扮直接佩戴</x:v>
      </x: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来源（当前证据）：liveshow-proto/MainBasis/统一需求文档.md；位置：行732、行742、行728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P2</x:v>
      </x:c>
      <x:c r="G995" s="9" t="str">
        <x:v>验证点击佩戴卡片卸下</x:v>
      </x:c>
      <x:c r="H995" s="9" t="str">
        <x:v>装扮卸下状态</x:v>
      </x: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来源（当前证据）：liveshow-proto/MainBasis/统一需求文档.md；位置：行742、行728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P2</x:v>
      </x:c>
      <x:c r="G996" s="9" t="str">
        <x:v>验证头像框互斥</x:v>
      </x:c>
      <x:c r="H996" s="9" t="str">
        <x:v>头像框佩戴互斥</x:v>
      </x: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来源（当前证据）：liveshow-proto/MainBasis/统一需求文档.md；位置：行741、行728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P2</x:v>
      </x:c>
      <x:c r="G997" s="9" t="str">
        <x:v>验证聊天气泡互斥</x:v>
      </x:c>
      <x:c r="H997" s="9" t="str">
        <x:v>聊天气泡佩戴互斥</x:v>
      </x: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来源（当前证据）：liveshow-proto/MainBasis/统一需求文档.md；位置：行741、行728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P2</x:v>
      </x:c>
      <x:c r="G998" s="9" t="str">
        <x:v>验证第五枚勋章可佩戴</x:v>
      </x:c>
      <x:c r="H998" s="9" t="str">
        <x:v>勋章佩戴数量上限</x:v>
      </x: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来源（当前证据）：liveshow-proto/MainBasis/统一需求文档.md；位置：行741、行733、行728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P2</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来源（当前证据）：liveshow-proto/MainBasis/统一需求文档.md；位置：行742、行728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P2</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来源（当前证据）：liveshow-proto/MainBasis/统一需求文档.md；位置：行737、行742、行728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P2</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来源（当前证据）：liveshow-proto/MainBasis/统一需求文档.md；位置：行737、行742、行728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P2</x:v>
      </x:c>
      <x:c r="G1002" s="9" t="str">
        <x:v>验证永久装扮可长期佩戴</x:v>
      </x:c>
      <x:c r="H1002" s="9" t="str">
        <x:v>永久装扮佩戴资格</x:v>
      </x: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来源（当前证据）：liveshow-proto/MainBasis/统一需求文档.md；位置：行736、行728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来源（当前证据）：liveshow-proto/MainBasis/统一需求文档.md；位置：行741、行728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x:c r="H1004" s="9" t="str">
        <x:v>装扮获得时间排序</x:v>
      </x: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来源（当前证据）：liveshow-proto/MainBasis/统一需求文档.md；位置：行741、行728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P2</x:v>
      </x:c>
      <x:c r="G1005" s="9" t="str">
        <x:v>验证商城只展示上架可购买</x:v>
      </x:c>
      <x:c r="H1005" s="9" t="str">
        <x:v>展示内容</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来源（当前证据）：liveshow-proto/MainBasis/统一需求文档.md；位置：行738、行747、行728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P2</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来源（当前证据）：liveshow-proto/MainBasis/统一需求文档.md；位置：行746、行739、行728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P2</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来源（当前证据）：liveshow-proto/MainBasis/统一需求文档.md；位置：行746、行739、行728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P2</x:v>
      </x:c>
      <x:c r="G1008" s="9" t="str">
        <x:v>验证永久装扮不重复购买</x:v>
      </x:c>
      <x:c r="H1008" s="9" t="str">
        <x:v>装扮重复购买限制</x:v>
      </x: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来源（当前证据）：liveshow-proto/MainBasis/统一需求文档.md；位置：行739、行728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P2</x:v>
      </x:c>
      <x:c r="G1009" s="9" t="str">
        <x:v>验证限时装扮不重复购买</x:v>
      </x:c>
      <x:c r="H1009" s="9" t="str">
        <x:v>装扮重复购买限制</x:v>
      </x: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来源（当前证据）：liveshow-proto/MainBasis/统一需求文档.md；位置：行739、行728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来源（当前证据）：liveshow-proto/MainBasis/统一需求文档.md；位置：行734、行728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P2</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来源（当前证据）：liveshow-proto/MainBasis/统一需求文档.md；位置：行734、行728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P2</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来源（当前证据）：liveshow-proto/MainBasis/统一需求文档.md；位置：行734、行728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P2</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来源（当前证据）：liveshow-proto/MainBasis/统一需求文档.md；位置：行742、行728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P2</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来源（当前证据）：liveshow-proto/MainBasis/统一需求文档.md；位置：行742、行728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P2</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来源（当前证据）：liveshow-proto/MainBasis/统一需求文档.md；位置：行742、行728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P2</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来源（当前证据）：liveshow-proto/MainBasis/统一需求文档.md；位置：行742、行728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P2</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来源（当前证据）：liveshow-proto/MainBasis/统一需求文档.md；位置：行742、行728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P2</x:v>
      </x:c>
      <x:c r="G1018" s="9" t="str">
        <x:v>验证取消购买不扣款</x:v>
      </x:c>
      <x:c r="H1018" s="9" t="str">
        <x:v>展示内容</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来源（当前证据）：liveshow-proto/MainBasis/统一需求文档.md；位置：行751、行728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x:c r="H1019" s="9" t="str">
        <x:v>购买后装扮持有状态</x:v>
      </x: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来源（当前证据）：liveshow-proto/MainBasis/统一需求文档.md；位置：行751、行728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来源（当前证据）：liveshow-proto/MainBasis/统一需求文档.md；位置：行751、行728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来源（当前证据）：liveshow-proto/MainBasis/统一需求文档.md；位置：行751、行728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来源（当前证据）：liveshow-proto/MainBasis/统一需求文档.md；位置：行751、行728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来源（当前证据）：liveshow-proto/MainBasis/统一需求文档.md；位置：行751、行728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P0</x:v>
      </x:c>
      <x:c r="G1024" s="9" t="str">
        <x:v>验证实时余额不足拦截</x:v>
      </x:c>
      <x:c r="H1024" s="9" t="str">
        <x:v>余额不足购买限制</x:v>
      </x: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来源（当前证据）：liveshow-proto/MainBasis/统一需求文档.md；位置：行742、行755、行728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P2</x:v>
      </x:c>
      <x:c r="G1025" s="9" t="str">
        <x:v>验证提交时重新检查持有状态</x:v>
      </x:c>
      <x:c r="H1025" s="9" t="str">
        <x:v>已持有装扮购买限制</x:v>
      </x: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来源（当前证据）：liveshow-proto/MainBasis/统一需求文档.md；位置：行751、行728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P2</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来源（当前证据）：liveshow-proto/MainBasis/统一需求文档.md；位置：行751、行728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P2</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来源（当前证据）：liveshow-proto/MainBasis/统一需求文档.md；位置：行742、行728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P2</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来源（当前证据）：liveshow-proto/MainBasis/统一需求文档.md；位置：行742、行728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P2</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来源（当前证据）：liveshow-proto/MainBasis/统一需求文档.md；位置：行742、行728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P2</x:v>
      </x:c>
      <x:c r="G1030" s="9" t="str">
        <x:v>验证不足金币去充值</x:v>
      </x:c>
      <x:c r="H1030" s="9" t="str">
        <x:v>页面去向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来源（当前证据）：liveshow-proto/MainBasis/统一需求文档.md；位置：行755、行728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P2</x:v>
      </x:c>
      <x:c r="G1031" s="9" t="str">
        <x:v>验证已购装扮不可退款</x:v>
      </x:c>
      <x:c r="H1031" s="9" t="str">
        <x:v>展示内容</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来源（当前证据）：liveshow-proto/MainBasis/统一需求文档.md；位置：行739、行728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P2</x:v>
      </x:c>
      <x:c r="G1032" s="9" t="str">
        <x:v>验证下架不使已持有失效</x:v>
      </x:c>
      <x:c r="H1032" s="9" t="str">
        <x:v>下架后持有装扮可用性</x:v>
      </x: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来源（当前证据）：liveshow-proto/MainBasis/统一需求文档.md；位置：行735、行736、行728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P2</x:v>
      </x:c>
      <x:c r="G1033" s="9" t="str">
        <x:v>验证当前有效团籍卡片</x:v>
      </x:c>
      <x:c r="H1033" s="9" t="str">
        <x:v>展示内容</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来源（当前证据）：liveshow-proto/MainBasis/统一需求文档.md；位置：行1098、行1085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x:c r="H1034" s="9" t="str">
        <x:v>粉丝团列表空态</x:v>
      </x: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来源（当前证据）：liveshow-proto/MainBasis/统一需求文档.md；位置：行1103、行1085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x:c r="H1035" s="9" t="str">
        <x:v>团籍加入时间排序</x:v>
      </x: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来源（当前证据）：liveshow-proto/MainBasis/统一需求文档.md；位置：行1102、行1085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P2</x:v>
      </x:c>
      <x:c r="G1036" s="9" t="str">
        <x:v>验证重新加入更新加入日期</x:v>
      </x:c>
      <x:c r="H1036" s="9" t="str">
        <x:v>展示内容</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来源（当前证据）：liveshow-proto/MainBasis/统一需求文档.md；位置：行1090、行1085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页面去向</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来源（当前证据）：liveshow-proto/MainBasis/统一需求文档.md；位置：行1087、行1085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页面去向</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来源（当前证据）：liveshow-proto/MainBasis/统一需求文档.md；位置：行1104、行1085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展示内容</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来源（当前证据）：liveshow-proto/MainBasis/统一需求文档.md；位置：行1091、行1085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页面去向</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来源（当前证据）：liveshow-proto/MainBasis/统一需求文档.md；位置：行1092、行1104、行1085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页面去向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来源（当前证据）：liveshow-proto/MainBasis/统一需求文档.md；位置：行1104、行1085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P2</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来源（当前证据）：liveshow-proto/MainBasis/统一需求文档.md；位置：行1095、行1099、行1085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P2</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来源（当前证据）：liveshow-proto/MainBasis/统一需求文档.md；位置：行1093、行1099、行1085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P2</x:v>
      </x:c>
      <x:c r="G1044" s="9" t="str">
        <x:v>验证团等级与个人等级独立</x:v>
      </x:c>
      <x:c r="H1044" s="9" t="str">
        <x:v>展示内容</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来源（当前证据）：liveshow-proto/MainBasis/统一需求文档.md；位置：行1089、行1100、行1085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P2</x:v>
      </x:c>
      <x:c r="G1045" s="9" t="str">
        <x:v>验证充值退款不降低团等级</x:v>
      </x:c>
      <x:c r="H1045" s="9" t="str">
        <x:v>展示内容</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来源（当前证据）：liveshow-proto/MainBasis/统一需求文档.md；位置：行1100、行1085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展示内容</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来源（当前证据）：liveshow-proto/MainBasis/统一需求文档.md；位置：行1096、行1085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展示内容</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来源（当前证据）：liveshow-proto/MainBasis/统一需求文档.md；位置：行1109、行1107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P2</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来源（当前证据）：liveshow-proto/MainBasis/统一需求文档.md；位置：行1117、行1110、行1107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P2</x:v>
      </x:c>
      <x:c r="G1049" s="9" t="str">
        <x:v>验证退团成员不展示</x:v>
      </x:c>
      <x:c r="H1049" s="9" t="str">
        <x:v>展示内容</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来源（当前证据）：liveshow-proto/MainBasis/统一需求文档.md；位置：行1117、行1107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P2</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来源（当前证据）：liveshow-proto/MainBasis/统一需求文档.md；位置：行1117、行1107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P2</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来源（当前证据）：liveshow-proto/MainBasis/统一需求文档.md；位置：行1117、行1107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x:c r="H1052" s="9" t="str">
        <x:v>粉丝贡献同分排序</x:v>
      </x: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来源（当前证据）：liveshow-proto/MainBasis/统一需求文档.md；位置：行1111、行1107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x:c r="H1053" s="9" t="str">
        <x:v>粉丝贡献同分排序</x:v>
      </x: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来源（当前证据）：liveshow-proto/MainBasis/统一需求文档.md；位置：行1111、行1107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x:c r="H1054" s="9" t="str">
        <x:v>粉丝贡献同分排序</x:v>
      </x: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来源（当前证据）：liveshow-proto/MainBasis/统一需求文档.md；位置：行1111、行1107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来源（当前证据）：liveshow-proto/MainBasis/统一需求文档.md；位置：行1112、行1107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来源（当前证据）：liveshow-proto/MainBasis/统一需求文档.md；位置：行1112、行1107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x:c r="H1057" s="9" t="str">
        <x:v>本人排名固定区域</x:v>
      </x: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来源（当前证据）：liveshow-proto/MainBasis/统一需求文档.md；位置：行1113、行1107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P2</x:v>
      </x:c>
      <x:c r="G1058" s="9" t="str">
        <x:v>验证幸运返奖不扣贡献</x:v>
      </x:c>
      <x:c r="H1058" s="9" t="str">
        <x:v>展示内容</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来源（当前证据）：liveshow-proto/MainBasis/统一需求文档.md；位置：行1110、行1107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P2</x:v>
      </x:c>
      <x:c r="G1059" s="9" t="str">
        <x:v>验证失败撤销礼物不计贡献</x:v>
      </x:c>
      <x:c r="H1059" s="9" t="str">
        <x:v>展示内容</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来源（当前证据）：liveshow-proto/MainBasis/统一需求文档.md；位置：行1115、行1107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页面去向</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来源（当前证据）：liveshow-proto/MainBasis/统一需求文档.md；位置：行1118、行1107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x:c r="H1061" s="9" t="str">
        <x:v>贡献榜统计周期切换</x:v>
      </x: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来源（当前证据）：liveshow-proto/MainBasis/统一需求文档.md；位置：行1118、行1107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x:c r="H1062" s="9" t="str">
        <x:v>贡献榜统计周期切换</x:v>
      </x: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来源（当前证据）：liveshow-proto/MainBasis/统一需求文档.md；位置：行1118、行1107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x:c r="H1063" s="9" t="str">
        <x:v>贡献榜统计周期切换</x:v>
      </x: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来源（当前证据）：liveshow-proto/MainBasis/统一需求文档.md；位置：行1118、行1107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P2</x:v>
      </x:c>
      <x:c r="G1064" s="9" t="str">
        <x:v>验证运营账号我的充值限制</x:v>
      </x:c>
      <x:c r="H1064" s="9" t="str">
        <x:v>反馈文案</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来源（当前证据）：liveshow-proto/MainBasis/统一需求文档.md；位置：行510、行676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P2</x:v>
      </x:c>
      <x:c r="G1065" s="9" t="str">
        <x:v>验证运营账号我的我的装扮限制</x:v>
      </x:c>
      <x:c r="H1065" s="9" t="str">
        <x:v>反馈文案</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来源（当前证据）：liveshow-proto/MainBasis/统一需求文档.md；位置：行510、行676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P2</x:v>
      </x:c>
      <x:c r="G1066" s="9" t="str">
        <x:v>验证运营账号我的我的粉丝团限制</x:v>
      </x:c>
      <x:c r="H1066" s="9" t="str">
        <x:v>反馈文案</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来源（当前证据）：liveshow-proto/MainBasis/统一需求文档.md；位置：行510、行676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P2</x:v>
      </x:c>
      <x:c r="G1067" s="9" t="str">
        <x:v>验证运营账号我的邀请奖励限制</x:v>
      </x:c>
      <x:c r="H1067" s="9" t="str">
        <x:v>反馈文案</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来源（当前证据）：liveshow-proto/MainBasis/统一需求文档.md；位置：行510、行676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P2</x:v>
      </x:c>
      <x:c r="G1068" s="9" t="str">
        <x:v>验证运营账号我的开播限制</x:v>
      </x:c>
      <x:c r="H1068" s="9" t="str">
        <x:v>反馈文案</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来源（当前证据）：liveshow-proto/MainBasis/统一需求文档.md；位置：行510、行676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P2</x:v>
      </x:c>
      <x:c r="G1069" s="9" t="str">
        <x:v>验证运营账号我的主播中心限制</x:v>
      </x:c>
      <x:c r="H1069" s="9" t="str">
        <x:v>反馈文案</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来源（当前证据）：liveshow-proto/MainBasis/统一需求文档.md；位置：行510、行676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P2</x:v>
      </x:c>
      <x:c r="G1070" s="9" t="str">
        <x:v>验证运营账号我的公会中心限制</x:v>
      </x:c>
      <x:c r="H1070" s="9" t="str">
        <x:v>反馈文案</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来源（当前证据）：liveshow-proto/MainBasis/统一需求文档.md；位置：行510、行676
2. 规则：BR-fb25d580ee803e97
3. 未动态验证</x:v>
      </x:c>
    </x:row>
    <x:row r="1071" ht="8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展示内容</x:v>
      </x:c>
      <x:c r="I1071" s="9" t="str">
        <x:v>1. 执行角色为注销冷静期用户；当前处于注销冷静期页面
2. 申请于9月15日10:00提交；当前时区与显示时区一致</x:v>
      </x:c>
      <x:c r="J1071" s="9" t="str">
        <x:v>1. 查看可取消截止时间</x:v>
      </x:c>
      <x:c r="K1071" s="9" t="str">
        <x:v>显示09/22 10:00</x:v>
      </x:c>
      <x:c r="L1071" s="10" t="str"/>
      <x:c r="M1071" s="10" t="str">
        <x:v>未测</x:v>
      </x:c>
      <x:c r="N1071" s="10" t="str"/>
      <x:c r="O1071" s="9" t="str">
        <x:v>1. 来源（当前证据）：liveshow-proto/MainBasis/统一需求文档.md；位置：行1525、行1523
2. 规则：BR-ca80434f674d2211
3. 未动态验证</x:v>
      </x:c>
    </x:row>
    <x:row r="1072" ht="85" customHeight="1">
      <x:c r="A1072" s="10" t="n">
        <x:v>1071</x:v>
      </x:c>
      <x:c r="B1072" s="10" t="str">
        <x:v>USER-01-0103</x:v>
      </x:c>
      <x:c r="C1072" s="10" t="str">
        <x:v>系统入口</x:v>
      </x:c>
      <x:c r="D1072" s="10" t="str">
        <x:v>注销冷静期（注销冷静期用户视角）</x:v>
      </x:c>
      <x:c r="E1072" s="10" t="str">
        <x:v>功能需求</x:v>
      </x:c>
      <x:c r="F1072" s="10" t="str">
        <x:v>P2</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来源（当前证据）：liveshow-proto/MainBasis/统一需求文档.md；位置：行1526、行1530、行1523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P2</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来源（当前证据）：liveshow-proto/MainBasis/统一需求文档.md；位置：行1526、行1530、行1523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P2</x:v>
      </x:c>
      <x:c r="G1074" s="9" t="str">
        <x:v>验证取消注销直接登录</x:v>
      </x:c>
      <x:c r="H1074" s="9" t="str">
        <x:v>页面去向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来源（当前证据）：liveshow-proto/MainBasis/统一需求文档.md；位置：行1530、行1470、行1523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P2</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来源（当前证据）：liveshow-proto/MainBasis/统一需求文档.md；位置：行1527、行1529、行1523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P2</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来源（当前证据）：liveshow-proto/MainBasis/统一需求文档.md；位置：行1529、行1523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P2</x:v>
      </x:c>
      <x:c r="G1077" s="9" t="str">
        <x:v>验证取消注销保留聊天</x:v>
      </x:c>
      <x:c r="H1077" s="9" t="str">
        <x:v>展示内容</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来源（当前证据）：liveshow-proto/MainBasis/统一需求文档.md；位置：行1529、行1523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P2</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来源（当前证据）：liveshow-proto/MainBasis/统一需求文档.md；位置：行1528、行1460、行854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P2</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来源（当前证据）：liveshow-proto/MainBasis/统一需求文档.md；位置：行1528、行1098、行1085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P2</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来源（当前证据）：liveshow-proto/MainBasis/统一需求文档.md；位置：行1490、行1454、行1383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P2</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来源（当前证据）：liveshow-proto/MainBasis/统一需求文档.md；位置：行1490、行1454、行1412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P0</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来源（当前证据）：liveshow-proto/MainBasis/统一需求文档.md；位置：行1502、行1383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P0</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来源（当前证据）：liveshow-proto/MainBasis/统一需求文档.md；位置：行1502、行1383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P0</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来源（当前证据）：liveshow-proto/MainBasis/统一需求文档.md；位置：行1517、行1383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P0</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来源（当前证据）：liveshow-proto/MainBasis/统一需求文档.md；位置：行1517、行1383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x:c r="H1086" s="9" t="str">
        <x:v>密码维护入口可见性</x:v>
      </x: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来源（当前证据）：liveshow-proto/MainBasis/统一需求文档.md；位置：行1453、行1347
2. 规则：BR-59ab734bd37e26db
3. 未动态验证</x:v>
      </x:c>
    </x:row>
    <x:row r="1087" ht="85" customHeight="1">
      <x:c r="A1087" s="10" t="n">
        <x:v>1086</x:v>
      </x:c>
      <x:c r="B1087" s="10" t="str">
        <x:v>USER-01-0116</x:v>
      </x:c>
      <x:c r="C1087" s="10" t="str">
        <x:v>系统入口</x:v>
      </x:c>
      <x:c r="D1087" s="10" t="str">
        <x:v>登录与注册（未登录普通用户视角）</x:v>
      </x:c>
      <x:c r="E1087" s="10" t="str">
        <x:v>功能需求</x:v>
      </x:c>
      <x:c r="F1087" s="10" t="str">
        <x:v>P2</x:v>
      </x:c>
      <x:c r="G1087" s="9" t="str">
        <x:v>验证第三方未返回账号标识：无标识不建会话</x:v>
      </x:c>
      <x:c r="H1087" s="9" t="str">
        <x:v>无标识不建会话</x:v>
      </x:c>
      <x:c r="I1087" s="9" t="str">
        <x:v>1. 执行角色为未登录普通用户；当前处于登录与注册页面
2. 协议已勾选；Google授权返回成功但未取得有效账号标识</x:v>
      </x:c>
      <x:c r="J1087" s="9" t="str">
        <x:v>1. 点击Google登录
2. 确认第三方账号授权</x:v>
      </x:c>
      <x:c r="K1087" s="9" t="str">
        <x:v>不建立登录会话</x:v>
      </x:c>
      <x:c r="L1087" s="10" t="str"/>
      <x:c r="M1087" s="10" t="str">
        <x:v>未测</x:v>
      </x:c>
      <x:c r="N1087" s="10" t="str"/>
      <x:c r="O1087" s="9" t="str">
        <x:v>1. 来源（当前证据）：liveshow-proto/MainBasis/统一需求文档.md；位置：行1359、行1347
2. 规则：BR-c9b4735d053e973d
3. 未动态验证</x:v>
      </x:c>
    </x:row>
    <x:row r="1088" ht="85" customHeight="1">
      <x:c r="A1088" s="10" t="n">
        <x:v>1087</x:v>
      </x:c>
      <x:c r="B1088" s="10" t="str">
        <x:v>USER-01-0117</x:v>
      </x:c>
      <x:c r="C1088" s="10" t="str">
        <x:v>系统入口</x:v>
      </x:c>
      <x:c r="D1088" s="10" t="str">
        <x:v>登录与注册（未登录普通用户视角）</x:v>
      </x:c>
      <x:c r="E1088" s="10" t="str">
        <x:v>功能需求</x:v>
      </x:c>
      <x:c r="F1088" s="10" t="str">
        <x:v>P2</x:v>
      </x:c>
      <x:c r="G1088" s="9" t="str">
        <x:v>验证第三方未返回账号标识：无标识页面保持</x:v>
      </x:c>
      <x:c r="H1088" s="9" t="str">
        <x:v>无标识页面保持</x:v>
      </x:c>
      <x:c r="I1088" s="9" t="str">
        <x:v>1. 执行角色为未登录普通用户；当前处于登录与注册页面
2. 协议已勾选；Google授权返回成功但未取得有效账号标识</x:v>
      </x:c>
      <x:c r="J1088" s="9" t="str">
        <x:v>1. 点击Google登录
2. 确认第三方账号授权</x:v>
      </x:c>
      <x:c r="K1088" s="9" t="str">
        <x:v>停留登录页</x:v>
      </x:c>
      <x:c r="L1088" s="10" t="str"/>
      <x:c r="M1088" s="10" t="str">
        <x:v>未测</x:v>
      </x:c>
      <x:c r="N1088" s="10" t="str"/>
      <x:c r="O1088" s="9" t="str">
        <x:v>1. 来源（当前证据）：liveshow-proto/MainBasis/统一需求文档.md；位置：行1359、行1347
2. 规则：BR-75d2d6018ebefb82
3. 未动态验证</x:v>
      </x:c>
    </x:row>
    <x:row r="1089" ht="85" customHeight="1">
      <x:c r="A1089" s="10" t="n">
        <x:v>1088</x:v>
      </x:c>
      <x:c r="B1089" s="10" t="str">
        <x:v>USER-01-0118</x:v>
      </x:c>
      <x:c r="C1089" s="10" t="str">
        <x:v>系统入口</x:v>
      </x:c>
      <x:c r="D1089" s="10" t="str">
        <x:v>选择国家/地区（未登录普通用户视角）</x:v>
      </x:c>
      <x:c r="E1089" s="10" t="str">
        <x:v>功能需求</x:v>
      </x:c>
      <x:c r="F1089" s="10" t="str">
        <x:v>P2</x:v>
      </x:c>
      <x:c r="G1089" s="9" t="str">
        <x:v>验证切换区号不改账号地区</x:v>
      </x:c>
      <x:c r="H1089" s="9" t="str">
        <x:v>展示内容</x:v>
      </x:c>
      <x:c r="I1089" s="9" t="str">
        <x:v>1. 执行角色为未登录普通用户；当前处于选择国家/地区页面
2. 账号资料地区为马来西亚</x:v>
      </x:c>
      <x:c r="J1089" s="9" t="str">
        <x:v>1. 选择印度尼西亚+62
2. 使用该账号有效凭证登录
3. 进入资料编辑</x:v>
      </x:c>
      <x:c r="K1089" s="9" t="str">
        <x:v>账号地区仍为马来西亚</x:v>
      </x:c>
      <x:c r="L1089" s="10" t="str"/>
      <x:c r="M1089" s="10" t="str">
        <x:v>未测</x:v>
      </x:c>
      <x:c r="N1089" s="10" t="str"/>
      <x:c r="O1089" s="9" t="str">
        <x:v>1. 来源（当前证据）：liveshow-proto/MainBasis/统一需求文档.md；位置：行1405、行1399
2. 规则：BR-6a00060e1d5d18fd
3. 未动态验证</x:v>
      </x:c>
    </x:row>
    <x:row r="1090" ht="85" customHeight="1">
      <x:c r="A1090" s="10" t="n">
        <x:v>1089</x:v>
      </x:c>
      <x:c r="B1090" s="10" t="str">
        <x:v>USER-05-0221</x:v>
      </x:c>
      <x:c r="C1090" s="10" t="str">
        <x:v>我的</x:v>
      </x:c>
      <x:c r="D1090" s="10" t="str">
        <x:v>设置（已登录普通用户视角）</x:v>
      </x:c>
      <x:c r="E1090" s="10" t="str">
        <x:v>功能需求</x:v>
      </x:c>
      <x:c r="F1090" s="10" t="str">
        <x:v>P2</x:v>
      </x:c>
      <x:c r="G1090" s="9" t="str">
        <x:v>验证首次语言默认印尼语</x:v>
      </x:c>
      <x:c r="H1090" s="9" t="str">
        <x:v>展示内容</x:v>
      </x:c>
      <x:c r="I1090" s="9" t="str">
        <x:v>1. 执行角色为已登录普通用户；当前处于设置页面
2. 当前没有保存过语言偏好</x:v>
      </x:c>
      <x:c r="J1090" s="9" t="str">
        <x:v>1. 查看语言设置</x:v>
      </x:c>
      <x:c r="K1090" s="9" t="str">
        <x:v>默认Bahasa Indonesia</x:v>
      </x:c>
      <x:c r="L1090" s="10" t="str"/>
      <x:c r="M1090" s="10" t="str">
        <x:v>未测</x:v>
      </x:c>
      <x:c r="N1090" s="10" t="str"/>
      <x:c r="O1090" s="9" t="str">
        <x:v>1. 来源（当前证据）：liveshow-proto/MainBasis/统一需求文档.md；位置：行1449、行1442
2. 规则：BR-790d00acc7a7071d
3. 未动态验证</x:v>
      </x:c>
    </x:row>
    <x:row r="1091" ht="85" customHeight="1">
      <x:c r="A1091" s="10" t="n">
        <x:v>1090</x:v>
      </x:c>
      <x:c r="B1091" s="10" t="str">
        <x:v>USER-05-0222</x:v>
      </x:c>
      <x:c r="C1091" s="10" t="str">
        <x:v>我的</x:v>
      </x:c>
      <x:c r="D1091" s="10" t="str">
        <x:v>我的（已登录普通用户视角）</x:v>
      </x:c>
      <x:c r="E1091" s="10" t="str">
        <x:v>功能需求</x:v>
      </x:c>
      <x:c r="F1091" s="10" t="str">
        <x:v>P2</x:v>
      </x:c>
      <x:c r="G1091" s="9" t="str">
        <x:v>验证粉丝数量入口</x:v>
      </x:c>
      <x:c r="H1091" s="9" t="str">
        <x:v>页面去向</x:v>
      </x:c>
      <x:c r="I1091" s="9" t="str">
        <x:v>1. 执行角色为已登录普通用户；当前处于我的页面</x:v>
      </x:c>
      <x:c r="J1091" s="9" t="str">
        <x:v>1. 点击粉丝数</x:v>
      </x:c>
      <x:c r="K1091" s="9" t="str">
        <x:v>进入粉丝列表</x:v>
      </x:c>
      <x:c r="L1091" s="10" t="str"/>
      <x:c r="M1091" s="10" t="str">
        <x:v>未测</x:v>
      </x:c>
      <x:c r="N1091" s="10" t="str"/>
      <x:c r="O1091" s="9" t="str">
        <x:v>1. 来源（当前证据）：liveshow-proto/MainBasis/统一需求文档.md；位置：行684、行676
2. 规则：BR-efd000bac186187e
3. 未动态验证</x:v>
      </x:c>
    </x:row>
    <x:row r="1092" ht="85" customHeight="1">
      <x:c r="A1092" s="10" t="n">
        <x:v>1091</x:v>
      </x:c>
      <x:c r="B1092" s="10" t="str">
        <x:v>USER-05-0223</x:v>
      </x:c>
      <x:c r="C1092" s="10" t="str">
        <x:v>我的</x:v>
      </x:c>
      <x:c r="D1092" s="10" t="str">
        <x:v>我的（已登录普通用户视角）</x:v>
      </x:c>
      <x:c r="E1092" s="10" t="str">
        <x:v>功能需求</x:v>
      </x:c>
      <x:c r="F1092" s="10" t="str">
        <x:v>P2</x:v>
      </x:c>
      <x:c r="G1092" s="9" t="str">
        <x:v>验证好友数量入口</x:v>
      </x:c>
      <x:c r="H1092" s="9" t="str">
        <x:v>页面去向</x:v>
      </x:c>
      <x:c r="I1092" s="9" t="str">
        <x:v>1. 执行角色为已登录普通用户；当前处于我的页面</x:v>
      </x:c>
      <x:c r="J1092" s="9" t="str">
        <x:v>1. 点击好友数</x:v>
      </x:c>
      <x:c r="K1092" s="9" t="str">
        <x:v>进入好友列表</x:v>
      </x:c>
      <x:c r="L1092" s="10" t="str"/>
      <x:c r="M1092" s="10" t="str">
        <x:v>未测</x:v>
      </x:c>
      <x:c r="N1092" s="10" t="str"/>
      <x:c r="O1092" s="9" t="str">
        <x:v>1. 来源（当前证据）：liveshow-proto/MainBasis/统一需求文档.md；位置：行684、行676
2. 规则：BR-0edf8452efeb963d
3. 未动态验证</x:v>
      </x:c>
    </x:row>
    <x:row r="1093" ht="85" customHeight="1">
      <x:c r="A1093" s="10" t="n">
        <x:v>1092</x:v>
      </x:c>
      <x:c r="B1093" s="10" t="str">
        <x:v>USER-05-0224</x:v>
      </x:c>
      <x:c r="C1093" s="10" t="str">
        <x:v>我的</x:v>
      </x:c>
      <x:c r="D1093" s="10" t="str">
        <x:v>我的（已登录普通用户视角）</x:v>
      </x:c>
      <x:c r="E1093" s="10" t="str">
        <x:v>功能需求</x:v>
      </x:c>
      <x:c r="F1093" s="10" t="str">
        <x:v>P2</x:v>
      </x:c>
      <x:c r="G1093" s="9" t="str">
        <x:v>验证非主播开播进入申请</x:v>
      </x:c>
      <x:c r="H1093" s="9" t="str">
        <x:v>页面去向</x:v>
      </x:c>
      <x:c r="I1093" s="9" t="str">
        <x:v>1. 执行角色为已登录普通用户；当前处于我的页面
2. 当前没有主播身份</x:v>
      </x:c>
      <x:c r="J1093" s="9" t="str">
        <x:v>1. 点击开始直播</x:v>
      </x:c>
      <x:c r="K1093" s="9" t="str">
        <x:v>进入申请成为主播页</x:v>
      </x:c>
      <x:c r="L1093" s="10" t="str"/>
      <x:c r="M1093" s="10" t="str">
        <x:v>未测</x:v>
      </x:c>
      <x:c r="N1093" s="10" t="str"/>
      <x:c r="O1093" s="9" t="str">
        <x:v>1. 来源（当前证据）：liveshow-proto/MainBasis/统一需求文档.md；位置：行683、行692、行676
2. 规则：BR-44fb6d79a7e49c35
3. 未动态验证</x:v>
      </x:c>
    </x:row>
    <x:row r="1094" ht="85" customHeight="1">
      <x:c r="A1094" s="10" t="n">
        <x:v>1093</x:v>
      </x:c>
      <x:c r="B1094" s="10" t="str">
        <x:v>USER-05-0225</x:v>
      </x:c>
      <x:c r="C1094" s="10" t="str">
        <x:v>我的</x:v>
      </x:c>
      <x:c r="D1094" s="10" t="str">
        <x:v>我的（已登录普通用户视角）</x:v>
      </x:c>
      <x:c r="E1094" s="10" t="str">
        <x:v>功能需求</x:v>
      </x:c>
      <x:c r="F1094" s="10" t="str">
        <x:v>P2</x:v>
      </x:c>
      <x:c r="G1094" s="9" t="str">
        <x:v>验证非主播中心进入申请</x:v>
      </x:c>
      <x:c r="H1094" s="9" t="str">
        <x:v>页面去向</x:v>
      </x:c>
      <x:c r="I1094" s="9" t="str">
        <x:v>1. 执行角色为已登录普通用户；当前处于我的页面
2. 当前没有主播身份</x:v>
      </x:c>
      <x:c r="J1094" s="9" t="str">
        <x:v>1. 点击主播中心</x:v>
      </x:c>
      <x:c r="K1094" s="9" t="str">
        <x:v>进入申请成为主播页</x:v>
      </x:c>
      <x:c r="L1094" s="10" t="str"/>
      <x:c r="M1094" s="10" t="str">
        <x:v>未测</x:v>
      </x:c>
      <x:c r="N1094" s="10" t="str"/>
      <x:c r="O1094" s="9" t="str">
        <x:v>1. 来源（当前证据）：liveshow-proto/MainBasis/统一需求文档.md；位置：行693、行676
2. 规则：BR-adc232aee4e713ee
3. 未动态验证</x:v>
      </x:c>
    </x:row>
    <x:row r="1095" ht="85" customHeight="1">
      <x:c r="A1095" s="10" t="n">
        <x:v>1094</x:v>
      </x:c>
      <x:c r="B1095" s="10" t="str">
        <x:v>USER-05-0226</x:v>
      </x:c>
      <x:c r="C1095" s="10" t="str">
        <x:v>我的</x:v>
      </x:c>
      <x:c r="D1095" s="10" t="str">
        <x:v>我的（已登录普通用户视角）</x:v>
      </x:c>
      <x:c r="E1095" s="10" t="str">
        <x:v>功能需求</x:v>
      </x:c>
      <x:c r="F1095" s="10" t="str">
        <x:v>P2</x:v>
      </x:c>
      <x:c r="G1095" s="9" t="str">
        <x:v>验证主播中心身份分流</x:v>
      </x:c>
      <x:c r="H1095" s="9" t="str">
        <x:v>页面去向</x:v>
      </x:c>
      <x:c r="I1095" s="9" t="str">
        <x:v>1. 执行角色为已登录普通用户；当前处于我的页面
2. 当前已有主播身份</x:v>
      </x:c>
      <x:c r="J1095" s="9" t="str">
        <x:v>1. 点击主播中心</x:v>
      </x:c>
      <x:c r="K1095" s="9" t="str">
        <x:v>进入主播中心工具页</x:v>
      </x:c>
      <x:c r="L1095" s="10" t="str"/>
      <x:c r="M1095" s="10" t="str">
        <x:v>未测</x:v>
      </x:c>
      <x:c r="N1095" s="10" t="str"/>
      <x:c r="O1095" s="9" t="str">
        <x:v>1. 来源（当前证据）：liveshow-proto/MainBasis/统一需求文档.md；位置：行693、行676
2. 规则：BR-c8a124fe4a08b8b3
3. 未动态验证</x:v>
      </x:c>
    </x:row>
    <x:row r="1096" ht="85" customHeight="1">
      <x:c r="A1096" s="10" t="n">
        <x:v>1095</x:v>
      </x:c>
      <x:c r="B1096" s="10" t="str">
        <x:v>USER-07-0152</x:v>
      </x:c>
      <x:c r="C1096" s="10" t="str">
        <x:v>主播中心</x:v>
      </x:c>
      <x:c r="D1096" s="10" t="str">
        <x:v>主播中心（已认证主播视角）</x:v>
      </x:c>
      <x:c r="E1096" s="10" t="str">
        <x:v>功能需求</x:v>
      </x:c>
      <x:c r="F1096" s="10" t="str">
        <x:v>P2</x:v>
      </x:c>
      <x:c r="G1096" s="9" t="str">
        <x:v>验证平台关闭高于公会开启</x:v>
      </x:c>
      <x:c r="H1096" s="9" t="str">
        <x:v>入口可用性</x:v>
      </x:c>
      <x:c r="I1096" s="9" t="str">
        <x:v>1. 执行角色为已认证主播；当前处于主播中心页面
2. 平台直播权限关闭、公会权限开启</x:v>
      </x:c>
      <x:c r="J1096" s="9" t="str">
        <x:v>1. 点击开始直播</x:v>
      </x:c>
      <x:c r="K1096" s="9" t="str">
        <x:v>不能开播</x:v>
      </x:c>
      <x:c r="L1096" s="10" t="str"/>
      <x:c r="M1096" s="10" t="str">
        <x:v>未测</x:v>
      </x:c>
      <x:c r="N1096" s="10" t="str"/>
      <x:c r="O1096" s="9" t="str">
        <x:v>1. 来源（当前证据）：liveshow-proto/MainBasis/统一需求文档.md；位置：行501、行1121
2. 规则：BR-93a3b0d595c545fd
3. 未动态验证</x:v>
      </x:c>
    </x:row>
    <x:row r="1097" ht="85" customHeight="1">
      <x:c r="A1097" s="10" t="n">
        <x:v>1096</x:v>
      </x:c>
      <x:c r="B1097" s="10" t="str">
        <x:v>USER-07-0153</x:v>
      </x:c>
      <x:c r="C1097" s="10" t="str">
        <x:v>主播中心</x:v>
      </x:c>
      <x:c r="D1097" s="10" t="str">
        <x:v>主播中心（已认证主播视角）</x:v>
      </x:c>
      <x:c r="E1097" s="10" t="str">
        <x:v>功能需求</x:v>
      </x:c>
      <x:c r="F1097" s="10" t="str">
        <x:v>P2</x:v>
      </x:c>
      <x:c r="G1097" s="9" t="str">
        <x:v>验证未锁定采用公会关闭</x:v>
      </x:c>
      <x:c r="H1097" s="9" t="str">
        <x:v>入口可用性</x:v>
      </x:c>
      <x:c r="I1097" s="9" t="str">
        <x:v>1. 执行角色为已认证主播；当前处于主播中心页面
2. 平台开启未锁定、公会关闭</x:v>
      </x:c>
      <x:c r="J1097" s="9" t="str">
        <x:v>1. 点击开始直播</x:v>
      </x:c>
      <x:c r="K1097" s="9" t="str">
        <x:v>不能开播</x:v>
      </x:c>
      <x:c r="L1097" s="10" t="str"/>
      <x:c r="M1097" s="10" t="str">
        <x:v>未测</x:v>
      </x:c>
      <x:c r="N1097" s="10" t="str"/>
      <x:c r="O1097" s="9" t="str">
        <x:v>1. 来源（当前证据）：liveshow-proto/MainBasis/统一需求文档.md；位置：行501、行1121
2. 规则：BR-085f3ab98c686fac
3. 未动态验证</x:v>
      </x:c>
    </x:row>
    <x:row r="1098" ht="85" customHeight="1">
      <x:c r="A1098" s="10" t="n">
        <x:v>1097</x:v>
      </x:c>
      <x:c r="B1098" s="10" t="str">
        <x:v>USER-07-0154</x:v>
      </x:c>
      <x:c r="C1098" s="10" t="str">
        <x:v>主播中心</x:v>
      </x:c>
      <x:c r="D1098" s="10" t="str">
        <x:v>主播中心（已认证主播视角）</x:v>
      </x:c>
      <x:c r="E1098" s="10" t="str">
        <x:v>功能需求</x:v>
      </x:c>
      <x:c r="F1098" s="10" t="str">
        <x:v>P2</x:v>
      </x:c>
      <x:c r="G1098" s="9" t="str">
        <x:v>验证未锁定公会开启可播</x:v>
      </x:c>
      <x:c r="H1098" s="9" t="str">
        <x:v>页面去向</x:v>
      </x:c>
      <x:c r="I1098" s="9" t="str">
        <x:v>1. 执行角色为已认证主播；当前处于主播中心页面
2. 平台开启未锁定、公会开启，其他资格满足</x:v>
      </x:c>
      <x:c r="J1098" s="9" t="str">
        <x:v>1. 点击开始直播</x:v>
      </x:c>
      <x:c r="K1098" s="9" t="str">
        <x:v>进入开播设置</x:v>
      </x:c>
      <x:c r="L1098" s="10" t="str"/>
      <x:c r="M1098" s="10" t="str">
        <x:v>未测</x:v>
      </x:c>
      <x:c r="N1098" s="10" t="str"/>
      <x:c r="O1098" s="9" t="str">
        <x:v>1. 来源（当前证据）：liveshow-proto/MainBasis/统一需求文档.md；位置：行501、行1121
2. 规则：BR-0fa322998210b466
3. 未动态验证</x:v>
      </x:c>
    </x:row>
    <x:row r="1099" ht="130" customHeight="1">
      <x:c r="A1099" s="10" t="n">
        <x:v>1098</x:v>
      </x:c>
      <x:c r="B1099" s="10" t="str">
        <x:v>USER-07-0155</x:v>
      </x:c>
      <x:c r="C1099" s="10" t="str">
        <x:v>主播中心</x:v>
      </x:c>
      <x:c r="D1099" s="10" t="str">
        <x:v>主播中心（已认证主播视角）</x:v>
      </x:c>
      <x:c r="E1099" s="10" t="str">
        <x:v>功能需求</x:v>
      </x:c>
      <x:c r="F1099" s="10" t="str">
        <x:v>P2</x:v>
      </x:c>
      <x:c r="G1099" s="9" t="str">
        <x:v>验证平台锁定开启覆盖公会关闭</x:v>
      </x:c>
      <x:c r="H1099" s="9" t="str">
        <x:v>页面去向</x:v>
      </x:c>
      <x:c r="I1099" s="9" t="str">
        <x:v>1. 执行角色为已认证主播；当前处于主播中心页面
2. 平台开启且锁定；公会原设置关闭；其他资格满足</x:v>
      </x:c>
      <x:c r="J1099" s="9" t="str">
        <x:v>1. 点击开始直播</x:v>
      </x:c>
      <x:c r="K1099" s="9" t="str">
        <x:v>进入开播设置</x:v>
      </x:c>
      <x:c r="L1099" s="10" t="str">
        <x:v>FLOW-54FBE2A6</x:v>
      </x:c>
      <x:c r="M1099" s="10" t="str">
        <x:v>未测</x:v>
      </x:c>
      <x:c r="N1099" s="10" t="str"/>
      <x:c r="O1099" s="9" t="str">
        <x:v>1. 来源（当前证据）：liveshow-proto/MainBasis/统一需求文档.md；位置：行501、行1121
2. 规则：BR-5c40ec31fb15c156
3. 未动态验证
4. 状态转换：ST-USER-014；共同业务对象：直播权限；当前阶段：平台锁定开启权限后的用户App观察</x:v>
      </x:c>
    </x:row>
    <x:row r="1100" ht="130" customHeight="1">
      <x:c r="A1100" s="10" t="n">
        <x:v>1099</x:v>
      </x:c>
      <x:c r="B1100" s="10" t="str">
        <x:v>USER-07-0156</x:v>
      </x:c>
      <x:c r="C1100" s="10" t="str">
        <x:v>主播中心</x:v>
      </x:c>
      <x:c r="D1100" s="10" t="str">
        <x:v>主播中心（已认证主播视角）</x:v>
      </x:c>
      <x:c r="E1100" s="10" t="str">
        <x:v>功能需求</x:v>
      </x:c>
      <x:c r="F1100" s="10" t="str">
        <x:v>P2</x:v>
      </x:c>
      <x:c r="G1100" s="9" t="str">
        <x:v>验证解锁恢复公会旧关闭值</x:v>
      </x:c>
      <x:c r="H1100" s="9" t="str">
        <x:v>数据保持</x:v>
      </x:c>
      <x:c r="I1100" s="9" t="str">
        <x:v>1. 执行角色为已认证主播；当前处于主播中心页面
2. 平台原开启锁定且公会旧值关闭；平台现已解锁</x:v>
      </x:c>
      <x:c r="J1100" s="9" t="str">
        <x:v>1. 点击开始直播</x:v>
      </x:c>
      <x:c r="K1100" s="9" t="str">
        <x:v>按恢复的公会关闭值禁止开播</x:v>
      </x:c>
      <x:c r="L1100" s="10" t="str">
        <x:v>FLOW-54FBE2A6</x:v>
      </x:c>
      <x:c r="M1100" s="10" t="str">
        <x:v>未测</x:v>
      </x:c>
      <x:c r="N1100" s="10" t="str"/>
      <x:c r="O1100" s="9" t="str">
        <x:v>1. 来源（当前证据）：liveshow-proto/MainBasis/统一需求文档.md；位置：行501、行1121
2. 规则：BR-dc771cb740dd27d3
3. 未动态验证
4. 状态转换：ST-USER-015；共同业务对象：直播权限；当前阶段：平台解锁权限后的用户App观察</x:v>
      </x:c>
    </x:row>
    <x:row r="1101" ht="85" customHeight="1">
      <x:c r="A1101" s="10" t="n">
        <x:v>1100</x:v>
      </x:c>
      <x:c r="B1101" s="10" t="str">
        <x:v>USER-07-0157</x:v>
      </x:c>
      <x:c r="C1101" s="10" t="str">
        <x:v>主播中心</x:v>
      </x:c>
      <x:c r="D1101" s="10" t="str">
        <x:v>主播中心（已认证主播视角）</x:v>
      </x:c>
      <x:c r="E1101" s="10" t="str">
        <x:v>功能需求</x:v>
      </x:c>
      <x:c r="F1101" s="10" t="str">
        <x:v>P2</x:v>
      </x:c>
      <x:c r="G1101" s="9" t="str">
        <x:v>验证停用会长不影响主播</x:v>
      </x:c>
      <x:c r="H1101" s="9" t="str">
        <x:v>页面去向</x:v>
      </x:c>
      <x:c r="I1101" s="9" t="str">
        <x:v>1. 执行角色为已认证主播；当前处于主播中心页面
2. 仅本公会会长账号被停用；公会仍正常且主播权限有效</x:v>
      </x:c>
      <x:c r="J1101" s="9" t="str">
        <x:v>1. 点击开始直播</x:v>
      </x:c>
      <x:c r="K1101" s="9" t="str">
        <x:v>仍可进入开播设置</x:v>
      </x:c>
      <x:c r="L1101" s="10" t="str"/>
      <x:c r="M1101" s="10" t="str">
        <x:v>未测</x:v>
      </x:c>
      <x:c r="N1101" s="10" t="str"/>
      <x:c r="O1101" s="9" t="str">
        <x:v>1. 来源（当前证据）：liveshow-proto/MainBasis/统一需求文档.md；位置：行500、行1121
2. 规则：BR-646bf6d88ecd786e
3. 未动态验证</x:v>
      </x:c>
    </x:row>
    <x:row r="1102" ht="85" customHeight="1">
      <x:c r="A1102" s="10" t="n">
        <x:v>1101</x:v>
      </x:c>
      <x:c r="B1102" s="10" t="str">
        <x:v>USER-03-0184</x:v>
      </x:c>
      <x:c r="C1102" s="10" t="str">
        <x:v>直播</x:v>
      </x:c>
      <x:c r="D1102" s="10" t="str">
        <x:v>直播间（主播）（正在直播的主播视角）</x:v>
      </x:c>
      <x:c r="E1102" s="10" t="str">
        <x:v>功能需求</x:v>
      </x:c>
      <x:c r="F1102" s="10" t="str">
        <x:v>P2</x:v>
      </x:c>
      <x:c r="G1102" s="9" t="str">
        <x:v>验证退会通过停止直播</x:v>
      </x:c>
      <x:c r="H1102" s="9" t="str">
        <x:v>退会后直播结束</x:v>
      </x:c>
      <x:c r="I1102" s="9" t="str">
        <x:v>1. 执行角色为正在直播的主播；当前处于直播间（主播）页面
2. 公会已通过当前主播退出申请</x:v>
      </x:c>
      <x:c r="J1102" s="9" t="str">
        <x:v>1. 查看当前直播状态</x:v>
      </x:c>
      <x:c r="K1102" s="9" t="str">
        <x:v>当前直播立即结束</x:v>
      </x:c>
      <x:c r="L1102" s="10" t="str"/>
      <x:c r="M1102" s="10" t="str">
        <x:v>未测</x:v>
      </x:c>
      <x:c r="N1102" s="10" t="str"/>
      <x:c r="O1102" s="9" t="str">
        <x:v>1. 来源（当前证据）：liveshow-proto/MainBasis/统一需求文档.md；位置：行1034、行796
2. 规则：BR-c8e47027acbf5664
3. 未动态验证</x:v>
      </x:c>
    </x:row>
    <x:row r="1103" ht="85" customHeight="1">
      <x:c r="A1103" s="10" t="n">
        <x:v>1102</x:v>
      </x:c>
      <x:c r="B1103" s="10" t="str">
        <x:v>USER-03-0185</x:v>
      </x:c>
      <x:c r="C1103" s="10" t="str">
        <x:v>直播</x:v>
      </x:c>
      <x:c r="D1103" s="10" t="str">
        <x:v>直播间（主播）（正在直播的主播视角）</x:v>
      </x:c>
      <x:c r="E1103" s="10" t="str">
        <x:v>功能需求</x:v>
      </x:c>
      <x:c r="F1103" s="10" t="str">
        <x:v>P2</x:v>
      </x:c>
      <x:c r="G1103" s="9" t="str">
        <x:v>验证公会移除主播停止直播</x:v>
      </x:c>
      <x:c r="H1103" s="9" t="str">
        <x:v>展示内容</x:v>
      </x:c>
      <x:c r="I1103" s="9" t="str">
        <x:v>1. 执行角色为正在直播的主播；当前处于直播间（主播）页面
2. 公会已直接移除当前主播</x:v>
      </x:c>
      <x:c r="J1103" s="9" t="str">
        <x:v>1. 查看当前直播状态</x:v>
      </x:c>
      <x:c r="K1103" s="9" t="str">
        <x:v>当前直播立即结束</x:v>
      </x:c>
      <x:c r="L1103" s="10" t="str"/>
      <x:c r="M1103" s="10" t="str">
        <x:v>未测</x:v>
      </x:c>
      <x:c r="N1103" s="10" t="str"/>
      <x:c r="O1103" s="9" t="str">
        <x:v>1. 来源（当前证据）：liveshow-proto/MainBasis/统一需求文档.md；位置：行1034、行796
2. 规则：BR-b97e758aeef481ca
3. 未动态验证</x:v>
      </x:c>
    </x:row>
    <x:row r="1104" ht="130" customHeight="1">
      <x:c r="A1104" s="10" t="n">
        <x:v>1103</x:v>
      </x:c>
      <x:c r="B1104" s="10" t="str">
        <x:v>USER-03-0186</x:v>
      </x:c>
      <x:c r="C1104" s="10" t="str">
        <x:v>直播</x:v>
      </x:c>
      <x:c r="D1104" s="10" t="str">
        <x:v>直播间（主播）（正在直播的主播视角）</x:v>
      </x:c>
      <x:c r="E1104" s="10" t="str">
        <x:v>功能需求</x:v>
      </x:c>
      <x:c r="F1104" s="10" t="str">
        <x:v>P2</x:v>
      </x:c>
      <x:c r="G1104" s="9" t="str">
        <x:v>验证公会停用主播停止直播</x:v>
      </x:c>
      <x:c r="H1104" s="9" t="str">
        <x:v>展示内容</x:v>
      </x:c>
      <x:c r="I1104" s="9" t="str">
        <x:v>1. 执行角色为正在直播的主播；当前处于直播间（主播）页面
2. 平台已停用当前所属公会</x:v>
      </x:c>
      <x:c r="J1104" s="9" t="str">
        <x:v>1. 查看当前直播状态</x:v>
      </x:c>
      <x:c r="K1104" s="9" t="str">
        <x:v>当前直播结束并失去主播身份</x:v>
      </x:c>
      <x:c r="L1104" s="10" t="str">
        <x:v>FLOW-CB0F1B88</x:v>
      </x:c>
      <x:c r="M1104" s="10" t="str">
        <x:v>未测</x:v>
      </x:c>
      <x:c r="N1104" s="10" t="str"/>
      <x:c r="O1104" s="9" t="str">
        <x:v>1. 来源（当前证据）：liveshow-proto/MainBasis/统一需求文档.md；位置：行500、行796
2. 规则：BR-57784c5b0bdc93c1
3. 未动态验证
4. 状态转换：ST-USER-012；共同业务对象：公会关系；当前阶段：平台停用公会后的用户App观察</x:v>
      </x:c>
    </x:row>
    <x:row r="1105" ht="85" customHeight="1">
      <x:c r="A1105" s="10" t="n">
        <x:v>1104</x:v>
      </x:c>
      <x:c r="B1105" s="10" t="str">
        <x:v>USER-05-0227</x:v>
      </x:c>
      <x:c r="C1105" s="10" t="str">
        <x:v>我的</x:v>
      </x:c>
      <x:c r="D1105" s="10" t="str">
        <x:v>我的粉丝团（主播粉丝团成员视角）</x:v>
      </x:c>
      <x:c r="E1105" s="10" t="str">
        <x:v>功能需求</x:v>
      </x:c>
      <x:c r="F1105" s="10" t="str">
        <x:v>P2</x:v>
      </x:c>
      <x:c r="G1105" s="9" t="str">
        <x:v>验证主播退会解散粉丝团</x:v>
      </x:c>
      <x:c r="H1105" s="9" t="str">
        <x:v>退会后粉丝团解散</x:v>
      </x:c>
      <x:c r="I1105" s="9" t="str">
        <x:v>1. 执行角色为主播粉丝团成员；当前处于我的粉丝团页面
2. 公会已通过所属主播退会</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来源（当前证据）：liveshow-proto/MainBasis/统一需求文档.md；位置：行1034、行1098、行1085
2. 规则：BR-978c90e6b4730b12
3. 未动态验证</x:v>
      </x:c>
    </x:row>
    <x:row r="1106" ht="85" customHeight="1">
      <x:c r="A1106" s="10" t="n">
        <x:v>1105</x:v>
      </x:c>
      <x:c r="B1106" s="10" t="str">
        <x:v>USER-05-0228</x:v>
      </x:c>
      <x:c r="C1106" s="10" t="str">
        <x:v>我的</x:v>
      </x:c>
      <x:c r="D1106" s="10" t="str">
        <x:v>我的粉丝团（主播粉丝团成员视角）</x:v>
      </x:c>
      <x:c r="E1106" s="10" t="str">
        <x:v>功能需求</x:v>
      </x:c>
      <x:c r="F1106" s="10" t="str">
        <x:v>P2</x:v>
      </x:c>
      <x:c r="G1106" s="9" t="str">
        <x:v>验证主播被移出解散粉丝团</x:v>
      </x:c>
      <x:c r="H1106" s="9" t="str">
        <x:v>账号关系</x:v>
      </x:c>
      <x:c r="I1106" s="9" t="str">
        <x:v>1. 执行角色为主播粉丝团成员；当前处于我的粉丝团页面
2. 公会已直接移除所属主播</x:v>
      </x:c>
      <x:c r="J1106" s="9" t="str">
        <x:v>1. 刷新我的粉丝团</x:v>
      </x:c>
      <x:c r="K1106" s="9" t="str">
        <x:v>原粉丝团卡片移除且群权限解除</x:v>
      </x:c>
      <x:c r="L1106" s="10" t="str"/>
      <x:c r="M1106" s="10" t="str">
        <x:v>未测</x:v>
      </x:c>
      <x:c r="N1106" s="10" t="str"/>
      <x:c r="O1106" s="9" t="str">
        <x:v>1. 来源（当前证据）：liveshow-proto/MainBasis/统一需求文档.md；位置：行1034、行1098、行1085
2. 规则：BR-1b7ce3fc1ab321fa
3. 未动态验证</x:v>
      </x:c>
    </x:row>
    <x:row r="1107" ht="85" customHeight="1">
      <x:c r="A1107" s="10" t="n">
        <x:v>1106</x:v>
      </x:c>
      <x:c r="B1107" s="10" t="str">
        <x:v>USER-03-0187</x:v>
      </x:c>
      <x:c r="C1107" s="10" t="str">
        <x:v>直播</x:v>
      </x:c>
      <x:c r="D1107" s="10" t="str">
        <x:v>直播间（普通房）（普通观众视角）</x:v>
      </x:c>
      <x:c r="E1107" s="10" t="str">
        <x:v>功能需求</x:v>
      </x:c>
      <x:c r="F1107" s="10" t="str">
        <x:v>P2</x:v>
      </x:c>
      <x:c r="G1107" s="9" t="str">
        <x:v>验证本场贡献正确累计</x:v>
      </x:c>
      <x:c r="H1107" s="9" t="str">
        <x:v>资产数值</x:v>
      </x:c>
      <x:c r="I1107" s="9" t="str">
        <x:v>1. 执行角色为普通观众；当前处于直播间（普通房）页面
2. 当前本场只有自己成功送礼10金币共3件，另有返奖不冲减</x:v>
      </x:c>
      <x:c r="J1107" s="9" t="str">
        <x:v>1. 打开本场贡献榜</x:v>
      </x:c>
      <x:c r="K1107" s="9" t="str">
        <x:v>本场贡献为30金币（计算结果 = 30 金币）</x:v>
      </x:c>
      <x:c r="L1107" s="10" t="str"/>
      <x:c r="M1107" s="10" t="str">
        <x:v>未测</x:v>
      </x:c>
      <x:c r="N1107" s="10" t="str"/>
      <x:c r="O1107" s="9" t="str">
        <x:v>1. 来源（当前证据）：liveshow-proto/MainBasis/统一需求文档.md；位置：行762、行1715、行758
2. 规则：BR-1e292811e66dd459
3. 未动态验证</x:v>
      </x:c>
    </x:row>
    <x:row r="1108" ht="85" customHeight="1">
      <x:c r="A1108" s="10" t="n">
        <x:v>1107</x:v>
      </x:c>
      <x:c r="B1108" s="10" t="str">
        <x:v>USER-03-0188</x:v>
      </x:c>
      <x:c r="C1108" s="10" t="str">
        <x:v>直播</x:v>
      </x:c>
      <x:c r="D1108" s="10" t="str">
        <x:v>直播间（普通房）（普通观众视角）</x:v>
      </x:c>
      <x:c r="E1108" s="10" t="str">
        <x:v>功能需求</x:v>
      </x:c>
      <x:c r="F1108" s="10" t="str">
        <x:v>P2</x:v>
      </x:c>
      <x:c r="G1108" s="9" t="str">
        <x:v>验证直播公屏时间排序</x:v>
      </x:c>
      <x:c r="H1108" s="9" t="str">
        <x:v>公屏消息排序</x:v>
      </x:c>
      <x:c r="I1108" s="9" t="str">
        <x:v>1. 执行角色为普通观众；当前处于直播间（普通房）页面
2. 当前有两个不同服务端时间的公屏消息</x:v>
      </x:c>
      <x:c r="J1108" s="9" t="str">
        <x:v>1. 查看公屏消息</x:v>
      </x:c>
      <x:c r="K1108" s="9" t="str">
        <x:v>按服务端时间先后排列</x:v>
      </x:c>
      <x:c r="L1108" s="10" t="str"/>
      <x:c r="M1108" s="10" t="str">
        <x:v>未测</x:v>
      </x:c>
      <x:c r="N1108" s="10" t="str"/>
      <x:c r="O1108" s="9" t="str">
        <x:v>1. 来源（当前证据）：liveshow-proto/MainBasis/统一需求文档.md；位置：行763、行758
2. 规则：BR-be96a1ea76cb62b1
3. 未动态验证</x:v>
      </x:c>
    </x:row>
    <x:row r="1109" ht="85" customHeight="1">
      <x:c r="A1109" s="10" t="n">
        <x:v>1108</x:v>
      </x:c>
      <x:c r="B1109" s="10" t="str">
        <x:v>USER-03-0189</x:v>
      </x:c>
      <x:c r="C1109" s="10" t="str">
        <x:v>直播</x:v>
      </x:c>
      <x:c r="D1109" s="10" t="str">
        <x:v>直播间（普通房）（普通观众视角）</x:v>
      </x:c>
      <x:c r="E1109" s="10" t="str">
        <x:v>功能需求</x:v>
      </x:c>
      <x:c r="F1109" s="10" t="str">
        <x:v>P2</x:v>
      </x:c>
      <x:c r="G1109" s="9" t="str">
        <x:v>验证同第三方房间拉黑禁止主页</x:v>
      </x:c>
      <x:c r="H1109" s="9" t="str">
        <x:v>账号关系</x:v>
      </x:c>
      <x:c r="I1109" s="9" t="str">
        <x:v>1. 执行角色为普通观众；当前处于直播间（普通房）页面
2. A与B有拉黑关系；当前A与B同在主播C直播间</x:v>
      </x:c>
      <x:c r="J1109" s="9" t="str">
        <x:v>1. 点击B资料主页</x:v>
      </x:c>
      <x:c r="K1109" s="9" t="str">
        <x:v>不能查看B主页</x:v>
      </x:c>
      <x:c r="L1109" s="10" t="str"/>
      <x:c r="M1109" s="10" t="str">
        <x:v>未测</x:v>
      </x:c>
      <x:c r="N1109" s="10" t="str"/>
      <x:c r="O1109" s="9" t="str">
        <x:v>1. 来源（当前证据）：liveshow-proto/MainBasis/统一需求文档.md；位置：行949、行758
2. 规则：BR-b78b2b9506245b6e
3. 未动态验证</x:v>
      </x:c>
    </x:row>
    <x:row r="1110" ht="85" customHeight="1">
      <x:c r="A1110" s="10" t="n">
        <x:v>1109</x:v>
      </x:c>
      <x:c r="B1110" s="10" t="str">
        <x:v>USER-03-0190</x:v>
      </x:c>
      <x:c r="C1110" s="10" t="str">
        <x:v>直播</x:v>
      </x:c>
      <x:c r="D1110" s="10" t="str">
        <x:v>直播间（普通房）（普通观众视角）</x:v>
      </x:c>
      <x:c r="E1110" s="10" t="str">
        <x:v>功能需求</x:v>
      </x:c>
      <x:c r="F1110" s="10" t="str">
        <x:v>P2</x:v>
      </x:c>
      <x:c r="G1110" s="9" t="str">
        <x:v>验证同第三方房间拉黑禁止提及</x:v>
      </x:c>
      <x:c r="H1110" s="9" t="str">
        <x:v>账号关系</x:v>
      </x:c>
      <x:c r="I1110" s="9" t="str">
        <x:v>1. 执行角色为普通观众；当前处于直播间（普通房）页面
2. A与B有拉黑关系；当前A与B同在主播C直播间</x:v>
      </x:c>
      <x:c r="J1110" s="9" t="str">
        <x:v>1. 输入@B并尝试发送公屏消息</x:v>
      </x:c>
      <x:c r="K1110" s="9" t="str">
        <x:v>不能@B</x:v>
      </x:c>
      <x:c r="L1110" s="10" t="str"/>
      <x:c r="M1110" s="10" t="str">
        <x:v>未测</x:v>
      </x:c>
      <x:c r="N1110" s="10" t="str"/>
      <x:c r="O1110" s="9" t="str">
        <x:v>1. 来源（当前证据）：liveshow-proto/MainBasis/统一需求文档.md；位置：行949、行758
2. 规则：BR-8e211fd4327ea479
3. 未动态验证</x:v>
      </x:c>
    </x:row>
    <x:row r="1111" ht="85" customHeight="1">
      <x:c r="A1111" s="10" t="n">
        <x:v>1110</x:v>
      </x:c>
      <x:c r="B1111" s="10" t="str">
        <x:v>USER-03-0191</x:v>
      </x:c>
      <x:c r="C1111" s="10" t="str">
        <x:v>直播</x:v>
      </x:c>
      <x:c r="D1111" s="10" t="str">
        <x:v>直播间（普通房）（普通观众视角）</x:v>
      </x:c>
      <x:c r="E1111" s="10" t="str">
        <x:v>功能需求</x:v>
      </x:c>
      <x:c r="F1111" s="10" t="str">
        <x:v>P2</x:v>
      </x:c>
      <x:c r="G1111" s="9" t="str">
        <x:v>验证分享不绕过门票</x:v>
      </x:c>
      <x:c r="H1111" s="9" t="str">
        <x:v>展示内容</x:v>
      </x:c>
      <x:c r="I1111" s="9" t="str">
        <x:v>1. 执行角色为普通观众；当前处于直播间（普通房）页面
2. 从分享卡片进入门票房；未购买当前场次门票</x:v>
      </x:c>
      <x:c r="J1111" s="9" t="str">
        <x:v>1. 点击分享的直播卡片</x:v>
      </x:c>
      <x:c r="K1111" s="9" t="str">
        <x:v>仍要求当前场次购票</x:v>
      </x:c>
      <x:c r="L1111" s="10" t="str"/>
      <x:c r="M1111" s="10" t="str">
        <x:v>未测</x:v>
      </x:c>
      <x:c r="N1111" s="10" t="str"/>
      <x:c r="O1111" s="9" t="str">
        <x:v>1. 来源（当前证据）：liveshow-proto/MainBasis/统一需求文档.md；位置：行1733、行1852、行758
2. 规则：BR-570d149873d62460
3. 未动态验证</x:v>
      </x:c>
    </x:row>
    <x:row r="1112" ht="85" customHeight="1">
      <x:c r="A1112" s="10" t="n">
        <x:v>1111</x:v>
      </x:c>
      <x:c r="B1112" s="10" t="str">
        <x:v>USER-03-0192</x:v>
      </x:c>
      <x:c r="C1112" s="10" t="str">
        <x:v>直播</x:v>
      </x:c>
      <x:c r="D1112" s="10" t="str">
        <x:v>直播间（普通房）（普通观众视角）</x:v>
      </x:c>
      <x:c r="E1112" s="10" t="str">
        <x:v>功能需求</x:v>
      </x:c>
      <x:c r="F1112" s="10" t="str">
        <x:v>P2</x:v>
      </x:c>
      <x:c r="G1112" s="9" t="str">
        <x:v>验证广场关闭仍可分享入场</x:v>
      </x:c>
      <x:c r="H1112" s="9" t="str">
        <x:v>页面去向</x:v>
      </x:c>
      <x:c r="I1112" s="9" t="str">
        <x:v>1. 执行角色为普通观众；当前处于直播间（普通房）页面
2. 密码房关闭广场展示；当前有分享入口且知道密码，资格满足</x:v>
      </x:c>
      <x:c r="J1112" s="9" t="str">
        <x:v>1. 点击分享入口
2. 输入当前密码
3. 点击确认</x:v>
      </x:c>
      <x:c r="K1112" s="9" t="str">
        <x:v>允许进入该密码房</x:v>
      </x:c>
      <x:c r="L1112" s="10" t="str"/>
      <x:c r="M1112" s="10" t="str">
        <x:v>未测</x:v>
      </x:c>
      <x:c r="N1112" s="10" t="str"/>
      <x:c r="O1112" s="9" t="str">
        <x:v>1. 来源（当前证据）：liveshow-proto/MainBasis/统一需求文档.md；位置：行1201、行758
2. 规则：BR-f91593df261fef45
3. 未动态验证</x:v>
      </x:c>
    </x:row>
    <x:row r="1113" ht="85" customHeight="1">
      <x:c r="A1113" s="10" t="n">
        <x:v>1112</x:v>
      </x:c>
      <x:c r="B1113" s="10" t="str">
        <x:v>USER-03-0193</x:v>
      </x:c>
      <x:c r="C1113" s="10" t="str">
        <x:v>直播</x:v>
      </x:c>
      <x:c r="D1113" s="10" t="str">
        <x:v>直播间（普通房）（真实金币观众视角）</x:v>
      </x:c>
      <x:c r="E1113" s="10" t="str">
        <x:v>逻辑校验</x:v>
      </x:c>
      <x:c r="F1113" s="10" t="str">
        <x:v>P0</x:v>
      </x:c>
      <x:c r="G1113" s="9" t="str">
        <x:v>验证幸运单抽返奖0</x:v>
      </x:c>
      <x:c r="H1113" s="9" t="str">
        <x:v>资产数值</x:v>
      </x:c>
      <x:c r="I1113" s="9" t="str">
        <x:v>1. 执行角色为真实金币观众；当前处于直播间（普通房）页面
2. 当前余额100；幸运礼物单价10；本次独立开奖的测试响应为0金币，已在测试环境准备</x:v>
      </x:c>
      <x:c r="J1113" s="9" t="str">
        <x:v>1. 选择幸运礼物数量1
2. 点击赠送
3. 查看金币余额</x:v>
      </x:c>
      <x:c r="K1113" s="9" t="str">
        <x:v>余额为90金币（计算结果 = 90 金币）</x:v>
      </x:c>
      <x:c r="L1113" s="10" t="str"/>
      <x:c r="M1113" s="10" t="str">
        <x:v>未测</x:v>
      </x:c>
      <x:c r="N1113" s="10" t="str"/>
      <x:c r="O1113" s="9" t="str">
        <x:v>1. 来源（当前证据）：liveshow-proto/MainBasis/统一需求文档.md；位置：行357、行367、行770、行758
2. 规则：BR-84cecace98056263
3. 未动态验证</x:v>
      </x:c>
    </x:row>
    <x:row r="1114" ht="85" customHeight="1">
      <x:c r="A1114" s="10" t="n">
        <x:v>1113</x:v>
      </x:c>
      <x:c r="B1114" s="10" t="str">
        <x:v>USER-03-0194</x:v>
      </x:c>
      <x:c r="C1114" s="10" t="str">
        <x:v>直播</x:v>
      </x:c>
      <x:c r="D1114" s="10" t="str">
        <x:v>直播间（普通房）（真实金币观众视角）</x:v>
      </x:c>
      <x:c r="E1114" s="10" t="str">
        <x:v>逻辑校验</x:v>
      </x:c>
      <x:c r="F1114" s="10" t="str">
        <x:v>P0</x:v>
      </x:c>
      <x:c r="G1114" s="9" t="str">
        <x:v>验证幸运单抽返奖5</x:v>
      </x:c>
      <x:c r="H1114" s="9" t="str">
        <x:v>资产数值</x:v>
      </x:c>
      <x:c r="I1114" s="9" t="str">
        <x:v>1. 执行角色为真实金币观众；当前处于直播间（普通房）页面
2. 当前余额100；幸运礼物单价10；本次独立开奖的测试响应为5金币，已在测试环境准备</x:v>
      </x:c>
      <x:c r="J1114" s="9" t="str">
        <x:v>1. 选择幸运礼物数量1
2. 点击赠送
3. 查看金币余额</x:v>
      </x:c>
      <x:c r="K1114" s="9" t="str">
        <x:v>余额为95金币（计算结果 = 95 金币）</x:v>
      </x:c>
      <x:c r="L1114" s="10" t="str"/>
      <x:c r="M1114" s="10" t="str">
        <x:v>未测</x:v>
      </x:c>
      <x:c r="N1114" s="10" t="str"/>
      <x:c r="O1114" s="9" t="str">
        <x:v>1. 来源（当前证据）：liveshow-proto/MainBasis/统一需求文档.md；位置：行357、行367、行770、行758
2. 规则：BR-69017ace725a9cbc
3. 未动态验证</x:v>
      </x:c>
    </x:row>
    <x:row r="1115" ht="85" customHeight="1">
      <x:c r="A1115" s="10" t="n">
        <x:v>1114</x:v>
      </x:c>
      <x:c r="B1115" s="10" t="str">
        <x:v>USER-03-0195</x:v>
      </x:c>
      <x:c r="C1115" s="10" t="str">
        <x:v>直播</x:v>
      </x:c>
      <x:c r="D1115" s="10" t="str">
        <x:v>直播间（普通房）（真实金币观众视角）</x:v>
      </x:c>
      <x:c r="E1115" s="10" t="str">
        <x:v>逻辑校验</x:v>
      </x:c>
      <x:c r="F1115" s="10" t="str">
        <x:v>P0</x:v>
      </x:c>
      <x:c r="G1115" s="9" t="str">
        <x:v>验证幸运单抽返奖10</x:v>
      </x:c>
      <x:c r="H1115" s="9" t="str">
        <x:v>资产数值</x:v>
      </x:c>
      <x:c r="I1115" s="9" t="str">
        <x:v>1. 执行角色为真实金币观众；当前处于直播间（普通房）页面
2. 当前余额100；幸运礼物单价10；本次独立开奖的测试响应为10金币，已在测试环境准备</x:v>
      </x:c>
      <x:c r="J1115" s="9" t="str">
        <x:v>1. 选择幸运礼物数量1
2. 点击赠送
3. 查看金币余额</x:v>
      </x:c>
      <x:c r="K1115" s="9" t="str">
        <x:v>余额为100金币（计算结果 = 100 金币）</x:v>
      </x:c>
      <x:c r="L1115" s="10" t="str"/>
      <x:c r="M1115" s="10" t="str">
        <x:v>未测</x:v>
      </x:c>
      <x:c r="N1115" s="10" t="str"/>
      <x:c r="O1115" s="9" t="str">
        <x:v>1. 来源（当前证据）：liveshow-proto/MainBasis/统一需求文档.md；位置：行357、行367、行770、行758
2. 规则：BR-4b1ee287797607e5
3. 未动态验证</x:v>
      </x:c>
    </x:row>
    <x:row r="1116" ht="85" customHeight="1">
      <x:c r="A1116" s="10" t="n">
        <x:v>1115</x:v>
      </x:c>
      <x:c r="B1116" s="10" t="str">
        <x:v>USER-03-0196</x:v>
      </x:c>
      <x:c r="C1116" s="10" t="str">
        <x:v>直播</x:v>
      </x:c>
      <x:c r="D1116" s="10" t="str">
        <x:v>直播间（普通房）（真实金币观众视角）</x:v>
      </x:c>
      <x:c r="E1116" s="10" t="str">
        <x:v>逻辑校验</x:v>
      </x:c>
      <x:c r="F1116" s="10" t="str">
        <x:v>P0</x:v>
      </x:c>
      <x:c r="G1116" s="9" t="str">
        <x:v>验证幸运单抽返奖50</x:v>
      </x:c>
      <x:c r="H1116" s="9" t="str">
        <x:v>资产数值</x:v>
      </x:c>
      <x:c r="I1116" s="9" t="str">
        <x:v>1. 执行角色为真实金币观众；当前处于直播间（普通房）页面
2. 当前余额100；幸运礼物单价10；本次独立开奖的测试响应为50金币，已在测试环境准备</x:v>
      </x:c>
      <x:c r="J1116" s="9" t="str">
        <x:v>1. 选择幸运礼物数量1
2. 点击赠送
3. 查看金币余额</x:v>
      </x:c>
      <x:c r="K1116" s="9" t="str">
        <x:v>余额为140金币（计算结果 = 140 金币）</x:v>
      </x:c>
      <x:c r="L1116" s="10" t="str"/>
      <x:c r="M1116" s="10" t="str">
        <x:v>未测</x:v>
      </x:c>
      <x:c r="N1116" s="10" t="str"/>
      <x:c r="O1116" s="9" t="str">
        <x:v>1. 来源（当前证据）：liveshow-proto/MainBasis/统一需求文档.md；位置：行357、行367、行770、行758
2. 规则：BR-52eac47c32587f29
3. 未动态验证</x:v>
      </x:c>
    </x:row>
    <x:row r="1117" ht="85" customHeight="1">
      <x:c r="A1117" s="10" t="n">
        <x:v>1116</x:v>
      </x:c>
      <x:c r="B1117" s="10" t="str">
        <x:v>USER-03-0197</x:v>
      </x:c>
      <x:c r="C1117" s="10" t="str">
        <x:v>直播</x:v>
      </x:c>
      <x:c r="D1117" s="10" t="str">
        <x:v>直播间（普通房）（真实金币观众视角）</x:v>
      </x:c>
      <x:c r="E1117" s="10" t="str">
        <x:v>逻辑校验</x:v>
      </x:c>
      <x:c r="F1117" s="10" t="str">
        <x:v>P0</x:v>
      </x:c>
      <x:c r="G1117" s="9" t="str">
        <x:v>验证幸运单抽返奖100</x:v>
      </x:c>
      <x:c r="H1117" s="9" t="str">
        <x:v>资产数值</x:v>
      </x:c>
      <x:c r="I1117" s="9" t="str">
        <x:v>1. 执行角色为真实金币观众；当前处于直播间（普通房）页面
2. 当前余额100；幸运礼物单价10；本次独立开奖的测试响应为100金币，已在测试环境准备</x:v>
      </x:c>
      <x:c r="J1117" s="9" t="str">
        <x:v>1. 选择幸运礼物数量1
2. 点击赠送
3. 查看金币余额</x:v>
      </x:c>
      <x:c r="K1117" s="9" t="str">
        <x:v>余额为190金币（计算结果 = 190 金币）</x:v>
      </x:c>
      <x:c r="L1117" s="10" t="str"/>
      <x:c r="M1117" s="10" t="str">
        <x:v>未测</x:v>
      </x:c>
      <x:c r="N1117" s="10" t="str"/>
      <x:c r="O1117" s="9" t="str">
        <x:v>1. 来源（当前证据）：liveshow-proto/MainBasis/统一需求文档.md；位置：行357、行367、行770、行758
2. 规则：BR-25b854757e840f3e
3. 未动态验证</x:v>
      </x:c>
    </x:row>
    <x:row r="1118" ht="85" customHeight="1">
      <x:c r="A1118" s="10" t="n">
        <x:v>1117</x:v>
      </x:c>
      <x:c r="B1118" s="10" t="str">
        <x:v>USER-03-0198</x:v>
      </x:c>
      <x:c r="C1118" s="10" t="str">
        <x:v>直播</x:v>
      </x:c>
      <x:c r="D1118" s="10" t="str">
        <x:v>直播间（普通房）（真实金币观众视角）</x:v>
      </x:c>
      <x:c r="E1118" s="10" t="str">
        <x:v>逻辑校验</x:v>
      </x:c>
      <x:c r="F1118" s="10" t="str">
        <x:v>P0</x:v>
      </x:c>
      <x:c r="G1118" s="9" t="str">
        <x:v>验证幸运单抽返奖1000</x:v>
      </x:c>
      <x:c r="H1118" s="9" t="str">
        <x:v>资产数值</x:v>
      </x:c>
      <x:c r="I1118" s="9" t="str">
        <x:v>1. 执行角色为真实金币观众；当前处于直播间（普通房）页面
2. 当前余额100；幸运礼物单价10；本次独立开奖的测试响应为1000金币，已在测试环境准备</x:v>
      </x:c>
      <x:c r="J1118" s="9" t="str">
        <x:v>1. 选择幸运礼物数量1
2. 点击赠送
3. 查看金币余额</x:v>
      </x:c>
      <x:c r="K1118" s="9" t="str">
        <x:v>余额为1090金币（计算结果 = 1090 金币）</x:v>
      </x:c>
      <x:c r="L1118" s="10" t="str"/>
      <x:c r="M1118" s="10" t="str">
        <x:v>未测</x:v>
      </x:c>
      <x:c r="N1118" s="10" t="str"/>
      <x:c r="O1118" s="9" t="str">
        <x:v>1. 来源（当前证据）：liveshow-proto/MainBasis/统一需求文档.md；位置：行357、行367、行770、行758
2. 规则：BR-50daa7ef360567b6
3. 未动态验证</x:v>
      </x:c>
    </x:row>
    <x:row r="1119" ht="85" customHeight="1">
      <x:c r="A1119" s="10" t="n">
        <x:v>1118</x:v>
      </x:c>
      <x:c r="B1119" s="10" t="str">
        <x:v>USER-03-0199</x:v>
      </x:c>
      <x:c r="C1119" s="10" t="str">
        <x:v>直播</x:v>
      </x:c>
      <x:c r="D1119" s="10" t="str">
        <x:v>直播间（普通房）（真实金币观众视角）</x:v>
      </x:c>
      <x:c r="E1119" s="10" t="str">
        <x:v>逻辑校验</x:v>
      </x:c>
      <x:c r="F1119" s="10" t="str">
        <x:v>P0</x:v>
      </x:c>
      <x:c r="G1119" s="9" t="str">
        <x:v>验证幸运10连抽独立扣返</x:v>
      </x:c>
      <x:c r="H1119" s="9" t="str">
        <x:v>资产数值</x:v>
      </x:c>
      <x:c r="I1119" s="9" t="str">
        <x:v>1. 执行角色为真实金币观众；当前处于直播间（普通房）页面
2. 当前余额100；幸运礼物单价10；本组10次开奖测试响应均为0</x:v>
      </x:c>
      <x:c r="J1119" s="9" t="str">
        <x:v>1. 选择幸运礼物数量10
2. 点击赠送
3. 查看金币余额</x:v>
      </x:c>
      <x:c r="K1119" s="9" t="str">
        <x:v>余额为0金币（计算结果 = 0 金币）</x:v>
      </x:c>
      <x:c r="L1119" s="10" t="str"/>
      <x:c r="M1119" s="10" t="str">
        <x:v>未测</x:v>
      </x:c>
      <x:c r="N1119" s="10" t="str"/>
      <x:c r="O1119" s="9" t="str">
        <x:v>1. 来源（当前证据）：liveshow-proto/MainBasis/统一需求文档.md；位置：行358、行367、行770、行758
2. 规则：BR-5e10bcdf8eddb131
3. 未动态验证</x:v>
      </x:c>
    </x:row>
    <x:row r="1120" ht="85" customHeight="1">
      <x:c r="A1120" s="10" t="n">
        <x:v>1119</x:v>
      </x:c>
      <x:c r="B1120" s="10" t="str">
        <x:v>USER-03-0200</x:v>
      </x:c>
      <x:c r="C1120" s="10" t="str">
        <x:v>直播</x:v>
      </x:c>
      <x:c r="D1120" s="10" t="str">
        <x:v>直播间（普通房）（真实金币观众视角）</x:v>
      </x:c>
      <x:c r="E1120" s="10" t="str">
        <x:v>逻辑校验</x:v>
      </x:c>
      <x:c r="F1120" s="10" t="str">
        <x:v>P0</x:v>
      </x:c>
      <x:c r="G1120" s="9" t="str">
        <x:v>验证幸运100连抽独立扣返</x:v>
      </x:c>
      <x:c r="H1120" s="9" t="str">
        <x:v>资产数值</x:v>
      </x:c>
      <x:c r="I1120" s="9" t="str">
        <x:v>1. 执行角色为真实金币观众；当前处于直播间（普通房）页面
2. 当前余额1000；幸运礼物单价10；本组100次开奖测试响应均为0</x:v>
      </x:c>
      <x:c r="J1120" s="9" t="str">
        <x:v>1. 选择幸运礼物数量100
2. 点击赠送
3. 查看金币余额</x:v>
      </x:c>
      <x:c r="K1120" s="9" t="str">
        <x:v>余额为0金币（计算结果 = 0 金币）</x:v>
      </x:c>
      <x:c r="L1120" s="10" t="str"/>
      <x:c r="M1120" s="10" t="str">
        <x:v>未测</x:v>
      </x:c>
      <x:c r="N1120" s="10" t="str"/>
      <x:c r="O1120" s="9" t="str">
        <x:v>1. 来源（当前证据）：liveshow-proto/MainBasis/统一需求文档.md；位置：行359、行367、行770、行758
2. 规则：BR-29a69bd3e108429b
3. 未动态验证</x:v>
      </x:c>
    </x:row>
    <x:row r="1121" ht="85" customHeight="1">
      <x:c r="A1121" s="10" t="n">
        <x:v>1120</x:v>
      </x:c>
      <x:c r="B1121" s="10" t="str">
        <x:v>USER-05-0229</x:v>
      </x:c>
      <x:c r="C1121" s="10" t="str">
        <x:v>我的</x:v>
      </x:c>
      <x:c r="D1121" s="10" t="str">
        <x:v>我的装扮（真实金币用户视角）</x:v>
      </x:c>
      <x:c r="E1121" s="10" t="str">
        <x:v>功能需求</x:v>
      </x:c>
      <x:c r="F1121" s="10" t="str">
        <x:v>P2</x:v>
      </x:c>
      <x:c r="G1121" s="9" t="str">
        <x:v>验证到期自动停止装扮展示</x:v>
      </x:c>
      <x:c r="H1121" s="9" t="str">
        <x:v>展示内容</x:v>
      </x:c>
      <x:c r="I1121" s="9" t="str">
        <x:v>1. 执行角色为真实金币用户；当前处于我的装扮页面
2. 装扮A佩戴中且刚超过配置有效期</x:v>
      </x:c>
      <x:c r="J1121" s="9" t="str">
        <x:v>1. 查看当前头像装扮</x:v>
      </x:c>
      <x:c r="K1121" s="9" t="str">
        <x:v>A自动停止展示</x:v>
      </x:c>
      <x:c r="L1121" s="10" t="str"/>
      <x:c r="M1121" s="10" t="str">
        <x:v>未测</x:v>
      </x:c>
      <x:c r="N1121" s="10" t="str"/>
      <x:c r="O1121" s="9" t="str">
        <x:v>1. 来源（当前证据）：liveshow-proto/MainBasis/统一需求文档.md；位置：行391、行728
2. 规则：BR-47c6418e87a522ef
3. 未动态验证</x:v>
      </x:c>
    </x:row>
    <x:row r="1122" ht="85" customHeight="1">
      <x:c r="A1122" s="10" t="n">
        <x:v>1121</x:v>
      </x:c>
      <x:c r="B1122" s="10" t="str">
        <x:v>USER-04-0134</x:v>
      </x:c>
      <x:c r="C1122" s="10" t="str">
        <x:v>消息与社交</x:v>
      </x:c>
      <x:c r="D1122" s="10" t="str">
        <x:v>用户主页（已登录普通用户视角）</x:v>
      </x:c>
      <x:c r="E1122" s="10" t="str">
        <x:v>功能需求</x:v>
      </x:c>
      <x:c r="F1122" s="10" t="str">
        <x:v>P2</x:v>
      </x:c>
      <x:c r="G1122" s="9" t="str">
        <x:v>验证好友申请待处理禁止重复</x:v>
      </x:c>
      <x:c r="H1122" s="9" t="str">
        <x:v>申请处理</x:v>
      </x:c>
      <x:c r="I1122" s="9" t="str">
        <x:v>1. 执行角色为已登录普通用户；当前处于用户主页页面
2. 当前与B已有一笔待处理好友申请</x:v>
      </x:c>
      <x:c r="J1122" s="9" t="str">
        <x:v>1. 点击申请好友</x:v>
      </x:c>
      <x:c r="K1122" s="9" t="str">
        <x:v>不生成第二笔待处理申请</x:v>
      </x:c>
      <x:c r="L1122" s="10" t="str"/>
      <x:c r="M1122" s="10" t="str">
        <x:v>未测</x:v>
      </x:c>
      <x:c r="N1122" s="10" t="str"/>
      <x:c r="O1122" s="9" t="str">
        <x:v>1. 来源（当前证据）：liveshow-proto/MainBasis/统一需求文档.md；位置：行875、行1039
2. 规则：BR-12afad6c8256042d
3. 未动态验证</x:v>
      </x:c>
    </x:row>
    <x:row r="1123" ht="85" customHeight="1">
      <x:c r="A1123" s="10" t="n">
        <x:v>1122</x:v>
      </x:c>
      <x:c r="B1123" s="10" t="str">
        <x:v>USER-04-0135</x:v>
      </x:c>
      <x:c r="C1123" s="10" t="str">
        <x:v>消息与社交</x:v>
      </x:c>
      <x:c r="D1123" s="10" t="str">
        <x:v>用户主页（已登录普通用户视角）</x:v>
      </x:c>
      <x:c r="E1123" s="10" t="str">
        <x:v>功能需求</x:v>
      </x:c>
      <x:c r="F1123" s="10" t="str">
        <x:v>P2</x:v>
      </x:c>
      <x:c r="G1123" s="9" t="str">
        <x:v>验证查看对象粉丝与关注计数</x:v>
      </x:c>
      <x:c r="H1123" s="9" t="str">
        <x:v>主页粉丝关注计数</x:v>
      </x:c>
      <x:c r="I1123" s="9" t="str">
        <x:v>1. 执行角色为已登录普通用户；当前处于用户主页页面
2. B当前被3人关注并关注4人</x:v>
      </x:c>
      <x:c r="J1123" s="9" t="str">
        <x:v>1. 查看B主页社交统计</x:v>
      </x:c>
      <x:c r="K1123" s="9" t="str">
        <x:v>粉丝为3、关注为4</x:v>
      </x:c>
      <x:c r="L1123" s="10" t="str"/>
      <x:c r="M1123" s="10" t="str">
        <x:v>未测</x:v>
      </x:c>
      <x:c r="N1123" s="10" t="str"/>
      <x:c r="O1123" s="9" t="str">
        <x:v>1. 来源（当前证据）：liveshow-proto/MainBasis/统一需求文档.md；位置：行1042、行1039
2. 规则：BR-9cc2e3211c2ec8de
3. 未动态验证</x:v>
      </x:c>
    </x:row>
    <x:row r="1124" ht="85" customHeight="1">
      <x:c r="A1124" s="10" t="n">
        <x:v>1123</x:v>
      </x:c>
      <x:c r="B1124" s="10" t="str">
        <x:v>USER-04-0136</x:v>
      </x:c>
      <x:c r="C1124" s="10" t="str">
        <x:v>消息与社交</x:v>
      </x:c>
      <x:c r="D1124" s="10" t="str">
        <x:v>用户主页（已登录普通用户视角）</x:v>
      </x:c>
      <x:c r="E1124" s="10" t="str">
        <x:v>功能需求</x:v>
      </x:c>
      <x:c r="F1124" s="10" t="str">
        <x:v>P2</x:v>
      </x:c>
      <x:c r="G1124" s="9" t="str">
        <x:v>验证查看对象累计送出</x:v>
      </x:c>
      <x:c r="H1124" s="9" t="str">
        <x:v>资产数值</x:v>
      </x:c>
      <x:c r="I1124" s="9" t="str">
        <x:v>1. 执行角色为已登录普通用户；当前处于用户主页页面
2. B有效成功赠礼100金币，另有失败20金币</x:v>
      </x:c>
      <x:c r="J1124" s="9" t="str">
        <x:v>1. 查看B送出值</x:v>
      </x:c>
      <x:c r="K1124" s="9" t="str">
        <x:v>累计送出为100金币</x:v>
      </x:c>
      <x:c r="L1124" s="10" t="str"/>
      <x:c r="M1124" s="10" t="str">
        <x:v>未测</x:v>
      </x:c>
      <x:c r="N1124" s="10" t="str"/>
      <x:c r="O1124" s="9" t="str">
        <x:v>1. 来源（当前证据）：liveshow-proto/MainBasis/统一需求文档.md；位置：行1043、行1045、行1039
2. 规则：BR-855c78aef0949339
3. 未动态验证</x:v>
      </x:c>
    </x:row>
    <x:row r="1125" ht="85" customHeight="1">
      <x:c r="A1125" s="10" t="n">
        <x:v>1124</x:v>
      </x:c>
      <x:c r="B1125" s="10" t="str">
        <x:v>USER-02-0160</x:v>
      </x:c>
      <x:c r="C1125" s="10" t="str">
        <x:v>首页与福利</x:v>
      </x:c>
      <x:c r="D1125" s="10" t="str">
        <x:v>首页（已登录普通用户视角）</x:v>
      </x:c>
      <x:c r="E1125" s="10" t="str">
        <x:v>功能需求</x:v>
      </x:c>
      <x:c r="F1125" s="10" t="str">
        <x:v>P2</x:v>
      </x:c>
      <x:c r="G1125" s="9" t="str">
        <x:v>验证拉黑主播不展示首页卡片</x:v>
      </x:c>
      <x:c r="H1125" s="9" t="str">
        <x:v>拉黑主播卡片过滤</x:v>
      </x:c>
      <x:c r="I1125" s="9" t="str">
        <x:v>1. 执行角色为已登录普通用户；当前处于首页页面
2. 当前与主播B有任一方向拉黑；B正在直播</x:v>
      </x:c>
      <x:c r="J1125" s="9" t="str">
        <x:v>1. 刷新首页</x:v>
      </x:c>
      <x:c r="K1125" s="9" t="str">
        <x:v>不展示B直播卡片</x:v>
      </x:c>
      <x:c r="L1125" s="10" t="str"/>
      <x:c r="M1125" s="10" t="str">
        <x:v>未测</x:v>
      </x:c>
      <x:c r="N1125" s="10" t="str"/>
      <x:c r="O1125" s="9" t="str">
        <x:v>1. 来源（当前证据）：liveshow-proto/MainBasis/统一需求文档.md；位置：行947、行517
2. 规则：BR-a9a92db123310f50
3. 未动态验证</x:v>
      </x:c>
    </x:row>
    <x:row r="1126" ht="85" customHeight="1">
      <x:c r="A1126" s="10" t="n">
        <x:v>1125</x:v>
      </x:c>
      <x:c r="B1126" s="10" t="str">
        <x:v>USER-02-0161</x:v>
      </x:c>
      <x:c r="C1126" s="10" t="str">
        <x:v>首页与福利</x:v>
      </x:c>
      <x:c r="D1126" s="10" t="str">
        <x:v>搜索结果（已登录普通用户视角）</x:v>
      </x:c>
      <x:c r="E1126" s="10" t="str">
        <x:v>功能需求</x:v>
      </x:c>
      <x:c r="F1126" s="10" t="str">
        <x:v>P2</x:v>
      </x:c>
      <x:c r="G1126" s="9" t="str">
        <x:v>验证拉黑账号不能检索</x:v>
      </x:c>
      <x:c r="H1126" s="9" t="str">
        <x:v>拉黑账号搜索过滤</x:v>
      </x:c>
      <x:c r="I1126" s="9" t="str">
        <x:v>1. 执行角色为已登录普通用户；当前处于搜索结果页面
2. 当前与B有任一方向拉黑</x:v>
      </x:c>
      <x:c r="J1126" s="9" t="str">
        <x:v>1. 输入B完整用户ID并搜索</x:v>
      </x:c>
      <x:c r="K1126" s="9" t="str">
        <x:v>结果不展示B</x:v>
      </x:c>
      <x:c r="L1126" s="10" t="str"/>
      <x:c r="M1126" s="10" t="str">
        <x:v>未测</x:v>
      </x:c>
      <x:c r="N1126" s="10" t="str"/>
      <x:c r="O1126" s="9" t="str">
        <x:v>1. 来源（当前证据）：liveshow-proto/MainBasis/统一需求文档.md；位置：行1945、行947、行582
2. 规则：BR-cd0b2ed07b868a49
3. 未动态验证</x:v>
      </x:c>
    </x:row>
    <x:row r="1127" ht="85" customHeight="1">
      <x:c r="A1127" s="10" t="n">
        <x:v>1126</x:v>
      </x:c>
      <x:c r="B1127" s="10" t="str">
        <x:v>USER-04-0137</x:v>
      </x:c>
      <x:c r="C1127" s="10" t="str">
        <x:v>消息与社交</x:v>
      </x:c>
      <x:c r="D1127" s="10" t="str">
        <x:v>粉丝团群聊（有效粉丝团成员视角）</x:v>
      </x:c>
      <x:c r="E1127" s="10" t="str">
        <x:v>功能需求</x:v>
      </x:c>
      <x:c r="F1127" s="10" t="str">
        <x:v>P2</x:v>
      </x:c>
      <x:c r="G1127" s="9" t="str">
        <x:v>验证同群拉黑禁止查看主页</x:v>
      </x:c>
      <x:c r="H1127" s="9" t="str">
        <x:v>账号关系</x:v>
      </x:c>
      <x:c r="I1127" s="9" t="str">
        <x:v>1. 执行角色为有效粉丝团成员；当前处于粉丝团群聊页面
2. A与B有拉黑关系；当前A与B同在第三方粉丝群</x:v>
      </x:c>
      <x:c r="J1127" s="9" t="str">
        <x:v>1. 点击B主页</x:v>
      </x:c>
      <x:c r="K1127" s="9" t="str">
        <x:v>不能查看B主页</x:v>
      </x:c>
      <x:c r="L1127" s="10" t="str"/>
      <x:c r="M1127" s="10" t="str">
        <x:v>未测</x:v>
      </x:c>
      <x:c r="N1127" s="10" t="str"/>
      <x:c r="O1127" s="9" t="str">
        <x:v>1. 来源（当前证据）：liveshow-proto/MainBasis/统一需求文档.md；位置：行949、行896
2. 规则：BR-3dd4a864c70e6339
3. 未动态验证</x:v>
      </x:c>
    </x:row>
    <x:row r="1128" ht="85" customHeight="1">
      <x:c r="A1128" s="10" t="n">
        <x:v>1127</x:v>
      </x:c>
      <x:c r="B1128" s="10" t="str">
        <x:v>USER-06-0066</x:v>
      </x:c>
      <x:c r="C1128" s="10" t="str">
        <x:v>公会关系</x:v>
      </x:c>
      <x:c r="D1128" s="10" t="str">
        <x:v>公会中心（已登录普通用户视角）</x:v>
      </x:c>
      <x:c r="E1128" s="10" t="str">
        <x:v>功能需求</x:v>
      </x:c>
      <x:c r="F1128" s="10" t="str">
        <x:v>P2</x:v>
      </x:c>
      <x:c r="G1128" s="9" t="str">
        <x:v>验证公会卡片资料：公会头像</x:v>
      </x:c>
      <x:c r="H1128" s="9" t="str">
        <x:v>公会头像</x:v>
      </x:c>
      <x:c r="I1128" s="9" t="str">
        <x:v>1. 执行角色为已登录普通用户；当前处于公会中心页面
2. 当前公会A资料与Banner均为已知配置</x:v>
      </x:c>
      <x:c r="J1128" s="9" t="str">
        <x:v>1. 查看A公会卡片</x:v>
      </x:c>
      <x:c r="K1128" s="9" t="str">
        <x:v>头像对应当前公会A</x:v>
      </x:c>
      <x:c r="L1128" s="10" t="str"/>
      <x:c r="M1128" s="10" t="str">
        <x:v>未测</x:v>
      </x:c>
      <x:c r="N1128" s="10" t="str"/>
      <x:c r="O1128" s="9" t="str">
        <x:v>1. 来源（当前证据）：liveshow-proto/MainBasis/统一需求文档.md；位置：行960、行962、行963、行964、行958
2. 规则：BR-6d5ed26b468e8160
3. 未动态验证</x:v>
      </x:c>
    </x:row>
    <x:row r="1129" ht="85" customHeight="1">
      <x:c r="A1129" s="10" t="n">
        <x:v>1128</x:v>
      </x:c>
      <x:c r="B1129" s="10" t="str">
        <x:v>USER-06-0067</x:v>
      </x:c>
      <x:c r="C1129" s="10" t="str">
        <x:v>公会关系</x:v>
      </x:c>
      <x:c r="D1129" s="10" t="str">
        <x:v>公会中心（已登录普通用户视角）</x:v>
      </x:c>
      <x:c r="E1129" s="10" t="str">
        <x:v>功能需求</x:v>
      </x:c>
      <x:c r="F1129" s="10" t="str">
        <x:v>P2</x:v>
      </x:c>
      <x:c r="G1129" s="9" t="str">
        <x:v>验证公会卡片资料：公会名称</x:v>
      </x:c>
      <x:c r="H1129" s="9" t="str">
        <x:v>公会名称</x:v>
      </x:c>
      <x:c r="I1129" s="9" t="str">
        <x:v>1. 执行角色为已登录普通用户；当前处于公会中心页面
2. 当前公会A资料与Banner均为已知配置</x:v>
      </x:c>
      <x:c r="J1129" s="9" t="str">
        <x:v>1. 查看A公会卡片</x:v>
      </x:c>
      <x:c r="K1129" s="9" t="str">
        <x:v>名称对应当前公会A</x:v>
      </x:c>
      <x:c r="L1129" s="10" t="str"/>
      <x:c r="M1129" s="10" t="str">
        <x:v>未测</x:v>
      </x:c>
      <x:c r="N1129" s="10" t="str"/>
      <x:c r="O1129" s="9" t="str">
        <x:v>1. 来源（当前证据）：liveshow-proto/MainBasis/统一需求文档.md；位置：行960、行962、行963、行964、行958
2. 规则：BR-521596057faaa225
3. 未动态验证</x:v>
      </x:c>
    </x:row>
    <x:row r="1130" ht="85" customHeight="1">
      <x:c r="A1130" s="10" t="n">
        <x:v>1129</x:v>
      </x:c>
      <x:c r="B1130" s="10" t="str">
        <x:v>USER-06-0068</x:v>
      </x:c>
      <x:c r="C1130" s="10" t="str">
        <x:v>公会关系</x:v>
      </x:c>
      <x:c r="D1130" s="10" t="str">
        <x:v>公会中心（已登录普通用户视角）</x:v>
      </x:c>
      <x:c r="E1130" s="10" t="str">
        <x:v>功能需求</x:v>
      </x:c>
      <x:c r="F1130" s="10" t="str">
        <x:v>P2</x:v>
      </x:c>
      <x:c r="G1130" s="9" t="str">
        <x:v>验证公会卡片资料：公会标识</x:v>
      </x:c>
      <x:c r="H1130" s="9" t="str">
        <x:v>公会标识</x:v>
      </x:c>
      <x:c r="I1130" s="9" t="str">
        <x:v>1. 执行角色为已登录普通用户；当前处于公会中心页面
2. 当前公会A资料与Banner均为已知配置</x:v>
      </x:c>
      <x:c r="J1130" s="9" t="str">
        <x:v>1. 查看A公会卡片</x:v>
      </x:c>
      <x:c r="K1130" s="9" t="str">
        <x:v>ID对应当前公会A</x:v>
      </x:c>
      <x:c r="L1130" s="10" t="str"/>
      <x:c r="M1130" s="10" t="str">
        <x:v>未测</x:v>
      </x:c>
      <x:c r="N1130" s="10" t="str"/>
      <x:c r="O1130" s="9" t="str">
        <x:v>1. 来源（当前证据）：liveshow-proto/MainBasis/统一需求文档.md；位置：行960、行962、行963、行964、行958
2. 规则：BR-81ab5784fa39e78e
3. 未动态验证</x:v>
      </x:c>
    </x:row>
    <x:row r="1131" ht="85" customHeight="1">
      <x:c r="A1131" s="10" t="n">
        <x:v>1130</x:v>
      </x:c>
      <x:c r="B1131" s="10" t="str">
        <x:v>USER-06-0069</x:v>
      </x:c>
      <x:c r="C1131" s="10" t="str">
        <x:v>公会关系</x:v>
      </x:c>
      <x:c r="D1131" s="10" t="str">
        <x:v>公会中心（已登录普通用户视角）</x:v>
      </x:c>
      <x:c r="E1131" s="10" t="str">
        <x:v>功能需求</x:v>
      </x:c>
      <x:c r="F1131" s="10" t="str">
        <x:v>P2</x:v>
      </x:c>
      <x:c r="G1131" s="9" t="str">
        <x:v>验证公会卡片资料：公会简介</x:v>
      </x:c>
      <x:c r="H1131" s="9" t="str">
        <x:v>公会简介</x:v>
      </x:c>
      <x:c r="I1131" s="9" t="str">
        <x:v>1. 执行角色为已登录普通用户；当前处于公会中心页面
2. 当前公会A资料与Banner均为已知配置</x:v>
      </x:c>
      <x:c r="J1131" s="9" t="str">
        <x:v>1. 查看A公会卡片</x:v>
      </x:c>
      <x:c r="K1131" s="9" t="str">
        <x:v>简介对应当前公会A</x:v>
      </x:c>
      <x:c r="L1131" s="10" t="str"/>
      <x:c r="M1131" s="10" t="str">
        <x:v>未测</x:v>
      </x:c>
      <x:c r="N1131" s="10" t="str"/>
      <x:c r="O1131" s="9" t="str">
        <x:v>1. 来源（当前证据）：liveshow-proto/MainBasis/统一需求文档.md；位置：行960、行962、行963、行964、行958
2. 规则：BR-1346ad4feb42280a
3. 未动态验证</x:v>
      </x:c>
    </x:row>
    <x:row r="1132" ht="85" customHeight="1">
      <x:c r="A1132" s="10" t="n">
        <x:v>1131</x:v>
      </x:c>
      <x:c r="B1132" s="10" t="str">
        <x:v>USER-06-0070</x:v>
      </x:c>
      <x:c r="C1132" s="10" t="str">
        <x:v>公会关系</x:v>
      </x:c>
      <x:c r="D1132" s="10" t="str">
        <x:v>公会中心（已登录普通用户视角）</x:v>
      </x:c>
      <x:c r="E1132" s="10" t="str">
        <x:v>功能需求</x:v>
      </x:c>
      <x:c r="F1132" s="10" t="str">
        <x:v>P2</x:v>
      </x:c>
      <x:c r="G1132" s="9" t="str">
        <x:v>验证公会卡片资料：主播人数</x:v>
      </x:c>
      <x:c r="H1132" s="9" t="str">
        <x:v>主播人数</x:v>
      </x:c>
      <x:c r="I1132" s="9" t="str">
        <x:v>1. 执行角色为已登录普通用户；当前处于公会中心页面
2. 当前公会A资料与Banner均为已知配置</x:v>
      </x:c>
      <x:c r="J1132" s="9" t="str">
        <x:v>1. 查看A公会卡片</x:v>
      </x:c>
      <x:c r="K1132" s="9" t="str">
        <x:v>人数为A当前主播人数</x:v>
      </x:c>
      <x:c r="L1132" s="10" t="str"/>
      <x:c r="M1132" s="10" t="str">
        <x:v>未测</x:v>
      </x:c>
      <x:c r="N1132" s="10" t="str"/>
      <x:c r="O1132" s="9" t="str">
        <x:v>1. 来源（当前证据）：liveshow-proto/MainBasis/统一需求文档.md；位置：行960、行962、行963、行964、行958
2. 规则：BR-525432e85408a89b
3. 未动态验证</x:v>
      </x:c>
    </x:row>
    <x:row r="1133" ht="85" customHeight="1">
      <x:c r="A1133" s="10" t="n">
        <x:v>1132</x:v>
      </x:c>
      <x:c r="B1133" s="10" t="str">
        <x:v>USER-06-0071</x:v>
      </x:c>
      <x:c r="C1133" s="10" t="str">
        <x:v>公会关系</x:v>
      </x:c>
      <x:c r="D1133" s="10" t="str">
        <x:v>公会详情（已登录普通用户视角）</x:v>
      </x:c>
      <x:c r="E1133" s="10" t="str">
        <x:v>功能需求</x:v>
      </x:c>
      <x:c r="F1133" s="10" t="str">
        <x:v>P2</x:v>
      </x:c>
      <x:c r="G1133" s="9" t="str">
        <x:v>验证处理时间有值才展示</x:v>
      </x:c>
      <x:c r="H1133" s="9" t="str">
        <x:v>展示内容</x:v>
      </x:c>
      <x:c r="I1133" s="9" t="str">
        <x:v>1. 执行角色为已登录普通用户；当前处于公会详情页面
2. 本账号对公会A存在已处理和待处理两笔申请</x:v>
      </x:c>
      <x:c r="J1133" s="9" t="str">
        <x:v>1. 查看已处理申请</x:v>
      </x:c>
      <x:c r="K1133" s="9" t="str">
        <x:v>展示其处理时间</x:v>
      </x:c>
      <x:c r="L1133" s="10" t="str"/>
      <x:c r="M1133" s="10" t="str">
        <x:v>未测</x:v>
      </x:c>
      <x:c r="N1133" s="10" t="str"/>
      <x:c r="O1133" s="9" t="str">
        <x:v>1. 来源（当前证据）：liveshow-proto/MainBasis/统一需求文档.md；位置：行1011、行1005
2. 规则：BR-e2b44b3f819fe472
3. 未动态验证</x:v>
      </x:c>
    </x:row>
    <x:row r="1134" ht="85" customHeight="1">
      <x:c r="A1134" s="10" t="n">
        <x:v>1133</x:v>
      </x:c>
      <x:c r="B1134" s="10" t="str">
        <x:v>USER-06-0072</x:v>
      </x:c>
      <x:c r="C1134" s="10" t="str">
        <x:v>公会关系</x:v>
      </x:c>
      <x:c r="D1134" s="10" t="str">
        <x:v>公会详情（已登录普通用户视角）</x:v>
      </x:c>
      <x:c r="E1134" s="10" t="str">
        <x:v>功能需求</x:v>
      </x:c>
      <x:c r="F1134" s="10" t="str">
        <x:v>P2</x:v>
      </x:c>
      <x:c r="G1134" s="9" t="str">
        <x:v>验证待处理不造处理时间</x:v>
      </x:c>
      <x:c r="H1134" s="9" t="str">
        <x:v>展示内容</x:v>
      </x:c>
      <x:c r="I1134" s="9" t="str">
        <x:v>1. 执行角色为已登录普通用户；当前处于公会详情页面
2. 本账号对公会A存在已处理和待处理两笔申请</x:v>
      </x:c>
      <x:c r="J1134" s="9" t="str">
        <x:v>1. 查看待处理申请</x:v>
      </x:c>
      <x:c r="K1134" s="9" t="str">
        <x:v>不展示虚构处理时间</x:v>
      </x:c>
      <x:c r="L1134" s="10" t="str"/>
      <x:c r="M1134" s="10" t="str">
        <x:v>未测</x:v>
      </x:c>
      <x:c r="N1134" s="10" t="str"/>
      <x:c r="O1134" s="9" t="str">
        <x:v>1. 来源（当前证据）：liveshow-proto/MainBasis/统一需求文档.md；位置：行1011、行1005
2. 规则：BR-fd1dea76d533e065
3. 未动态验证</x:v>
      </x:c>
    </x:row>
    <x:row r="1135" ht="85" customHeight="1">
      <x:c r="A1135" s="10" t="n">
        <x:v>1134</x:v>
      </x:c>
      <x:c r="B1135" s="10" t="str">
        <x:v>USER-07-0158</x:v>
      </x:c>
      <x:c r="C1135" s="10" t="str">
        <x:v>主播中心</x:v>
      </x:c>
      <x:c r="D1135" s="10" t="str">
        <x:v>直播数据（已认证主播视角）</x:v>
      </x:c>
      <x:c r="E1135" s="10" t="str">
        <x:v>功能需求</x:v>
      </x:c>
      <x:c r="F1135" s="10" t="str">
        <x:v>P2</x:v>
      </x:c>
      <x:c r="G1135" s="9" t="str">
        <x:v>验证统计有效直播时长</x:v>
      </x:c>
      <x:c r="H1135" s="9" t="str">
        <x:v>展示内容</x:v>
      </x:c>
      <x:c r="I1135" s="9" t="str">
        <x:v>1. 执行角色为已认证主播；当前处于直播数据页面
2. 所选范围有两场有效时长1小时与2小时</x:v>
      </x:c>
      <x:c r="J1135" s="9" t="str">
        <x:v>1. 查看开播时长</x:v>
      </x:c>
      <x:c r="K1135" s="9" t="str">
        <x:v>总有效时长为3小时</x:v>
      </x:c>
      <x:c r="L1135" s="10" t="str"/>
      <x:c r="M1135" s="10" t="str">
        <x:v>未测</x:v>
      </x:c>
      <x:c r="N1135" s="10" t="str"/>
      <x:c r="O1135" s="9" t="str">
        <x:v>1. 来源（当前证据）：liveshow-proto/MainBasis/统一需求文档.md；位置：行1251、行1247
2. 规则：BR-3f029be409bbd0e9
3. 未动态验证</x:v>
      </x:c>
    </x:row>
    <x:row r="1136" ht="85" customHeight="1">
      <x:c r="A1136" s="10" t="n">
        <x:v>1135</x:v>
      </x:c>
      <x:c r="B1136" s="10" t="str">
        <x:v>USER-07-0159</x:v>
      </x:c>
      <x:c r="C1136" s="10" t="str">
        <x:v>主播中心</x:v>
      </x:c>
      <x:c r="D1136" s="10" t="str">
        <x:v>直播数据（已认证主播视角）</x:v>
      </x:c>
      <x:c r="E1136" s="10" t="str">
        <x:v>功能需求</x:v>
      </x:c>
      <x:c r="F1136" s="10" t="str">
        <x:v>P2</x:v>
      </x:c>
      <x:c r="G1136" s="9" t="str">
        <x:v>验证统计观众人次</x:v>
      </x:c>
      <x:c r="H1136" s="9" t="str">
        <x:v>展示内容</x:v>
      </x:c>
      <x:c r="I1136" s="9" t="str">
        <x:v>1. 执行角色为已认证主播；当前处于直播数据页面
2. 同一观众在所选范围成功进入3次</x:v>
      </x:c>
      <x:c r="J1136" s="9" t="str">
        <x:v>1. 查看观众人次</x:v>
      </x:c>
      <x:c r="K1136" s="9" t="str">
        <x:v>计入3人次</x:v>
      </x:c>
      <x:c r="L1136" s="10" t="str"/>
      <x:c r="M1136" s="10" t="str">
        <x:v>未测</x:v>
      </x:c>
      <x:c r="N1136" s="10" t="str"/>
      <x:c r="O1136" s="9" t="str">
        <x:v>1. 来源（当前证据）：liveshow-proto/MainBasis/统一需求文档.md；位置：行1252、行1247
2. 规则：BR-85be2ccce6021169
3. 未动态验证</x:v>
      </x:c>
    </x:row>
    <x:row r="1137" ht="85" customHeight="1">
      <x:c r="A1137" s="10" t="n">
        <x:v>1136</x:v>
      </x:c>
      <x:c r="B1137" s="10" t="str">
        <x:v>USER-07-0160</x:v>
      </x:c>
      <x:c r="C1137" s="10" t="str">
        <x:v>主播中心</x:v>
      </x:c>
      <x:c r="D1137" s="10" t="str">
        <x:v>直播数据（已认证主播视角）</x:v>
      </x:c>
      <x:c r="E1137" s="10" t="str">
        <x:v>功能需求</x:v>
      </x:c>
      <x:c r="F1137" s="10" t="str">
        <x:v>P2</x:v>
      </x:c>
      <x:c r="G1137" s="9" t="str">
        <x:v>验证送礼人数去重</x:v>
      </x:c>
      <x:c r="H1137" s="9" t="str">
        <x:v>展示内容</x:v>
      </x:c>
      <x:c r="I1137" s="9" t="str">
        <x:v>1. 执行角色为已认证主播；当前处于直播数据页面
2. A本周期送礼3次，B送礼1次；无其他成功赠送人</x:v>
      </x:c>
      <x:c r="J1137" s="9" t="str">
        <x:v>1. 查看送礼人数</x:v>
      </x:c>
      <x:c r="K1137" s="9" t="str">
        <x:v>送礼人数为2</x:v>
      </x:c>
      <x:c r="L1137" s="10" t="str"/>
      <x:c r="M1137" s="10" t="str">
        <x:v>未测</x:v>
      </x:c>
      <x:c r="N1137" s="10" t="str"/>
      <x:c r="O1137" s="9" t="str">
        <x:v>1. 来源（当前证据）：liveshow-proto/MainBasis/统一需求文档.md；位置：行1253、行1247
2. 规则：BR-2b6a45a1c8cf9b5a
3. 未动态验证</x:v>
      </x:c>
    </x:row>
    <x:row r="1138" ht="85" customHeight="1">
      <x:c r="A1138" s="10" t="n">
        <x:v>1137</x:v>
      </x:c>
      <x:c r="B1138" s="10" t="str">
        <x:v>USER-08-0060</x:v>
      </x:c>
      <x:c r="C1138" s="10" t="str">
        <x:v>钱包与账单</x:v>
      </x:c>
      <x:c r="D1138" s="10" t="str">
        <x:v>余额充值（真实金币用户视角）</x:v>
      </x:c>
      <x:c r="E1138" s="10" t="str">
        <x:v>功能需求</x:v>
      </x:c>
      <x:c r="F1138" s="10" t="str">
        <x:v>P2</x:v>
      </x:c>
      <x:c r="G1138" s="9" t="str">
        <x:v>验证首充标记按配置</x:v>
      </x:c>
      <x:c r="H1138" s="9" t="str">
        <x:v>展示内容</x:v>
      </x:c>
      <x:c r="I1138" s="9" t="str">
        <x:v>1. 执行角色为真实金币用户；当前处于余额充值页面
2. 当前可购套餐A被后台标记首充特惠</x:v>
      </x:c>
      <x:c r="J1138" s="9" t="str">
        <x:v>1. 查看套餐A</x:v>
      </x:c>
      <x:c r="K1138" s="9" t="str">
        <x:v>显示首充特惠标记</x:v>
      </x:c>
      <x:c r="L1138" s="10" t="str"/>
      <x:c r="M1138" s="10" t="str">
        <x:v>未测</x:v>
      </x:c>
      <x:c r="N1138" s="10" t="str"/>
      <x:c r="O1138" s="9" t="str">
        <x:v>1. 来源（当前证据）：liveshow-proto/MainBasis/统一需求文档.md；位置：行1297、行1289
2. 规则：BR-a50684fc001e8999
3. 未动态验证</x:v>
      </x:c>
    </x:row>
    <x:row r="1139" ht="85" customHeight="1">
      <x:c r="A1139" s="10" t="n">
        <x:v>1138</x:v>
      </x:c>
      <x:c r="B1139" s="10" t="str">
        <x:v>USER-08-0061</x:v>
      </x:c>
      <x:c r="C1139" s="10" t="str">
        <x:v>钱包与账单</x:v>
      </x:c>
      <x:c r="D1139" s="10" t="str">
        <x:v>余额充值（真实金币用户视角）</x:v>
      </x:c>
      <x:c r="E1139" s="10" t="str">
        <x:v>功能需求</x:v>
      </x:c>
      <x:c r="F1139" s="10" t="str">
        <x:v>P2</x:v>
      </x:c>
      <x:c r="G1139" s="9" t="str">
        <x:v>验证活动倒计时对应结束时间</x:v>
      </x:c>
      <x:c r="H1139" s="9" t="str">
        <x:v>展示内容</x:v>
      </x:c>
      <x:c r="I1139" s="9" t="str">
        <x:v>1. 执行角色为真实金币用户；当前处于余额充值页面
2. 活动结束时间比当前时间晚1小时，设备与服务端时钟一致</x:v>
      </x:c>
      <x:c r="J1139" s="9" t="str">
        <x:v>1. 查看活动剩余时间</x:v>
      </x:c>
      <x:c r="K1139" s="9" t="str">
        <x:v>倒计时从01:00:00附近开始递减</x:v>
      </x:c>
      <x:c r="L1139" s="10" t="str"/>
      <x:c r="M1139" s="10" t="str">
        <x:v>未测</x:v>
      </x:c>
      <x:c r="N1139" s="10" t="str"/>
      <x:c r="O1139" s="9" t="str">
        <x:v>1. 来源（当前证据）：liveshow-proto/MainBasis/统一需求文档.md；位置：行1298、行1289
2. 规则：BR-a1c706c337826359
3. 未动态验证</x:v>
      </x:c>
    </x:row>
    <x:row r="1140" ht="85" customHeight="1">
      <x:c r="A1140" s="10" t="n">
        <x:v>1139</x:v>
      </x:c>
      <x:c r="B1140" s="10" t="str">
        <x:v>USER-08-0062</x:v>
      </x:c>
      <x:c r="C1140" s="10" t="str">
        <x:v>钱包与账单</x:v>
      </x:c>
      <x:c r="D1140" s="10" t="str">
        <x:v>余额充值（真实金币用户视角）</x:v>
      </x:c>
      <x:c r="E1140" s="10" t="str">
        <x:v>功能需求</x:v>
      </x:c>
      <x:c r="F1140" s="10" t="str">
        <x:v>P2</x:v>
      </x:c>
      <x:c r="G1140" s="9" t="str">
        <x:v>验证充值套餐封面按配置</x:v>
      </x:c>
      <x:c r="H1140" s="9" t="str">
        <x:v>展示内容</x:v>
      </x:c>
      <x:c r="I1140" s="9" t="str">
        <x:v>1. 执行角色为真实金币用户；当前处于余额充值页面
2. A套餐配置封面图已知</x:v>
      </x:c>
      <x:c r="J1140" s="9" t="str">
        <x:v>1. 查看套餐A</x:v>
      </x:c>
      <x:c r="K1140" s="9" t="str">
        <x:v>展示后台配置的A封面</x:v>
      </x:c>
      <x:c r="L1140" s="10" t="str"/>
      <x:c r="M1140" s="10" t="str">
        <x:v>未测</x:v>
      </x:c>
      <x:c r="N1140" s="10" t="str"/>
      <x:c r="O1140" s="9" t="str">
        <x:v>1. 来源（当前证据）：liveshow-proto/MainBasis/统一需求文档.md；位置：行1293、行1289
2. 规则：BR-fee1d93c71126bbf
3. 未动态验证</x:v>
      </x:c>
    </x:row>
    <x:row r="1141" ht="130" customHeight="1">
      <x:c r="A1141" s="10" t="n">
        <x:v>1140</x:v>
      </x:c>
      <x:c r="B1141" s="10" t="str">
        <x:v>USER-03-0201</x:v>
      </x:c>
      <x:c r="C1141" s="10" t="str">
        <x:v>直播</x:v>
      </x:c>
      <x:c r="D1141" s="10" t="str">
        <x:v>本场贡献-贡献榜（普通观众视角）</x:v>
      </x:c>
      <x:c r="E1141" s="10" t="str">
        <x:v>功能需求</x:v>
      </x:c>
      <x:c r="F1141" s="10" t="str">
        <x:v>P2</x:v>
      </x:c>
      <x:c r="G1141" s="9" t="str">
        <x:v>验证本场贡献排序首条件</x:v>
      </x:c>
      <x:c r="H1141" s="9" t="str">
        <x:v>排列次序</x:v>
      </x:c>
      <x:c r="I1141" s="9" t="str">
        <x:v>1. 执行角色为普通观众；当前处于本场贡献-贡献榜页面
2. 测试环境已准备本场真实金币贡献；数据不涉及运营虚拟金币；当前场次仍在直播
3. A贡献200、粉丝1级、财富1级；B贡献100、粉丝10级、财富10级</x:v>
      </x:c>
      <x:c r="J1141" s="9" t="str">
        <x:v>1. 查看本场贡献榜</x:v>
      </x:c>
      <x:c r="K1141" s="9" t="str">
        <x:v>A排在B前</x:v>
      </x:c>
      <x:c r="L1141" s="10" t="str"/>
      <x:c r="M1141" s="10" t="str">
        <x:v>未测</x:v>
      </x:c>
      <x:c r="N1141" s="10" t="str"/>
      <x:c r="O1141" s="9" t="str">
        <x:v>1. 来源（当前证据）：liveshow-proto/MainBasis/统一需求文档.md；位置：行1714、行1712
2. 规则：BR-551d4e9227281d48
3. 未动态验证</x:v>
      </x:c>
    </x:row>
    <x:row r="1142" ht="130" customHeight="1">
      <x:c r="A1142" s="10" t="n">
        <x:v>1141</x:v>
      </x:c>
      <x:c r="B1142" s="10" t="str">
        <x:v>USER-03-0202</x:v>
      </x:c>
      <x:c r="C1142" s="10" t="str">
        <x:v>直播</x:v>
      </x:c>
      <x:c r="D1142" s="10" t="str">
        <x:v>本场贡献-贡献榜（普通观众视角）</x:v>
      </x:c>
      <x:c r="E1142" s="10" t="str">
        <x:v>功能需求</x:v>
      </x:c>
      <x:c r="F1142" s="10" t="str">
        <x:v>P2</x:v>
      </x:c>
      <x:c r="G1142" s="9" t="str">
        <x:v>验证本场贡献相同按本团等级</x:v>
      </x:c>
      <x:c r="H1142" s="9" t="str">
        <x:v>排列次序</x:v>
      </x:c>
      <x:c r="I1142" s="9" t="str">
        <x:v>1. 执行角色为普通观众；当前处于本场贡献-贡献榜页面
2. 测试环境已准备本场真实金币贡献；数据不涉及运营虚拟金币；当前场次仍在直播
3. A与B贡献100；A本主播粉丝团5级、财富1级；B本团3级、财富10级</x:v>
      </x:c>
      <x:c r="J1142" s="9" t="str">
        <x:v>1. 查看本场贡献榜</x:v>
      </x:c>
      <x:c r="K1142" s="9" t="str">
        <x:v>A排在B前</x:v>
      </x:c>
      <x:c r="L1142" s="10" t="str"/>
      <x:c r="M1142" s="10" t="str">
        <x:v>未测</x:v>
      </x:c>
      <x:c r="N1142" s="10" t="str"/>
      <x:c r="O1142" s="9" t="str">
        <x:v>1. 来源（当前证据）：liveshow-proto/MainBasis/统一需求文档.md；位置：行1714、行1712
2. 规则：BR-65f87597810fa684
3. 未动态验证</x:v>
      </x:c>
    </x:row>
    <x:row r="1143" ht="115" customHeight="1">
      <x:c r="A1143" s="10" t="n">
        <x:v>1142</x:v>
      </x:c>
      <x:c r="B1143" s="10" t="str">
        <x:v>USER-03-0203</x:v>
      </x:c>
      <x:c r="C1143" s="10" t="str">
        <x:v>直播</x:v>
      </x:c>
      <x:c r="D1143" s="10" t="str">
        <x:v>本场贡献-贡献榜（普通观众视角）</x:v>
      </x:c>
      <x:c r="E1143" s="10" t="str">
        <x:v>功能需求</x:v>
      </x:c>
      <x:c r="F1143" s="10" t="str">
        <x:v>P2</x:v>
      </x:c>
      <x:c r="G1143" s="9" t="str">
        <x:v>验证本场贡献及团等级相同按财富</x:v>
      </x:c>
      <x:c r="H1143" s="9" t="str">
        <x:v>排列次序</x:v>
      </x:c>
      <x:c r="I1143" s="9" t="str">
        <x:v>1. 执行角色为普通观众；当前处于本场贡献-贡献榜页面
2. 测试环境已准备本场真实金币贡献；数据不涉及运营虚拟金币；当前场次仍在直播
3. A与B贡献100、本团等级3；A财富5级，B财富2级</x:v>
      </x:c>
      <x:c r="J1143" s="9" t="str">
        <x:v>1. 查看本场贡献榜</x:v>
      </x:c>
      <x:c r="K1143" s="9" t="str">
        <x:v>A排在B前</x:v>
      </x:c>
      <x:c r="L1143" s="10" t="str"/>
      <x:c r="M1143" s="10" t="str">
        <x:v>未测</x:v>
      </x:c>
      <x:c r="N1143" s="10" t="str"/>
      <x:c r="O1143" s="9" t="str">
        <x:v>1. 来源（当前证据）：liveshow-proto/MainBasis/统一需求文档.md；位置：行1714、行1712
2. 规则：BR-cd2cb39218e84d96
3. 未动态验证</x:v>
      </x:c>
    </x:row>
    <x:row r="1144" ht="130" customHeight="1">
      <x:c r="A1144" s="10" t="n">
        <x:v>1143</x:v>
      </x:c>
      <x:c r="B1144" s="10" t="str">
        <x:v>USER-03-0204</x:v>
      </x:c>
      <x:c r="C1144" s="10" t="str">
        <x:v>直播</x:v>
      </x:c>
      <x:c r="D1144" s="10" t="str">
        <x:v>本场贡献-贡献榜（普通观众视角）</x:v>
      </x:c>
      <x:c r="E1144" s="10" t="str">
        <x:v>功能需求</x:v>
      </x:c>
      <x:c r="F1144" s="10" t="str">
        <x:v>P2</x:v>
      </x:c>
      <x:c r="G1144" s="9" t="str">
        <x:v>验证本场完全同分按数字ID</x:v>
      </x:c>
      <x:c r="H1144" s="9" t="str">
        <x:v>排列次序</x:v>
      </x:c>
      <x:c r="I1144" s="9" t="str">
        <x:v>1. 执行角色为普通观众；当前处于本场贡献-贡献榜页面
2. 测试环境已准备本场真实金币贡献；数据不涉及运营虚拟金币；当前场次仍在直播
3. ID为U2与U10的用户本场贡献、粉丝等级、财富等级完全相同</x:v>
      </x:c>
      <x:c r="J1144" s="9" t="str">
        <x:v>1. 查看本场贡献榜</x:v>
      </x:c>
      <x:c r="K1144" s="9" t="str">
        <x:v>U2排在U10前</x:v>
      </x:c>
      <x:c r="L1144" s="10" t="str"/>
      <x:c r="M1144" s="10" t="str">
        <x:v>未测</x:v>
      </x:c>
      <x:c r="N1144" s="10" t="str"/>
      <x:c r="O1144" s="9" t="str">
        <x:v>1. 来源（当前证据）：liveshow-proto/MainBasis/统一需求文档.md；位置：行1714、行1712
2. 规则：BR-e0c861f08e85777b
3. 未动态验证</x:v>
      </x:c>
    </x:row>
    <x:row r="1145" ht="115" customHeight="1">
      <x:c r="A1145" s="10" t="n">
        <x:v>1144</x:v>
      </x:c>
      <x:c r="B1145" s="10" t="str">
        <x:v>USER-03-0205</x:v>
      </x:c>
      <x:c r="C1145" s="10" t="str">
        <x:v>直播</x:v>
      </x:c>
      <x:c r="D1145" s="10" t="str">
        <x:v>本场贡献-贡献榜（普通观众视角）</x:v>
      </x:c>
      <x:c r="E1145" s="10" t="str">
        <x:v>功能需求</x:v>
      </x:c>
      <x:c r="F1145" s="10" t="str">
        <x:v>P2</x:v>
      </x:c>
      <x:c r="G1145" s="9" t="str">
        <x:v>验证本场同分名次不并列</x:v>
      </x:c>
      <x:c r="H1145" s="9" t="str">
        <x:v>排列次序</x:v>
      </x:c>
      <x:c r="I1145" s="9" t="str">
        <x:v>1. 执行角色为普通观众；当前处于本场贡献-贡献榜页面
2. 测试环境已准备本场真实金币贡献；数据不涉及运营虚拟金币；当前场次仍在直播
3. A与B本场贡献、粉丝等级、财富等级相同；排序后相邻</x:v>
      </x:c>
      <x:c r="J1145" s="9" t="str">
        <x:v>1. 查看两人的名次</x:v>
      </x:c>
      <x:c r="K1145" s="9" t="str">
        <x:v>两人分配连续的不同名次</x:v>
      </x:c>
      <x:c r="L1145" s="10" t="str"/>
      <x:c r="M1145" s="10" t="str">
        <x:v>未测</x:v>
      </x:c>
      <x:c r="N1145" s="10" t="str"/>
      <x:c r="O1145" s="9" t="str">
        <x:v>1. 来源（当前证据）：liveshow-proto/MainBasis/统一需求文档.md；位置：行1714、行1712
2. 规则：BR-33fc23217a28e29a
3. 未动态验证</x:v>
      </x:c>
    </x:row>
    <x:row r="1146" ht="130" customHeight="1">
      <x:c r="A1146" s="10" t="n">
        <x:v>1145</x:v>
      </x:c>
      <x:c r="B1146" s="10" t="str">
        <x:v>USER-03-0206</x:v>
      </x:c>
      <x:c r="C1146" s="10" t="str">
        <x:v>直播</x:v>
      </x:c>
      <x:c r="D1146" s="10" t="str">
        <x:v>本场贡献-贡献榜（普通观众视角）</x:v>
      </x:c>
      <x:c r="E1146" s="10" t="str">
        <x:v>功能需求</x:v>
      </x:c>
      <x:c r="F1146" s="10" t="str">
        <x:v>P2</x:v>
      </x:c>
      <x:c r="G1146" s="9" t="str">
        <x:v>验证本场第九十九名边界：第99名保留</x:v>
      </x:c>
      <x:c r="H1146" s="9" t="str">
        <x:v>第99名保留</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第99名展示A</x:v>
      </x:c>
      <x:c r="L1146" s="10" t="str"/>
      <x:c r="M1146" s="10" t="str">
        <x:v>未测</x:v>
      </x:c>
      <x:c r="N1146" s="10" t="str"/>
      <x:c r="O1146" s="9" t="str">
        <x:v>1. 来源（当前证据）：liveshow-proto/MainBasis/统一需求文档.md；位置：行1714、行1713、行1712
2. 规则：BR-d9b5cbf294b5bbe1
3. 未动态验证</x:v>
      </x:c>
    </x:row>
    <x:row r="1147" ht="130" customHeight="1">
      <x:c r="A1147" s="10" t="n">
        <x:v>1146</x:v>
      </x:c>
      <x:c r="B1147" s="10" t="str">
        <x:v>USER-03-0207</x:v>
      </x:c>
      <x:c r="C1147" s="10" t="str">
        <x:v>直播</x:v>
      </x:c>
      <x:c r="D1147" s="10" t="str">
        <x:v>本场贡献-贡献榜（普通观众视角）</x:v>
      </x:c>
      <x:c r="E1147" s="10" t="str">
        <x:v>功能需求</x:v>
      </x:c>
      <x:c r="F1147" s="10" t="str">
        <x:v>P2</x:v>
      </x:c>
      <x:c r="G1147" s="9" t="str">
        <x:v>验证本场第九十九名边界：第100名排除</x:v>
      </x:c>
      <x:c r="H1147" s="9" t="str">
        <x:v>第100名排除</x:v>
      </x:c>
      <x:c r="I1147"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7" s="9" t="str">
        <x:v>1. 查看榜单末尾</x:v>
      </x:c>
      <x:c r="K1147" s="9" t="str">
        <x:v>榜单不展示B</x:v>
      </x:c>
      <x:c r="L1147" s="10" t="str"/>
      <x:c r="M1147" s="10" t="str">
        <x:v>未测</x:v>
      </x:c>
      <x:c r="N1147" s="10" t="str"/>
      <x:c r="O1147" s="9" t="str">
        <x:v>1. 来源（当前证据）：liveshow-proto/MainBasis/统一需求文档.md；位置：行1714、行1713、行1712
2. 规则：BR-3cd1ba9b9f8bdfd2
3. 未动态验证</x:v>
      </x:c>
    </x:row>
    <x:row r="1148" ht="130" customHeight="1">
      <x:c r="A1148" s="10" t="n">
        <x:v>1147</x:v>
      </x:c>
      <x:c r="B1148" s="10" t="str">
        <x:v>USER-03-0208</x:v>
      </x:c>
      <x:c r="C1148" s="10" t="str">
        <x:v>直播</x:v>
      </x:c>
      <x:c r="D1148" s="10" t="str">
        <x:v>本场贡献-贡献榜（普通观众视角）</x:v>
      </x:c>
      <x:c r="E1148" s="10" t="str">
        <x:v>功能需求</x:v>
      </x:c>
      <x:c r="F1148" s="10" t="str">
        <x:v>P2</x:v>
      </x:c>
      <x:c r="G1148" s="9" t="str">
        <x:v>验证本场缺少粉丝等级按零排序</x:v>
      </x:c>
      <x:c r="H1148" s="9" t="str">
        <x:v>排列次序</x:v>
      </x:c>
      <x:c r="I1148" s="9" t="str">
        <x:v>1. 执行角色为普通观众；当前处于本场贡献-贡献榜页面
2. 测试环境已准备本场真实金币贡献；数据不涉及运营虚拟金币；当前场次仍在直播
3. A与B贡献相同；A没有粉丝等级，B粉丝1级；其他排序条件一致</x:v>
      </x:c>
      <x:c r="J1148" s="9" t="str">
        <x:v>1. 查看本场贡献榜</x:v>
      </x:c>
      <x:c r="K1148" s="9" t="str">
        <x:v>B排在A前</x:v>
      </x:c>
      <x:c r="L1148" s="10" t="str"/>
      <x:c r="M1148" s="10" t="str">
        <x:v>未测</x:v>
      </x:c>
      <x:c r="N1148" s="10" t="str"/>
      <x:c r="O1148" s="9" t="str">
        <x:v>1. 来源（当前证据）：liveshow-proto/MainBasis/统一需求文档.md；位置：行1714、行1717、行1712
2. 规则：BR-fdc9ed6166480ff8
3. 未动态验证</x:v>
      </x:c>
    </x:row>
    <x:row r="1149" ht="115" customHeight="1">
      <x:c r="A1149" s="10" t="n">
        <x:v>1148</x:v>
      </x:c>
      <x:c r="B1149" s="10" t="str">
        <x:v>USER-03-0209</x:v>
      </x:c>
      <x:c r="C1149" s="10" t="str">
        <x:v>直播</x:v>
      </x:c>
      <x:c r="D1149" s="10" t="str">
        <x:v>本场贡献-贡献榜（普通观众视角）</x:v>
      </x:c>
      <x:c r="E1149" s="10" t="str">
        <x:v>功能需求</x:v>
      </x:c>
      <x:c r="F1149" s="10" t="str">
        <x:v>P2</x:v>
      </x:c>
      <x:c r="G1149" s="9" t="str">
        <x:v>验证本场缺少财富等级按零排序</x:v>
      </x:c>
      <x:c r="H1149" s="9" t="str">
        <x:v>排列次序</x:v>
      </x:c>
      <x:c r="I1149" s="9" t="str">
        <x:v>1. 执行角色为普通观众；当前处于本场贡献-贡献榜页面
2. 测试环境已准备本场真实金币贡献；数据不涉及运营虚拟金币；当前场次仍在直播
3. A与B贡献及粉丝等级相同；A没有财富等级，B财富1级</x:v>
      </x:c>
      <x:c r="J1149" s="9" t="str">
        <x:v>1. 查看本场贡献榜</x:v>
      </x:c>
      <x:c r="K1149" s="9" t="str">
        <x:v>B排在A前</x:v>
      </x:c>
      <x:c r="L1149" s="10" t="str"/>
      <x:c r="M1149" s="10" t="str">
        <x:v>未测</x:v>
      </x:c>
      <x:c r="N1149" s="10" t="str"/>
      <x:c r="O1149" s="9" t="str">
        <x:v>1. 来源（当前证据）：liveshow-proto/MainBasis/统一需求文档.md；位置：行1714、行1717、行1712
2. 规则：BR-cf008f22a10b5eb6
3. 未动态验证</x:v>
      </x:c>
    </x:row>
    <x:row r="1150" ht="115" customHeight="1">
      <x:c r="A1150" s="10" t="n">
        <x:v>1149</x:v>
      </x:c>
      <x:c r="B1150" s="10" t="str">
        <x:v>USER-03-0210</x:v>
      </x:c>
      <x:c r="C1150" s="10" t="str">
        <x:v>直播</x:v>
      </x:c>
      <x:c r="D1150" s="10" t="str">
        <x:v>本场贡献-贡献榜（普通观众视角）</x:v>
      </x:c>
      <x:c r="E1150" s="10" t="str">
        <x:v>功能需求</x:v>
      </x:c>
      <x:c r="F1150" s="10" t="str">
        <x:v>P2</x:v>
      </x:c>
      <x:c r="G1150" s="9" t="str">
        <x:v>验证本场失败赠送不贡献</x:v>
      </x:c>
      <x:c r="H1150" s="9" t="str">
        <x:v>展示内容</x:v>
      </x:c>
      <x:c r="I1150" s="9" t="str">
        <x:v>1. 执行角色为普通观众；当前处于本场贡献-贡献榜页面
2. 测试环境已准备本场真实金币贡献；数据不涉及运营虚拟金币；当前场次仍在直播
3. A当前贡献100；一次50金币赠送请求已失败</x:v>
      </x:c>
      <x:c r="J1150" s="9" t="str">
        <x:v>1. 刷新本场贡献榜</x:v>
      </x:c>
      <x:c r="K1150" s="9" t="str">
        <x:v>A贡献仍为100</x:v>
      </x:c>
      <x:c r="L1150" s="10" t="str"/>
      <x:c r="M1150" s="10" t="str">
        <x:v>未测</x:v>
      </x:c>
      <x:c r="N1150" s="10" t="str"/>
      <x:c r="O1150" s="9" t="str">
        <x:v>1. 来源（当前证据）：liveshow-proto/MainBasis/统一需求文档.md；位置：行1718、行1712
2. 规则：BR-6b1c7a4fe74bd91a
3. 未动态验证</x:v>
      </x:c>
    </x:row>
    <x:row r="1151" ht="115" customHeight="1">
      <x:c r="A1151" s="10" t="n">
        <x:v>1150</x:v>
      </x:c>
      <x:c r="B1151" s="10" t="str">
        <x:v>USER-03-0211</x:v>
      </x:c>
      <x:c r="C1151" s="10" t="str">
        <x:v>直播</x:v>
      </x:c>
      <x:c r="D1151" s="10" t="str">
        <x:v>本场贡献-贡献榜（普通观众视角）</x:v>
      </x:c>
      <x:c r="E1151" s="10" t="str">
        <x:v>功能需求</x:v>
      </x:c>
      <x:c r="F1151" s="10" t="str">
        <x:v>P2</x:v>
      </x:c>
      <x:c r="G1151" s="9" t="str">
        <x:v>验证本场撤销赠送不贡献</x:v>
      </x:c>
      <x:c r="H1151" s="9" t="str">
        <x:v>展示内容</x:v>
      </x:c>
      <x:c r="I1151" s="9" t="str">
        <x:v>1. 执行角色为普通观众；当前处于本场贡献-贡献榜页面
2. 测试环境已准备本场真实金币贡献；数据不涉及运营虚拟金币；当前场次仍在直播
3. A只有一笔已撤销赠送且没有其他有效贡献</x:v>
      </x:c>
      <x:c r="J1151" s="9" t="str">
        <x:v>1. 刷新本场贡献榜</x:v>
      </x:c>
      <x:c r="K1151" s="9" t="str">
        <x:v>该笔撤销赠送不计入A贡献</x:v>
      </x:c>
      <x:c r="L1151" s="10" t="str"/>
      <x:c r="M1151" s="10" t="str">
        <x:v>未测</x:v>
      </x:c>
      <x:c r="N1151" s="10" t="str"/>
      <x:c r="O1151" s="9" t="str">
        <x:v>1. 来源（当前证据）：liveshow-proto/MainBasis/统一需求文档.md；位置：行1718、行1712
2. 规则：BR-45de95b4b713d2b2
3. 未动态验证</x:v>
      </x:c>
    </x:row>
    <x:row r="1152" ht="115" customHeight="1">
      <x:c r="A1152" s="10" t="n">
        <x:v>1151</x:v>
      </x:c>
      <x:c r="B1152" s="10" t="str">
        <x:v>USER-03-0212</x:v>
      </x:c>
      <x:c r="C1152" s="10" t="str">
        <x:v>直播</x:v>
      </x:c>
      <x:c r="D1152" s="10" t="str">
        <x:v>本场贡献-贡献榜（普通观众视角）</x:v>
      </x:c>
      <x:c r="E1152" s="10" t="str">
        <x:v>功能需求</x:v>
      </x:c>
      <x:c r="F1152" s="10" t="str">
        <x:v>P2</x:v>
      </x:c>
      <x:c r="G1152" s="9" t="str">
        <x:v>验证本场消费冲正重排</x:v>
      </x:c>
      <x:c r="H1152" s="9" t="str">
        <x:v>排列次序</x:v>
      </x:c>
      <x:c r="I1152" s="9" t="str">
        <x:v>1. 执行角色为普通观众；当前处于本场贡献-贡献榜页面
2. 测试环境已准备本场真实金币贡献；数据不涉及运营虚拟金币；当前场次仍在直播
3. A原贡献200，B贡献150；A其中100金币有效消费已完成冲正</x:v>
      </x:c>
      <x:c r="J1152" s="9" t="str">
        <x:v>1. 刷新本场贡献榜</x:v>
      </x:c>
      <x:c r="K1152" s="9" t="str">
        <x:v>B排在A前</x:v>
      </x:c>
      <x:c r="L1152" s="10" t="str"/>
      <x:c r="M1152" s="10" t="str">
        <x:v>未测</x:v>
      </x:c>
      <x:c r="N1152" s="10" t="str"/>
      <x:c r="O1152" s="9" t="str">
        <x:v>1. 来源（当前证据）：liveshow-proto/MainBasis/统一需求文档.md；位置：行1714、行1718、行1712
2. 规则：BR-121d8875e177937d
3. 未动态验证</x:v>
      </x:c>
    </x:row>
    <x:row r="1153" ht="130" customHeight="1">
      <x:c r="A1153" s="10" t="n">
        <x:v>1152</x:v>
      </x:c>
      <x:c r="B1153" s="10" t="str">
        <x:v>USER-03-0213</x:v>
      </x:c>
      <x:c r="C1153" s="10" t="str">
        <x:v>直播</x:v>
      </x:c>
      <x:c r="D1153" s="10" t="str">
        <x:v>本场贡献-贡献榜（普通观众视角）</x:v>
      </x:c>
      <x:c r="E1153" s="10" t="str">
        <x:v>功能需求</x:v>
      </x:c>
      <x:c r="F1153" s="10" t="str">
        <x:v>P2</x:v>
      </x:c>
      <x:c r="G1153" s="9" t="str">
        <x:v>验证本场充值退款保留贡献</x:v>
      </x:c>
      <x:c r="H1153" s="9" t="str">
        <x:v>展示内容</x:v>
      </x:c>
      <x:c r="I1153" s="9" t="str">
        <x:v>1. 执行角色为普通观众；当前处于本场贡献-贡献榜页面
2. 测试环境已准备本场真实金币贡献；数据不涉及运营虚拟金币；当前场次仍在直播
3. A本场成功赠礼100金币；对应充值现已退款；没有赠礼消费冲正</x:v>
      </x:c>
      <x:c r="J1153" s="9" t="str">
        <x:v>1. 刷新本场贡献榜</x:v>
      </x:c>
      <x:c r="K1153" s="9" t="str">
        <x:v>A本场贡献仍为100</x:v>
      </x:c>
      <x:c r="L1153" s="10" t="str"/>
      <x:c r="M1153" s="10" t="str">
        <x:v>未测</x:v>
      </x:c>
      <x:c r="N1153" s="10" t="str"/>
      <x:c r="O1153" s="9" t="str">
        <x:v>1. 来源（当前证据）：liveshow-proto/MainBasis/统一需求文档.md；位置：行1718、行1712
2. 规则：BR-7992999c67d8e512
3. 未动态验证</x:v>
      </x:c>
    </x:row>
    <x:row r="1154" ht="100" customHeight="1">
      <x:c r="A1154" s="10" t="n">
        <x:v>1153</x:v>
      </x:c>
      <x:c r="B1154" s="10" t="str">
        <x:v>USER-03-0214</x:v>
      </x:c>
      <x:c r="C1154" s="10" t="str">
        <x:v>直播</x:v>
      </x:c>
      <x:c r="D1154" s="10" t="str">
        <x:v>本场贡献-贡献榜（普通观众视角）</x:v>
      </x:c>
      <x:c r="E1154" s="10" t="str">
        <x:v>功能需求</x:v>
      </x:c>
      <x:c r="F1154" s="10" t="str">
        <x:v>P2</x:v>
      </x:c>
      <x:c r="G1154" s="9" t="str">
        <x:v>验证注销贡献名称脱敏</x:v>
      </x:c>
      <x:c r="H1154" s="9" t="str">
        <x:v>展示内容</x:v>
      </x:c>
      <x:c r="I1154" s="9" t="str">
        <x:v>1. 执行角色为普通观众；当前处于本场贡献-贡献榜页面
2. 测试环境已准备本场真实金币贡献；数据不涉及运营虚拟金币；当前场次仍在直播
3. 本场贡献用户A已完成注销</x:v>
      </x:c>
      <x:c r="J1154" s="9" t="str">
        <x:v>1. 刷新本场贡献榜</x:v>
      </x:c>
      <x:c r="K1154" s="9" t="str">
        <x:v>A名称显示“账号已注销”</x:v>
      </x:c>
      <x:c r="L1154" s="10" t="str"/>
      <x:c r="M1154" s="10" t="str">
        <x:v>未测</x:v>
      </x:c>
      <x:c r="N1154" s="10" t="str"/>
      <x:c r="O1154" s="9" t="str">
        <x:v>1. 来源（当前证据）：liveshow-proto/MainBasis/统一需求文档.md；位置：行1719、行1712
2. 规则：BR-da49961bef681eaf
3. 未动态验证</x:v>
      </x:c>
    </x:row>
    <x:row r="1155" ht="100" customHeight="1">
      <x:c r="A1155" s="10" t="n">
        <x:v>1154</x:v>
      </x:c>
      <x:c r="B1155" s="10" t="str">
        <x:v>USER-03-0215</x:v>
      </x:c>
      <x:c r="C1155" s="10" t="str">
        <x:v>直播</x:v>
      </x:c>
      <x:c r="D1155" s="10" t="str">
        <x:v>本场贡献-贡献榜（普通观众视角）</x:v>
      </x:c>
      <x:c r="E1155" s="10" t="str">
        <x:v>功能需求</x:v>
      </x:c>
      <x:c r="F1155" s="10" t="str">
        <x:v>P2</x:v>
      </x:c>
      <x:c r="G1155" s="9" t="str">
        <x:v>验证注销贡献数值保留</x:v>
      </x:c>
      <x:c r="H1155" s="9" t="str">
        <x:v>展示内容</x:v>
      </x:c>
      <x:c r="I1155" s="9" t="str">
        <x:v>1. 执行角色为普通观众；当前处于本场贡献-贡献榜页面
2. 测试环境已准备本场真实金币贡献；数据不涉及运营虚拟金币；当前场次仍在直播
3. A本场贡献100后已完成注销</x:v>
      </x:c>
      <x:c r="J1155" s="9" t="str">
        <x:v>1. 刷新本场贡献榜</x:v>
      </x:c>
      <x:c r="K1155" s="9" t="str">
        <x:v>A历史贡献仍为100</x:v>
      </x:c>
      <x:c r="L1155" s="10" t="str"/>
      <x:c r="M1155" s="10" t="str">
        <x:v>未测</x:v>
      </x:c>
      <x:c r="N1155" s="10" t="str"/>
      <x:c r="O1155" s="9" t="str">
        <x:v>1. 来源（当前证据）：liveshow-proto/MainBasis/统一需求文档.md；位置：行1719、行1712
2. 规则：BR-65287bf08c7f0013
3. 未动态验证</x:v>
      </x:c>
    </x:row>
    <x:row r="1156" ht="100" customHeight="1">
      <x:c r="A1156" s="10" t="n">
        <x:v>1155</x:v>
      </x:c>
      <x:c r="B1156" s="10" t="str">
        <x:v>USER-03-0216</x:v>
      </x:c>
      <x:c r="C1156" s="10" t="str">
        <x:v>直播</x:v>
      </x:c>
      <x:c r="D1156" s="10" t="str">
        <x:v>本场贡献-贡献榜（普通观众视角）</x:v>
      </x:c>
      <x:c r="E1156" s="10" t="str">
        <x:v>功能需求</x:v>
      </x:c>
      <x:c r="F1156" s="10" t="str">
        <x:v>P2</x:v>
      </x:c>
      <x:c r="G1156" s="9" t="str">
        <x:v>验证注销贡献账号不能进主页</x:v>
      </x:c>
      <x:c r="H1156" s="9" t="str">
        <x:v>页面去向</x:v>
      </x:c>
      <x:c r="I1156" s="9" t="str">
        <x:v>1. 执行角色为普通观众；当前处于本场贡献-贡献榜页面
2. 测试环境已准备本场真实金币贡献；数据不涉及运营虚拟金币；当前场次仍在直播
3. 本场贡献用户A已完成注销</x:v>
      </x:c>
      <x:c r="J1156" s="9" t="str">
        <x:v>1. 点击A的用户信息</x:v>
      </x:c>
      <x:c r="K1156" s="9" t="str">
        <x:v>不能进入A主页</x:v>
      </x:c>
      <x:c r="L1156" s="10" t="str"/>
      <x:c r="M1156" s="10" t="str">
        <x:v>未测</x:v>
      </x:c>
      <x:c r="N1156" s="10" t="str"/>
      <x:c r="O1156" s="9" t="str">
        <x:v>1. 来源（当前证据）：liveshow-proto/MainBasis/统一需求文档.md；位置：行1719、行1712
2. 规则：BR-2a29d9a4053a8e72
3. 未动态验证</x:v>
      </x:c>
    </x:row>
    <x:row r="1157" ht="130" customHeight="1">
      <x:c r="A1157" s="10" t="n">
        <x:v>1156</x:v>
      </x:c>
      <x:c r="B1157" s="10" t="str">
        <x:v>USER-03-0217</x:v>
      </x:c>
      <x:c r="C1157" s="10" t="str">
        <x:v>直播</x:v>
      </x:c>
      <x:c r="D1157" s="10" t="str">
        <x:v>本场贡献-贡献榜（本场主播视角）</x:v>
      </x:c>
      <x:c r="E1157" s="10" t="str">
        <x:v>功能需求</x:v>
      </x:c>
      <x:c r="F1157" s="10" t="str">
        <x:v>P2</x:v>
      </x:c>
      <x:c r="G1157" s="9" t="str">
        <x:v>验证本场贡献排序首条件</x:v>
      </x:c>
      <x:c r="H1157" s="9" t="str">
        <x:v>排列次序</x:v>
      </x:c>
      <x:c r="I1157" s="9" t="str">
        <x:v>1. 执行角色为本场主播；当前处于本场贡献-贡献榜页面
2. 测试环境已准备本场真实金币贡献；数据不涉及运营虚拟金币；当前场次仍在直播
3. A贡献200、粉丝1级、财富1级；B贡献100、粉丝10级、财富10级</x:v>
      </x:c>
      <x:c r="J1157" s="9" t="str">
        <x:v>1. 查看本场贡献榜</x:v>
      </x:c>
      <x:c r="K1157" s="9" t="str">
        <x:v>A排在B前</x:v>
      </x:c>
      <x:c r="L1157" s="10" t="str"/>
      <x:c r="M1157" s="10" t="str">
        <x:v>未测</x:v>
      </x:c>
      <x:c r="N1157" s="10" t="str"/>
      <x:c r="O1157" s="9" t="str">
        <x:v>1. 来源（当前证据）：liveshow-proto/MainBasis/统一需求文档.md；位置：行1750、行1747
2. 规则：BR-e367d354687e102a
3. 未动态验证</x:v>
      </x:c>
    </x:row>
    <x:row r="1158" ht="130" customHeight="1">
      <x:c r="A1158" s="10" t="n">
        <x:v>1157</x:v>
      </x:c>
      <x:c r="B1158" s="10" t="str">
        <x:v>USER-03-0218</x:v>
      </x:c>
      <x:c r="C1158" s="10" t="str">
        <x:v>直播</x:v>
      </x:c>
      <x:c r="D1158" s="10" t="str">
        <x:v>本场贡献-贡献榜（本场主播视角）</x:v>
      </x:c>
      <x:c r="E1158" s="10" t="str">
        <x:v>功能需求</x:v>
      </x:c>
      <x:c r="F1158" s="10" t="str">
        <x:v>P2</x:v>
      </x:c>
      <x:c r="G1158" s="9" t="str">
        <x:v>验证本场贡献相同按本团等级</x:v>
      </x:c>
      <x:c r="H1158" s="9" t="str">
        <x:v>排列次序</x:v>
      </x:c>
      <x:c r="I1158" s="9" t="str">
        <x:v>1. 执行角色为本场主播；当前处于本场贡献-贡献榜页面
2. 测试环境已准备本场真实金币贡献；数据不涉及运营虚拟金币；当前场次仍在直播
3. A与B贡献100；A本主播粉丝团5级、财富1级；B本团3级、财富10级</x:v>
      </x:c>
      <x:c r="J1158" s="9" t="str">
        <x:v>1. 查看本场贡献榜</x:v>
      </x:c>
      <x:c r="K1158" s="9" t="str">
        <x:v>A排在B前</x:v>
      </x:c>
      <x:c r="L1158" s="10" t="str"/>
      <x:c r="M1158" s="10" t="str">
        <x:v>未测</x:v>
      </x:c>
      <x:c r="N1158" s="10" t="str"/>
      <x:c r="O1158" s="9" t="str">
        <x:v>1. 来源（当前证据）：liveshow-proto/MainBasis/统一需求文档.md；位置：行1750、行1747
2. 规则：BR-4edc4d5fa742e148
3. 未动态验证</x:v>
      </x:c>
    </x:row>
    <x:row r="1159" ht="115" customHeight="1">
      <x:c r="A1159" s="10" t="n">
        <x:v>1158</x:v>
      </x:c>
      <x:c r="B1159" s="10" t="str">
        <x:v>USER-03-0219</x:v>
      </x:c>
      <x:c r="C1159" s="10" t="str">
        <x:v>直播</x:v>
      </x:c>
      <x:c r="D1159" s="10" t="str">
        <x:v>本场贡献-贡献榜（本场主播视角）</x:v>
      </x:c>
      <x:c r="E1159" s="10" t="str">
        <x:v>功能需求</x:v>
      </x:c>
      <x:c r="F1159" s="10" t="str">
        <x:v>P2</x:v>
      </x:c>
      <x:c r="G1159" s="9" t="str">
        <x:v>验证本场贡献及团等级相同按财富</x:v>
      </x:c>
      <x:c r="H1159" s="9" t="str">
        <x:v>排列次序</x:v>
      </x:c>
      <x:c r="I1159" s="9" t="str">
        <x:v>1. 执行角色为本场主播；当前处于本场贡献-贡献榜页面
2. 测试环境已准备本场真实金币贡献；数据不涉及运营虚拟金币；当前场次仍在直播
3. A与B贡献100、本团等级3；A财富5级，B财富2级</x:v>
      </x:c>
      <x:c r="J1159" s="9" t="str">
        <x:v>1. 查看本场贡献榜</x:v>
      </x:c>
      <x:c r="K1159" s="9" t="str">
        <x:v>A排在B前</x:v>
      </x:c>
      <x:c r="L1159" s="10" t="str"/>
      <x:c r="M1159" s="10" t="str">
        <x:v>未测</x:v>
      </x:c>
      <x:c r="N1159" s="10" t="str"/>
      <x:c r="O1159" s="9" t="str">
        <x:v>1. 来源（当前证据）：liveshow-proto/MainBasis/统一需求文档.md；位置：行1750、行1747
2. 规则：BR-bf1988243afb5547
3. 未动态验证</x:v>
      </x:c>
    </x:row>
    <x:row r="1160" ht="130" customHeight="1">
      <x:c r="A1160" s="10" t="n">
        <x:v>1159</x:v>
      </x:c>
      <x:c r="B1160" s="10" t="str">
        <x:v>USER-03-0220</x:v>
      </x:c>
      <x:c r="C1160" s="10" t="str">
        <x:v>直播</x:v>
      </x:c>
      <x:c r="D1160" s="10" t="str">
        <x:v>本场贡献-贡献榜（本场主播视角）</x:v>
      </x:c>
      <x:c r="E1160" s="10" t="str">
        <x:v>功能需求</x:v>
      </x:c>
      <x:c r="F1160" s="10" t="str">
        <x:v>P2</x:v>
      </x:c>
      <x:c r="G1160" s="9" t="str">
        <x:v>验证本场完全同分按数字ID</x:v>
      </x:c>
      <x:c r="H1160" s="9" t="str">
        <x:v>排列次序</x:v>
      </x:c>
      <x:c r="I1160" s="9" t="str">
        <x:v>1. 执行角色为本场主播；当前处于本场贡献-贡献榜页面
2. 测试环境已准备本场真实金币贡献；数据不涉及运营虚拟金币；当前场次仍在直播
3. ID为U2与U10的用户本场贡献、粉丝等级、财富等级完全相同</x:v>
      </x:c>
      <x:c r="J1160" s="9" t="str">
        <x:v>1. 查看本场贡献榜</x:v>
      </x:c>
      <x:c r="K1160" s="9" t="str">
        <x:v>U2排在U10前</x:v>
      </x:c>
      <x:c r="L1160" s="10" t="str"/>
      <x:c r="M1160" s="10" t="str">
        <x:v>未测</x:v>
      </x:c>
      <x:c r="N1160" s="10" t="str"/>
      <x:c r="O1160" s="9" t="str">
        <x:v>1. 来源（当前证据）：liveshow-proto/MainBasis/统一需求文档.md；位置：行1750、行1747
2. 规则：BR-247e7b115fff07f8
3. 未动态验证</x:v>
      </x:c>
    </x:row>
    <x:row r="1161" ht="115" customHeight="1">
      <x:c r="A1161" s="10" t="n">
        <x:v>1160</x:v>
      </x:c>
      <x:c r="B1161" s="10" t="str">
        <x:v>USER-03-0221</x:v>
      </x:c>
      <x:c r="C1161" s="10" t="str">
        <x:v>直播</x:v>
      </x:c>
      <x:c r="D1161" s="10" t="str">
        <x:v>本场贡献-贡献榜（本场主播视角）</x:v>
      </x:c>
      <x:c r="E1161" s="10" t="str">
        <x:v>功能需求</x:v>
      </x:c>
      <x:c r="F1161" s="10" t="str">
        <x:v>P2</x:v>
      </x:c>
      <x:c r="G1161" s="9" t="str">
        <x:v>验证本场同分名次不并列</x:v>
      </x:c>
      <x:c r="H1161" s="9" t="str">
        <x:v>排列次序</x:v>
      </x:c>
      <x:c r="I1161" s="9" t="str">
        <x:v>1. 执行角色为本场主播；当前处于本场贡献-贡献榜页面
2. 测试环境已准备本场真实金币贡献；数据不涉及运营虚拟金币；当前场次仍在直播
3. A与B本场贡献、粉丝等级、财富等级相同；排序后相邻</x:v>
      </x:c>
      <x:c r="J1161" s="9" t="str">
        <x:v>1. 查看两人的名次</x:v>
      </x:c>
      <x:c r="K1161" s="9" t="str">
        <x:v>两人分配连续的不同名次</x:v>
      </x:c>
      <x:c r="L1161" s="10" t="str"/>
      <x:c r="M1161" s="10" t="str">
        <x:v>未测</x:v>
      </x:c>
      <x:c r="N1161" s="10" t="str"/>
      <x:c r="O1161" s="9" t="str">
        <x:v>1. 来源（当前证据）：liveshow-proto/MainBasis/统一需求文档.md；位置：行1750、行1747
2. 规则：BR-f7b8dc73ffa34c68
3. 未动态验证</x:v>
      </x:c>
    </x:row>
    <x:row r="1162" ht="130" customHeight="1">
      <x:c r="A1162" s="10" t="n">
        <x:v>1161</x:v>
      </x:c>
      <x:c r="B1162" s="10" t="str">
        <x:v>USER-03-0222</x:v>
      </x:c>
      <x:c r="C1162" s="10" t="str">
        <x:v>直播</x:v>
      </x:c>
      <x:c r="D1162" s="10" t="str">
        <x:v>本场贡献-贡献榜（本场主播视角）</x:v>
      </x:c>
      <x:c r="E1162" s="10" t="str">
        <x:v>功能需求</x:v>
      </x:c>
      <x:c r="F1162" s="10" t="str">
        <x:v>P2</x:v>
      </x:c>
      <x:c r="G1162" s="9" t="str">
        <x:v>验证本场第九十九名边界：第99名保留</x:v>
      </x:c>
      <x:c r="H1162" s="9" t="str">
        <x:v>第99名保留</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第99名展示A</x:v>
      </x:c>
      <x:c r="L1162" s="10" t="str"/>
      <x:c r="M1162" s="10" t="str">
        <x:v>未测</x:v>
      </x:c>
      <x:c r="N1162" s="10" t="str"/>
      <x:c r="O1162" s="9" t="str">
        <x:v>1. 来源（当前证据）：liveshow-proto/MainBasis/统一需求文档.md；位置：行1750、行1749、行1747
2. 规则：BR-15b12f658c1c3073
3. 未动态验证</x:v>
      </x:c>
    </x:row>
    <x:row r="1163" ht="130" customHeight="1">
      <x:c r="A1163" s="10" t="n">
        <x:v>1162</x:v>
      </x:c>
      <x:c r="B1163" s="10" t="str">
        <x:v>USER-03-0223</x:v>
      </x:c>
      <x:c r="C1163" s="10" t="str">
        <x:v>直播</x:v>
      </x:c>
      <x:c r="D1163" s="10" t="str">
        <x:v>本场贡献-贡献榜（本场主播视角）</x:v>
      </x:c>
      <x:c r="E1163" s="10" t="str">
        <x:v>功能需求</x:v>
      </x:c>
      <x:c r="F1163" s="10" t="str">
        <x:v>P2</x:v>
      </x:c>
      <x:c r="G1163" s="9" t="str">
        <x:v>验证本场第九十九名边界：第100名排除</x:v>
      </x:c>
      <x:c r="H1163" s="9" t="str">
        <x:v>第100名排除</x:v>
      </x:c>
      <x:c r="I1163"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3" s="9" t="str">
        <x:v>1. 查看榜单末尾</x:v>
      </x:c>
      <x:c r="K1163" s="9" t="str">
        <x:v>榜单不展示B</x:v>
      </x:c>
      <x:c r="L1163" s="10" t="str"/>
      <x:c r="M1163" s="10" t="str">
        <x:v>未测</x:v>
      </x:c>
      <x:c r="N1163" s="10" t="str"/>
      <x:c r="O1163" s="9" t="str">
        <x:v>1. 来源（当前证据）：liveshow-proto/MainBasis/统一需求文档.md；位置：行1750、行1749、行1747
2. 规则：BR-e2fb51c6443437d0
3. 未动态验证</x:v>
      </x:c>
    </x:row>
    <x:row r="1164" ht="130" customHeight="1">
      <x:c r="A1164" s="10" t="n">
        <x:v>1163</x:v>
      </x:c>
      <x:c r="B1164" s="10" t="str">
        <x:v>USER-03-0224</x:v>
      </x:c>
      <x:c r="C1164" s="10" t="str">
        <x:v>直播</x:v>
      </x:c>
      <x:c r="D1164" s="10" t="str">
        <x:v>本场贡献-贡献榜（本场主播视角）</x:v>
      </x:c>
      <x:c r="E1164" s="10" t="str">
        <x:v>功能需求</x:v>
      </x:c>
      <x:c r="F1164" s="10" t="str">
        <x:v>P2</x:v>
      </x:c>
      <x:c r="G1164" s="9" t="str">
        <x:v>验证本场缺少粉丝等级按零排序</x:v>
      </x:c>
      <x:c r="H1164" s="9" t="str">
        <x:v>排列次序</x:v>
      </x:c>
      <x:c r="I1164" s="9" t="str">
        <x:v>1. 执行角色为本场主播；当前处于本场贡献-贡献榜页面
2. 测试环境已准备本场真实金币贡献；数据不涉及运营虚拟金币；当前场次仍在直播
3. A与B贡献相同；A没有粉丝等级，B粉丝1级；其他排序条件一致</x:v>
      </x:c>
      <x:c r="J1164" s="9" t="str">
        <x:v>1. 查看本场贡献榜</x:v>
      </x:c>
      <x:c r="K1164" s="9" t="str">
        <x:v>B排在A前</x:v>
      </x:c>
      <x:c r="L1164" s="10" t="str"/>
      <x:c r="M1164" s="10" t="str">
        <x:v>未测</x:v>
      </x:c>
      <x:c r="N1164" s="10" t="str"/>
      <x:c r="O1164" s="9" t="str">
        <x:v>1. 来源（当前证据）：liveshow-proto/MainBasis/统一需求文档.md；位置：行1750、行1754、行1747
2. 规则：BR-8be38790e79a7413
3. 未动态验证</x:v>
      </x:c>
    </x:row>
    <x:row r="1165" ht="115" customHeight="1">
      <x:c r="A1165" s="10" t="n">
        <x:v>1164</x:v>
      </x:c>
      <x:c r="B1165" s="10" t="str">
        <x:v>USER-03-0225</x:v>
      </x:c>
      <x:c r="C1165" s="10" t="str">
        <x:v>直播</x:v>
      </x:c>
      <x:c r="D1165" s="10" t="str">
        <x:v>本场贡献-贡献榜（本场主播视角）</x:v>
      </x:c>
      <x:c r="E1165" s="10" t="str">
        <x:v>功能需求</x:v>
      </x:c>
      <x:c r="F1165" s="10" t="str">
        <x:v>P2</x:v>
      </x:c>
      <x:c r="G1165" s="9" t="str">
        <x:v>验证本场缺少财富等级按零排序</x:v>
      </x:c>
      <x:c r="H1165" s="9" t="str">
        <x:v>排列次序</x:v>
      </x:c>
      <x:c r="I1165" s="9" t="str">
        <x:v>1. 执行角色为本场主播；当前处于本场贡献-贡献榜页面
2. 测试环境已准备本场真实金币贡献；数据不涉及运营虚拟金币；当前场次仍在直播
3. A与B贡献及粉丝等级相同；A没有财富等级，B财富1级</x:v>
      </x:c>
      <x:c r="J1165" s="9" t="str">
        <x:v>1. 查看本场贡献榜</x:v>
      </x:c>
      <x:c r="K1165" s="9" t="str">
        <x:v>B排在A前</x:v>
      </x:c>
      <x:c r="L1165" s="10" t="str"/>
      <x:c r="M1165" s="10" t="str">
        <x:v>未测</x:v>
      </x:c>
      <x:c r="N1165" s="10" t="str"/>
      <x:c r="O1165" s="9" t="str">
        <x:v>1. 来源（当前证据）：liveshow-proto/MainBasis/统一需求文档.md；位置：行1750、行1754、行1747
2. 规则：BR-5640a9efd4563d28
3. 未动态验证</x:v>
      </x:c>
    </x:row>
    <x:row r="1166" ht="115" customHeight="1">
      <x:c r="A1166" s="10" t="n">
        <x:v>1165</x:v>
      </x:c>
      <x:c r="B1166" s="10" t="str">
        <x:v>USER-03-0226</x:v>
      </x:c>
      <x:c r="C1166" s="10" t="str">
        <x:v>直播</x:v>
      </x:c>
      <x:c r="D1166" s="10" t="str">
        <x:v>本场贡献-贡献榜（本场主播视角）</x:v>
      </x:c>
      <x:c r="E1166" s="10" t="str">
        <x:v>功能需求</x:v>
      </x:c>
      <x:c r="F1166" s="10" t="str">
        <x:v>P2</x:v>
      </x:c>
      <x:c r="G1166" s="9" t="str">
        <x:v>验证本场失败赠送不贡献</x:v>
      </x:c>
      <x:c r="H1166" s="9" t="str">
        <x:v>展示内容</x:v>
      </x:c>
      <x:c r="I1166" s="9" t="str">
        <x:v>1. 执行角色为本场主播；当前处于本场贡献-贡献榜页面
2. 测试环境已准备本场真实金币贡献；数据不涉及运营虚拟金币；当前场次仍在直播
3. A当前贡献100；一次50金币赠送请求已失败</x:v>
      </x:c>
      <x:c r="J1166" s="9" t="str">
        <x:v>1. 刷新本场贡献榜</x:v>
      </x:c>
      <x:c r="K1166" s="9" t="str">
        <x:v>A贡献仍为100</x:v>
      </x:c>
      <x:c r="L1166" s="10" t="str"/>
      <x:c r="M1166" s="10" t="str">
        <x:v>未测</x:v>
      </x:c>
      <x:c r="N1166" s="10" t="str"/>
      <x:c r="O1166" s="9" t="str">
        <x:v>1. 来源（当前证据）：liveshow-proto/MainBasis/统一需求文档.md；位置：行1756、行1747
2. 规则：BR-c22b860eb013b377
3. 未动态验证</x:v>
      </x:c>
    </x:row>
    <x:row r="1167" ht="115" customHeight="1">
      <x:c r="A1167" s="10" t="n">
        <x:v>1166</x:v>
      </x:c>
      <x:c r="B1167" s="10" t="str">
        <x:v>USER-03-0227</x:v>
      </x:c>
      <x:c r="C1167" s="10" t="str">
        <x:v>直播</x:v>
      </x:c>
      <x:c r="D1167" s="10" t="str">
        <x:v>本场贡献-贡献榜（本场主播视角）</x:v>
      </x:c>
      <x:c r="E1167" s="10" t="str">
        <x:v>功能需求</x:v>
      </x:c>
      <x:c r="F1167" s="10" t="str">
        <x:v>P2</x:v>
      </x:c>
      <x:c r="G1167" s="9" t="str">
        <x:v>验证本场撤销赠送不贡献</x:v>
      </x:c>
      <x:c r="H1167" s="9" t="str">
        <x:v>展示内容</x:v>
      </x:c>
      <x:c r="I1167" s="9" t="str">
        <x:v>1. 执行角色为本场主播；当前处于本场贡献-贡献榜页面
2. 测试环境已准备本场真实金币贡献；数据不涉及运营虚拟金币；当前场次仍在直播
3. A只有一笔已撤销赠送且没有其他有效贡献</x:v>
      </x:c>
      <x:c r="J1167" s="9" t="str">
        <x:v>1. 刷新本场贡献榜</x:v>
      </x:c>
      <x:c r="K1167" s="9" t="str">
        <x:v>该笔撤销赠送不计入A贡献</x:v>
      </x:c>
      <x:c r="L1167" s="10" t="str"/>
      <x:c r="M1167" s="10" t="str">
        <x:v>未测</x:v>
      </x:c>
      <x:c r="N1167" s="10" t="str"/>
      <x:c r="O1167" s="9" t="str">
        <x:v>1. 来源（当前证据）：liveshow-proto/MainBasis/统一需求文档.md；位置：行1756、行1747
2. 规则：BR-fbcd2ef484733657
3. 未动态验证</x:v>
      </x:c>
    </x:row>
    <x:row r="1168" ht="115" customHeight="1">
      <x:c r="A1168" s="10" t="n">
        <x:v>1167</x:v>
      </x:c>
      <x:c r="B1168" s="10" t="str">
        <x:v>USER-03-0228</x:v>
      </x:c>
      <x:c r="C1168" s="10" t="str">
        <x:v>直播</x:v>
      </x:c>
      <x:c r="D1168" s="10" t="str">
        <x:v>本场贡献-贡献榜（本场主播视角）</x:v>
      </x:c>
      <x:c r="E1168" s="10" t="str">
        <x:v>功能需求</x:v>
      </x:c>
      <x:c r="F1168" s="10" t="str">
        <x:v>P2</x:v>
      </x:c>
      <x:c r="G1168" s="9" t="str">
        <x:v>验证本场消费冲正重排</x:v>
      </x:c>
      <x:c r="H1168" s="9" t="str">
        <x:v>排列次序</x:v>
      </x:c>
      <x:c r="I1168" s="9" t="str">
        <x:v>1. 执行角色为本场主播；当前处于本场贡献-贡献榜页面
2. 测试环境已准备本场真实金币贡献；数据不涉及运营虚拟金币；当前场次仍在直播
3. A原贡献200，B贡献150；A其中100金币有效消费已完成冲正</x:v>
      </x:c>
      <x:c r="J1168" s="9" t="str">
        <x:v>1. 刷新本场贡献榜</x:v>
      </x:c>
      <x:c r="K1168" s="9" t="str">
        <x:v>B排在A前</x:v>
      </x:c>
      <x:c r="L1168" s="10" t="str"/>
      <x:c r="M1168" s="10" t="str">
        <x:v>未测</x:v>
      </x:c>
      <x:c r="N1168" s="10" t="str"/>
      <x:c r="O1168" s="9" t="str">
        <x:v>1. 来源（当前证据）：liveshow-proto/MainBasis/统一需求文档.md；位置：行1750、行1756、行1747
2. 规则：BR-23084c7314504230
3. 未动态验证</x:v>
      </x:c>
    </x:row>
    <x:row r="1169" ht="130" customHeight="1">
      <x:c r="A1169" s="10" t="n">
        <x:v>1168</x:v>
      </x:c>
      <x:c r="B1169" s="10" t="str">
        <x:v>USER-03-0229</x:v>
      </x:c>
      <x:c r="C1169" s="10" t="str">
        <x:v>直播</x:v>
      </x:c>
      <x:c r="D1169" s="10" t="str">
        <x:v>本场贡献-贡献榜（本场主播视角）</x:v>
      </x:c>
      <x:c r="E1169" s="10" t="str">
        <x:v>功能需求</x:v>
      </x:c>
      <x:c r="F1169" s="10" t="str">
        <x:v>P2</x:v>
      </x:c>
      <x:c r="G1169" s="9" t="str">
        <x:v>验证本场充值退款保留贡献</x:v>
      </x:c>
      <x:c r="H1169" s="9" t="str">
        <x:v>展示内容</x:v>
      </x:c>
      <x:c r="I1169" s="9" t="str">
        <x:v>1. 执行角色为本场主播；当前处于本场贡献-贡献榜页面
2. 测试环境已准备本场真实金币贡献；数据不涉及运营虚拟金币；当前场次仍在直播
3. A本场成功赠礼100金币；对应充值现已退款；没有赠礼消费冲正</x:v>
      </x:c>
      <x:c r="J1169" s="9" t="str">
        <x:v>1. 刷新本场贡献榜</x:v>
      </x:c>
      <x:c r="K1169" s="9" t="str">
        <x:v>A本场贡献仍为100</x:v>
      </x:c>
      <x:c r="L1169" s="10" t="str"/>
      <x:c r="M1169" s="10" t="str">
        <x:v>未测</x:v>
      </x:c>
      <x:c r="N1169" s="10" t="str"/>
      <x:c r="O1169" s="9" t="str">
        <x:v>1. 来源（当前证据）：liveshow-proto/MainBasis/统一需求文档.md；位置：行1756、行1747
2. 规则：BR-6944d81d7e4f778a
3. 未动态验证</x:v>
      </x:c>
    </x:row>
    <x:row r="1170" ht="100" customHeight="1">
      <x:c r="A1170" s="10" t="n">
        <x:v>1169</x:v>
      </x:c>
      <x:c r="B1170" s="10" t="str">
        <x:v>USER-03-0230</x:v>
      </x:c>
      <x:c r="C1170" s="10" t="str">
        <x:v>直播</x:v>
      </x:c>
      <x:c r="D1170" s="10" t="str">
        <x:v>本场贡献-贡献榜（本场主播视角）</x:v>
      </x:c>
      <x:c r="E1170" s="10" t="str">
        <x:v>功能需求</x:v>
      </x:c>
      <x:c r="F1170" s="10" t="str">
        <x:v>P2</x:v>
      </x:c>
      <x:c r="G1170" s="9" t="str">
        <x:v>验证注销贡献名称脱敏</x:v>
      </x:c>
      <x:c r="H1170" s="9" t="str">
        <x:v>展示内容</x:v>
      </x:c>
      <x:c r="I1170" s="9" t="str">
        <x:v>1. 执行角色为本场主播；当前处于本场贡献-贡献榜页面
2. 测试环境已准备本场真实金币贡献；数据不涉及运营虚拟金币；当前场次仍在直播
3. 本场贡献用户A已完成注销</x:v>
      </x:c>
      <x:c r="J1170" s="9" t="str">
        <x:v>1. 刷新本场贡献榜</x:v>
      </x:c>
      <x:c r="K1170" s="9" t="str">
        <x:v>A名称显示“账号已注销”</x:v>
      </x:c>
      <x:c r="L1170" s="10" t="str"/>
      <x:c r="M1170" s="10" t="str">
        <x:v>未测</x:v>
      </x:c>
      <x:c r="N1170" s="10" t="str"/>
      <x:c r="O1170" s="9" t="str">
        <x:v>1. 来源（当前证据）：liveshow-proto/MainBasis/统一需求文档.md；位置：行1757、行1747
2. 规则：BR-4eaffbd827d60546
3. 未动态验证</x:v>
      </x:c>
    </x:row>
    <x:row r="1171" ht="100" customHeight="1">
      <x:c r="A1171" s="10" t="n">
        <x:v>1170</x:v>
      </x:c>
      <x:c r="B1171" s="10" t="str">
        <x:v>USER-03-0231</x:v>
      </x:c>
      <x:c r="C1171" s="10" t="str">
        <x:v>直播</x:v>
      </x:c>
      <x:c r="D1171" s="10" t="str">
        <x:v>本场贡献-贡献榜（本场主播视角）</x:v>
      </x:c>
      <x:c r="E1171" s="10" t="str">
        <x:v>功能需求</x:v>
      </x:c>
      <x:c r="F1171" s="10" t="str">
        <x:v>P2</x:v>
      </x:c>
      <x:c r="G1171" s="9" t="str">
        <x:v>验证注销贡献数值保留</x:v>
      </x:c>
      <x:c r="H1171" s="9" t="str">
        <x:v>展示内容</x:v>
      </x:c>
      <x:c r="I1171" s="9" t="str">
        <x:v>1. 执行角色为本场主播；当前处于本场贡献-贡献榜页面
2. 测试环境已准备本场真实金币贡献；数据不涉及运营虚拟金币；当前场次仍在直播
3. A本场贡献100后已完成注销</x:v>
      </x:c>
      <x:c r="J1171" s="9" t="str">
        <x:v>1. 刷新本场贡献榜</x:v>
      </x:c>
      <x:c r="K1171" s="9" t="str">
        <x:v>A历史贡献仍为100</x:v>
      </x:c>
      <x:c r="L1171" s="10" t="str"/>
      <x:c r="M1171" s="10" t="str">
        <x:v>未测</x:v>
      </x:c>
      <x:c r="N1171" s="10" t="str"/>
      <x:c r="O1171" s="9" t="str">
        <x:v>1. 来源（当前证据）：liveshow-proto/MainBasis/统一需求文档.md；位置：行1757、行1747
2. 规则：BR-c3147a54d7938c10
3. 未动态验证</x:v>
      </x:c>
    </x:row>
    <x:row r="1172" ht="100" customHeight="1">
      <x:c r="A1172" s="10" t="n">
        <x:v>1171</x:v>
      </x:c>
      <x:c r="B1172" s="10" t="str">
        <x:v>USER-03-0232</x:v>
      </x:c>
      <x:c r="C1172" s="10" t="str">
        <x:v>直播</x:v>
      </x:c>
      <x:c r="D1172" s="10" t="str">
        <x:v>本场贡献-贡献榜（本场主播视角）</x:v>
      </x:c>
      <x:c r="E1172" s="10" t="str">
        <x:v>功能需求</x:v>
      </x:c>
      <x:c r="F1172" s="10" t="str">
        <x:v>P2</x:v>
      </x:c>
      <x:c r="G1172" s="9" t="str">
        <x:v>验证注销贡献账号不能进主页</x:v>
      </x:c>
      <x:c r="H1172" s="9" t="str">
        <x:v>页面去向</x:v>
      </x:c>
      <x:c r="I1172" s="9" t="str">
        <x:v>1. 执行角色为本场主播；当前处于本场贡献-贡献榜页面
2. 测试环境已准备本场真实金币贡献；数据不涉及运营虚拟金币；当前场次仍在直播
3. 本场贡献用户A已完成注销</x:v>
      </x:c>
      <x:c r="J1172" s="9" t="str">
        <x:v>1. 点击A的用户信息</x:v>
      </x:c>
      <x:c r="K1172" s="9" t="str">
        <x:v>不能进入A主页</x:v>
      </x:c>
      <x:c r="L1172" s="10" t="str"/>
      <x:c r="M1172" s="10" t="str">
        <x:v>未测</x:v>
      </x:c>
      <x:c r="N1172" s="10" t="str"/>
      <x:c r="O1172" s="9" t="str">
        <x:v>1. 来源（当前证据）：liveshow-proto/MainBasis/统一需求文档.md；位置：行1757、行1747
2. 规则：BR-34bc843628025bce
3. 未动态验证</x:v>
      </x:c>
    </x:row>
    <x:row r="1173" ht="100" customHeight="1">
      <x:c r="A1173" s="10" t="n">
        <x:v>1172</x:v>
      </x:c>
      <x:c r="B1173" s="10" t="str">
        <x:v>USER-03-0233</x:v>
      </x:c>
      <x:c r="C1173" s="10" t="str">
        <x:v>直播</x:v>
      </x:c>
      <x:c r="D1173" s="10" t="str">
        <x:v>本场贡献-贡献榜（普通观众视角）</x:v>
      </x:c>
      <x:c r="E1173" s="10" t="str">
        <x:v>功能需求</x:v>
      </x:c>
      <x:c r="F1173" s="10" t="str">
        <x:v>P2</x:v>
      </x:c>
      <x:c r="G1173" s="9" t="str">
        <x:v>验证本人上榜置底名次</x:v>
      </x:c>
      <x:c r="H1173" s="9" t="str">
        <x:v>本人排名数值</x:v>
      </x:c>
      <x:c r="I1173" s="9" t="str">
        <x:v>1. 执行角色为普通观众；当前处于本场贡献-贡献榜页面
2. 测试环境已准备本场真实金币贡献；数据不涉及运营虚拟金币；当前场次仍在直播
3. 本人当前第5名</x:v>
      </x:c>
      <x:c r="J1173" s="9" t="str">
        <x:v>1. 查看榜单底部</x:v>
      </x:c>
      <x:c r="K1173" s="9" t="str">
        <x:v>固定区域显示本人排名5</x:v>
      </x:c>
      <x:c r="L1173" s="10" t="str"/>
      <x:c r="M1173" s="10" t="str">
        <x:v>未测</x:v>
      </x:c>
      <x:c r="N1173" s="10" t="str"/>
      <x:c r="O1173" s="9" t="str">
        <x:v>1. 来源（当前证据）：liveshow-proto/MainBasis/统一需求文档.md；位置：行1716、行1712
2. 规则：BR-05585577a6b61842
3. 未动态验证</x:v>
      </x:c>
    </x:row>
    <x:row r="1174" ht="100" customHeight="1">
      <x:c r="A1174" s="10" t="n">
        <x:v>1173</x:v>
      </x:c>
      <x:c r="B1174" s="10" t="str">
        <x:v>USER-03-0234</x:v>
      </x:c>
      <x:c r="C1174" s="10" t="str">
        <x:v>直播</x:v>
      </x:c>
      <x:c r="D1174" s="10" t="str">
        <x:v>本场贡献-贡献榜（普通观众视角）</x:v>
      </x:c>
      <x:c r="E1174" s="10" t="str">
        <x:v>功能需求</x:v>
      </x:c>
      <x:c r="F1174" s="10" t="str">
        <x:v>P2</x:v>
      </x:c>
      <x:c r="G1174" s="9" t="str">
        <x:v>验证本人未上榜置底横线</x:v>
      </x:c>
      <x:c r="H1174" s="9" t="str">
        <x:v>未上榜排名占位</x:v>
      </x:c>
      <x:c r="I1174" s="9" t="str">
        <x:v>1. 执行角色为普通观众；当前处于本场贡献-贡献榜页面
2. 测试环境已准备本场真实金币贡献；数据不涉及运营虚拟金币；当前场次仍在直播
3. 本人当前排在第100名</x:v>
      </x:c>
      <x:c r="J1174" s="9" t="str">
        <x:v>1. 查看榜单底部</x:v>
      </x:c>
      <x:c r="K1174" s="9" t="str">
        <x:v>本人排名显示“-”</x:v>
      </x:c>
      <x:c r="L1174" s="10" t="str"/>
      <x:c r="M1174" s="10" t="str">
        <x:v>未测</x:v>
      </x:c>
      <x:c r="N1174" s="10" t="str"/>
      <x:c r="O1174" s="9" t="str">
        <x:v>1. 来源（当前证据）：liveshow-proto/MainBasis/统一需求文档.md；位置：行1716、行1712
2. 规则：BR-c423ffaeda1ee6fe
3. 未动态验证</x:v>
      </x:c>
    </x:row>
    <x:row r="1175" ht="100" customHeight="1">
      <x:c r="A1175" s="10" t="n">
        <x:v>1174</x:v>
      </x:c>
      <x:c r="B1175" s="10" t="str">
        <x:v>USER-03-0235</x:v>
      </x:c>
      <x:c r="C1175" s="10" t="str">
        <x:v>直播</x:v>
      </x:c>
      <x:c r="D1175" s="10" t="str">
        <x:v>本场贡献-贡献榜（普通观众视角）</x:v>
      </x:c>
      <x:c r="E1175" s="10" t="str">
        <x:v>功能需求</x:v>
      </x:c>
      <x:c r="F1175" s="10" t="str">
        <x:v>P2</x:v>
      </x:c>
      <x:c r="G1175" s="9" t="str">
        <x:v>验证滚动保留本人区域</x:v>
      </x:c>
      <x:c r="H1175" s="9" t="str">
        <x:v>本人排名固定区域</x:v>
      </x:c>
      <x:c r="I1175" s="9" t="str">
        <x:v>1. 执行角色为普通观众；当前处于本场贡献-贡献榜页面
2. 测试环境已准备本场真实金币贡献；数据不涉及运营虚拟金币；当前场次仍在直播
3. 榜单具有可滚动内容</x:v>
      </x:c>
      <x:c r="J1175" s="9" t="str">
        <x:v>1. 滚动榜单至中部</x:v>
      </x:c>
      <x:c r="K1175" s="9" t="str">
        <x:v>本人排名区域仍固定在底部</x:v>
      </x:c>
      <x:c r="L1175" s="10" t="str"/>
      <x:c r="M1175" s="10" t="str">
        <x:v>未测</x:v>
      </x:c>
      <x:c r="N1175" s="10" t="str"/>
      <x:c r="O1175" s="9" t="str">
        <x:v>1. 来源（当前证据）：liveshow-proto/MainBasis/统一需求文档.md；位置：行1720、行1712
2. 规则：BR-4aa44c519e9f4e11
3. 未动态验证</x:v>
      </x:c>
    </x:row>
    <x:row r="1176" ht="100" customHeight="1">
      <x:c r="A1176" s="10" t="n">
        <x:v>1175</x:v>
      </x:c>
      <x:c r="B1176" s="10" t="str">
        <x:v>USER-03-0236</x:v>
      </x:c>
      <x:c r="C1176" s="10" t="str">
        <x:v>直播</x:v>
      </x:c>
      <x:c r="D1176" s="10" t="str">
        <x:v>本场贡献-贡献榜（普通观众视角）</x:v>
      </x:c>
      <x:c r="E1176" s="10" t="str">
        <x:v>功能需求</x:v>
      </x:c>
      <x:c r="F1176" s="10" t="str">
        <x:v>P2</x:v>
      </x:c>
      <x:c r="G1176" s="9" t="str">
        <x:v>验证贡献用户资料卡入口</x:v>
      </x:c>
      <x:c r="H1176" s="9" t="str">
        <x:v>展示内容</x:v>
      </x:c>
      <x:c r="I1176" s="9" t="str">
        <x:v>1. 执行角色为普通观众；当前处于本场贡献-贡献榜页面
2. 测试环境已准备本场真实金币贡献；数据不涉及运营虚拟金币；当前场次仍在直播
3. A在本场贡献榜且账号有效</x:v>
      </x:c>
      <x:c r="J1176" s="9" t="str">
        <x:v>1. 点击A用户行</x:v>
      </x:c>
      <x:c r="K1176" s="9" t="str">
        <x:v>打开A用户资料卡</x:v>
      </x:c>
      <x:c r="L1176" s="10" t="str"/>
      <x:c r="M1176" s="10" t="str">
        <x:v>未测</x:v>
      </x:c>
      <x:c r="N1176" s="10" t="str"/>
      <x:c r="O1176" s="9" t="str">
        <x:v>1. 来源（当前证据）：liveshow-proto/MainBasis/统一需求文档.md；位置：行1721、行1712
2. 规则：BR-c833e7b5e30448cf
3. 未动态验证</x:v>
      </x:c>
    </x:row>
    <x:row r="1177" ht="115" customHeight="1">
      <x:c r="A1177" s="10" t="n">
        <x:v>1176</x:v>
      </x:c>
      <x:c r="B1177" s="10" t="str">
        <x:v>USER-03-0237</x:v>
      </x:c>
      <x:c r="C1177" s="10" t="str">
        <x:v>直播</x:v>
      </x:c>
      <x:c r="D1177" s="10" t="str">
        <x:v>本场贡献-收到礼物（普通观众视角）</x:v>
      </x:c>
      <x:c r="E1177" s="10" t="str">
        <x:v>功能需求</x:v>
      </x:c>
      <x:c r="F1177" s="10" t="str">
        <x:v>P2</x:v>
      </x:c>
      <x:c r="G1177" s="9" t="str">
        <x:v>验证本场礼物信息：礼物名称</x:v>
      </x:c>
      <x:c r="H1177" s="9" t="str">
        <x:v>礼物名称</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礼物名称显示玫瑰</x:v>
      </x:c>
      <x:c r="L1177" s="10" t="str"/>
      <x:c r="M1177" s="10" t="str">
        <x:v>未测</x:v>
      </x:c>
      <x:c r="N1177" s="10" t="str"/>
      <x:c r="O1177" s="9" t="str">
        <x:v>1. 来源（当前证据）：liveshow-proto/MainBasis/统一需求文档.md；位置：行1725、行1724
2. 规则：BR-b9e5d9ba2ad47999
3. 未动态验证</x:v>
      </x:c>
    </x:row>
    <x:row r="1178" ht="115" customHeight="1">
      <x:c r="A1178" s="10" t="n">
        <x:v>1177</x:v>
      </x:c>
      <x:c r="B1178" s="10" t="str">
        <x:v>USER-03-0238</x:v>
      </x:c>
      <x:c r="C1178" s="10" t="str">
        <x:v>直播</x:v>
      </x:c>
      <x:c r="D1178" s="10" t="str">
        <x:v>本场贡献-收到礼物（普通观众视角）</x:v>
      </x:c>
      <x:c r="E1178" s="10" t="str">
        <x:v>功能需求</x:v>
      </x:c>
      <x:c r="F1178" s="10" t="str">
        <x:v>P2</x:v>
      </x:c>
      <x:c r="G1178" s="9" t="str">
        <x:v>验证本场礼物信息：礼物图标</x:v>
      </x:c>
      <x:c r="H1178" s="9" t="str">
        <x:v>礼物图标</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显示玫瑰对应图标</x:v>
      </x:c>
      <x:c r="L1178" s="10" t="str"/>
      <x:c r="M1178" s="10" t="str">
        <x:v>未测</x:v>
      </x:c>
      <x:c r="N1178" s="10" t="str"/>
      <x:c r="O1178" s="9" t="str">
        <x:v>1. 来源（当前证据）：liveshow-proto/MainBasis/统一需求文档.md；位置：行1725、行1724
2. 规则：BR-825bb8ad1eb577dd
3. 未动态验证</x:v>
      </x:c>
    </x:row>
    <x:row r="1179" ht="115" customHeight="1">
      <x:c r="A1179" s="10" t="n">
        <x:v>1178</x:v>
      </x:c>
      <x:c r="B1179" s="10" t="str">
        <x:v>USER-03-0239</x:v>
      </x:c>
      <x:c r="C1179" s="10" t="str">
        <x:v>直播</x:v>
      </x:c>
      <x:c r="D1179" s="10" t="str">
        <x:v>本场贡献-收到礼物（普通观众视角）</x:v>
      </x:c>
      <x:c r="E1179" s="10" t="str">
        <x:v>功能需求</x:v>
      </x:c>
      <x:c r="F1179" s="10" t="str">
        <x:v>P2</x:v>
      </x:c>
      <x:c r="G1179" s="9" t="str">
        <x:v>验证本场礼物信息：本场数量</x:v>
      </x:c>
      <x:c r="H1179" s="9" t="str">
        <x:v>本场数量</x:v>
      </x:c>
      <x:c r="I1179" s="9" t="str">
        <x:v>1. 执行角色为普通观众；当前处于本场贡献-收到礼物页面
2. 测试环境已准备本场真实金币贡献；数据不涉及运营虚拟金币；当前场次仍在直播
3. 礼物玫瑰本场成功送出3件；其他场次成功5件</x:v>
      </x:c>
      <x:c r="J1179" s="9" t="str">
        <x:v>1. 查看礼物记录</x:v>
      </x:c>
      <x:c r="K1179" s="9" t="str">
        <x:v>玫瑰本场数量为3</x:v>
      </x:c>
      <x:c r="L1179" s="10" t="str"/>
      <x:c r="M1179" s="10" t="str">
        <x:v>未测</x:v>
      </x:c>
      <x:c r="N1179" s="10" t="str"/>
      <x:c r="O1179" s="9" t="str">
        <x:v>1. 来源（当前证据）：liveshow-proto/MainBasis/统一需求文档.md；位置：行1725、行1724
2. 规则：BR-270249c92ce2a9bb
3. 未动态验证</x:v>
      </x:c>
    </x:row>
    <x:row r="1180" ht="115" customHeight="1">
      <x:c r="A1180" s="10" t="n">
        <x:v>1179</x:v>
      </x:c>
      <x:c r="B1180" s="10" t="str">
        <x:v>USER-03-0240</x:v>
      </x:c>
      <x:c r="C1180" s="10" t="str">
        <x:v>直播</x:v>
      </x:c>
      <x:c r="D1180" s="10" t="str">
        <x:v>本场贡献-收到礼物（普通观众视角）</x:v>
      </x:c>
      <x:c r="E1180" s="10" t="str">
        <x:v>功能需求</x:v>
      </x:c>
      <x:c r="F1180" s="10" t="str">
        <x:v>P2</x:v>
      </x:c>
      <x:c r="G1180" s="9" t="str">
        <x:v>验证本场赠送人范围</x:v>
      </x:c>
      <x:c r="H1180" s="9" t="str">
        <x:v>展示内容</x:v>
      </x:c>
      <x:c r="I1180" s="9" t="str">
        <x:v>1. 执行角色为普通观众；当前处于本场贡献-收到礼物页面
2. 测试环境已准备本场真实金币贡献；数据不涉及运营虚拟金币；当前场次仍在直播
3. A本场成功赠礼；B只有上场同礼物记录</x:v>
      </x:c>
      <x:c r="J1180" s="9" t="str">
        <x:v>1. 查看赠送用户</x:v>
      </x:c>
      <x:c r="K1180" s="9" t="str">
        <x:v>本场赠送人包含A，不包含仅上场赠送的B</x:v>
      </x:c>
      <x:c r="L1180" s="10" t="str"/>
      <x:c r="M1180" s="10" t="str">
        <x:v>未测</x:v>
      </x:c>
      <x:c r="N1180" s="10" t="str"/>
      <x:c r="O1180" s="9" t="str">
        <x:v>1. 来源（当前证据）：liveshow-proto/MainBasis/统一需求文档.md；位置：行1726、行1724
2. 规则：BR-08ea0cdcc7ff8ab4
3. 未动态验证</x:v>
      </x:c>
    </x:row>
    <x:row r="1181" ht="115" customHeight="1">
      <x:c r="A1181" s="10" t="n">
        <x:v>1180</x:v>
      </x:c>
      <x:c r="B1181" s="10" t="str">
        <x:v>USER-03-0241</x:v>
      </x:c>
      <x:c r="C1181" s="10" t="str">
        <x:v>直播</x:v>
      </x:c>
      <x:c r="D1181" s="10" t="str">
        <x:v>本场贡献-收到礼物（普通观众视角）</x:v>
      </x:c>
      <x:c r="E1181" s="10" t="str">
        <x:v>功能需求</x:v>
      </x:c>
      <x:c r="F1181" s="10" t="str">
        <x:v>P2</x:v>
      </x:c>
      <x:c r="G1181" s="9" t="str">
        <x:v>验证失败记录不入礼物记录</x:v>
      </x:c>
      <x:c r="H1181" s="9" t="str">
        <x:v>展示内容</x:v>
      </x:c>
      <x:c r="I1181" s="9" t="str">
        <x:v>1. 执行角色为普通观众；当前处于本场贡献-收到礼物页面
2. 测试环境已准备本场真实金币贡献；数据不涉及运营虚拟金币；当前场次仍在直播
3. 本场该礼物只有一笔失败记录</x:v>
      </x:c>
      <x:c r="J1181" s="9" t="str">
        <x:v>1. 刷新礼物记录</x:v>
      </x:c>
      <x:c r="K1181" s="9" t="str">
        <x:v>不展示该失败赠送记录</x:v>
      </x:c>
      <x:c r="L1181" s="10" t="str"/>
      <x:c r="M1181" s="10" t="str">
        <x:v>未测</x:v>
      </x:c>
      <x:c r="N1181" s="10" t="str"/>
      <x:c r="O1181" s="9" t="str">
        <x:v>1. 来源（当前证据）：liveshow-proto/MainBasis/统一需求文档.md；位置：行1728、行1724
2. 规则：BR-e44555e66adc101b
3. 未动态验证</x:v>
      </x:c>
    </x:row>
    <x:row r="1182" ht="115" customHeight="1">
      <x:c r="A1182" s="10" t="n">
        <x:v>1181</x:v>
      </x:c>
      <x:c r="B1182" s="10" t="str">
        <x:v>USER-03-0242</x:v>
      </x:c>
      <x:c r="C1182" s="10" t="str">
        <x:v>直播</x:v>
      </x:c>
      <x:c r="D1182" s="10" t="str">
        <x:v>本场贡献-收到礼物（普通观众视角）</x:v>
      </x:c>
      <x:c r="E1182" s="10" t="str">
        <x:v>功能需求</x:v>
      </x:c>
      <x:c r="F1182" s="10" t="str">
        <x:v>P2</x:v>
      </x:c>
      <x:c r="G1182" s="9" t="str">
        <x:v>验证撤销记录不入礼物记录</x:v>
      </x:c>
      <x:c r="H1182" s="9" t="str">
        <x:v>展示内容</x:v>
      </x:c>
      <x:c r="I1182" s="9" t="str">
        <x:v>1. 执行角色为普通观众；当前处于本场贡献-收到礼物页面
2. 测试环境已准备本场真实金币贡献；数据不涉及运营虚拟金币；当前场次仍在直播
3. 本场该礼物只有一笔撤销记录</x:v>
      </x:c>
      <x:c r="J1182" s="9" t="str">
        <x:v>1. 刷新礼物记录</x:v>
      </x:c>
      <x:c r="K1182" s="9" t="str">
        <x:v>不展示该撤销赠送记录</x:v>
      </x:c>
      <x:c r="L1182" s="10" t="str"/>
      <x:c r="M1182" s="10" t="str">
        <x:v>未测</x:v>
      </x:c>
      <x:c r="N1182" s="10" t="str"/>
      <x:c r="O1182" s="9" t="str">
        <x:v>1. 来源（当前证据）：liveshow-proto/MainBasis/统一需求文档.md；位置：行1728、行1724
2. 规则：BR-ddde887020d9ba80
3. 未动态验证</x:v>
      </x:c>
    </x:row>
    <x:row r="1183" ht="100" customHeight="1">
      <x:c r="A1183" s="10" t="n">
        <x:v>1182</x:v>
      </x:c>
      <x:c r="B1183" s="10" t="str">
        <x:v>USER-03-0243</x:v>
      </x:c>
      <x:c r="C1183" s="10" t="str">
        <x:v>直播</x:v>
      </x:c>
      <x:c r="D1183" s="10" t="str">
        <x:v>本场贡献-收到礼物（普通观众视角）</x:v>
      </x:c>
      <x:c r="E1183" s="10" t="str">
        <x:v>功能需求</x:v>
      </x:c>
      <x:c r="F1183" s="10" t="str">
        <x:v>P2</x:v>
      </x:c>
      <x:c r="G1183" s="9" t="str">
        <x:v>验证礼物切回同场排名</x:v>
      </x:c>
      <x:c r="H1183" s="9" t="str">
        <x:v>展示内容</x:v>
      </x:c>
      <x:c r="I1183" s="9" t="str">
        <x:v>1. 执行角色为普通观众；当前处于本场贡献-收到礼物页面
2. 测试环境已准备本场真实金币贡献；数据不涉及运营虚拟金币；当前场次仍在直播
3. 当前查看场次S的礼物记录</x:v>
      </x:c>
      <x:c r="J1183" s="9" t="str">
        <x:v>1. 切换至贡献榜</x:v>
      </x:c>
      <x:c r="K1183" s="9" t="str">
        <x:v>贡献榜仍对应场次S</x:v>
      </x:c>
      <x:c r="L1183" s="10" t="str"/>
      <x:c r="M1183" s="10" t="str">
        <x:v>未测</x:v>
      </x:c>
      <x:c r="N1183" s="10" t="str"/>
      <x:c r="O1183" s="9" t="str">
        <x:v>1. 来源（当前证据）：liveshow-proto/MainBasis/统一需求文档.md；位置：行1729、行1724
2. 规则：BR-22770155f7e9aaab
3. 未动态验证</x:v>
      </x:c>
    </x:row>
    <x:row r="1184" ht="100" customHeight="1">
      <x:c r="A1184" s="10" t="n">
        <x:v>1183</x:v>
      </x:c>
      <x:c r="B1184" s="10" t="str">
        <x:v>USER-03-0244</x:v>
      </x:c>
      <x:c r="C1184" s="10" t="str">
        <x:v>直播</x:v>
      </x:c>
      <x:c r="D1184" s="10" t="str">
        <x:v>本场贡献-收到礼物（普通观众视角）</x:v>
      </x:c>
      <x:c r="E1184" s="10" t="str">
        <x:v>功能需求</x:v>
      </x:c>
      <x:c r="F1184" s="10" t="str">
        <x:v>P2</x:v>
      </x:c>
      <x:c r="G1184" s="9" t="str">
        <x:v>验证礼物赠送人资料卡</x:v>
      </x:c>
      <x:c r="H1184" s="9" t="str">
        <x:v>展示内容</x:v>
      </x:c>
      <x:c r="I1184" s="9" t="str">
        <x:v>1. 执行角色为普通观众；当前处于本场贡献-收到礼物页面
2. 测试环境已准备本场真实金币贡献；数据不涉及运营虚拟金币；当前场次仍在直播
3. 本场礼物存在有效赠送人A</x:v>
      </x:c>
      <x:c r="J1184" s="9" t="str">
        <x:v>1. 点击赠送用户A</x:v>
      </x:c>
      <x:c r="K1184" s="9" t="str">
        <x:v>打开A用户资料卡</x:v>
      </x:c>
      <x:c r="L1184" s="10" t="str"/>
      <x:c r="M1184" s="10" t="str">
        <x:v>未测</x:v>
      </x:c>
      <x:c r="N1184" s="10" t="str"/>
      <x:c r="O1184" s="9" t="str">
        <x:v>1. 来源（当前证据）：liveshow-proto/MainBasis/统一需求文档.md；位置：行1729、行1724
2. 规则：BR-b32014c77c4eafef
3. 未动态验证</x:v>
      </x:c>
    </x:row>
    <x:row r="1185" ht="130" customHeight="1">
      <x:c r="A1185" s="10" t="n">
        <x:v>1184</x:v>
      </x:c>
      <x:c r="B1185" s="10" t="str">
        <x:v>USER-03-0245</x:v>
      </x:c>
      <x:c r="C1185" s="10" t="str">
        <x:v>直播</x:v>
      </x:c>
      <x:c r="D1185" s="10" t="str">
        <x:v>在线观众-观众列表（本场主播视角）</x:v>
      </x:c>
      <x:c r="E1185" s="10" t="str">
        <x:v>功能需求</x:v>
      </x:c>
      <x:c r="F1185" s="10" t="str">
        <x:v>P2</x:v>
      </x:c>
      <x:c r="G1185" s="9" t="str">
        <x:v>验证在线贡献首条件</x:v>
      </x:c>
      <x:c r="H1185" s="9" t="str">
        <x:v>排列次序</x:v>
      </x:c>
      <x:c r="I1185" s="9" t="str">
        <x:v>1. 执行角色为本场主播；当前处于在线观众-观众列表页面
2. 测试环境已准备本场真实金币贡献；数据不涉及运营虚拟金币；当前场次仍在直播
3. A贡献200、粉丝1级、财富1级；B贡献100、粉丝10级、财富10级</x:v>
      </x:c>
      <x:c r="J1185" s="9" t="str">
        <x:v>1. 切换按贡献</x:v>
      </x:c>
      <x:c r="K1185" s="9" t="str">
        <x:v>A排在B前</x:v>
      </x:c>
      <x:c r="L1185" s="10" t="str"/>
      <x:c r="M1185" s="10" t="str">
        <x:v>未测</x:v>
      </x:c>
      <x:c r="N1185" s="10" t="str"/>
      <x:c r="O1185" s="9" t="str">
        <x:v>1. 来源（当前证据）：liveshow-proto/MainBasis/统一需求文档.md；位置：行1771、行1761
2. 规则：BR-bfd7c5cd1bcaaefa
3. 未动态验证</x:v>
      </x:c>
    </x:row>
    <x:row r="1186" ht="115" customHeight="1">
      <x:c r="A1186" s="10" t="n">
        <x:v>1185</x:v>
      </x:c>
      <x:c r="B1186" s="10" t="str">
        <x:v>USER-03-0246</x:v>
      </x:c>
      <x:c r="C1186" s="10" t="str">
        <x:v>直播</x:v>
      </x:c>
      <x:c r="D1186" s="10" t="str">
        <x:v>在线观众-观众列表（本场主播视角）</x:v>
      </x:c>
      <x:c r="E1186" s="10" t="str">
        <x:v>功能需求</x:v>
      </x:c>
      <x:c r="F1186" s="10" t="str">
        <x:v>P2</x:v>
      </x:c>
      <x:c r="G1186" s="9" t="str">
        <x:v>验证在线贡献同分按粉丝</x:v>
      </x:c>
      <x:c r="H1186" s="9" t="str">
        <x:v>排列次序</x:v>
      </x:c>
      <x:c r="I1186" s="9" t="str">
        <x:v>1. 执行角色为本场主播；当前处于在线观众-观众列表页面
2. 测试环境已准备本场真实金币贡献；数据不涉及运营虚拟金币；当前场次仍在直播
3. A与B贡献100；A本团5级、财富1级；B本团3级、财富10级</x:v>
      </x:c>
      <x:c r="J1186" s="9" t="str">
        <x:v>1. 切换按贡献</x:v>
      </x:c>
      <x:c r="K1186" s="9" t="str">
        <x:v>A排在B前</x:v>
      </x:c>
      <x:c r="L1186" s="10" t="str"/>
      <x:c r="M1186" s="10" t="str">
        <x:v>未测</x:v>
      </x:c>
      <x:c r="N1186" s="10" t="str"/>
      <x:c r="O1186" s="9" t="str">
        <x:v>1. 来源（当前证据）：liveshow-proto/MainBasis/统一需求文档.md；位置：行1771、行1761
2. 规则：BR-e74fde25a7c51fca
3. 未动态验证</x:v>
      </x:c>
    </x:row>
    <x:row r="1187" ht="115" customHeight="1">
      <x:c r="A1187" s="10" t="n">
        <x:v>1186</x:v>
      </x:c>
      <x:c r="B1187" s="10" t="str">
        <x:v>USER-03-0247</x:v>
      </x:c>
      <x:c r="C1187" s="10" t="str">
        <x:v>直播</x:v>
      </x:c>
      <x:c r="D1187" s="10" t="str">
        <x:v>在线观众-观众列表（本场主播视角）</x:v>
      </x:c>
      <x:c r="E1187" s="10" t="str">
        <x:v>功能需求</x:v>
      </x:c>
      <x:c r="F1187" s="10" t="str">
        <x:v>P2</x:v>
      </x:c>
      <x:c r="G1187" s="9" t="str">
        <x:v>验证在线贡献粉丝同分按财富</x:v>
      </x:c>
      <x:c r="H1187" s="9" t="str">
        <x:v>排列次序</x:v>
      </x:c>
      <x:c r="I1187" s="9" t="str">
        <x:v>1. 执行角色为本场主播；当前处于在线观众-观众列表页面
2. 测试环境已准备本场真实金币贡献；数据不涉及运营虚拟金币；当前场次仍在直播
3. A与B贡献100、本团3级；A财富5级，B财富2级</x:v>
      </x:c>
      <x:c r="J1187" s="9" t="str">
        <x:v>1. 切换按贡献</x:v>
      </x:c>
      <x:c r="K1187" s="9" t="str">
        <x:v>A排在B前</x:v>
      </x:c>
      <x:c r="L1187" s="10" t="str"/>
      <x:c r="M1187" s="10" t="str">
        <x:v>未测</x:v>
      </x:c>
      <x:c r="N1187" s="10" t="str"/>
      <x:c r="O1187" s="9" t="str">
        <x:v>1. 来源（当前证据）：liveshow-proto/MainBasis/统一需求文档.md；位置：行1771、行1761
2. 规则：BR-2a43dde7498fb6ed
3. 未动态验证</x:v>
      </x:c>
    </x:row>
    <x:row r="1188" ht="115" customHeight="1">
      <x:c r="A1188" s="10" t="n">
        <x:v>1187</x:v>
      </x:c>
      <x:c r="B1188" s="10" t="str">
        <x:v>USER-03-0248</x:v>
      </x:c>
      <x:c r="C1188" s="10" t="str">
        <x:v>直播</x:v>
      </x:c>
      <x:c r="D1188" s="10" t="str">
        <x:v>在线观众-观众列表（本场主播视角）</x:v>
      </x:c>
      <x:c r="E1188" s="10" t="str">
        <x:v>功能需求</x:v>
      </x:c>
      <x:c r="F1188" s="10" t="str">
        <x:v>P2</x:v>
      </x:c>
      <x:c r="G1188" s="9" t="str">
        <x:v>验证在线贡献完全同分按ID</x:v>
      </x:c>
      <x:c r="H1188" s="9" t="str">
        <x:v>排列次序</x:v>
      </x:c>
      <x:c r="I1188" s="9" t="str">
        <x:v>1. 执行角色为本场主播；当前处于在线观众-观众列表页面
2. 测试环境已准备本场真实金币贡献；数据不涉及运营虚拟金币；当前场次仍在直播
3. U2与U10贡献、粉丝等级、财富等级相同</x:v>
      </x:c>
      <x:c r="J1188" s="9" t="str">
        <x:v>1. 切换按贡献</x:v>
      </x:c>
      <x:c r="K1188" s="9" t="str">
        <x:v>U2排在U10前</x:v>
      </x:c>
      <x:c r="L1188" s="10" t="str"/>
      <x:c r="M1188" s="10" t="str">
        <x:v>未测</x:v>
      </x:c>
      <x:c r="N1188" s="10" t="str"/>
      <x:c r="O1188" s="9" t="str">
        <x:v>1. 来源（当前证据）：liveshow-proto/MainBasis/统一需求文档.md；位置：行1771、行1761
2. 规则：BR-e225d6f26ff616f1
3. 未动态验证</x:v>
      </x:c>
    </x:row>
    <x:row r="1189" ht="115" customHeight="1">
      <x:c r="A1189" s="10" t="n">
        <x:v>1188</x:v>
      </x:c>
      <x:c r="B1189" s="10" t="str">
        <x:v>USER-03-0249</x:v>
      </x:c>
      <x:c r="C1189" s="10" t="str">
        <x:v>直播</x:v>
      </x:c>
      <x:c r="D1189" s="10" t="str">
        <x:v>在线观众-观众列表（本场主播视角）</x:v>
      </x:c>
      <x:c r="E1189" s="10" t="str">
        <x:v>功能需求</x:v>
      </x:c>
      <x:c r="F1189" s="10" t="str">
        <x:v>P2</x:v>
      </x:c>
      <x:c r="G1189" s="9" t="str">
        <x:v>验证在线时长同分按贡献</x:v>
      </x:c>
      <x:c r="H1189" s="9" t="str">
        <x:v>排列次序</x:v>
      </x:c>
      <x:c r="I1189" s="9" t="str">
        <x:v>1. 执行角色为本场主播；当前处于在线观众-观众列表页面
2. 测试环境已准备本场真实金币贡献；数据不涉及运营虚拟金币；当前场次仍在直播
3. A与B在线10分钟；A贡献200，B贡献100</x:v>
      </x:c>
      <x:c r="J1189" s="9" t="str">
        <x:v>1. 切换按停留时长</x:v>
      </x:c>
      <x:c r="K1189" s="9" t="str">
        <x:v>A排在B前</x:v>
      </x:c>
      <x:c r="L1189" s="10" t="str"/>
      <x:c r="M1189" s="10" t="str">
        <x:v>未测</x:v>
      </x:c>
      <x:c r="N1189" s="10" t="str"/>
      <x:c r="O1189" s="9" t="str">
        <x:v>1. 来源（当前证据）：liveshow-proto/MainBasis/统一需求文档.md；位置：行1772、行1761
2. 规则：BR-0671eec00677e498
3. 未动态验证</x:v>
      </x:c>
    </x:row>
    <x:row r="1190" ht="115" customHeight="1">
      <x:c r="A1190" s="10" t="n">
        <x:v>1189</x:v>
      </x:c>
      <x:c r="B1190" s="10" t="str">
        <x:v>USER-03-0250</x:v>
      </x:c>
      <x:c r="C1190" s="10" t="str">
        <x:v>直播</x:v>
      </x:c>
      <x:c r="D1190" s="10" t="str">
        <x:v>在线观众-观众列表（本场主播视角）</x:v>
      </x:c>
      <x:c r="E1190" s="10" t="str">
        <x:v>功能需求</x:v>
      </x:c>
      <x:c r="F1190" s="10" t="str">
        <x:v>P2</x:v>
      </x:c>
      <x:c r="G1190" s="9" t="str">
        <x:v>验证在线时长贡献同分按粉丝</x:v>
      </x:c>
      <x:c r="H1190" s="9" t="str">
        <x:v>排列次序</x:v>
      </x:c>
      <x:c r="I1190" s="9" t="str">
        <x:v>1. 执行角色为本场主播；当前处于在线观众-观众列表页面
2. 测试环境已准备本场真实金币贡献；数据不涉及运营虚拟金币；当前场次仍在直播
3. A与B在线10分钟、贡献100；A本团5级，B本团3级</x:v>
      </x:c>
      <x:c r="J1190" s="9" t="str">
        <x:v>1. 切换按停留时长</x:v>
      </x:c>
      <x:c r="K1190" s="9" t="str">
        <x:v>A排在B前</x:v>
      </x:c>
      <x:c r="L1190" s="10" t="str"/>
      <x:c r="M1190" s="10" t="str">
        <x:v>未测</x:v>
      </x:c>
      <x:c r="N1190" s="10" t="str"/>
      <x:c r="O1190" s="9" t="str">
        <x:v>1. 来源（当前证据）：liveshow-proto/MainBasis/统一需求文档.md；位置：行1772、行1761
2. 规则：BR-c2b2cfbd8a4d58ed
3. 未动态验证</x:v>
      </x:c>
    </x:row>
    <x:row r="1191" ht="115" customHeight="1">
      <x:c r="A1191" s="10" t="n">
        <x:v>1190</x:v>
      </x:c>
      <x:c r="B1191" s="10" t="str">
        <x:v>USER-03-0251</x:v>
      </x:c>
      <x:c r="C1191" s="10" t="str">
        <x:v>直播</x:v>
      </x:c>
      <x:c r="D1191" s="10" t="str">
        <x:v>在线观众-观众列表（本场主播视角）</x:v>
      </x:c>
      <x:c r="E1191" s="10" t="str">
        <x:v>功能需求</x:v>
      </x:c>
      <x:c r="F1191" s="10" t="str">
        <x:v>P2</x:v>
      </x:c>
      <x:c r="G1191" s="9" t="str">
        <x:v>验证在线时长贡献粉丝同分按财富</x:v>
      </x:c>
      <x:c r="H1191" s="9" t="str">
        <x:v>排列次序</x:v>
      </x:c>
      <x:c r="I1191" s="9" t="str">
        <x:v>1. 执行角色为本场主播；当前处于在线观众-观众列表页面
2. 测试环境已准备本场真实金币贡献；数据不涉及运营虚拟金币；当前场次仍在直播
3. A与B在线10分钟、贡献100、本团3级；A财富5级，B财富2级</x:v>
      </x:c>
      <x:c r="J1191" s="9" t="str">
        <x:v>1. 切换按停留时长</x:v>
      </x:c>
      <x:c r="K1191" s="9" t="str">
        <x:v>A排在B前</x:v>
      </x:c>
      <x:c r="L1191" s="10" t="str"/>
      <x:c r="M1191" s="10" t="str">
        <x:v>未测</x:v>
      </x:c>
      <x:c r="N1191" s="10" t="str"/>
      <x:c r="O1191" s="9" t="str">
        <x:v>1. 来源（当前证据）：liveshow-proto/MainBasis/统一需求文档.md；位置：行1772、行1761
2. 规则：BR-53114a6005e160fe
3. 未动态验证</x:v>
      </x:c>
    </x:row>
    <x:row r="1192" ht="115" customHeight="1">
      <x:c r="A1192" s="10" t="n">
        <x:v>1191</x:v>
      </x:c>
      <x:c r="B1192" s="10" t="str">
        <x:v>USER-03-0252</x:v>
      </x:c>
      <x:c r="C1192" s="10" t="str">
        <x:v>直播</x:v>
      </x:c>
      <x:c r="D1192" s="10" t="str">
        <x:v>在线观众-观众列表（本场主播视角）</x:v>
      </x:c>
      <x:c r="E1192" s="10" t="str">
        <x:v>功能需求</x:v>
      </x:c>
      <x:c r="F1192" s="10" t="str">
        <x:v>P2</x:v>
      </x:c>
      <x:c r="G1192" s="9" t="str">
        <x:v>验证在线全部同分按ID</x:v>
      </x:c>
      <x:c r="H1192" s="9" t="str">
        <x:v>排列次序</x:v>
      </x:c>
      <x:c r="I1192" s="9" t="str">
        <x:v>1. 执行角色为本场主播；当前处于在线观众-观众列表页面
2. 测试环境已准备本场真实金币贡献；数据不涉及运营虚拟金币；当前场次仍在直播
3. U2与U10在线时长、贡献、粉丝等级、财富等级全部相同</x:v>
      </x:c>
      <x:c r="J1192" s="9" t="str">
        <x:v>1. 切换按停留时长</x:v>
      </x:c>
      <x:c r="K1192" s="9" t="str">
        <x:v>U2排在U10前</x:v>
      </x:c>
      <x:c r="L1192" s="10" t="str"/>
      <x:c r="M1192" s="10" t="str">
        <x:v>未测</x:v>
      </x:c>
      <x:c r="N1192" s="10" t="str"/>
      <x:c r="O1192" s="9" t="str">
        <x:v>1. 来源（当前证据）：liveshow-proto/MainBasis/统一需求文档.md；位置：行1772、行1761
2. 规则：BR-f981b6a77430bd71
3. 未动态验证</x:v>
      </x:c>
    </x:row>
    <x:row r="1193" ht="115" customHeight="1">
      <x:c r="A1193" s="10" t="n">
        <x:v>1192</x:v>
      </x:c>
      <x:c r="B1193" s="10" t="str">
        <x:v>USER-03-0253</x:v>
      </x:c>
      <x:c r="C1193" s="10" t="str">
        <x:v>直播</x:v>
      </x:c>
      <x:c r="D1193" s="10" t="str">
        <x:v>在线观众-观众列表（本场主播视角）</x:v>
      </x:c>
      <x:c r="E1193" s="10" t="str">
        <x:v>功能需求</x:v>
      </x:c>
      <x:c r="F1193" s="10" t="str">
        <x:v>P2</x:v>
      </x:c>
      <x:c r="G1193" s="9" t="str">
        <x:v>验证在线缺少粉丝等级按零</x:v>
      </x:c>
      <x:c r="H1193" s="9" t="str">
        <x:v>排列次序</x:v>
      </x:c>
      <x:c r="I1193" s="9" t="str">
        <x:v>1. 执行角色为本场主播；当前处于在线观众-观众列表页面
2. 测试环境已准备本场真实金币贡献；数据不涉及运营虚拟金币；当前场次仍在直播
3. A与B贡献相同；A无粉丝等级，B粉丝1级</x:v>
      </x:c>
      <x:c r="J1193" s="9" t="str">
        <x:v>1. 切换按贡献</x:v>
      </x:c>
      <x:c r="K1193" s="9" t="str">
        <x:v>B排在A前</x:v>
      </x:c>
      <x:c r="L1193" s="10" t="str"/>
      <x:c r="M1193" s="10" t="str">
        <x:v>未测</x:v>
      </x:c>
      <x:c r="N1193" s="10" t="str"/>
      <x:c r="O1193" s="9" t="str">
        <x:v>1. 来源（当前证据）：liveshow-proto/MainBasis/统一需求文档.md；位置：行1771、行1773、行1761
2. 规则：BR-1e5bb4793041e28b
3. 未动态验证</x:v>
      </x:c>
    </x:row>
    <x:row r="1194" ht="115" customHeight="1">
      <x:c r="A1194" s="10" t="n">
        <x:v>1193</x:v>
      </x:c>
      <x:c r="B1194" s="10" t="str">
        <x:v>USER-03-0254</x:v>
      </x:c>
      <x:c r="C1194" s="10" t="str">
        <x:v>直播</x:v>
      </x:c>
      <x:c r="D1194" s="10" t="str">
        <x:v>在线观众-观众列表（本场主播视角）</x:v>
      </x:c>
      <x:c r="E1194" s="10" t="str">
        <x:v>功能需求</x:v>
      </x:c>
      <x:c r="F1194" s="10" t="str">
        <x:v>P2</x:v>
      </x:c>
      <x:c r="G1194" s="9" t="str">
        <x:v>验证在线缺少财富等级按零</x:v>
      </x:c>
      <x:c r="H1194" s="9" t="str">
        <x:v>排列次序</x:v>
      </x:c>
      <x:c r="I1194" s="9" t="str">
        <x:v>1. 执行角色为本场主播；当前处于在线观众-观众列表页面
2. 测试环境已准备本场真实金币贡献；数据不涉及运营虚拟金币；当前场次仍在直播
3. A与B贡献及粉丝等级相同；A无财富等级，B财富1级</x:v>
      </x:c>
      <x:c r="J1194" s="9" t="str">
        <x:v>1. 切换按贡献</x:v>
      </x:c>
      <x:c r="K1194" s="9" t="str">
        <x:v>B排在A前</x:v>
      </x:c>
      <x:c r="L1194" s="10" t="str"/>
      <x:c r="M1194" s="10" t="str">
        <x:v>未测</x:v>
      </x:c>
      <x:c r="N1194" s="10" t="str"/>
      <x:c r="O1194" s="9" t="str">
        <x:v>1. 来源（当前证据）：liveshow-proto/MainBasis/统一需求文档.md；位置：行1771、行1773、行1761
2. 规则：BR-615456fc52e90638
3. 未动态验证</x:v>
      </x:c>
    </x:row>
    <x:row r="1195" ht="100" customHeight="1">
      <x:c r="A1195" s="10" t="n">
        <x:v>1194</x:v>
      </x:c>
      <x:c r="B1195" s="10" t="str">
        <x:v>USER-03-0255</x:v>
      </x:c>
      <x:c r="C1195" s="10" t="str">
        <x:v>直播</x:v>
      </x:c>
      <x:c r="D1195" s="10" t="str">
        <x:v>在线观众-观众列表（本场主播视角）</x:v>
      </x:c>
      <x:c r="E1195" s="10" t="str">
        <x:v>功能需求</x:v>
      </x:c>
      <x:c r="F1195" s="10" t="str">
        <x:v>P2</x:v>
      </x:c>
      <x:c r="G1195" s="9" t="str">
        <x:v>验证在线排序保留房管身份</x:v>
      </x:c>
      <x:c r="H1195" s="9" t="str">
        <x:v>数据保持</x:v>
      </x:c>
      <x:c r="I1195" s="9" t="str">
        <x:v>1. 执行角色为本场主播；当前处于在线观众-观众列表页面
2. 测试环境已准备本场真实金币贡献；数据不涉及运营虚拟金币；当前场次仍在直播
3. A为已授权房管</x:v>
      </x:c>
      <x:c r="J1195" s="9" t="str">
        <x:v>1. 切换按停留时长</x:v>
      </x:c>
      <x:c r="K1195" s="9" t="str">
        <x:v>A仍保留房管身份</x:v>
      </x:c>
      <x:c r="L1195" s="10" t="str"/>
      <x:c r="M1195" s="10" t="str">
        <x:v>未测</x:v>
      </x:c>
      <x:c r="N1195" s="10" t="str"/>
      <x:c r="O1195" s="9" t="str">
        <x:v>1. 来源（当前证据）：liveshow-proto/MainBasis/统一需求文档.md；位置：行1773、行1761
2. 规则：BR-2c0a18907ae2ccf2
3. 未动态验证</x:v>
      </x:c>
    </x:row>
    <x:row r="1196" ht="100" customHeight="1">
      <x:c r="A1196" s="10" t="n">
        <x:v>1195</x:v>
      </x:c>
      <x:c r="B1196" s="10" t="str">
        <x:v>USER-03-0256</x:v>
      </x:c>
      <x:c r="C1196" s="10" t="str">
        <x:v>直播</x:v>
      </x:c>
      <x:c r="D1196" s="10" t="str">
        <x:v>在线观众-观众列表（本场主播视角）</x:v>
      </x:c>
      <x:c r="E1196" s="10" t="str">
        <x:v>功能需求</x:v>
      </x:c>
      <x:c r="F1196" s="10" t="str">
        <x:v>P2</x:v>
      </x:c>
      <x:c r="G1196" s="9" t="str">
        <x:v>验证在线排序保留禁言</x:v>
      </x:c>
      <x:c r="H1196" s="9" t="str">
        <x:v>数据保持</x:v>
      </x:c>
      <x:c r="I1196" s="9" t="str">
        <x:v>1. 执行角色为本场主播；当前处于在线观众-观众列表页面
2. 测试环境已准备本场真实金币贡献；数据不涉及运营虚拟金币；当前场次仍在直播
3. A处于本场禁言</x:v>
      </x:c>
      <x:c r="J1196" s="9" t="str">
        <x:v>1. 切换按停留时长</x:v>
      </x:c>
      <x:c r="K1196" s="9" t="str">
        <x:v>A仍保留本场禁言状态</x:v>
      </x:c>
      <x:c r="L1196" s="10" t="str"/>
      <x:c r="M1196" s="10" t="str">
        <x:v>未测</x:v>
      </x:c>
      <x:c r="N1196" s="10" t="str"/>
      <x:c r="O1196" s="9" t="str">
        <x:v>1. 来源（当前证据）：liveshow-proto/MainBasis/统一需求文档.md；位置：行1773、行1761
2. 规则：BR-a49fd87d9e7089e2
3. 未动态验证</x:v>
      </x:c>
    </x:row>
    <x:row r="1197" ht="85" customHeight="1">
      <x:c r="A1197" s="10" t="n">
        <x:v>1196</x:v>
      </x:c>
      <x:c r="B1197" s="10" t="str">
        <x:v>USER-03-0257</x:v>
      </x:c>
      <x:c r="C1197" s="10" t="str">
        <x:v>直播</x:v>
      </x:c>
      <x:c r="D1197" s="10" t="str">
        <x:v>在线观众-观众列表（本场主播视角）</x:v>
      </x:c>
      <x:c r="E1197" s="10" t="str">
        <x:v>功能需求</x:v>
      </x:c>
      <x:c r="F1197" s="10" t="str">
        <x:v>P2</x:v>
      </x:c>
      <x:c r="G1197" s="9" t="str">
        <x:v>验证在线切换保留弹层</x:v>
      </x:c>
      <x:c r="H1197" s="9" t="str">
        <x:v>展示内容</x:v>
      </x:c>
      <x:c r="I1197" s="9" t="str">
        <x:v>1. 执行角色为本场主播；当前处于在线观众-观众列表页面
2. 测试环境已准备本场真实金币贡献；数据不涉及运营虚拟金币；当前场次仍在直播</x:v>
      </x:c>
      <x:c r="J1197" s="9" t="str">
        <x:v>1. 切换按停留时长</x:v>
      </x:c>
      <x:c r="K1197" s="9" t="str">
        <x:v>当前在线观众弹层保持打开</x:v>
      </x:c>
      <x:c r="L1197" s="10" t="str"/>
      <x:c r="M1197" s="10" t="str">
        <x:v>未测</x:v>
      </x:c>
      <x:c r="N1197" s="10" t="str"/>
      <x:c r="O1197" s="9" t="str">
        <x:v>1. 来源（当前证据）：liveshow-proto/MainBasis/统一需求文档.md；位置：行1776、行1761
2. 规则：BR-d868f83f6af87417
3. 未动态验证</x:v>
      </x:c>
    </x:row>
    <x:row r="1198" ht="115" customHeight="1">
      <x:c r="A1198" s="10" t="n">
        <x:v>1197</x:v>
      </x:c>
      <x:c r="B1198" s="10" t="str">
        <x:v>USER-03-0258</x:v>
      </x:c>
      <x:c r="C1198" s="10" t="str">
        <x:v>直播</x:v>
      </x:c>
      <x:c r="D1198" s="10" t="str">
        <x:v>在线观众-观众列表（本场主播视角）</x:v>
      </x:c>
      <x:c r="E1198" s="10" t="str">
        <x:v>功能需求</x:v>
      </x:c>
      <x:c r="F1198" s="10" t="str">
        <x:v>P2</x:v>
      </x:c>
      <x:c r="G1198" s="9" t="str">
        <x:v>验证离开重进累计停留</x:v>
      </x:c>
      <x:c r="H1198" s="9" t="str">
        <x:v>展示内容</x:v>
      </x:c>
      <x:c r="I1198" s="9" t="str">
        <x:v>1. 执行角色为本场主播；当前处于在线观众-观众列表页面
2. 测试环境已准备本场真实金币贡献；数据不涉及运营虚拟金币；当前场次仍在直播
3. A本场首次在线10分钟后退出，现重进累计再在线5分钟</x:v>
      </x:c>
      <x:c r="J1198" s="9" t="str">
        <x:v>1. 查看A停留时长</x:v>
      </x:c>
      <x:c r="K1198" s="9" t="str">
        <x:v>A本场在线累计时长为15分钟（计算结果 = 15 分钟）</x:v>
      </x:c>
      <x:c r="L1198" s="10" t="str"/>
      <x:c r="M1198" s="10" t="str">
        <x:v>未测</x:v>
      </x:c>
      <x:c r="N1198" s="10" t="str"/>
      <x:c r="O1198" s="9" t="str">
        <x:v>1. 来源（当前证据）：liveshow-proto/MainBasis/统一需求文档.md；位置：行1766、行1761
2. 规则：BR-de9433d01d1f308d
3. 未动态验证</x:v>
      </x:c>
    </x:row>
    <x:row r="1199" ht="115" customHeight="1">
      <x:c r="A1199" s="10" t="n">
        <x:v>1198</x:v>
      </x:c>
      <x:c r="B1199" s="10" t="str">
        <x:v>USER-03-0259</x:v>
      </x:c>
      <x:c r="C1199" s="10" t="str">
        <x:v>直播</x:v>
      </x:c>
      <x:c r="D1199" s="10" t="str">
        <x:v>在线观众-观众列表（本场主播视角）</x:v>
      </x:c>
      <x:c r="E1199" s="10" t="str">
        <x:v>功能需求</x:v>
      </x:c>
      <x:c r="F1199" s="10" t="str">
        <x:v>P2</x:v>
      </x:c>
      <x:c r="G1199" s="9" t="str">
        <x:v>验证财富等级缺失隐藏</x:v>
      </x:c>
      <x:c r="H1199" s="9" t="str">
        <x:v>展示内容</x:v>
      </x:c>
      <x:c r="I1199" s="9" t="str">
        <x:v>1. 执行角色为本场主播；当前处于在线观众-观众列表页面
2. 测试环境已准备本场真实金币贡献；数据不涉及运营虚拟金币；当前场次仍在直播
3. A仍在线但服务端未提供财富等级</x:v>
      </x:c>
      <x:c r="J1199" s="9" t="str">
        <x:v>1. 查看A用户行</x:v>
      </x:c>
      <x:c r="K1199" s="9" t="str">
        <x:v>不显示A财富等级</x:v>
      </x:c>
      <x:c r="L1199" s="10" t="str"/>
      <x:c r="M1199" s="10" t="str">
        <x:v>未测</x:v>
      </x:c>
      <x:c r="N1199" s="10" t="str"/>
      <x:c r="O1199" s="9" t="str">
        <x:v>1. 来源（当前证据）：liveshow-proto/MainBasis/统一需求文档.md；位置：行1764、行1761
2. 规则：BR-3dbe24582ba9892b
3. 未动态验证</x:v>
      </x:c>
    </x:row>
    <x:row r="1200" ht="115" customHeight="1">
      <x:c r="A1200" s="10" t="n">
        <x:v>1199</x:v>
      </x:c>
      <x:c r="B1200" s="10" t="str">
        <x:v>USER-03-0260</x:v>
      </x:c>
      <x:c r="C1200" s="10" t="str">
        <x:v>直播</x:v>
      </x:c>
      <x:c r="D1200" s="10" t="str">
        <x:v>在线观众-观众列表（本场主播视角）</x:v>
      </x:c>
      <x:c r="E1200" s="10" t="str">
        <x:v>功能需求</x:v>
      </x:c>
      <x:c r="F1200" s="10" t="str">
        <x:v>P2</x:v>
      </x:c>
      <x:c r="G1200" s="9" t="str">
        <x:v>验证有效团籍身份显示：有效团籍灯牌</x:v>
      </x:c>
      <x:c r="H1200" s="9" t="str">
        <x:v>有效团籍灯牌</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展示A的灯牌</x:v>
      </x:c>
      <x:c r="L1200" s="10" t="str"/>
      <x:c r="M1200" s="10" t="str">
        <x:v>未测</x:v>
      </x:c>
      <x:c r="N1200" s="10" t="str"/>
      <x:c r="O1200" s="9" t="str">
        <x:v>1. 来源（当前证据）：liveshow-proto/MainBasis/统一需求文档.md；位置：行1765、行1761
2. 规则：BR-4164cf314a1cc596
3. 未动态验证</x:v>
      </x:c>
    </x:row>
    <x:row r="1201" ht="115" customHeight="1">
      <x:c r="A1201" s="10" t="n">
        <x:v>1200</x:v>
      </x:c>
      <x:c r="B1201" s="10" t="str">
        <x:v>USER-03-0261</x:v>
      </x:c>
      <x:c r="C1201" s="10" t="str">
        <x:v>直播</x:v>
      </x:c>
      <x:c r="D1201" s="10" t="str">
        <x:v>在线观众-观众列表（本场主播视角）</x:v>
      </x:c>
      <x:c r="E1201" s="10" t="str">
        <x:v>功能需求</x:v>
      </x:c>
      <x:c r="F1201" s="10" t="str">
        <x:v>P2</x:v>
      </x:c>
      <x:c r="G1201" s="9" t="str">
        <x:v>验证有效团籍身份显示：有效团籍等级</x:v>
      </x:c>
      <x:c r="H1201" s="9" t="str">
        <x:v>有效团籍等级</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展示A的粉丝等级</x:v>
      </x:c>
      <x:c r="L1201" s="10" t="str"/>
      <x:c r="M1201" s="10" t="str">
        <x:v>未测</x:v>
      </x:c>
      <x:c r="N1201" s="10" t="str"/>
      <x:c r="O1201" s="9" t="str">
        <x:v>1. 来源（当前证据）：liveshow-proto/MainBasis/统一需求文档.md；位置：行1765、行1761
2. 规则：BR-b3911d1aa83e2204
3. 未动态验证</x:v>
      </x:c>
    </x:row>
    <x:row r="1202" ht="115" customHeight="1">
      <x:c r="A1202" s="10" t="n">
        <x:v>1201</x:v>
      </x:c>
      <x:c r="B1202" s="10" t="str">
        <x:v>USER-03-0262</x:v>
      </x:c>
      <x:c r="C1202" s="10" t="str">
        <x:v>直播</x:v>
      </x:c>
      <x:c r="D1202" s="10" t="str">
        <x:v>在线观众-观众列表（本场主播视角）</x:v>
      </x:c>
      <x:c r="E1202" s="10" t="str">
        <x:v>功能需求</x:v>
      </x:c>
      <x:c r="F1202" s="10" t="str">
        <x:v>P2</x:v>
      </x:c>
      <x:c r="G1202" s="9" t="str">
        <x:v>验证有效团籍身份显示：有效团籍亲密度</x:v>
      </x:c>
      <x:c r="H1202" s="9" t="str">
        <x:v>有效团籍亲密度</x:v>
      </x:c>
      <x:c r="I1202" s="9" t="str">
        <x:v>1. 执行角色为本场主播；当前处于在线观众-观众列表页面
2. 测试环境已准备本场真实金币贡献；数据不涉及运营虚拟金币；当前场次仍在直播
3. A属于当前主播粉丝团且身份数据完整</x:v>
      </x:c>
      <x:c r="J1202" s="9" t="str">
        <x:v>1. 查看A用户行</x:v>
      </x:c>
      <x:c r="K1202" s="9" t="str">
        <x:v>展示A的亲密度</x:v>
      </x:c>
      <x:c r="L1202" s="10" t="str"/>
      <x:c r="M1202" s="10" t="str">
        <x:v>未测</x:v>
      </x:c>
      <x:c r="N1202" s="10" t="str"/>
      <x:c r="O1202" s="9" t="str">
        <x:v>1. 来源（当前证据）：liveshow-proto/MainBasis/统一需求文档.md；位置：行1765、行1761
2. 规则：BR-4c3424bef4f16e7c
3. 未动态验证</x:v>
      </x:c>
    </x:row>
    <x:row r="1203" ht="100" customHeight="1">
      <x:c r="A1203" s="10" t="n">
        <x:v>1202</x:v>
      </x:c>
      <x:c r="B1203" s="10" t="str">
        <x:v>USER-03-0263</x:v>
      </x:c>
      <x:c r="C1203" s="10" t="str">
        <x:v>直播</x:v>
      </x:c>
      <x:c r="D1203" s="10" t="str">
        <x:v>在线观众-观众列表（本场主播视角）</x:v>
      </x:c>
      <x:c r="E1203" s="10" t="str">
        <x:v>功能需求</x:v>
      </x:c>
      <x:c r="F1203" s="10" t="str">
        <x:v>P2</x:v>
      </x:c>
      <x:c r="G1203" s="9" t="str">
        <x:v>验证无有效团籍身份隐藏：无团籍灯牌隐藏</x:v>
      </x:c>
      <x:c r="H1203" s="9" t="str">
        <x:v>无团籍灯牌隐藏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不展示当前主播灯牌</x:v>
      </x:c>
      <x:c r="L1203" s="10" t="str"/>
      <x:c r="M1203" s="10" t="str">
        <x:v>未测</x:v>
      </x:c>
      <x:c r="N1203" s="10" t="str"/>
      <x:c r="O1203" s="9" t="str">
        <x:v>1. 来源（当前证据）：liveshow-proto/MainBasis/统一需求文档.md；位置：行1765、行1761
2. 规则：BR-64232ca6e8424c34
3. 未动态验证</x:v>
      </x:c>
    </x:row>
    <x:row r="1204" ht="100" customHeight="1">
      <x:c r="A1204" s="10" t="n">
        <x:v>1203</x:v>
      </x:c>
      <x:c r="B1204" s="10" t="str">
        <x:v>USER-03-0264</x:v>
      </x:c>
      <x:c r="C1204" s="10" t="str">
        <x:v>直播</x:v>
      </x:c>
      <x:c r="D1204" s="10" t="str">
        <x:v>在线观众-观众列表（本场主播视角）</x:v>
      </x:c>
      <x:c r="E1204" s="10" t="str">
        <x:v>功能需求</x:v>
      </x:c>
      <x:c r="F1204" s="10" t="str">
        <x:v>P2</x:v>
      </x:c>
      <x:c r="G1204" s="9" t="str">
        <x:v>验证无有效团籍身份隐藏：无团籍等级隐藏</x:v>
      </x:c>
      <x:c r="H1204" s="9" t="str">
        <x:v>无团籍等级隐藏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不展示当前主播粉丝等级</x:v>
      </x:c>
      <x:c r="L1204" s="10" t="str"/>
      <x:c r="M1204" s="10" t="str">
        <x:v>未测</x:v>
      </x:c>
      <x:c r="N1204" s="10" t="str"/>
      <x:c r="O1204" s="9" t="str">
        <x:v>1. 来源（当前证据）：liveshow-proto/MainBasis/统一需求文档.md；位置：行1765、行1761
2. 规则：BR-aaaf8b5e3ada0ea9
3. 未动态验证</x:v>
      </x:c>
    </x:row>
    <x:row r="1205" ht="100" customHeight="1">
      <x:c r="A1205" s="10" t="n">
        <x:v>1204</x:v>
      </x:c>
      <x:c r="B1205" s="10" t="str">
        <x:v>USER-03-0265</x:v>
      </x:c>
      <x:c r="C1205" s="10" t="str">
        <x:v>直播</x:v>
      </x:c>
      <x:c r="D1205" s="10" t="str">
        <x:v>在线观众-观众列表（本场主播视角）</x:v>
      </x:c>
      <x:c r="E1205" s="10" t="str">
        <x:v>功能需求</x:v>
      </x:c>
      <x:c r="F1205" s="10" t="str">
        <x:v>P2</x:v>
      </x:c>
      <x:c r="G1205" s="9" t="str">
        <x:v>验证无有效团籍身份隐藏：无团籍亲密度隐藏</x:v>
      </x:c>
      <x:c r="H1205" s="9" t="str">
        <x:v>无团籍亲密度隐藏</x:v>
      </x:c>
      <x:c r="I1205" s="9" t="str">
        <x:v>1. 执行角色为本场主播；当前处于在线观众-观众列表页面
2. 测试环境已准备本场真实金币贡献；数据不涉及运营虚拟金币；当前场次仍在直播
3. A不属于当前主播粉丝团</x:v>
      </x:c>
      <x:c r="J1205" s="9" t="str">
        <x:v>1. 查看A用户行</x:v>
      </x:c>
      <x:c r="K1205" s="9" t="str">
        <x:v>不展示当前主播亲密度</x:v>
      </x:c>
      <x:c r="L1205" s="10" t="str"/>
      <x:c r="M1205" s="10" t="str">
        <x:v>未测</x:v>
      </x:c>
      <x:c r="N1205" s="10" t="str"/>
      <x:c r="O1205" s="9" t="str">
        <x:v>1. 来源（当前证据）：liveshow-proto/MainBasis/统一需求文档.md；位置：行1765、行1761
2. 规则：BR-44b1d74936c6a1e6
3. 未动态验证</x:v>
      </x:c>
    </x:row>
    <x:row r="1206" ht="100" customHeight="1">
      <x:c r="A1206" s="10" t="n">
        <x:v>1205</x:v>
      </x:c>
      <x:c r="B1206" s="10" t="str">
        <x:v>USER-03-0266</x:v>
      </x:c>
      <x:c r="C1206" s="10" t="str">
        <x:v>直播</x:v>
      </x:c>
      <x:c r="D1206" s="10" t="str">
        <x:v>在线观众-观众列表（本场主播视角）</x:v>
      </x:c>
      <x:c r="E1206" s="10" t="str">
        <x:v>功能需求</x:v>
      </x:c>
      <x:c r="F1206" s="10" t="str">
        <x:v>P2</x:v>
      </x:c>
      <x:c r="G1206" s="9" t="str">
        <x:v>验证在线当前禁言标识</x:v>
      </x:c>
      <x:c r="H1206" s="9" t="str">
        <x:v>展示内容</x:v>
      </x:c>
      <x:c r="I1206" s="9" t="str">
        <x:v>1. 执行角色为本场主播；当前处于在线观众-观众列表页面
2. 测试环境已准备本场真实金币贡献；数据不涉及运营虚拟金币；当前场次仍在直播
3. A在线且被本场禁言</x:v>
      </x:c>
      <x:c r="J1206" s="9" t="str">
        <x:v>1. 查看A用户行</x:v>
      </x:c>
      <x:c r="K1206" s="9" t="str">
        <x:v>展示A禁言标识</x:v>
      </x:c>
      <x:c r="L1206" s="10" t="str"/>
      <x:c r="M1206" s="10" t="str">
        <x:v>未测</x:v>
      </x:c>
      <x:c r="N1206" s="10" t="str"/>
      <x:c r="O1206" s="9" t="str">
        <x:v>1. 来源（当前证据）：liveshow-proto/MainBasis/统一需求文档.md；位置：行1768、行1761
2. 规则：BR-891cf331aafbe9d6
3. 未动态验证</x:v>
      </x:c>
    </x:row>
    <x:row r="1207" ht="115" customHeight="1">
      <x:c r="A1207" s="10" t="n">
        <x:v>1206</x:v>
      </x:c>
      <x:c r="B1207" s="10" t="str">
        <x:v>USER-03-0267</x:v>
      </x:c>
      <x:c r="C1207" s="10" t="str">
        <x:v>直播</x:v>
      </x:c>
      <x:c r="D1207" s="10" t="str">
        <x:v>在线观众-观众列表（本场主播视角）</x:v>
      </x:c>
      <x:c r="E1207" s="10" t="str">
        <x:v>功能需求</x:v>
      </x:c>
      <x:c r="F1207" s="10" t="str">
        <x:v>P2</x:v>
      </x:c>
      <x:c r="G1207" s="9" t="str">
        <x:v>验证在线私信对象</x:v>
      </x:c>
      <x:c r="H1207" s="9" t="str">
        <x:v>页面去向</x:v>
      </x:c>
      <x:c r="I1207" s="9" t="str">
        <x:v>1. 执行角色为本场主播；当前处于在线观众-观众列表页面
2. 测试环境已准备本场真实金币贡献；数据不涉及运营虚拟金币；当前场次仍在直播
3. A在线且与主播为好友、双方未拉黑</x:v>
      </x:c>
      <x:c r="J1207" s="9" t="str">
        <x:v>1. 点击A私信</x:v>
      </x:c>
      <x:c r="K1207" s="9" t="str">
        <x:v>进入与A的单聊</x:v>
      </x:c>
      <x:c r="L1207" s="10" t="str"/>
      <x:c r="M1207" s="10" t="str">
        <x:v>未测</x:v>
      </x:c>
      <x:c r="N1207" s="10" t="str"/>
      <x:c r="O1207" s="9" t="str">
        <x:v>1. 来源（当前证据）：liveshow-proto/MainBasis/统一需求文档.md；位置：行1777、行1761
2. 规则：BR-ef928643c29551a7
3. 未动态验证</x:v>
      </x:c>
    </x:row>
    <x:row r="1208" ht="85" customHeight="1">
      <x:c r="A1208" s="10" t="n">
        <x:v>1207</x:v>
      </x:c>
      <x:c r="B1208" s="10" t="str">
        <x:v>USER-03-0268</x:v>
      </x:c>
      <x:c r="C1208" s="10" t="str">
        <x:v>直播</x:v>
      </x:c>
      <x:c r="D1208" s="10" t="str">
        <x:v>在线观众-观众列表（本场主播视角）</x:v>
      </x:c>
      <x:c r="E1208" s="10" t="str">
        <x:v>功能需求</x:v>
      </x:c>
      <x:c r="F1208" s="10" t="str">
        <x:v>P2</x:v>
      </x:c>
      <x:c r="G1208" s="9" t="str">
        <x:v>验证关闭观众弹层继续直播：关闭弹层去向</x:v>
      </x:c>
      <x:c r="H1208" s="9" t="str">
        <x:v>关闭弹层去向</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返回直播间</x:v>
      </x:c>
      <x:c r="L1208" s="10" t="str"/>
      <x:c r="M1208" s="10" t="str">
        <x:v>未测</x:v>
      </x:c>
      <x:c r="N1208" s="10" t="str"/>
      <x:c r="O1208" s="9" t="str">
        <x:v>1. 来源（当前证据）：liveshow-proto/MainBasis/统一需求文档.md；位置：行1778、行1761
2. 规则：BR-b5781dd1bd9bc738
3. 未动态验证</x:v>
      </x:c>
    </x:row>
    <x:row r="1209" ht="85" customHeight="1">
      <x:c r="A1209" s="10" t="n">
        <x:v>1208</x:v>
      </x:c>
      <x:c r="B1209" s="10" t="str">
        <x:v>USER-03-0269</x:v>
      </x:c>
      <x:c r="C1209" s="10" t="str">
        <x:v>直播</x:v>
      </x:c>
      <x:c r="D1209" s="10" t="str">
        <x:v>在线观众-观众列表（本场主播视角）</x:v>
      </x:c>
      <x:c r="E1209" s="10" t="str">
        <x:v>功能需求</x:v>
      </x:c>
      <x:c r="F1209" s="10" t="str">
        <x:v>P2</x:v>
      </x:c>
      <x:c r="G1209" s="9" t="str">
        <x:v>验证关闭观众弹层继续直播：直播保持</x:v>
      </x:c>
      <x:c r="H1209" s="9" t="str">
        <x:v>直播保持</x:v>
      </x:c>
      <x:c r="I1209" s="9" t="str">
        <x:v>1. 执行角色为本场主播；当前处于在线观众-观众列表页面
2. 测试环境已准备本场真实金币贡献；数据不涉及运营虚拟金币；当前场次仍在直播</x:v>
      </x:c>
      <x:c r="J1209" s="9" t="str">
        <x:v>1. 关闭在线观众弹层</x:v>
      </x:c>
      <x:c r="K1209" s="9" t="str">
        <x:v>直播保持进行</x:v>
      </x:c>
      <x:c r="L1209" s="10" t="str"/>
      <x:c r="M1209" s="10" t="str">
        <x:v>未测</x:v>
      </x:c>
      <x:c r="N1209" s="10" t="str"/>
      <x:c r="O1209" s="9" t="str">
        <x:v>1. 来源（当前证据）：liveshow-proto/MainBasis/统一需求文档.md；位置：行1778、行1761
2. 规则：BR-0d737cf310e1ec4a
3. 未动态验证</x:v>
      </x:c>
    </x:row>
    <x:row r="1210" ht="115" customHeight="1">
      <x:c r="A1210" s="10" t="n">
        <x:v>1209</x:v>
      </x:c>
      <x:c r="B1210" s="10" t="str">
        <x:v>USER-03-0270</x:v>
      </x:c>
      <x:c r="C1210" s="10" t="str">
        <x:v>直播</x:v>
      </x:c>
      <x:c r="D1210" s="10" t="str">
        <x:v>禁用用户（本场主播视角）</x:v>
      </x:c>
      <x:c r="E1210" s="10" t="str">
        <x:v>功能需求</x:v>
      </x:c>
      <x:c r="F1210" s="10" t="str">
        <x:v>P2</x:v>
      </x:c>
      <x:c r="G1210" s="9" t="str">
        <x:v>验证禁言列表仅本场有效记录</x:v>
      </x:c>
      <x:c r="H1210" s="9" t="str">
        <x:v>展示内容</x:v>
      </x:c>
      <x:c r="I1210" s="9" t="str">
        <x:v>1. 执行角色为本场主播；当前处于禁用用户页面
2. 测试环境已准备本场真实金币贡献；数据不涉及运营虚拟金币；当前场次仍在直播
3. A本场仍被禁言；B禁言已解除；C仅上场被禁言</x:v>
      </x:c>
      <x:c r="J1210" s="9" t="str">
        <x:v>1. 查看禁言列表</x:v>
      </x:c>
      <x:c r="K1210" s="9" t="str">
        <x:v>列表仅包含A，不包含B和C</x:v>
      </x:c>
      <x:c r="L1210" s="10" t="str"/>
      <x:c r="M1210" s="10" t="str">
        <x:v>未测</x:v>
      </x:c>
      <x:c r="N1210" s="10" t="str"/>
      <x:c r="O1210" s="9" t="str">
        <x:v>1. 来源（当前证据）：liveshow-proto/MainBasis/统一需求文档.md；位置：行1785、行1781
2. 规则：BR-6a81161853fb7ba1
3. 未动态验证</x:v>
      </x:c>
    </x:row>
    <x:row r="1211" ht="115" customHeight="1">
      <x:c r="A1211" s="10" t="n">
        <x:v>1210</x:v>
      </x:c>
      <x:c r="B1211" s="10" t="str">
        <x:v>USER-03-0271</x:v>
      </x:c>
      <x:c r="C1211" s="10" t="str">
        <x:v>直播</x:v>
      </x:c>
      <x:c r="D1211" s="10" t="str">
        <x:v>禁用用户（本场主播视角）</x:v>
      </x:c>
      <x:c r="E1211" s="10" t="str">
        <x:v>功能需求</x:v>
      </x:c>
      <x:c r="F1211" s="10" t="str">
        <x:v>P2</x:v>
      </x:c>
      <x:c r="G1211" s="9" t="str">
        <x:v>验证禁言记录身份快照</x:v>
      </x:c>
      <x:c r="H1211" s="9" t="str">
        <x:v>展示内容</x:v>
      </x:c>
      <x:c r="I1211" s="9" t="str">
        <x:v>1. 执行角色为本场主播；当前处于禁用用户页面
2. 测试环境已准备本场真实金币贡献；数据不涉及运营虚拟金币；当前场次仍在直播
3. A被禁言时为房管，随后取消房管</x:v>
      </x:c>
      <x:c r="J1211" s="9" t="str">
        <x:v>1. 查看A禁言记录</x:v>
      </x:c>
      <x:c r="K1211" s="9" t="str">
        <x:v>身份信息按执行禁言时记录展示</x:v>
      </x:c>
      <x:c r="L1211" s="10" t="str"/>
      <x:c r="M1211" s="10" t="str">
        <x:v>未测</x:v>
      </x:c>
      <x:c r="N1211" s="10" t="str"/>
      <x:c r="O1211" s="9" t="str">
        <x:v>1. 来源（当前证据）：liveshow-proto/MainBasis/统一需求文档.md；位置：行1782、行1781
2. 规则：BR-651b78fbf68a51f7
3. 未动态验证</x:v>
      </x:c>
    </x:row>
    <x:row r="1212" ht="100" customHeight="1">
      <x:c r="A1212" s="10" t="n">
        <x:v>1211</x:v>
      </x:c>
      <x:c r="B1212" s="10" t="str">
        <x:v>USER-03-0272</x:v>
      </x:c>
      <x:c r="C1212" s="10" t="str">
        <x:v>直播</x:v>
      </x:c>
      <x:c r="D1212" s="10" t="str">
        <x:v>禁用用户（本场主播视角）</x:v>
      </x:c>
      <x:c r="E1212" s="10" t="str">
        <x:v>功能需求</x:v>
      </x:c>
      <x:c r="F1212" s="10" t="str">
        <x:v>P2</x:v>
      </x:c>
      <x:c r="G1212" s="9" t="str">
        <x:v>验证主播执行禁言记录</x:v>
      </x:c>
      <x:c r="H1212" s="9" t="str">
        <x:v>展示内容</x:v>
      </x:c>
      <x:c r="I1212" s="9" t="str">
        <x:v>1. 执行角色为本场主播；当前处于禁用用户页面
2. 测试环境已准备本场真实金币贡献；数据不涉及运营虚拟金币；当前场次仍在直播
3. A由当前主播执行禁言</x:v>
      </x:c>
      <x:c r="J1212" s="9" t="str">
        <x:v>1. 查看A禁言记录</x:v>
      </x:c>
      <x:c r="K1212" s="9" t="str">
        <x:v>操作人为当前主播</x:v>
      </x:c>
      <x:c r="L1212" s="10" t="str"/>
      <x:c r="M1212" s="10" t="str">
        <x:v>未测</x:v>
      </x:c>
      <x:c r="N1212" s="10" t="str"/>
      <x:c r="O1212" s="9" t="str">
        <x:v>1. 来源（当前证据）：liveshow-proto/MainBasis/统一需求文档.md；位置：行1783、行1781
2. 规则：BR-56d177b8cb8b4559
3. 未动态验证</x:v>
      </x:c>
    </x:row>
    <x:row r="1213" ht="100" customHeight="1">
      <x:c r="A1213" s="10" t="n">
        <x:v>1212</x:v>
      </x:c>
      <x:c r="B1213" s="10" t="str">
        <x:v>USER-03-0273</x:v>
      </x:c>
      <x:c r="C1213" s="10" t="str">
        <x:v>直播</x:v>
      </x:c>
      <x:c r="D1213" s="10" t="str">
        <x:v>禁用用户（本场主播视角）</x:v>
      </x:c>
      <x:c r="E1213" s="10" t="str">
        <x:v>功能需求</x:v>
      </x:c>
      <x:c r="F1213" s="10" t="str">
        <x:v>P2</x:v>
      </x:c>
      <x:c r="G1213" s="9" t="str">
        <x:v>验证房管执行禁言记录</x:v>
      </x:c>
      <x:c r="H1213" s="9" t="str">
        <x:v>展示内容</x:v>
      </x:c>
      <x:c r="I1213" s="9" t="str">
        <x:v>1. 执行角色为本场主播；当前处于禁用用户页面
2. 测试环境已准备本场真实金币贡献；数据不涉及运营虚拟金币；当前场次仍在直播
3. A由房管B执行禁言</x:v>
      </x:c>
      <x:c r="J1213" s="9" t="str">
        <x:v>1. 查看A禁言记录</x:v>
      </x:c>
      <x:c r="K1213" s="9" t="str">
        <x:v>操作人为房管B</x:v>
      </x:c>
      <x:c r="L1213" s="10" t="str"/>
      <x:c r="M1213" s="10" t="str">
        <x:v>未测</x:v>
      </x:c>
      <x:c r="N1213" s="10" t="str"/>
      <x:c r="O1213" s="9" t="str">
        <x:v>1. 来源（当前证据）：liveshow-proto/MainBasis/统一需求文档.md；位置：行1783、行1781
2. 规则：BR-2ba3d8947aafefd8
3. 未动态验证</x:v>
      </x:c>
    </x:row>
    <x:row r="1214" ht="85" customHeight="1">
      <x:c r="A1214" s="10" t="n">
        <x:v>1213</x:v>
      </x:c>
      <x:c r="B1214" s="10" t="str">
        <x:v>USER-02-0162</x:v>
      </x:c>
      <x:c r="C1214" s="10" t="str">
        <x:v>首页与福利</x:v>
      </x:c>
      <x:c r="D1214" s="10" t="str">
        <x:v>贡献榜（普通用户视角）</x:v>
      </x:c>
      <x:c r="E1214" s="10" t="str">
        <x:v>功能需求</x:v>
      </x:c>
      <x:c r="F1214" s="10" t="str">
        <x:v>P2</x:v>
      </x:c>
      <x:c r="G1214" s="9" t="str">
        <x:v>验证贡献榜账号资料：榜单头像</x:v>
      </x:c>
      <x:c r="H1214" s="9" t="str">
        <x:v>榜单头像</x:v>
      </x:c>
      <x:c r="I1214" s="9" t="str">
        <x:v>1. 执行角色为普通用户；当前处于贡献榜页面
2. 榜内账号A昵称QA贡献、头像已上传、财富等级5</x:v>
      </x:c>
      <x:c r="J1214" s="9" t="str">
        <x:v>1. 查看账号A资料</x:v>
      </x:c>
      <x:c r="K1214" s="9" t="str">
        <x:v>显示A当前头像</x:v>
      </x:c>
      <x:c r="L1214" s="10" t="str"/>
      <x:c r="M1214" s="10" t="str">
        <x:v>未测</x:v>
      </x:c>
      <x:c r="N1214" s="10" t="str"/>
      <x:c r="O1214" s="9" t="str">
        <x:v>1. 来源（当前证据）：liveshow-proto/MainBasis/统一需求文档.md；位置：行559、行553
2. 规则：BR-e67bc5736bfb13d2
3. 未动态验证</x:v>
      </x:c>
    </x:row>
    <x:row r="1215" ht="85" customHeight="1">
      <x:c r="A1215" s="10" t="n">
        <x:v>1214</x:v>
      </x:c>
      <x:c r="B1215" s="10" t="str">
        <x:v>USER-02-0163</x:v>
      </x:c>
      <x:c r="C1215" s="10" t="str">
        <x:v>首页与福利</x:v>
      </x:c>
      <x:c r="D1215" s="10" t="str">
        <x:v>贡献榜（普通用户视角）</x:v>
      </x:c>
      <x:c r="E1215" s="10" t="str">
        <x:v>功能需求</x:v>
      </x:c>
      <x:c r="F1215" s="10" t="str">
        <x:v>P2</x:v>
      </x:c>
      <x:c r="G1215" s="9" t="str">
        <x:v>验证贡献榜账号资料：榜单昵称</x:v>
      </x:c>
      <x:c r="H1215" s="9" t="str">
        <x:v>榜单昵称</x:v>
      </x:c>
      <x:c r="I1215" s="9" t="str">
        <x:v>1. 执行角色为普通用户；当前处于贡献榜页面
2. 榜内账号A昵称QA贡献、头像已上传、财富等级5</x:v>
      </x:c>
      <x:c r="J1215" s="9" t="str">
        <x:v>1. 查看账号A资料</x:v>
      </x:c>
      <x:c r="K1215" s="9" t="str">
        <x:v>显示昵称QA贡献</x:v>
      </x:c>
      <x:c r="L1215" s="10" t="str"/>
      <x:c r="M1215" s="10" t="str">
        <x:v>未测</x:v>
      </x:c>
      <x:c r="N1215" s="10" t="str"/>
      <x:c r="O1215" s="9" t="str">
        <x:v>1. 来源（当前证据）：liveshow-proto/MainBasis/统一需求文档.md；位置：行559、行553
2. 规则：BR-d21f51787495c81d
3. 未动态验证</x:v>
      </x:c>
    </x:row>
    <x:row r="1216" ht="85" customHeight="1">
      <x:c r="A1216" s="10" t="n">
        <x:v>1215</x:v>
      </x:c>
      <x:c r="B1216" s="10" t="str">
        <x:v>USER-02-0164</x:v>
      </x:c>
      <x:c r="C1216" s="10" t="str">
        <x:v>首页与福利</x:v>
      </x:c>
      <x:c r="D1216" s="10" t="str">
        <x:v>贡献榜（普通用户视角）</x:v>
      </x:c>
      <x:c r="E1216" s="10" t="str">
        <x:v>功能需求</x:v>
      </x:c>
      <x:c r="F1216" s="10" t="str">
        <x:v>P2</x:v>
      </x:c>
      <x:c r="G1216" s="9" t="str">
        <x:v>验证贡献榜账号资料：榜单财富等级</x:v>
      </x:c>
      <x:c r="H1216" s="9" t="str">
        <x:v>榜单财富等级</x:v>
      </x:c>
      <x:c r="I1216" s="9" t="str">
        <x:v>1. 执行角色为普通用户；当前处于贡献榜页面
2. 榜内账号A昵称QA贡献、头像已上传、财富等级5</x:v>
      </x:c>
      <x:c r="J1216" s="9" t="str">
        <x:v>1. 查看账号A资料</x:v>
      </x:c>
      <x:c r="K1216" s="9" t="str">
        <x:v>显示财富等级5</x:v>
      </x:c>
      <x:c r="L1216" s="10" t="str"/>
      <x:c r="M1216" s="10" t="str">
        <x:v>未测</x:v>
      </x:c>
      <x:c r="N1216" s="10" t="str"/>
      <x:c r="O1216" s="9" t="str">
        <x:v>1. 来源（当前证据）：liveshow-proto/MainBasis/统一需求文档.md；位置：行559、行553
2. 规则：BR-9c155f257d71c022
3. 未动态验证</x:v>
      </x:c>
    </x:row>
    <x:row r="1217" ht="85" customHeight="1">
      <x:c r="A1217" s="10" t="n">
        <x:v>1216</x:v>
      </x:c>
      <x:c r="B1217" s="10" t="str">
        <x:v>USER-02-0165</x:v>
      </x:c>
      <x:c r="C1217" s="10" t="str">
        <x:v>首页与福利</x:v>
      </x:c>
      <x:c r="D1217" s="10" t="str">
        <x:v>搜索结果（普通用户视角）</x:v>
      </x:c>
      <x:c r="E1217" s="10" t="str">
        <x:v>功能需求</x:v>
      </x:c>
      <x:c r="F1217" s="10" t="str">
        <x:v>P2</x:v>
      </x:c>
      <x:c r="G1217" s="9" t="str">
        <x:v>验证搜索账号当前资料</x:v>
      </x:c>
      <x:c r="H1217" s="9" t="str">
        <x:v>展示内容</x:v>
      </x:c>
      <x:c r="I1217" s="9" t="str">
        <x:v>1. 执行角色为普通用户；当前处于搜索结果页面
2. 搜索命中A；A已将昵称改为QA新名字并更新头像</x:v>
      </x:c>
      <x:c r="J1217" s="9" t="str">
        <x:v>1. 查看搜索命中账号A</x:v>
      </x:c>
      <x:c r="K1217" s="9" t="str">
        <x:v>显示A当前头像与昵称QA新名字</x:v>
      </x:c>
      <x:c r="L1217" s="10" t="str"/>
      <x:c r="M1217" s="10" t="str">
        <x:v>未测</x:v>
      </x:c>
      <x:c r="N1217" s="10" t="str"/>
      <x:c r="O1217" s="9" t="str">
        <x:v>1. 来源（当前证据）：liveshow-proto/MainBasis/统一需求文档.md；位置：行585、行582
2. 规则：BR-c63a3d82f83e689b
3. 未动态验证</x:v>
      </x:c>
    </x:row>
    <x:row r="1218" ht="85" customHeight="1">
      <x:c r="A1218" s="10" t="n">
        <x:v>1217</x:v>
      </x:c>
      <x:c r="B1218" s="10" t="str">
        <x:v>USER-02-0166</x:v>
      </x:c>
      <x:c r="C1218" s="10" t="str">
        <x:v>首页与福利</x:v>
      </x:c>
      <x:c r="D1218" s="10" t="str">
        <x:v>充值福利（普通用户视角）</x:v>
      </x:c>
      <x:c r="E1218" s="10" t="str">
        <x:v>功能需求</x:v>
      </x:c>
      <x:c r="F1218" s="10" t="str">
        <x:v>P2</x:v>
      </x:c>
      <x:c r="G1218" s="9" t="str">
        <x:v>验证签到周期展示：连续签到进度</x:v>
      </x:c>
      <x:c r="H1218" s="9" t="str">
        <x:v>连续签到进度</x:v>
      </x:c>
      <x:c r="I1218" s="9" t="str">
        <x:v>1. 执行角色为普通用户；当前处于充值福利页面
2. 当前连续签到2天，第3天为今日；奖励配置已提供</x:v>
      </x:c>
      <x:c r="J1218" s="9" t="str">
        <x:v>1. 查看签到周期</x:v>
      </x:c>
      <x:c r="K1218" s="9" t="str">
        <x:v>第1、2天标记为已签到</x:v>
      </x:c>
      <x:c r="L1218" s="10" t="str"/>
      <x:c r="M1218" s="10" t="str">
        <x:v>未测</x:v>
      </x:c>
      <x:c r="N1218" s="10" t="str"/>
      <x:c r="O1218" s="9" t="str">
        <x:v>1. 来源（当前证据）：liveshow-proto/MainBasis/统一需求文档.md；位置：行599、行594
2. 规则：BR-b8d1fab15c869b9a
3. 未动态验证</x:v>
      </x:c>
    </x:row>
    <x:row r="1219" ht="85" customHeight="1">
      <x:c r="A1219" s="10" t="n">
        <x:v>1218</x:v>
      </x:c>
      <x:c r="B1219" s="10" t="str">
        <x:v>USER-02-0167</x:v>
      </x:c>
      <x:c r="C1219" s="10" t="str">
        <x:v>首页与福利</x:v>
      </x:c>
      <x:c r="D1219" s="10" t="str">
        <x:v>充值福利（普通用户视角）</x:v>
      </x:c>
      <x:c r="E1219" s="10" t="str">
        <x:v>功能需求</x:v>
      </x:c>
      <x:c r="F1219" s="10" t="str">
        <x:v>P2</x:v>
      </x:c>
      <x:c r="G1219" s="9" t="str">
        <x:v>验证签到周期展示：今日签到位置</x:v>
      </x:c>
      <x:c r="H1219" s="9" t="str">
        <x:v>今日签到位置</x:v>
      </x:c>
      <x:c r="I1219" s="9" t="str">
        <x:v>1. 执行角色为普通用户；当前处于充值福利页面
2. 当前连续签到2天，第3天为今日；奖励配置已提供</x:v>
      </x:c>
      <x:c r="J1219" s="9" t="str">
        <x:v>1. 查看签到周期</x:v>
      </x:c>
      <x:c r="K1219" s="9" t="str">
        <x:v>第3天标记为今日</x:v>
      </x:c>
      <x:c r="L1219" s="10" t="str"/>
      <x:c r="M1219" s="10" t="str">
        <x:v>未测</x:v>
      </x:c>
      <x:c r="N1219" s="10" t="str"/>
      <x:c r="O1219" s="9" t="str">
        <x:v>1. 来源（当前证据）：liveshow-proto/MainBasis/统一需求文档.md；位置：行599、行594
2. 规则：BR-c3eb5edb58e6a75e
3. 未动态验证</x:v>
      </x:c>
    </x:row>
    <x:row r="1220" ht="85" customHeight="1">
      <x:c r="A1220" s="10" t="n">
        <x:v>1219</x:v>
      </x:c>
      <x:c r="B1220" s="10" t="str">
        <x:v>USER-02-0168</x:v>
      </x:c>
      <x:c r="C1220" s="10" t="str">
        <x:v>首页与福利</x:v>
      </x:c>
      <x:c r="D1220" s="10" t="str">
        <x:v>充值福利（普通用户视角）</x:v>
      </x:c>
      <x:c r="E1220" s="10" t="str">
        <x:v>功能需求</x:v>
      </x:c>
      <x:c r="F1220" s="10" t="str">
        <x:v>P2</x:v>
      </x:c>
      <x:c r="G1220" s="9" t="str">
        <x:v>验证签到周期展示：签到档位奖励</x:v>
      </x:c>
      <x:c r="H1220" s="9" t="str">
        <x:v>签到档位奖励</x:v>
      </x:c>
      <x:c r="I1220" s="9" t="str">
        <x:v>1. 执行角色为普通用户；当前处于充值福利页面
2. 当前连续签到2天，第3天为今日；奖励配置已提供</x:v>
      </x:c>
      <x:c r="J1220" s="9" t="str">
        <x:v>1. 查看签到周期</x:v>
      </x:c>
      <x:c r="K1220" s="9" t="str">
        <x:v>各日期奖励与当前配置对应</x:v>
      </x:c>
      <x:c r="L1220" s="10" t="str"/>
      <x:c r="M1220" s="10" t="str">
        <x:v>未测</x:v>
      </x:c>
      <x:c r="N1220" s="10" t="str"/>
      <x:c r="O1220" s="9" t="str">
        <x:v>1. 来源（当前证据）：liveshow-proto/MainBasis/统一需求文档.md；位置：行599、行594
2. 规则：BR-ac04c23e75daa6fa
3. 未动态验证</x:v>
      </x:c>
    </x:row>
    <x:row r="1221" ht="85" customHeight="1">
      <x:c r="A1221" s="10" t="n">
        <x:v>1220</x:v>
      </x:c>
      <x:c r="B1221" s="10" t="str">
        <x:v>USER-02-0169</x:v>
      </x:c>
      <x:c r="C1221" s="10" t="str">
        <x:v>首页与福利</x:v>
      </x:c>
      <x:c r="D1221" s="10" t="str">
        <x:v>充值福利（普通用户视角）</x:v>
      </x:c>
      <x:c r="E1221" s="10" t="str">
        <x:v>功能需求</x:v>
      </x:c>
      <x:c r="F1221" s="10" t="str">
        <x:v>P2</x:v>
      </x:c>
      <x:c r="G1221" s="9" t="str">
        <x:v>验证任务配置展示：任务名称</x:v>
      </x:c>
      <x:c r="H1221" s="9" t="str">
        <x:v>任务名称</x:v>
      </x:c>
      <x:c r="I1221" s="9" t="str">
        <x:v>1. 执行角色为普通用户；当前处于充值福利页面
2. 配置任务QA观看：目标10分钟、当前5分钟、奖励20金币</x:v>
      </x:c>
      <x:c r="J1221" s="9" t="str">
        <x:v>1. 查看QA观看任务</x:v>
      </x:c>
      <x:c r="K1221" s="9" t="str">
        <x:v>显示QA观看</x:v>
      </x:c>
      <x:c r="L1221" s="10" t="str"/>
      <x:c r="M1221" s="10" t="str">
        <x:v>未测</x:v>
      </x:c>
      <x:c r="N1221" s="10" t="str"/>
      <x:c r="O1221" s="9" t="str">
        <x:v>1. 来源（当前证据）：liveshow-proto/MainBasis/统一需求文档.md；位置：行601、行616、行594
2. 规则：BR-c0c01698fc5efd08
3. 未动态验证</x:v>
      </x:c>
    </x:row>
    <x:row r="1222" ht="85" customHeight="1">
      <x:c r="A1222" s="10" t="n">
        <x:v>1221</x:v>
      </x:c>
      <x:c r="B1222" s="10" t="str">
        <x:v>USER-02-0170</x:v>
      </x:c>
      <x:c r="C1222" s="10" t="str">
        <x:v>首页与福利</x:v>
      </x:c>
      <x:c r="D1222" s="10" t="str">
        <x:v>充值福利（普通用户视角）</x:v>
      </x:c>
      <x:c r="E1222" s="10" t="str">
        <x:v>功能需求</x:v>
      </x:c>
      <x:c r="F1222" s="10" t="str">
        <x:v>P2</x:v>
      </x:c>
      <x:c r="G1222" s="9" t="str">
        <x:v>验证任务配置展示：当前任务进度</x:v>
      </x:c>
      <x:c r="H1222" s="9" t="str">
        <x:v>当前任务进度</x:v>
      </x:c>
      <x:c r="I1222" s="9" t="str">
        <x:v>1. 执行角色为普通用户；当前处于充值福利页面
2. 配置任务QA观看：目标10分钟、当前5分钟、奖励20金币</x:v>
      </x:c>
      <x:c r="J1222" s="9" t="str">
        <x:v>1. 查看QA观看任务</x:v>
      </x:c>
      <x:c r="K1222" s="9" t="str">
        <x:v>显示当前5分钟</x:v>
      </x:c>
      <x:c r="L1222" s="10" t="str"/>
      <x:c r="M1222" s="10" t="str">
        <x:v>未测</x:v>
      </x:c>
      <x:c r="N1222" s="10" t="str"/>
      <x:c r="O1222" s="9" t="str">
        <x:v>1. 来源（当前证据）：liveshow-proto/MainBasis/统一需求文档.md；位置：行601、行616、行594
2. 规则：BR-3d5bbd96177da850
3. 未动态验证</x:v>
      </x:c>
    </x:row>
    <x:row r="1223" ht="85" customHeight="1">
      <x:c r="A1223" s="10" t="n">
        <x:v>1222</x:v>
      </x:c>
      <x:c r="B1223" s="10" t="str">
        <x:v>USER-02-0171</x:v>
      </x:c>
      <x:c r="C1223" s="10" t="str">
        <x:v>首页与福利</x:v>
      </x:c>
      <x:c r="D1223" s="10" t="str">
        <x:v>充值福利（普通用户视角）</x:v>
      </x:c>
      <x:c r="E1223" s="10" t="str">
        <x:v>功能需求</x:v>
      </x:c>
      <x:c r="F1223" s="10" t="str">
        <x:v>P2</x:v>
      </x:c>
      <x:c r="G1223" s="9" t="str">
        <x:v>验证任务配置展示：任务目标</x:v>
      </x:c>
      <x:c r="H1223" s="9" t="str">
        <x:v>任务目标</x:v>
      </x:c>
      <x:c r="I1223" s="9" t="str">
        <x:v>1. 执行角色为普通用户；当前处于充值福利页面
2. 配置任务QA观看：目标10分钟、当前5分钟、奖励20金币</x:v>
      </x:c>
      <x:c r="J1223" s="9" t="str">
        <x:v>1. 查看QA观看任务</x:v>
      </x:c>
      <x:c r="K1223" s="9" t="str">
        <x:v>显示目标10分钟</x:v>
      </x:c>
      <x:c r="L1223" s="10" t="str"/>
      <x:c r="M1223" s="10" t="str">
        <x:v>未测</x:v>
      </x:c>
      <x:c r="N1223" s="10" t="str"/>
      <x:c r="O1223" s="9" t="str">
        <x:v>1. 来源（当前证据）：liveshow-proto/MainBasis/统一需求文档.md；位置：行601、行616、行594
2. 规则：BR-6d727ff1bf757f0a
3. 未动态验证</x:v>
      </x:c>
    </x:row>
    <x:row r="1224" ht="85" customHeight="1">
      <x:c r="A1224" s="10" t="n">
        <x:v>1223</x:v>
      </x:c>
      <x:c r="B1224" s="10" t="str">
        <x:v>USER-02-0172</x:v>
      </x:c>
      <x:c r="C1224" s="10" t="str">
        <x:v>首页与福利</x:v>
      </x:c>
      <x:c r="D1224" s="10" t="str">
        <x:v>充值福利（普通用户视角）</x:v>
      </x:c>
      <x:c r="E1224" s="10" t="str">
        <x:v>功能需求</x:v>
      </x:c>
      <x:c r="F1224" s="10" t="str">
        <x:v>P2</x:v>
      </x:c>
      <x:c r="G1224" s="9" t="str">
        <x:v>验证任务配置展示：任务奖励</x:v>
      </x:c>
      <x:c r="H1224" s="9" t="str">
        <x:v>任务奖励</x:v>
      </x:c>
      <x:c r="I1224" s="9" t="str">
        <x:v>1. 执行角色为普通用户；当前处于充值福利页面
2. 配置任务QA观看：目标10分钟、当前5分钟、奖励20金币</x:v>
      </x:c>
      <x:c r="J1224" s="9" t="str">
        <x:v>1. 查看QA观看任务</x:v>
      </x:c>
      <x:c r="K1224" s="9" t="str">
        <x:v>显示奖励20金币</x:v>
      </x:c>
      <x:c r="L1224" s="10" t="str"/>
      <x:c r="M1224" s="10" t="str">
        <x:v>未测</x:v>
      </x:c>
      <x:c r="N1224" s="10" t="str"/>
      <x:c r="O1224" s="9" t="str">
        <x:v>1. 来源（当前证据）：liveshow-proto/MainBasis/统一需求文档.md；位置：行601、行616、行594
2. 规则：BR-5141377a9f2f4765
3. 未动态验证</x:v>
      </x:c>
    </x:row>
    <x:row r="1225" ht="85" customHeight="1">
      <x:c r="A1225" s="10" t="n">
        <x:v>1224</x:v>
      </x:c>
      <x:c r="B1225" s="10" t="str">
        <x:v>USER-02-0173</x:v>
      </x:c>
      <x:c r="C1225" s="10" t="str">
        <x:v>首页与福利</x:v>
      </x:c>
      <x:c r="D1225" s="10" t="str">
        <x:v>充值福利（普通用户视角）</x:v>
      </x:c>
      <x:c r="E1225" s="10" t="str">
        <x:v>功能需求</x:v>
      </x:c>
      <x:c r="F1225" s="10" t="str">
        <x:v>P2</x:v>
      </x:c>
      <x:c r="G1225" s="9" t="str">
        <x:v>验证邀请卡片奖励配置</x:v>
      </x:c>
      <x:c r="H1225" s="9" t="str">
        <x:v>资产数值</x:v>
      </x:c>
      <x:c r="I1225" s="9" t="str">
        <x:v>1. 执行角色为普通用户；当前处于充值福利页面
2. 当前每位有效邀请奖励配置为20金币</x:v>
      </x:c>
      <x:c r="J1225" s="9" t="str">
        <x:v>1. 查看邀请好友卡片</x:v>
      </x:c>
      <x:c r="K1225" s="9" t="str">
        <x:v>显示每位有效邀请奖励20金币</x:v>
      </x:c>
      <x:c r="L1225" s="10" t="str"/>
      <x:c r="M1225" s="10" t="str">
        <x:v>未测</x:v>
      </x:c>
      <x:c r="N1225" s="10" t="str"/>
      <x:c r="O1225" s="9" t="str">
        <x:v>1. 来源（当前证据）：liveshow-proto/MainBasis/统一需求文档.md；位置：行604、行594
2. 规则：BR-fb68e7b5cf3cdca2
3. 未动态验证</x:v>
      </x:c>
    </x:row>
    <x:row r="1226" ht="85" customHeight="1">
      <x:c r="A1226" s="10" t="n">
        <x:v>1225</x:v>
      </x:c>
      <x:c r="B1226" s="10" t="str">
        <x:v>USER-04-0138</x:v>
      </x:c>
      <x:c r="C1226" s="10" t="str">
        <x:v>消息与社交</x:v>
      </x:c>
      <x:c r="D1226" s="10" t="str">
        <x:v>消息（普通用户视角）</x:v>
      </x:c>
      <x:c r="E1226" s="10" t="str">
        <x:v>功能需求</x:v>
      </x:c>
      <x:c r="F1226" s="10" t="str">
        <x:v>P2</x:v>
      </x:c>
      <x:c r="G1226" s="9" t="str">
        <x:v>验证消息分类入口：消息分类集合</x:v>
      </x:c>
      <x:c r="H1226" s="9" t="str">
        <x:v>消息分类集合</x:v>
      </x:c>
      <x:c r="I1226" s="9" t="str">
        <x:v>1. 执行角色为普通用户；当前处于消息页面
2. 当前账号存在各类消息</x:v>
      </x:c>
      <x:c r="J1226" s="9" t="str">
        <x:v>1. 查看消息分类</x:v>
      </x:c>
      <x:c r="K1226" s="9" t="str">
        <x:v>可见入口集合为系统通知、互动通知、私信、粉丝团群聊</x:v>
      </x:c>
      <x:c r="L1226" s="10" t="str"/>
      <x:c r="M1226" s="10" t="str">
        <x:v>未测</x:v>
      </x:c>
      <x:c r="N1226" s="10" t="str"/>
      <x:c r="O1226" s="9" t="str">
        <x:v>1. 来源（当前证据）：liveshow-proto/MainBasis/统一需求文档.md；位置：行657、行653
2. 规则：BR-8b0a5412243c84de
3. 未动态验证</x:v>
      </x:c>
    </x:row>
    <x:row r="1227" ht="85" customHeight="1">
      <x:c r="A1227" s="10" t="n">
        <x:v>1226</x:v>
      </x:c>
      <x:c r="B1227" s="10" t="str">
        <x:v>USER-04-0139</x:v>
      </x:c>
      <x:c r="C1227" s="10" t="str">
        <x:v>消息与社交</x:v>
      </x:c>
      <x:c r="D1227" s="10" t="str">
        <x:v>系统通知（普通用户视角）</x:v>
      </x:c>
      <x:c r="E1227" s="10" t="str">
        <x:v>功能需求</x:v>
      </x:c>
      <x:c r="F1227" s="10" t="str">
        <x:v>P2</x:v>
      </x:c>
      <x:c r="G1227" s="9" t="str">
        <x:v>验证系统通知类型</x:v>
      </x:c>
      <x:c r="H1227" s="9" t="str">
        <x:v>展示内容</x:v>
      </x:c>
      <x:c r="I1227" s="9" t="str">
        <x:v>1. 执行角色为普通用户；当前处于系统通知页面
2. 已向本账号发送公会关系、主播身份、直播权限、平台系统四类通知</x:v>
      </x:c>
      <x:c r="J1227" s="9" t="str">
        <x:v>1. 查看系统通知列表</x:v>
      </x:c>
      <x:c r="K1227" s="9" t="str">
        <x:v>显示四类通知各自对应的内容</x:v>
      </x:c>
      <x:c r="L1227" s="10" t="str"/>
      <x:c r="M1227" s="10" t="str">
        <x:v>未测</x:v>
      </x:c>
      <x:c r="N1227" s="10" t="str"/>
      <x:c r="O1227" s="9" t="str">
        <x:v>1. 来源（当前证据）：liveshow-proto/MainBasis/统一需求文档.md；位置：行668、行666
2. 规则：BR-7e85f9ef1f7ca574
3. 未动态验证</x:v>
      </x:c>
    </x:row>
    <x:row r="1228" ht="85" customHeight="1">
      <x:c r="A1228" s="10" t="n">
        <x:v>1227</x:v>
      </x:c>
      <x:c r="B1228" s="10" t="str">
        <x:v>USER-04-0140</x:v>
      </x:c>
      <x:c r="C1228" s="10" t="str">
        <x:v>消息与社交</x:v>
      </x:c>
      <x:c r="D1228" s="10" t="str">
        <x:v>粉丝列表（普通用户视角）</x:v>
      </x:c>
      <x:c r="E1228" s="10" t="str">
        <x:v>功能需求</x:v>
      </x:c>
      <x:c r="F1228" s="10" t="str">
        <x:v>P2</x:v>
      </x:c>
      <x:c r="G1228" s="9" t="str">
        <x:v>验证粉丝当前资料：粉丝头像</x:v>
      </x:c>
      <x:c r="H1228" s="9" t="str">
        <x:v>粉丝头像</x:v>
      </x:c>
      <x:c r="I1228" s="9" t="str">
        <x:v>1. 执行角色为普通用户；当前处于粉丝列表页面
2. A当前关注我，昵称QA粉丝并已上传头像</x:v>
      </x:c>
      <x:c r="J1228" s="9" t="str">
        <x:v>1. 查看A用户行</x:v>
      </x:c>
      <x:c r="K1228" s="9" t="str">
        <x:v>显示A当前头像</x:v>
      </x:c>
      <x:c r="L1228" s="10" t="str"/>
      <x:c r="M1228" s="10" t="str">
        <x:v>未测</x:v>
      </x:c>
      <x:c r="N1228" s="10" t="str"/>
      <x:c r="O1228" s="9" t="str">
        <x:v>1. 来源（当前证据）：liveshow-proto/MainBasis/统一需求文档.md；位置：行710、行707
2. 规则：BR-049e1e45ba09e619
3. 未动态验证</x:v>
      </x:c>
    </x:row>
    <x:row r="1229" ht="85" customHeight="1">
      <x:c r="A1229" s="10" t="n">
        <x:v>1228</x:v>
      </x:c>
      <x:c r="B1229" s="10" t="str">
        <x:v>USER-04-0141</x:v>
      </x:c>
      <x:c r="C1229" s="10" t="str">
        <x:v>消息与社交</x:v>
      </x:c>
      <x:c r="D1229" s="10" t="str">
        <x:v>粉丝列表（普通用户视角）</x:v>
      </x:c>
      <x:c r="E1229" s="10" t="str">
        <x:v>功能需求</x:v>
      </x:c>
      <x:c r="F1229" s="10" t="str">
        <x:v>P2</x:v>
      </x:c>
      <x:c r="G1229" s="9" t="str">
        <x:v>验证粉丝当前资料：粉丝昵称</x:v>
      </x:c>
      <x:c r="H1229" s="9" t="str">
        <x:v>粉丝昵称</x:v>
      </x:c>
      <x:c r="I1229" s="9" t="str">
        <x:v>1. 执行角色为普通用户；当前处于粉丝列表页面
2. A当前关注我，昵称QA粉丝并已上传头像</x:v>
      </x:c>
      <x:c r="J1229" s="9" t="str">
        <x:v>1. 查看A用户行</x:v>
      </x:c>
      <x:c r="K1229" s="9" t="str">
        <x:v>显示昵称QA粉丝</x:v>
      </x:c>
      <x:c r="L1229" s="10" t="str"/>
      <x:c r="M1229" s="10" t="str">
        <x:v>未测</x:v>
      </x:c>
      <x:c r="N1229" s="10" t="str"/>
      <x:c r="O1229" s="9" t="str">
        <x:v>1. 来源（当前证据）：liveshow-proto/MainBasis/统一需求文档.md；位置：行710、行707
2. 规则：BR-d21355b35efb7d4d
3. 未动态验证</x:v>
      </x:c>
    </x:row>
    <x:row r="1230" ht="85" customHeight="1">
      <x:c r="A1230" s="10" t="n">
        <x:v>1229</x:v>
      </x:c>
      <x:c r="B1230" s="10" t="str">
        <x:v>USER-04-0142</x:v>
      </x:c>
      <x:c r="C1230" s="10" t="str">
        <x:v>消息与社交</x:v>
      </x:c>
      <x:c r="D1230" s="10" t="str">
        <x:v>粉丝列表（普通用户视角）</x:v>
      </x:c>
      <x:c r="E1230" s="10" t="str">
        <x:v>功能需求</x:v>
      </x:c>
      <x:c r="F1230" s="10" t="str">
        <x:v>P2</x:v>
      </x:c>
      <x:c r="G1230" s="9" t="str">
        <x:v>验证粉丝财富等级</x:v>
      </x:c>
      <x:c r="H1230" s="9" t="str">
        <x:v>展示内容</x:v>
      </x:c>
      <x:c r="I1230" s="9" t="str">
        <x:v>1. 执行角色为普通用户；当前处于粉丝列表页面
2. A当前财富5级</x:v>
      </x:c>
      <x:c r="J1230" s="9" t="str">
        <x:v>1. 查看A用户行</x:v>
      </x:c>
      <x:c r="K1230" s="9" t="str">
        <x:v>显示A财富等级5</x:v>
      </x:c>
      <x:c r="L1230" s="10" t="str"/>
      <x:c r="M1230" s="10" t="str">
        <x:v>未测</x:v>
      </x:c>
      <x:c r="N1230" s="10" t="str"/>
      <x:c r="O1230" s="9" t="str">
        <x:v>1. 来源（当前证据）：liveshow-proto/MainBasis/统一需求文档.md；位置：行711、行707
2. 规则：BR-7536fb7f29e200e9
3. 未动态验证</x:v>
      </x:c>
    </x:row>
    <x:row r="1231" ht="85" customHeight="1">
      <x:c r="A1231" s="10" t="n">
        <x:v>1230</x:v>
      </x:c>
      <x:c r="B1231" s="10" t="str">
        <x:v>USER-04-0143</x:v>
      </x:c>
      <x:c r="C1231" s="10" t="str">
        <x:v>消息与社交</x:v>
      </x:c>
      <x:c r="D1231" s="10" t="str">
        <x:v>粉丝列表（普通用户视角）</x:v>
      </x:c>
      <x:c r="E1231" s="10" t="str">
        <x:v>功能需求</x:v>
      </x:c>
      <x:c r="F1231" s="10" t="str">
        <x:v>P2</x:v>
      </x:c>
      <x:c r="G1231" s="9" t="str">
        <x:v>验证粉丝当前勋章</x:v>
      </x:c>
      <x:c r="H1231" s="9" t="str">
        <x:v>展示内容</x:v>
      </x:c>
      <x:c r="I1231" s="9" t="str">
        <x:v>1. 执行角色为普通用户；当前处于粉丝列表页面
2. A当前已佩戴勋章M</x:v>
      </x:c>
      <x:c r="J1231" s="9" t="str">
        <x:v>1. 查看A用户行</x:v>
      </x:c>
      <x:c r="K1231" s="9" t="str">
        <x:v>显示A当前勋章M</x:v>
      </x:c>
      <x:c r="L1231" s="10" t="str"/>
      <x:c r="M1231" s="10" t="str">
        <x:v>未测</x:v>
      </x:c>
      <x:c r="N1231" s="10" t="str"/>
      <x:c r="O1231" s="9" t="str">
        <x:v>1. 来源（当前证据）：liveshow-proto/MainBasis/统一需求文档.md；位置：行712、行707
2. 规则：BR-d2b461d12fdcde77
3. 未动态验证</x:v>
      </x:c>
    </x:row>
    <x:row r="1232" ht="85" customHeight="1">
      <x:c r="A1232" s="10" t="n">
        <x:v>1231</x:v>
      </x:c>
      <x:c r="B1232" s="10" t="str">
        <x:v>USER-05-0230</x:v>
      </x:c>
      <x:c r="C1232" s="10" t="str">
        <x:v>我的</x:v>
      </x:c>
      <x:c r="D1232" s="10" t="str">
        <x:v>我的关注（普通用户视角）</x:v>
      </x:c>
      <x:c r="E1232" s="10" t="str">
        <x:v>功能需求</x:v>
      </x:c>
      <x:c r="F1232" s="10" t="str">
        <x:v>P2</x:v>
      </x:c>
      <x:c r="G1232" s="9" t="str">
        <x:v>验证关注账号资料：关注头像</x:v>
      </x:c>
      <x:c r="H1232" s="9" t="str">
        <x:v>关注头像</x:v>
      </x:c>
      <x:c r="I1232" s="9" t="str">
        <x:v>1. 执行角色为普通用户；当前处于我的关注页面
2. A已被当前用户关注，昵称QA关注、头像有效，当前在播</x:v>
      </x:c>
      <x:c r="J1232" s="9" t="str">
        <x:v>1. 查看A用户行</x:v>
      </x:c>
      <x:c r="K1232" s="9" t="str">
        <x:v>显示A当前头像</x:v>
      </x:c>
      <x:c r="L1232" s="10" t="str"/>
      <x:c r="M1232" s="10" t="str">
        <x:v>未测</x:v>
      </x:c>
      <x:c r="N1232" s="10" t="str"/>
      <x:c r="O1232" s="9" t="str">
        <x:v>1. 来源（当前证据）：liveshow-proto/MainBasis/统一需求文档.md；位置：行721、行718
2. 规则：BR-b196f622c743e718
3. 未动态验证</x:v>
      </x:c>
    </x:row>
    <x:row r="1233" ht="85" customHeight="1">
      <x:c r="A1233" s="10" t="n">
        <x:v>1232</x:v>
      </x:c>
      <x:c r="B1233" s="10" t="str">
        <x:v>USER-05-0231</x:v>
      </x:c>
      <x:c r="C1233" s="10" t="str">
        <x:v>我的</x:v>
      </x:c>
      <x:c r="D1233" s="10" t="str">
        <x:v>我的关注（普通用户视角）</x:v>
      </x:c>
      <x:c r="E1233" s="10" t="str">
        <x:v>功能需求</x:v>
      </x:c>
      <x:c r="F1233" s="10" t="str">
        <x:v>P2</x:v>
      </x:c>
      <x:c r="G1233" s="9" t="str">
        <x:v>验证关注账号资料：关注昵称</x:v>
      </x:c>
      <x:c r="H1233" s="9" t="str">
        <x:v>关注昵称</x:v>
      </x:c>
      <x:c r="I1233" s="9" t="str">
        <x:v>1. 执行角色为普通用户；当前处于我的关注页面
2. A已被当前用户关注，昵称QA关注、头像有效，当前在播</x:v>
      </x:c>
      <x:c r="J1233" s="9" t="str">
        <x:v>1. 查看A用户行</x:v>
      </x:c>
      <x:c r="K1233" s="9" t="str">
        <x:v>显示昵称QA关注</x:v>
      </x:c>
      <x:c r="L1233" s="10" t="str"/>
      <x:c r="M1233" s="10" t="str">
        <x:v>未测</x:v>
      </x:c>
      <x:c r="N1233" s="10" t="str"/>
      <x:c r="O1233" s="9" t="str">
        <x:v>1. 来源（当前证据）：liveshow-proto/MainBasis/统一需求文档.md；位置：行721、行718
2. 规则：BR-f92da7506d7cb17e
3. 未动态验证</x:v>
      </x:c>
    </x:row>
    <x:row r="1234" ht="85" customHeight="1">
      <x:c r="A1234" s="10" t="n">
        <x:v>1233</x:v>
      </x:c>
      <x:c r="B1234" s="10" t="str">
        <x:v>USER-05-0232</x:v>
      </x:c>
      <x:c r="C1234" s="10" t="str">
        <x:v>我的</x:v>
      </x:c>
      <x:c r="D1234" s="10" t="str">
        <x:v>我的关注（普通用户视角）</x:v>
      </x:c>
      <x:c r="E1234" s="10" t="str">
        <x:v>功能需求</x:v>
      </x:c>
      <x:c r="F1234" s="10" t="str">
        <x:v>P2</x:v>
      </x:c>
      <x:c r="G1234" s="9" t="str">
        <x:v>验证关注账号资料：关注直播状态</x:v>
      </x:c>
      <x:c r="H1234" s="9" t="str">
        <x:v>关注直播状态</x:v>
      </x:c>
      <x:c r="I1234" s="9" t="str">
        <x:v>1. 执行角色为普通用户；当前处于我的关注页面
2. A已被当前用户关注，昵称QA关注、头像有效，当前在播</x:v>
      </x:c>
      <x:c r="J1234" s="9" t="str">
        <x:v>1. 查看A用户行</x:v>
      </x:c>
      <x:c r="K1234" s="9" t="str">
        <x:v>显示A在播</x:v>
      </x:c>
      <x:c r="L1234" s="10" t="str"/>
      <x:c r="M1234" s="10" t="str">
        <x:v>未测</x:v>
      </x:c>
      <x:c r="N1234" s="10" t="str"/>
      <x:c r="O1234" s="9" t="str">
        <x:v>1. 来源（当前证据）：liveshow-proto/MainBasis/统一需求文档.md；位置：行721、行718
2. 规则：BR-d97f395123d001ed
3. 未动态验证</x:v>
      </x:c>
    </x:row>
    <x:row r="1235" ht="85" customHeight="1">
      <x:c r="A1235" s="10" t="n">
        <x:v>1234</x:v>
      </x:c>
      <x:c r="B1235" s="10" t="str">
        <x:v>USER-05-0233</x:v>
      </x:c>
      <x:c r="C1235" s="10" t="str">
        <x:v>我的</x:v>
      </x:c>
      <x:c r="D1235" s="10" t="str">
        <x:v>我的装扮（普通用户视角）</x:v>
      </x:c>
      <x:c r="E1235" s="10" t="str">
        <x:v>功能需求</x:v>
      </x:c>
      <x:c r="F1235" s="10" t="str">
        <x:v>P2</x:v>
      </x:c>
      <x:c r="G1235" s="9" t="str">
        <x:v>验证本人装扮资料</x:v>
      </x:c>
      <x:c r="H1235" s="9" t="str">
        <x:v>展示内容</x:v>
      </x:c>
      <x:c r="I1235" s="9" t="str">
        <x:v>1. 执行角色为普通用户；当前处于我的装扮页面
2. 当前账号已佩戴勋章M且上传头像P</x:v>
      </x:c>
      <x:c r="J1235" s="9" t="str">
        <x:v>1. 查看当前头像和勋章</x:v>
      </x:c>
      <x:c r="K1235" s="9" t="str">
        <x:v>显示头像P及已佩戴勋章M</x:v>
      </x:c>
      <x:c r="L1235" s="10" t="str"/>
      <x:c r="M1235" s="10" t="str">
        <x:v>未测</x:v>
      </x:c>
      <x:c r="N1235" s="10" t="str"/>
      <x:c r="O1235" s="9" t="str">
        <x:v>1. 来源（当前证据）：liveshow-proto/MainBasis/统一需求文档.md；位置：行730、行728
2. 规则：BR-e736deedde094955
3. 未动态验证</x:v>
      </x:c>
    </x:row>
    <x:row r="1236" ht="85" customHeight="1">
      <x:c r="A1236" s="10" t="n">
        <x:v>1235</x:v>
      </x:c>
      <x:c r="B1236" s="10" t="str">
        <x:v>USER-05-0234</x:v>
      </x:c>
      <x:c r="C1236" s="10" t="str">
        <x:v>我的</x:v>
      </x:c>
      <x:c r="D1236" s="10" t="str">
        <x:v>我的装扮（普通用户视角）</x:v>
      </x:c>
      <x:c r="E1236" s="10" t="str">
        <x:v>功能需求</x:v>
      </x:c>
      <x:c r="F1236" s="10" t="str">
        <x:v>P2</x:v>
      </x:c>
      <x:c r="G1236" s="9" t="str">
        <x:v>验证装扮分类：装扮分类集合</x:v>
      </x:c>
      <x:c r="H1236" s="9" t="str">
        <x:v>装扮分类集合</x:v>
      </x:c>
      <x:c r="I1236" s="9" t="str">
        <x:v>1. 执行角色为普通用户；当前处于我的装扮页面
2. 已进入我的装扮</x:v>
      </x:c>
      <x:c r="J1236" s="9" t="str">
        <x:v>1. 查看分类入口</x:v>
      </x:c>
      <x:c r="K1236" s="9" t="str">
        <x:v>分类集合为已拥有、装扮商城</x:v>
      </x:c>
      <x:c r="L1236" s="10" t="str"/>
      <x:c r="M1236" s="10" t="str">
        <x:v>未测</x:v>
      </x:c>
      <x:c r="N1236" s="10" t="str"/>
      <x:c r="O1236" s="9" t="str">
        <x:v>1. 来源（当前证据）：liveshow-proto/MainBasis/统一需求文档.md；位置：行731、行728
2. 规则：BR-7921d6c0b34edf9a
3. 未动态验证</x:v>
      </x:c>
    </x:row>
    <x:row r="1237" ht="85" customHeight="1">
      <x:c r="A1237" s="10" t="n">
        <x:v>1236</x:v>
      </x:c>
      <x:c r="B1237" s="10" t="str">
        <x:v>USER-03-0274</x:v>
      </x:c>
      <x:c r="C1237" s="10" t="str">
        <x:v>直播</x:v>
      </x:c>
      <x:c r="D1237" s="10" t="str">
        <x:v>直播间（主播）（本场主播视角）</x:v>
      </x:c>
      <x:c r="E1237" s="10" t="str">
        <x:v>功能需求</x:v>
      </x:c>
      <x:c r="F1237" s="10" t="str">
        <x:v>P2</x:v>
      </x:c>
      <x:c r="G1237" s="9" t="str">
        <x:v>验证主播在线人数</x:v>
      </x:c>
      <x:c r="H1237" s="9" t="str">
        <x:v>展示内容</x:v>
      </x:c>
      <x:c r="I1237" s="9" t="str">
        <x:v>1. 执行角色为本场主播；当前处于直播间（主播）页面
2. 本场当前在线观众为7人</x:v>
      </x:c>
      <x:c r="J1237" s="9" t="str">
        <x:v>1. 查看直播在线人数</x:v>
      </x:c>
      <x:c r="K1237" s="9" t="str">
        <x:v>显示当前在线人数7</x:v>
      </x:c>
      <x:c r="L1237" s="10" t="str"/>
      <x:c r="M1237" s="10" t="str">
        <x:v>未测</x:v>
      </x:c>
      <x:c r="N1237" s="10" t="str"/>
      <x:c r="O1237" s="9" t="str">
        <x:v>1. 来源（当前证据）：liveshow-proto/MainBasis/统一需求文档.md；位置：行798、行796
2. 规则：BR-e229120be50e2a97
3. 未动态验证</x:v>
      </x:c>
    </x:row>
    <x:row r="1238" ht="85" customHeight="1">
      <x:c r="A1238" s="10" t="n">
        <x:v>1237</x:v>
      </x:c>
      <x:c r="B1238" s="10" t="str">
        <x:v>USER-03-0275</x:v>
      </x:c>
      <x:c r="C1238" s="10" t="str">
        <x:v>直播</x:v>
      </x:c>
      <x:c r="D1238" s="10" t="str">
        <x:v>直播间（主播）（本场主播视角）</x:v>
      </x:c>
      <x:c r="E1238" s="10" t="str">
        <x:v>功能需求</x:v>
      </x:c>
      <x:c r="F1238" s="10" t="str">
        <x:v>P2</x:v>
      </x:c>
      <x:c r="G1238" s="9" t="str">
        <x:v>验证公屏消息类型</x:v>
      </x:c>
      <x:c r="H1238" s="9" t="str">
        <x:v>展示内容</x:v>
      </x:c>
      <x:c r="I1238" s="9" t="str">
        <x:v>1. 执行角色为本场主播；当前处于直播间（主播）页面
2. 本场存在评论、进房、成功赠礼、系统消息</x:v>
      </x:c>
      <x:c r="J1238" s="9" t="str">
        <x:v>1. 查看公屏</x:v>
      </x:c>
      <x:c r="K1238" s="9" t="str">
        <x:v>显示对应四类消息内容</x:v>
      </x:c>
      <x:c r="L1238" s="10" t="str"/>
      <x:c r="M1238" s="10" t="str">
        <x:v>未测</x:v>
      </x:c>
      <x:c r="N1238" s="10" t="str"/>
      <x:c r="O1238" s="9" t="str">
        <x:v>1. 来源（当前证据）：liveshow-proto/MainBasis/统一需求文档.md；位置：行801、行796
2. 规则：BR-11df49b2b475fc53
3. 未动态验证</x:v>
      </x:c>
    </x:row>
    <x:row r="1239" ht="85" customHeight="1">
      <x:c r="A1239" s="10" t="n">
        <x:v>1238</x:v>
      </x:c>
      <x:c r="B1239" s="10" t="str">
        <x:v>USER-03-0276</x:v>
      </x:c>
      <x:c r="C1239" s="10" t="str">
        <x:v>直播</x:v>
      </x:c>
      <x:c r="D1239" s="10" t="str">
        <x:v>直播结束页（观众）（普通观众视角）</x:v>
      </x:c>
      <x:c r="E1239" s="10" t="str">
        <x:v>功能需求</x:v>
      </x:c>
      <x:c r="F1239" s="10" t="str">
        <x:v>P2</x:v>
      </x:c>
      <x:c r="G1239" s="9" t="str">
        <x:v>验证结束页提示</x:v>
      </x:c>
      <x:c r="H1239" s="9" t="str">
        <x:v>展示内容</x:v>
      </x:c>
      <x:c r="I1239" s="9" t="str">
        <x:v>1. 执行角色为普通观众；当前处于直播结束页（观众）页面
2. 对应场次刚结束且主播未新开播</x:v>
      </x:c>
      <x:c r="J1239" s="9" t="str">
        <x:v>1. 查看结束页提示</x:v>
      </x:c>
      <x:c r="K1239" s="9" t="str">
        <x:v>显示主播正在整理本场内容</x:v>
      </x:c>
      <x:c r="L1239" s="10" t="str"/>
      <x:c r="M1239" s="10" t="str">
        <x:v>未测</x:v>
      </x:c>
      <x:c r="N1239" s="10" t="str"/>
      <x:c r="O1239" s="9" t="str">
        <x:v>1. 来源（当前证据）：liveshow-proto/MainBasis/统一需求文档.md；位置：行838、行835
2. 规则：BR-7089909b4bc87716
3. 未动态验证</x:v>
      </x:c>
    </x:row>
    <x:row r="1240" ht="85" customHeight="1">
      <x:c r="A1240" s="10" t="n">
        <x:v>1239</x:v>
      </x:c>
      <x:c r="B1240" s="10" t="str">
        <x:v>USER-04-0144</x:v>
      </x:c>
      <x:c r="C1240" s="10" t="str">
        <x:v>消息与社交</x:v>
      </x:c>
      <x:c r="D1240" s="10" t="str">
        <x:v>好友列表（普通用户视角）</x:v>
      </x:c>
      <x:c r="E1240" s="10" t="str">
        <x:v>功能需求</x:v>
      </x:c>
      <x:c r="F1240" s="10" t="str">
        <x:v>P2</x:v>
      </x:c>
      <x:c r="G1240" s="9" t="str">
        <x:v>验证好友当前资料：好友头像</x:v>
      </x:c>
      <x:c r="H1240" s="9" t="str">
        <x:v>好友头像</x:v>
      </x:c>
      <x:c r="I1240" s="9" t="str">
        <x:v>1. 执行角色为普通用户；当前处于好友列表页面
2. A是当前好友，昵称QA好友、头像已上传</x:v>
      </x:c>
      <x:c r="J1240" s="9" t="str">
        <x:v>1. 查看A用户行</x:v>
      </x:c>
      <x:c r="K1240" s="9" t="str">
        <x:v>显示A当前头像</x:v>
      </x:c>
      <x:c r="L1240" s="10" t="str"/>
      <x:c r="M1240" s="10" t="str">
        <x:v>未测</x:v>
      </x:c>
      <x:c r="N1240" s="10" t="str"/>
      <x:c r="O1240" s="9" t="str">
        <x:v>1. 来源（当前证据）：liveshow-proto/MainBasis/统一需求文档.md；位置：行857、行854
2. 规则：BR-c3ff6e1cc1ab9f88
3. 未动态验证</x:v>
      </x:c>
    </x:row>
    <x:row r="1241" ht="85" customHeight="1">
      <x:c r="A1241" s="10" t="n">
        <x:v>1240</x:v>
      </x:c>
      <x:c r="B1241" s="10" t="str">
        <x:v>USER-04-0145</x:v>
      </x:c>
      <x:c r="C1241" s="10" t="str">
        <x:v>消息与社交</x:v>
      </x:c>
      <x:c r="D1241" s="10" t="str">
        <x:v>好友列表（普通用户视角）</x:v>
      </x:c>
      <x:c r="E1241" s="10" t="str">
        <x:v>功能需求</x:v>
      </x:c>
      <x:c r="F1241" s="10" t="str">
        <x:v>P2</x:v>
      </x:c>
      <x:c r="G1241" s="9" t="str">
        <x:v>验证好友当前资料：好友昵称</x:v>
      </x:c>
      <x:c r="H1241" s="9" t="str">
        <x:v>好友昵称</x:v>
      </x:c>
      <x:c r="I1241" s="9" t="str">
        <x:v>1. 执行角色为普通用户；当前处于好友列表页面
2. A是当前好友，昵称QA好友、头像已上传</x:v>
      </x:c>
      <x:c r="J1241" s="9" t="str">
        <x:v>1. 查看A用户行</x:v>
      </x:c>
      <x:c r="K1241" s="9" t="str">
        <x:v>显示昵称QA好友</x:v>
      </x:c>
      <x:c r="L1241" s="10" t="str"/>
      <x:c r="M1241" s="10" t="str">
        <x:v>未测</x:v>
      </x:c>
      <x:c r="N1241" s="10" t="str"/>
      <x:c r="O1241" s="9" t="str">
        <x:v>1. 来源（当前证据）：liveshow-proto/MainBasis/统一需求文档.md；位置：行857、行854
2. 规则：BR-1fbdcc3eee1bffde
3. 未动态验证</x:v>
      </x:c>
    </x:row>
    <x:row r="1242" ht="85" customHeight="1">
      <x:c r="A1242" s="10" t="n">
        <x:v>1241</x:v>
      </x:c>
      <x:c r="B1242" s="10" t="str">
        <x:v>USER-04-0146</x:v>
      </x:c>
      <x:c r="C1242" s="10" t="str">
        <x:v>消息与社交</x:v>
      </x:c>
      <x:c r="D1242" s="10" t="str">
        <x:v>好友列表（普通用户视角）</x:v>
      </x:c>
      <x:c r="E1242" s="10" t="str">
        <x:v>功能需求</x:v>
      </x:c>
      <x:c r="F1242" s="10" t="str">
        <x:v>P2</x:v>
      </x:c>
      <x:c r="G1242" s="9" t="str">
        <x:v>验证好友财富等级</x:v>
      </x:c>
      <x:c r="H1242" s="9" t="str">
        <x:v>好友财富等级展示</x:v>
      </x:c>
      <x:c r="I1242" s="9" t="str">
        <x:v>1. 执行角色为普通用户；当前处于好友列表页面
2. A为当前好友、财富5级</x:v>
      </x:c>
      <x:c r="J1242" s="9" t="str">
        <x:v>1. 查看A用户行</x:v>
      </x:c>
      <x:c r="K1242" s="9" t="str">
        <x:v>显示A财富等级5</x:v>
      </x:c>
      <x:c r="L1242" s="10" t="str"/>
      <x:c r="M1242" s="10" t="str">
        <x:v>未测</x:v>
      </x:c>
      <x:c r="N1242" s="10" t="str"/>
      <x:c r="O1242" s="9" t="str">
        <x:v>1. 来源（当前证据）：liveshow-proto/MainBasis/统一需求文档.md；位置：行858、行854
2. 规则：BR-7cf970e75b382577
3. 未动态验证</x:v>
      </x:c>
    </x:row>
    <x:row r="1243" ht="85" customHeight="1">
      <x:c r="A1243" s="10" t="n">
        <x:v>1242</x:v>
      </x:c>
      <x:c r="B1243" s="10" t="str">
        <x:v>USER-04-0147</x:v>
      </x:c>
      <x:c r="C1243" s="10" t="str">
        <x:v>消息与社交</x:v>
      </x:c>
      <x:c r="D1243" s="10" t="str">
        <x:v>好友列表（普通用户视角）</x:v>
      </x:c>
      <x:c r="E1243" s="10" t="str">
        <x:v>功能需求</x:v>
      </x:c>
      <x:c r="F1243" s="10" t="str">
        <x:v>P2</x:v>
      </x:c>
      <x:c r="G1243" s="9" t="str">
        <x:v>验证好友当前勋章</x:v>
      </x:c>
      <x:c r="H1243" s="9" t="str">
        <x:v>好友勋章展示</x:v>
      </x:c>
      <x:c r="I1243" s="9" t="str">
        <x:v>1. 执行角色为普通用户；当前处于好友列表页面
2. A为当前好友、当前佩戴勋章M</x:v>
      </x:c>
      <x:c r="J1243" s="9" t="str">
        <x:v>1. 查看A用户行</x:v>
      </x:c>
      <x:c r="K1243" s="9" t="str">
        <x:v>显示A当前勋章M</x:v>
      </x:c>
      <x:c r="L1243" s="10" t="str"/>
      <x:c r="M1243" s="10" t="str">
        <x:v>未测</x:v>
      </x:c>
      <x:c r="N1243" s="10" t="str"/>
      <x:c r="O1243" s="9" t="str">
        <x:v>1. 来源（当前证据）：liveshow-proto/MainBasis/统一需求文档.md；位置：行859、行854
2. 规则：BR-16f277536997d300
3. 未动态验证</x:v>
      </x:c>
    </x:row>
    <x:row r="1244" ht="85" customHeight="1">
      <x:c r="A1244" s="10" t="n">
        <x:v>1243</x:v>
      </x:c>
      <x:c r="B1244" s="10" t="str">
        <x:v>USER-04-0148</x:v>
      </x:c>
      <x:c r="C1244" s="10" t="str">
        <x:v>消息与社交</x:v>
      </x:c>
      <x:c r="D1244" s="10" t="str">
        <x:v>互动通知（普通用户视角）</x:v>
      </x:c>
      <x:c r="E1244" s="10" t="str">
        <x:v>功能需求</x:v>
      </x:c>
      <x:c r="F1244" s="10" t="str">
        <x:v>P2</x:v>
      </x:c>
      <x:c r="G1244" s="9" t="str">
        <x:v>验证互动通知类型</x:v>
      </x:c>
      <x:c r="H1244" s="9" t="str">
        <x:v>展示内容</x:v>
      </x:c>
      <x:c r="I1244" s="9" t="str">
        <x:v>1. 执行角色为普通用户；当前处于互动通知页面
2. 当前账号已收到关注、好友申请、申请通过、申请拒绝通知</x:v>
      </x:c>
      <x:c r="J1244" s="9" t="str">
        <x:v>1. 查看互动通知列表</x:v>
      </x:c>
      <x:c r="K1244" s="9" t="str">
        <x:v>显示各条对应的关注或好友处理内容</x:v>
      </x:c>
      <x:c r="L1244" s="10" t="str"/>
      <x:c r="M1244" s="10" t="str">
        <x:v>未测</x:v>
      </x:c>
      <x:c r="N1244" s="10" t="str"/>
      <x:c r="O1244" s="9" t="str">
        <x:v>1. 来源（当前证据）：liveshow-proto/MainBasis/统一需求文档.md；位置：行872、行870
2. 规则：BR-3cb28184022693fd
3. 未动态验证</x:v>
      </x:c>
    </x:row>
    <x:row r="1245" ht="85" customHeight="1">
      <x:c r="A1245" s="10" t="n">
        <x:v>1244</x:v>
      </x:c>
      <x:c r="B1245" s="10" t="str">
        <x:v>USER-04-0149</x:v>
      </x:c>
      <x:c r="C1245" s="10" t="str">
        <x:v>消息与社交</x:v>
      </x:c>
      <x:c r="D1245" s="10" t="str">
        <x:v>粉丝团群聊（粉丝团成员视角）</x:v>
      </x:c>
      <x:c r="E1245" s="10" t="str">
        <x:v>功能需求</x:v>
      </x:c>
      <x:c r="F1245" s="10" t="str">
        <x:v>P2</x:v>
      </x:c>
      <x:c r="G1245" s="9" t="str">
        <x:v>验证群直播卡片快照：分享封面快照</x:v>
      </x:c>
      <x:c r="H1245" s="9" t="str">
        <x:v>分享封面快照</x:v>
      </x:c>
      <x:c r="I1245" s="9" t="str">
        <x:v>1. 执行角色为粉丝团成员；当前处于粉丝团群聊页面
2. 群内分享场次S，封面P、主题QA直播，S正在直播</x:v>
      </x:c>
      <x:c r="J1245" s="9" t="str">
        <x:v>1. 查看场次S直播卡片</x:v>
      </x:c>
      <x:c r="K1245" s="9" t="str">
        <x:v>显示封面P</x:v>
      </x:c>
      <x:c r="L1245" s="10" t="str"/>
      <x:c r="M1245" s="10" t="str">
        <x:v>未测</x:v>
      </x:c>
      <x:c r="N1245" s="10" t="str"/>
      <x:c r="O1245" s="9" t="str">
        <x:v>1. 来源（当前证据）：liveshow-proto/MainBasis/统一需求文档.md；位置：行899、行896
2. 规则：BR-479158a83c9fc0e7
3. 未动态验证</x:v>
      </x:c>
    </x:row>
    <x:row r="1246" ht="85" customHeight="1">
      <x:c r="A1246" s="10" t="n">
        <x:v>1245</x:v>
      </x:c>
      <x:c r="B1246" s="10" t="str">
        <x:v>USER-04-0150</x:v>
      </x:c>
      <x:c r="C1246" s="10" t="str">
        <x:v>消息与社交</x:v>
      </x:c>
      <x:c r="D1246" s="10" t="str">
        <x:v>粉丝团群聊（粉丝团成员视角）</x:v>
      </x:c>
      <x:c r="E1246" s="10" t="str">
        <x:v>功能需求</x:v>
      </x:c>
      <x:c r="F1246" s="10" t="str">
        <x:v>P2</x:v>
      </x:c>
      <x:c r="G1246" s="9" t="str">
        <x:v>验证群直播卡片快照：分享主题快照</x:v>
      </x:c>
      <x:c r="H1246" s="9" t="str">
        <x:v>分享主题快照</x:v>
      </x:c>
      <x:c r="I1246" s="9" t="str">
        <x:v>1. 执行角色为粉丝团成员；当前处于粉丝团群聊页面
2. 群内分享场次S，封面P、主题QA直播，S正在直播</x:v>
      </x:c>
      <x:c r="J1246" s="9" t="str">
        <x:v>1. 查看场次S直播卡片</x:v>
      </x:c>
      <x:c r="K1246" s="9" t="str">
        <x:v>显示主题QA直播</x:v>
      </x:c>
      <x:c r="L1246" s="10" t="str"/>
      <x:c r="M1246" s="10" t="str">
        <x:v>未测</x:v>
      </x:c>
      <x:c r="N1246" s="10" t="str"/>
      <x:c r="O1246" s="9" t="str">
        <x:v>1. 来源（当前证据）：liveshow-proto/MainBasis/统一需求文档.md；位置：行899、行896
2. 规则：BR-7d072288d0d8209f
3. 未动态验证</x:v>
      </x:c>
    </x:row>
    <x:row r="1247" ht="85" customHeight="1">
      <x:c r="A1247" s="10" t="n">
        <x:v>1246</x:v>
      </x:c>
      <x:c r="B1247" s="10" t="str">
        <x:v>USER-04-0151</x:v>
      </x:c>
      <x:c r="C1247" s="10" t="str">
        <x:v>消息与社交</x:v>
      </x:c>
      <x:c r="D1247" s="10" t="str">
        <x:v>粉丝团群聊（粉丝团成员视角）</x:v>
      </x:c>
      <x:c r="E1247" s="10" t="str">
        <x:v>功能需求</x:v>
      </x:c>
      <x:c r="F1247" s="10" t="str">
        <x:v>P2</x:v>
      </x:c>
      <x:c r="G1247" s="9" t="str">
        <x:v>验证群直播卡片快照：分享场次状态</x:v>
      </x:c>
      <x:c r="H1247" s="9" t="str">
        <x:v>分享场次状态</x:v>
      </x:c>
      <x:c r="I1247" s="9" t="str">
        <x:v>1. 执行角色为粉丝团成员；当前处于粉丝团群聊页面
2. 群内分享场次S，封面P、主题QA直播，S正在直播</x:v>
      </x:c>
      <x:c r="J1247" s="9" t="str">
        <x:v>1. 查看场次S直播卡片</x:v>
      </x:c>
      <x:c r="K1247" s="9" t="str">
        <x:v>显示场次S正在直播</x:v>
      </x:c>
      <x:c r="L1247" s="10" t="str"/>
      <x:c r="M1247" s="10" t="str">
        <x:v>未测</x:v>
      </x:c>
      <x:c r="N1247" s="10" t="str"/>
      <x:c r="O1247" s="9" t="str">
        <x:v>1. 来源（当前证据）：liveshow-proto/MainBasis/统一需求文档.md；位置：行899、行896
2. 规则：BR-3a6cc0457c6568ae
3. 未动态验证</x:v>
      </x:c>
    </x:row>
    <x:row r="1248" ht="85" customHeight="1">
      <x:c r="A1248" s="10" t="n">
        <x:v>1247</x:v>
      </x:c>
      <x:c r="B1248" s="10" t="str">
        <x:v>USER-04-0152</x:v>
      </x:c>
      <x:c r="C1248" s="10" t="str">
        <x:v>消息与社交</x:v>
      </x:c>
      <x:c r="D1248" s="10" t="str">
        <x:v>群管理（成员）（粉丝团成员视角）</x:v>
      </x:c>
      <x:c r="E1248" s="10" t="str">
        <x:v>功能需求</x:v>
      </x:c>
      <x:c r="F1248" s="10" t="str">
        <x:v>P2</x:v>
      </x:c>
      <x:c r="G1248" s="9" t="str">
        <x:v>验证成员群公告内容</x:v>
      </x:c>
      <x:c r="H1248" s="9" t="str">
        <x:v>展示内容</x:v>
      </x:c>
      <x:c r="I1248" s="9" t="str">
        <x:v>1. 执行角色为粉丝团成员；当前处于群管理（成员）页面
2. 当前粉丝群公告已保存为QA群公告</x:v>
      </x:c>
      <x:c r="J1248" s="9" t="str">
        <x:v>1. 查看群公告</x:v>
      </x:c>
      <x:c r="K1248" s="9" t="str">
        <x:v>显示QA群公告</x:v>
      </x:c>
      <x:c r="L1248" s="10" t="str"/>
      <x:c r="M1248" s="10" t="str">
        <x:v>未测</x:v>
      </x:c>
      <x:c r="N1248" s="10" t="str"/>
      <x:c r="O1248" s="9" t="str">
        <x:v>1. 来源（当前证据）：liveshow-proto/MainBasis/统一需求文档.md；位置：行911、行909
2. 规则：BR-bcf779fc81103ee6
3. 未动态验证</x:v>
      </x:c>
    </x:row>
    <x:row r="1249" ht="85" customHeight="1">
      <x:c r="A1249" s="10" t="n">
        <x:v>1248</x:v>
      </x:c>
      <x:c r="B1249" s="10" t="str">
        <x:v>USER-05-0235</x:v>
      </x:c>
      <x:c r="C1249" s="10" t="str">
        <x:v>我的</x:v>
      </x:c>
      <x:c r="D1249" s="10" t="str">
        <x:v>黑名单管理（普通用户视角）</x:v>
      </x:c>
      <x:c r="E1249" s="10" t="str">
        <x:v>功能需求</x:v>
      </x:c>
      <x:c r="F1249" s="10" t="str">
        <x:v>P2</x:v>
      </x:c>
      <x:c r="G1249" s="9" t="str">
        <x:v>验证黑名单资料：黑名单头像</x:v>
      </x:c>
      <x:c r="H1249" s="9" t="str">
        <x:v>黑名单头像</x:v>
      </x:c>
      <x:c r="I1249" s="9" t="str">
        <x:v>1. 执行角色为普通用户；当前处于黑名单管理页面
2. 已拉黑A，A当前昵称QA黑名单并上传头像</x:v>
      </x:c>
      <x:c r="J1249" s="9" t="str">
        <x:v>1. 查看A用户行</x:v>
      </x:c>
      <x:c r="K1249" s="9" t="str">
        <x:v>显示A当前头像</x:v>
      </x:c>
      <x:c r="L1249" s="10" t="str"/>
      <x:c r="M1249" s="10" t="str">
        <x:v>未测</x:v>
      </x:c>
      <x:c r="N1249" s="10" t="str"/>
      <x:c r="O1249" s="9" t="str">
        <x:v>1. 来源（当前证据）：liveshow-proto/MainBasis/统一需求文档.md；位置：行943、行941
2. 规则：BR-fbba64930885b871
3. 未动态验证</x:v>
      </x:c>
    </x:row>
    <x:row r="1250" ht="85" customHeight="1">
      <x:c r="A1250" s="10" t="n">
        <x:v>1249</x:v>
      </x:c>
      <x:c r="B1250" s="10" t="str">
        <x:v>USER-05-0236</x:v>
      </x:c>
      <x:c r="C1250" s="10" t="str">
        <x:v>我的</x:v>
      </x:c>
      <x:c r="D1250" s="10" t="str">
        <x:v>黑名单管理（普通用户视角）</x:v>
      </x:c>
      <x:c r="E1250" s="10" t="str">
        <x:v>功能需求</x:v>
      </x:c>
      <x:c r="F1250" s="10" t="str">
        <x:v>P2</x:v>
      </x:c>
      <x:c r="G1250" s="9" t="str">
        <x:v>验证黑名单资料：黑名单昵称</x:v>
      </x:c>
      <x:c r="H1250" s="9" t="str">
        <x:v>黑名单昵称</x:v>
      </x:c>
      <x:c r="I1250" s="9" t="str">
        <x:v>1. 执行角色为普通用户；当前处于黑名单管理页面
2. 已拉黑A，A当前昵称QA黑名单并上传头像</x:v>
      </x:c>
      <x:c r="J1250" s="9" t="str">
        <x:v>1. 查看A用户行</x:v>
      </x:c>
      <x:c r="K1250" s="9" t="str">
        <x:v>显示昵称QA黑名单</x:v>
      </x:c>
      <x:c r="L1250" s="10" t="str"/>
      <x:c r="M1250" s="10" t="str">
        <x:v>未测</x:v>
      </x:c>
      <x:c r="N1250" s="10" t="str"/>
      <x:c r="O1250" s="9" t="str">
        <x:v>1. 来源（当前证据）：liveshow-proto/MainBasis/统一需求文档.md；位置：行943、行941
2. 规则：BR-25606f8662166661
3. 未动态验证</x:v>
      </x:c>
    </x:row>
    <x:row r="1251" ht="85" customHeight="1">
      <x:c r="A1251" s="10" t="n">
        <x:v>1250</x:v>
      </x:c>
      <x:c r="B1251" s="10" t="str">
        <x:v>USER-06-0073</x:v>
      </x:c>
      <x:c r="C1251" s="10" t="str">
        <x:v>公会关系</x:v>
      </x:c>
      <x:c r="D1251" s="10" t="str">
        <x:v>我的公会（入会申请人视角）</x:v>
      </x:c>
      <x:c r="E1251" s="10" t="str">
        <x:v>功能需求</x:v>
      </x:c>
      <x:c r="F1251" s="10" t="str">
        <x:v>P2</x:v>
      </x:c>
      <x:c r="G1251" s="9" t="str">
        <x:v>验证申请记录公会头像</x:v>
      </x:c>
      <x:c r="H1251" s="9" t="str">
        <x:v>申请公会头像</x:v>
      </x:c>
      <x:c r="I1251" s="9" t="str">
        <x:v>1. 执行角色为入会申请人；当前处于我的公会页面
2. 当前申请属于公会G，其当前头像P</x:v>
      </x:c>
      <x:c r="J1251" s="9" t="str">
        <x:v>1. 查看G申请记录</x:v>
      </x:c>
      <x:c r="K1251" s="9" t="str">
        <x:v>显示公会头像P</x:v>
      </x:c>
      <x:c r="L1251" s="10" t="str"/>
      <x:c r="M1251" s="10" t="str">
        <x:v>未测</x:v>
      </x:c>
      <x:c r="N1251" s="10" t="str"/>
      <x:c r="O1251" s="9" t="str">
        <x:v>1. 来源（当前证据）：liveshow-proto/MainBasis/统一需求文档.md；位置：行994、行992
2. 规则：BR-5d24c029acddfb8b
3. 未动态验证</x:v>
      </x:c>
    </x:row>
    <x:row r="1252" ht="85" customHeight="1">
      <x:c r="A1252" s="10" t="n">
        <x:v>1251</x:v>
      </x:c>
      <x:c r="B1252" s="10" t="str">
        <x:v>USER-06-0074</x:v>
      </x:c>
      <x:c r="C1252" s="10" t="str">
        <x:v>公会关系</x:v>
      </x:c>
      <x:c r="D1252" s="10" t="str">
        <x:v>我的公会（入会申请人视角）</x:v>
      </x:c>
      <x:c r="E1252" s="10" t="str">
        <x:v>功能需求</x:v>
      </x:c>
      <x:c r="F1252" s="10" t="str">
        <x:v>P2</x:v>
      </x:c>
      <x:c r="G1252" s="9" t="str">
        <x:v>验证申请记录当前公会名</x:v>
      </x:c>
      <x:c r="H1252" s="9" t="str">
        <x:v>申请公会名称</x:v>
      </x:c>
      <x:c r="I1252" s="9" t="str">
        <x:v>1. 执行角色为入会申请人；当前处于我的公会页面
2. 公会G已改名为QA公会新名</x:v>
      </x:c>
      <x:c r="J1252" s="9" t="str">
        <x:v>1. 查看G申请记录</x:v>
      </x:c>
      <x:c r="K1252" s="9" t="str">
        <x:v>显示QA公会新名</x:v>
      </x:c>
      <x:c r="L1252" s="10" t="str"/>
      <x:c r="M1252" s="10" t="str">
        <x:v>未测</x:v>
      </x:c>
      <x:c r="N1252" s="10" t="str"/>
      <x:c r="O1252" s="9" t="str">
        <x:v>1. 来源（当前证据）：liveshow-proto/MainBasis/统一需求文档.md；位置：行995、行992
2. 规则：BR-98c5358535c57398
3. 未动态验证</x:v>
      </x:c>
    </x:row>
    <x:row r="1253" ht="85" customHeight="1">
      <x:c r="A1253" s="10" t="n">
        <x:v>1252</x:v>
      </x:c>
      <x:c r="B1253" s="10" t="str">
        <x:v>USER-06-0075</x:v>
      </x:c>
      <x:c r="C1253" s="10" t="str">
        <x:v>公会关系</x:v>
      </x:c>
      <x:c r="D1253" s="10" t="str">
        <x:v>我的公会（入会申请人视角）</x:v>
      </x:c>
      <x:c r="E1253" s="10" t="str">
        <x:v>功能需求</x:v>
      </x:c>
      <x:c r="F1253" s="10" t="str">
        <x:v>P2</x:v>
      </x:c>
      <x:c r="G1253" s="9" t="str">
        <x:v>验证申请记录公会ID</x:v>
      </x:c>
      <x:c r="H1253" s="9" t="str">
        <x:v>申请公会ID</x:v>
      </x:c>
      <x:c r="I1253" s="9" t="str">
        <x:v>1. 执行角色为入会申请人；当前处于我的公会页面
2. 公会G唯一ID为1001</x:v>
      </x:c>
      <x:c r="J1253" s="9" t="str">
        <x:v>1. 查看G申请记录</x:v>
      </x:c>
      <x:c r="K1253" s="9" t="str">
        <x:v>显示公会ID1001</x:v>
      </x:c>
      <x:c r="L1253" s="10" t="str"/>
      <x:c r="M1253" s="10" t="str">
        <x:v>未测</x:v>
      </x:c>
      <x:c r="N1253" s="10" t="str"/>
      <x:c r="O1253" s="9" t="str">
        <x:v>1. 来源（当前证据）：liveshow-proto/MainBasis/统一需求文档.md；位置：行996、行992
2. 规则：BR-acb4286090cb9b46
3. 未动态验证</x:v>
      </x:c>
    </x:row>
    <x:row r="1254" ht="85" customHeight="1">
      <x:c r="A1254" s="10" t="n">
        <x:v>1253</x:v>
      </x:c>
      <x:c r="B1254" s="10" t="str">
        <x:v>USER-06-0076</x:v>
      </x:c>
      <x:c r="C1254" s="10" t="str">
        <x:v>公会关系</x:v>
      </x:c>
      <x:c r="D1254" s="10" t="str">
        <x:v>公会详情（入会申请人视角）</x:v>
      </x:c>
      <x:c r="E1254" s="10" t="str">
        <x:v>功能需求</x:v>
      </x:c>
      <x:c r="F1254" s="10" t="str">
        <x:v>P2</x:v>
      </x:c>
      <x:c r="G1254" s="9" t="str">
        <x:v>验证关系详情公会资料：公会头像</x:v>
      </x:c>
      <x:c r="H1254" s="9" t="str">
        <x:v>公会头像</x:v>
      </x:c>
      <x:c r="I1254" s="9" t="str">
        <x:v>1. 执行角色为入会申请人；当前处于公会详情页面
2. 所选公会G当前昵称QA公会、ID1001、头像P</x:v>
      </x:c>
      <x:c r="J1254" s="9" t="str">
        <x:v>1. 查看公会资料</x:v>
      </x:c>
      <x:c r="K1254" s="9" t="str">
        <x:v>显示头像P</x:v>
      </x:c>
      <x:c r="L1254" s="10" t="str"/>
      <x:c r="M1254" s="10" t="str">
        <x:v>未测</x:v>
      </x:c>
      <x:c r="N1254" s="10" t="str"/>
      <x:c r="O1254" s="9" t="str">
        <x:v>1. 来源（当前证据）：liveshow-proto/MainBasis/统一需求文档.md；位置：行1007、行1005
2. 规则：BR-bac57e57ac18db00
3. 未动态验证</x:v>
      </x:c>
    </x:row>
    <x:row r="1255" ht="85" customHeight="1">
      <x:c r="A1255" s="10" t="n">
        <x:v>1254</x:v>
      </x:c>
      <x:c r="B1255" s="10" t="str">
        <x:v>USER-06-0077</x:v>
      </x:c>
      <x:c r="C1255" s="10" t="str">
        <x:v>公会关系</x:v>
      </x:c>
      <x:c r="D1255" s="10" t="str">
        <x:v>公会详情（入会申请人视角）</x:v>
      </x:c>
      <x:c r="E1255" s="10" t="str">
        <x:v>功能需求</x:v>
      </x:c>
      <x:c r="F1255" s="10" t="str">
        <x:v>P2</x:v>
      </x:c>
      <x:c r="G1255" s="9" t="str">
        <x:v>验证关系详情公会资料：公会名称</x:v>
      </x:c>
      <x:c r="H1255" s="9" t="str">
        <x:v>公会名称</x:v>
      </x:c>
      <x:c r="I1255" s="9" t="str">
        <x:v>1. 执行角色为入会申请人；当前处于公会详情页面
2. 所选公会G当前昵称QA公会、ID1001、头像P</x:v>
      </x:c>
      <x:c r="J1255" s="9" t="str">
        <x:v>1. 查看公会资料</x:v>
      </x:c>
      <x:c r="K1255" s="9" t="str">
        <x:v>显示名称QA公会</x:v>
      </x:c>
      <x:c r="L1255" s="10" t="str"/>
      <x:c r="M1255" s="10" t="str">
        <x:v>未测</x:v>
      </x:c>
      <x:c r="N1255" s="10" t="str"/>
      <x:c r="O1255" s="9" t="str">
        <x:v>1. 来源（当前证据）：liveshow-proto/MainBasis/统一需求文档.md；位置：行1007、行1005
2. 规则：BR-18cf06d1ab6b281e
3. 未动态验证</x:v>
      </x:c>
    </x:row>
    <x:row r="1256" ht="85" customHeight="1">
      <x:c r="A1256" s="10" t="n">
        <x:v>1255</x:v>
      </x:c>
      <x:c r="B1256" s="10" t="str">
        <x:v>USER-06-0078</x:v>
      </x:c>
      <x:c r="C1256" s="10" t="str">
        <x:v>公会关系</x:v>
      </x:c>
      <x:c r="D1256" s="10" t="str">
        <x:v>公会详情（入会申请人视角）</x:v>
      </x:c>
      <x:c r="E1256" s="10" t="str">
        <x:v>功能需求</x:v>
      </x:c>
      <x:c r="F1256" s="10" t="str">
        <x:v>P2</x:v>
      </x:c>
      <x:c r="G1256" s="9" t="str">
        <x:v>验证关系详情公会资料：公会ID</x:v>
      </x:c>
      <x:c r="H1256" s="9" t="str">
        <x:v>公会ID</x:v>
      </x:c>
      <x:c r="I1256" s="9" t="str">
        <x:v>1. 执行角色为入会申请人；当前处于公会详情页面
2. 所选公会G当前昵称QA公会、ID1001、头像P</x:v>
      </x:c>
      <x:c r="J1256" s="9" t="str">
        <x:v>1. 查看公会资料</x:v>
      </x:c>
      <x:c r="K1256" s="9" t="str">
        <x:v>显示ID1001</x:v>
      </x:c>
      <x:c r="L1256" s="10" t="str"/>
      <x:c r="M1256" s="10" t="str">
        <x:v>未测</x:v>
      </x:c>
      <x:c r="N1256" s="10" t="str"/>
      <x:c r="O1256" s="9" t="str">
        <x:v>1. 来源（当前证据）：liveshow-proto/MainBasis/统一需求文档.md；位置：行1007、行1005
2. 规则：BR-2e2d4c53681633b7
3. 未动态验证</x:v>
      </x:c>
    </x:row>
    <x:row r="1257" ht="85" customHeight="1">
      <x:c r="A1257" s="10" t="n">
        <x:v>1256</x:v>
      </x:c>
      <x:c r="B1257" s="10" t="str">
        <x:v>USER-06-0079</x:v>
      </x:c>
      <x:c r="C1257" s="10" t="str">
        <x:v>公会关系</x:v>
      </x:c>
      <x:c r="D1257" s="10" t="str">
        <x:v>公会详情（入会申请人视角）</x:v>
      </x:c>
      <x:c r="E1257" s="10" t="str">
        <x:v>功能需求</x:v>
      </x:c>
      <x:c r="F1257" s="10" t="str">
        <x:v>P2</x:v>
      </x:c>
      <x:c r="G1257" s="9" t="str">
        <x:v>验证关系申请提交时间</x:v>
      </x:c>
      <x:c r="H1257" s="9" t="str">
        <x:v>申请提交时间</x:v>
      </x:c>
      <x:c r="I1257" s="9" t="str">
        <x:v>1. 执行角色为入会申请人；当前处于公会详情页面
2. 加入申请于09/15 10:00提交</x:v>
      </x:c>
      <x:c r="J1257" s="9" t="str">
        <x:v>1. 查看加入申请时间轴</x:v>
      </x:c>
      <x:c r="K1257" s="9" t="str">
        <x:v>显示提交时间09/15 10:00</x:v>
      </x:c>
      <x:c r="L1257" s="10" t="str"/>
      <x:c r="M1257" s="10" t="str">
        <x:v>未测</x:v>
      </x:c>
      <x:c r="N1257" s="10" t="str"/>
      <x:c r="O1257" s="9" t="str">
        <x:v>1. 来源（当前证据）：liveshow-proto/MainBasis/统一需求文档.md；位置：行1010、行1005
2. 规则：BR-f6e277a541b014b2
3. 未动态验证</x:v>
      </x:c>
    </x:row>
    <x:row r="1258" ht="85" customHeight="1">
      <x:c r="A1258" s="10" t="n">
        <x:v>1257</x:v>
      </x:c>
      <x:c r="B1258" s="10" t="str">
        <x:v>USER-04-0153</x:v>
      </x:c>
      <x:c r="C1258" s="10" t="str">
        <x:v>消息与社交</x:v>
      </x:c>
      <x:c r="D1258" s="10" t="str">
        <x:v>主播主页（普通用户视角）</x:v>
      </x:c>
      <x:c r="E1258" s="10" t="str">
        <x:v>功能需求</x:v>
      </x:c>
      <x:c r="F1258" s="10" t="str">
        <x:v>P2</x:v>
      </x:c>
      <x:c r="G1258" s="9" t="str">
        <x:v>验证主播主页身份：主播账号资料</x:v>
      </x:c>
      <x:c r="H1258" s="9" t="str">
        <x:v>主播账号资料</x:v>
      </x:c>
      <x:c r="I1258" s="9" t="str">
        <x:v>1. 执行角色为普通用户；当前处于主播主页页面
2. 主播A资料有效、主播5级、财富3级、当前在播</x:v>
      </x:c>
      <x:c r="J1258" s="9" t="str">
        <x:v>1. 查看主播A资料</x:v>
      </x:c>
      <x:c r="K1258" s="9" t="str">
        <x:v>显示A当前账号资料</x:v>
      </x:c>
      <x:c r="L1258" s="10" t="str"/>
      <x:c r="M1258" s="10" t="str">
        <x:v>未测</x:v>
      </x:c>
      <x:c r="N1258" s="10" t="str"/>
      <x:c r="O1258" s="9" t="str">
        <x:v>1. 来源（当前证据）：liveshow-proto/MainBasis/统一需求文档.md；位置：行1056、行1054
2. 规则：BR-6ab2baf30e64bf4c
3. 未动态验证</x:v>
      </x:c>
    </x:row>
    <x:row r="1259" ht="85" customHeight="1">
      <x:c r="A1259" s="10" t="n">
        <x:v>1258</x:v>
      </x:c>
      <x:c r="B1259" s="10" t="str">
        <x:v>USER-04-0154</x:v>
      </x:c>
      <x:c r="C1259" s="10" t="str">
        <x:v>消息与社交</x:v>
      </x:c>
      <x:c r="D1259" s="10" t="str">
        <x:v>主播主页（普通用户视角）</x:v>
      </x:c>
      <x:c r="E1259" s="10" t="str">
        <x:v>功能需求</x:v>
      </x:c>
      <x:c r="F1259" s="10" t="str">
        <x:v>P2</x:v>
      </x:c>
      <x:c r="G1259" s="9" t="str">
        <x:v>验证主播主页身份：主播等级</x:v>
      </x:c>
      <x:c r="H1259" s="9" t="str">
        <x:v>主播等级</x:v>
      </x:c>
      <x:c r="I1259" s="9" t="str">
        <x:v>1. 执行角色为普通用户；当前处于主播主页页面
2. 主播A资料有效、主播5级、财富3级、当前在播</x:v>
      </x:c>
      <x:c r="J1259" s="9" t="str">
        <x:v>1. 查看主播A资料</x:v>
      </x:c>
      <x:c r="K1259" s="9" t="str">
        <x:v>显示主播5级</x:v>
      </x:c>
      <x:c r="L1259" s="10" t="str"/>
      <x:c r="M1259" s="10" t="str">
        <x:v>未测</x:v>
      </x:c>
      <x:c r="N1259" s="10" t="str"/>
      <x:c r="O1259" s="9" t="str">
        <x:v>1. 来源（当前证据）：liveshow-proto/MainBasis/统一需求文档.md；位置：行1056、行1054
2. 规则：BR-5148f380906c8d60
3. 未动态验证</x:v>
      </x:c>
    </x:row>
    <x:row r="1260" ht="85" customHeight="1">
      <x:c r="A1260" s="10" t="n">
        <x:v>1259</x:v>
      </x:c>
      <x:c r="B1260" s="10" t="str">
        <x:v>USER-04-0155</x:v>
      </x:c>
      <x:c r="C1260" s="10" t="str">
        <x:v>消息与社交</x:v>
      </x:c>
      <x:c r="D1260" s="10" t="str">
        <x:v>主播主页（普通用户视角）</x:v>
      </x:c>
      <x:c r="E1260" s="10" t="str">
        <x:v>功能需求</x:v>
      </x:c>
      <x:c r="F1260" s="10" t="str">
        <x:v>P2</x:v>
      </x:c>
      <x:c r="G1260" s="9" t="str">
        <x:v>验证主播主页身份：主播财富等级</x:v>
      </x:c>
      <x:c r="H1260" s="9" t="str">
        <x:v>主播财富等级</x:v>
      </x:c>
      <x:c r="I1260" s="9" t="str">
        <x:v>1. 执行角色为普通用户；当前处于主播主页页面
2. 主播A资料有效、主播5级、财富3级、当前在播</x:v>
      </x:c>
      <x:c r="J1260" s="9" t="str">
        <x:v>1. 查看主播A资料</x:v>
      </x:c>
      <x:c r="K1260" s="9" t="str">
        <x:v>显示财富3级</x:v>
      </x:c>
      <x:c r="L1260" s="10" t="str"/>
      <x:c r="M1260" s="10" t="str">
        <x:v>未测</x:v>
      </x:c>
      <x:c r="N1260" s="10" t="str"/>
      <x:c r="O1260" s="9" t="str">
        <x:v>1. 来源（当前证据）：liveshow-proto/MainBasis/统一需求文档.md；位置：行1056、行1054
2. 规则：BR-27ee4c01a520a3bc
3. 未动态验证</x:v>
      </x:c>
    </x:row>
    <x:row r="1261" ht="85" customHeight="1">
      <x:c r="A1261" s="10" t="n">
        <x:v>1260</x:v>
      </x:c>
      <x:c r="B1261" s="10" t="str">
        <x:v>USER-04-0156</x:v>
      </x:c>
      <x:c r="C1261" s="10" t="str">
        <x:v>消息与社交</x:v>
      </x:c>
      <x:c r="D1261" s="10" t="str">
        <x:v>主播主页（普通用户视角）</x:v>
      </x:c>
      <x:c r="E1261" s="10" t="str">
        <x:v>功能需求</x:v>
      </x:c>
      <x:c r="F1261" s="10" t="str">
        <x:v>P2</x:v>
      </x:c>
      <x:c r="G1261" s="9" t="str">
        <x:v>验证主播主页身份：主播直播状态</x:v>
      </x:c>
      <x:c r="H1261" s="9" t="str">
        <x:v>主播直播状态</x:v>
      </x:c>
      <x:c r="I1261" s="9" t="str">
        <x:v>1. 执行角色为普通用户；当前处于主播主页页面
2. 主播A资料有效、主播5级、财富3级、当前在播</x:v>
      </x:c>
      <x:c r="J1261" s="9" t="str">
        <x:v>1. 查看主播A资料</x:v>
      </x:c>
      <x:c r="K1261" s="9" t="str">
        <x:v>显示在播</x:v>
      </x:c>
      <x:c r="L1261" s="10" t="str"/>
      <x:c r="M1261" s="10" t="str">
        <x:v>未测</x:v>
      </x:c>
      <x:c r="N1261" s="10" t="str"/>
      <x:c r="O1261" s="9" t="str">
        <x:v>1. 来源（当前证据）：liveshow-proto/MainBasis/统一需求文档.md；位置：行1056、行1054
2. 规则：BR-b5f72a68fd261f2f
3. 未动态验证</x:v>
      </x:c>
    </x:row>
    <x:row r="1262" ht="85" customHeight="1">
      <x:c r="A1262" s="10" t="n">
        <x:v>1261</x:v>
      </x:c>
      <x:c r="B1262" s="10" t="str">
        <x:v>USER-04-0157</x:v>
      </x:c>
      <x:c r="C1262" s="10" t="str">
        <x:v>消息与社交</x:v>
      </x:c>
      <x:c r="D1262" s="10" t="str">
        <x:v>主播主页（普通用户视角）</x:v>
      </x:c>
      <x:c r="E1262" s="10" t="str">
        <x:v>功能需求</x:v>
      </x:c>
      <x:c r="F1262" s="10" t="str">
        <x:v>P2</x:v>
      </x:c>
      <x:c r="G1262" s="9" t="str">
        <x:v>验证主页粉丝团资料：粉丝团名称</x:v>
      </x:c>
      <x:c r="H1262" s="9" t="str">
        <x:v>粉丝团名称</x:v>
      </x:c>
      <x:c r="I1262" s="9" t="str">
        <x:v>1. 执行角色为普通用户；当前处于主播主页页面
2. 当前查看A；团名QA粉丝团、等级5、成员10人，本人已入团</x:v>
      </x:c>
      <x:c r="J1262" s="9" t="str">
        <x:v>1. 查看粉丝团信息</x:v>
      </x:c>
      <x:c r="K1262" s="9" t="str">
        <x:v>显示团名QA粉丝团</x:v>
      </x:c>
      <x:c r="L1262" s="10" t="str"/>
      <x:c r="M1262" s="10" t="str">
        <x:v>未测</x:v>
      </x:c>
      <x:c r="N1262" s="10" t="str"/>
      <x:c r="O1262" s="9" t="str">
        <x:v>1. 来源（当前证据）：liveshow-proto/MainBasis/统一需求文档.md；位置：行1059、行1054
2. 规则：BR-c6106afcd7b11846
3. 未动态验证</x:v>
      </x:c>
    </x:row>
    <x:row r="1263" ht="85" customHeight="1">
      <x:c r="A1263" s="10" t="n">
        <x:v>1262</x:v>
      </x:c>
      <x:c r="B1263" s="10" t="str">
        <x:v>USER-04-0158</x:v>
      </x:c>
      <x:c r="C1263" s="10" t="str">
        <x:v>消息与社交</x:v>
      </x:c>
      <x:c r="D1263" s="10" t="str">
        <x:v>主播主页（普通用户视角）</x:v>
      </x:c>
      <x:c r="E1263" s="10" t="str">
        <x:v>功能需求</x:v>
      </x:c>
      <x:c r="F1263" s="10" t="str">
        <x:v>P2</x:v>
      </x:c>
      <x:c r="G1263" s="9" t="str">
        <x:v>验证主页粉丝团资料：粉丝团等级</x:v>
      </x:c>
      <x:c r="H1263" s="9" t="str">
        <x:v>粉丝团等级</x:v>
      </x:c>
      <x:c r="I1263" s="9" t="str">
        <x:v>1. 执行角色为普通用户；当前处于主播主页页面
2. 当前查看A；团名QA粉丝团、等级5、成员10人，本人已入团</x:v>
      </x:c>
      <x:c r="J1263" s="9" t="str">
        <x:v>1. 查看粉丝团信息</x:v>
      </x:c>
      <x:c r="K1263" s="9" t="str">
        <x:v>显示等级5</x:v>
      </x:c>
      <x:c r="L1263" s="10" t="str"/>
      <x:c r="M1263" s="10" t="str">
        <x:v>未测</x:v>
      </x:c>
      <x:c r="N1263" s="10" t="str"/>
      <x:c r="O1263" s="9" t="str">
        <x:v>1. 来源（当前证据）：liveshow-proto/MainBasis/统一需求文档.md；位置：行1059、行1054
2. 规则：BR-1c6da8a502996d2a
3. 未动态验证</x:v>
      </x:c>
    </x:row>
    <x:row r="1264" ht="85" customHeight="1">
      <x:c r="A1264" s="10" t="n">
        <x:v>1263</x:v>
      </x:c>
      <x:c r="B1264" s="10" t="str">
        <x:v>USER-04-0159</x:v>
      </x:c>
      <x:c r="C1264" s="10" t="str">
        <x:v>消息与社交</x:v>
      </x:c>
      <x:c r="D1264" s="10" t="str">
        <x:v>主播主页（普通用户视角）</x:v>
      </x:c>
      <x:c r="E1264" s="10" t="str">
        <x:v>功能需求</x:v>
      </x:c>
      <x:c r="F1264" s="10" t="str">
        <x:v>P2</x:v>
      </x:c>
      <x:c r="G1264" s="9" t="str">
        <x:v>验证主页粉丝团资料：粉丝团人数</x:v>
      </x:c>
      <x:c r="H1264" s="9" t="str">
        <x:v>粉丝团人数</x:v>
      </x:c>
      <x:c r="I1264" s="9" t="str">
        <x:v>1. 执行角色为普通用户；当前处于主播主页页面
2. 当前查看A；团名QA粉丝团、等级5、成员10人，本人已入团</x:v>
      </x:c>
      <x:c r="J1264" s="9" t="str">
        <x:v>1. 查看粉丝团信息</x:v>
      </x:c>
      <x:c r="K1264" s="9" t="str">
        <x:v>显示10名成员</x:v>
      </x:c>
      <x:c r="L1264" s="10" t="str"/>
      <x:c r="M1264" s="10" t="str">
        <x:v>未测</x:v>
      </x:c>
      <x:c r="N1264" s="10" t="str"/>
      <x:c r="O1264" s="9" t="str">
        <x:v>1. 来源（当前证据）：liveshow-proto/MainBasis/统一需求文档.md；位置：行1059、行1054
2. 规则：BR-c505f11fa7138a94
3. 未动态验证</x:v>
      </x:c>
    </x:row>
    <x:row r="1265" ht="85" customHeight="1">
      <x:c r="A1265" s="10" t="n">
        <x:v>1264</x:v>
      </x:c>
      <x:c r="B1265" s="10" t="str">
        <x:v>USER-04-0160</x:v>
      </x:c>
      <x:c r="C1265" s="10" t="str">
        <x:v>消息与社交</x:v>
      </x:c>
      <x:c r="D1265" s="10" t="str">
        <x:v>主播主页（普通用户视角）</x:v>
      </x:c>
      <x:c r="E1265" s="10" t="str">
        <x:v>功能需求</x:v>
      </x:c>
      <x:c r="F1265" s="10" t="str">
        <x:v>P2</x:v>
      </x:c>
      <x:c r="G1265" s="9" t="str">
        <x:v>验证主页粉丝团资料：本人团籍状态</x:v>
      </x:c>
      <x:c r="H1265" s="9" t="str">
        <x:v>本人团籍状态</x:v>
      </x:c>
      <x:c r="I1265" s="9" t="str">
        <x:v>1. 执行角色为普通用户；当前处于主播主页页面
2. 当前查看A；团名QA粉丝团、等级5、成员10人，本人已入团</x:v>
      </x:c>
      <x:c r="J1265" s="9" t="str">
        <x:v>1. 查看粉丝团信息</x:v>
      </x:c>
      <x:c r="K1265" s="9" t="str">
        <x:v>显示本人已入团</x:v>
      </x:c>
      <x:c r="L1265" s="10" t="str"/>
      <x:c r="M1265" s="10" t="str">
        <x:v>未测</x:v>
      </x:c>
      <x:c r="N1265" s="10" t="str"/>
      <x:c r="O1265" s="9" t="str">
        <x:v>1. 来源（当前证据）：liveshow-proto/MainBasis/统一需求文档.md；位置：行1059、行1054
2. 规则：BR-db6037af46009152
3. 未动态验证</x:v>
      </x:c>
    </x:row>
    <x:row r="1266" ht="85" customHeight="1">
      <x:c r="A1266" s="10" t="n">
        <x:v>1265</x:v>
      </x:c>
      <x:c r="B1266" s="10" t="str">
        <x:v>USER-04-0161</x:v>
      </x:c>
      <x:c r="C1266" s="10" t="str">
        <x:v>消息与社交</x:v>
      </x:c>
      <x:c r="D1266" s="10" t="str">
        <x:v>礼物展馆（普通用户视角）</x:v>
      </x:c>
      <x:c r="E1266" s="10" t="str">
        <x:v>功能需求</x:v>
      </x:c>
      <x:c r="F1266" s="10" t="str">
        <x:v>P2</x:v>
      </x:c>
      <x:c r="G1266" s="9" t="str">
        <x:v>验证展馆礼物资料：展馆礼物名称</x:v>
      </x:c>
      <x:c r="H1266" s="9" t="str">
        <x:v>展馆礼物名称</x:v>
      </x:c>
      <x:c r="I1266" s="9" t="str">
        <x:v>1. 执行角色为普通用户；当前处于礼物展馆页面
2. 礼物目录有玫瑰及其图标</x:v>
      </x:c>
      <x:c r="J1266" s="9" t="str">
        <x:v>1. 查看玫瑰礼物</x:v>
      </x:c>
      <x:c r="K1266" s="9" t="str">
        <x:v>显示玫瑰名称</x:v>
      </x:c>
      <x:c r="L1266" s="10" t="str"/>
      <x:c r="M1266" s="10" t="str">
        <x:v>未测</x:v>
      </x:c>
      <x:c r="N1266" s="10" t="str"/>
      <x:c r="O1266" s="9" t="str">
        <x:v>1. 来源（当前证据）：liveshow-proto/MainBasis/统一需求文档.md；位置：行1075、行1072
2. 规则：BR-4892655b7c52b6c1
3. 未动态验证</x:v>
      </x:c>
    </x:row>
    <x:row r="1267" ht="85" customHeight="1">
      <x:c r="A1267" s="10" t="n">
        <x:v>1266</x:v>
      </x:c>
      <x:c r="B1267" s="10" t="str">
        <x:v>USER-04-0162</x:v>
      </x:c>
      <x:c r="C1267" s="10" t="str">
        <x:v>消息与社交</x:v>
      </x:c>
      <x:c r="D1267" s="10" t="str">
        <x:v>礼物展馆（普通用户视角）</x:v>
      </x:c>
      <x:c r="E1267" s="10" t="str">
        <x:v>功能需求</x:v>
      </x:c>
      <x:c r="F1267" s="10" t="str">
        <x:v>P2</x:v>
      </x:c>
      <x:c r="G1267" s="9" t="str">
        <x:v>验证展馆礼物资料：展馆礼物图标</x:v>
      </x:c>
      <x:c r="H1267" s="9" t="str">
        <x:v>展馆礼物图标</x:v>
      </x:c>
      <x:c r="I1267" s="9" t="str">
        <x:v>1. 执行角色为普通用户；当前处于礼物展馆页面
2. 礼物目录有玫瑰及其图标</x:v>
      </x:c>
      <x:c r="J1267" s="9" t="str">
        <x:v>1. 查看玫瑰礼物</x:v>
      </x:c>
      <x:c r="K1267" s="9" t="str">
        <x:v>显示玫瑰对应图标</x:v>
      </x:c>
      <x:c r="L1267" s="10" t="str"/>
      <x:c r="M1267" s="10" t="str">
        <x:v>未测</x:v>
      </x:c>
      <x:c r="N1267" s="10" t="str"/>
      <x:c r="O1267" s="9" t="str">
        <x:v>1. 来源（当前证据）：liveshow-proto/MainBasis/统一需求文档.md；位置：行1075、行1072
2. 规则：BR-0ac8e972c94f2f90
3. 未动态验证</x:v>
      </x:c>
    </x:row>
    <x:row r="1268" ht="85" customHeight="1">
      <x:c r="A1268" s="10" t="n">
        <x:v>1267</x:v>
      </x:c>
      <x:c r="B1268" s="10" t="str">
        <x:v>USER-05-0237</x:v>
      </x:c>
      <x:c r="C1268" s="10" t="str">
        <x:v>我的</x:v>
      </x:c>
      <x:c r="D1268" s="10" t="str">
        <x:v>我的粉丝团（粉丝团成员视角）</x:v>
      </x:c>
      <x:c r="E1268" s="10" t="str">
        <x:v>功能需求</x:v>
      </x:c>
      <x:c r="F1268" s="10" t="str">
        <x:v>P2</x:v>
      </x:c>
      <x:c r="G1268" s="9" t="str">
        <x:v>验证我的粉丝团名称</x:v>
      </x:c>
      <x:c r="H1268" s="9" t="str">
        <x:v>粉丝团名称展示</x:v>
      </x:c>
      <x:c r="I1268" s="9" t="str">
        <x:v>1. 执行角色为粉丝团成员；当前处于我的粉丝团页面
2. 当前已加入粉丝团，其名称为QA粉丝团</x:v>
      </x:c>
      <x:c r="J1268" s="9" t="str">
        <x:v>1. 查看该粉丝团卡片</x:v>
      </x:c>
      <x:c r="K1268" s="9" t="str">
        <x:v>显示QA粉丝团</x:v>
      </x:c>
      <x:c r="L1268" s="10" t="str"/>
      <x:c r="M1268" s="10" t="str">
        <x:v>未测</x:v>
      </x:c>
      <x:c r="N1268" s="10" t="str"/>
      <x:c r="O1268" s="9" t="str">
        <x:v>1. 来源（当前证据）：liveshow-proto/MainBasis/统一需求文档.md；位置：行1088、行1085
2. 规则：BR-d497c36d8897dc20
3. 未动态验证</x:v>
      </x:c>
    </x:row>
    <x:row r="1269" ht="85" customHeight="1">
      <x:c r="A1269" s="10" t="n">
        <x:v>1268</x:v>
      </x:c>
      <x:c r="B1269" s="10" t="str">
        <x:v>USER-05-0238</x:v>
      </x:c>
      <x:c r="C1269" s="10" t="str">
        <x:v>我的</x:v>
      </x:c>
      <x:c r="D1269" s="10" t="str">
        <x:v>我的粉丝团（粉丝团成员视角）</x:v>
      </x:c>
      <x:c r="E1269" s="10" t="str">
        <x:v>功能需求</x:v>
      </x:c>
      <x:c r="F1269" s="10" t="str">
        <x:v>P2</x:v>
      </x:c>
      <x:c r="G1269" s="9" t="str">
        <x:v>验证本人主播亲密度</x:v>
      </x:c>
      <x:c r="H1269" s="9" t="str">
        <x:v>展示内容</x:v>
      </x:c>
      <x:c r="I1269" s="9" t="str">
        <x:v>1. 执行角色为粉丝团成员；当前处于我的粉丝团页面
2. 当前用户与A亲密度20；与B亲密度50</x:v>
      </x:c>
      <x:c r="J1269" s="9" t="str">
        <x:v>1. 查看A粉丝团卡片</x:v>
      </x:c>
      <x:c r="K1269" s="9" t="str">
        <x:v>显示本人对A亲密度20</x:v>
      </x:c>
      <x:c r="L1269" s="10" t="str"/>
      <x:c r="M1269" s="10" t="str">
        <x:v>未测</x:v>
      </x:c>
      <x:c r="N1269" s="10" t="str"/>
      <x:c r="O1269" s="9" t="str">
        <x:v>1. 来源（当前证据）：liveshow-proto/MainBasis/统一需求文档.md；位置：行1094、行1085
2. 规则：BR-afa1710afe68fe88
3. 未动态验证</x:v>
      </x:c>
    </x:row>
    <x:row r="1270" ht="85" customHeight="1">
      <x:c r="A1270" s="10" t="n">
        <x:v>1269</x:v>
      </x:c>
      <x:c r="B1270" s="10" t="str">
        <x:v>USER-07-0161</x:v>
      </x:c>
      <x:c r="C1270" s="10" t="str">
        <x:v>主播中心</x:v>
      </x:c>
      <x:c r="D1270" s="10" t="str">
        <x:v>房管管理（主播视角）</x:v>
      </x:c>
      <x:c r="E1270" s="10" t="str">
        <x:v>功能需求</x:v>
      </x:c>
      <x:c r="F1270" s="10" t="str">
        <x:v>P2</x:v>
      </x:c>
      <x:c r="G1270" s="9" t="str">
        <x:v>验证房管管理账号资料：房管头像</x:v>
      </x:c>
      <x:c r="H1270" s="9" t="str">
        <x:v>房管头像</x:v>
      </x:c>
      <x:c r="I1270" s="9" t="str">
        <x:v>1. 执行角色为主播；当前处于房管管理页面
2. 已授权A为房管，其昵称QA房管、ID2001、头像P</x:v>
      </x:c>
      <x:c r="J1270" s="9" t="str">
        <x:v>1. 查看A房管资料</x:v>
      </x:c>
      <x:c r="K1270" s="9" t="str">
        <x:v>显示头像P</x:v>
      </x:c>
      <x:c r="L1270" s="10" t="str"/>
      <x:c r="M1270" s="10" t="str">
        <x:v>未测</x:v>
      </x:c>
      <x:c r="N1270" s="10" t="str"/>
      <x:c r="O1270" s="9" t="str">
        <x:v>1. 来源（当前证据）：liveshow-proto/MainBasis/统一需求文档.md；位置：行1149、行1147
2. 规则：BR-2d88b79b8d419e4b
3. 未动态验证</x:v>
      </x:c>
    </x:row>
    <x:row r="1271" ht="85" customHeight="1">
      <x:c r="A1271" s="10" t="n">
        <x:v>1270</x:v>
      </x:c>
      <x:c r="B1271" s="10" t="str">
        <x:v>USER-07-0162</x:v>
      </x:c>
      <x:c r="C1271" s="10" t="str">
        <x:v>主播中心</x:v>
      </x:c>
      <x:c r="D1271" s="10" t="str">
        <x:v>房管管理（主播视角）</x:v>
      </x:c>
      <x:c r="E1271" s="10" t="str">
        <x:v>功能需求</x:v>
      </x:c>
      <x:c r="F1271" s="10" t="str">
        <x:v>P2</x:v>
      </x:c>
      <x:c r="G1271" s="9" t="str">
        <x:v>验证房管管理账号资料：房管昵称</x:v>
      </x:c>
      <x:c r="H1271" s="9" t="str">
        <x:v>房管昵称</x:v>
      </x:c>
      <x:c r="I1271" s="9" t="str">
        <x:v>1. 执行角色为主播；当前处于房管管理页面
2. 已授权A为房管，其昵称QA房管、ID2001、头像P</x:v>
      </x:c>
      <x:c r="J1271" s="9" t="str">
        <x:v>1. 查看A房管资料</x:v>
      </x:c>
      <x:c r="K1271" s="9" t="str">
        <x:v>显示昵称QA房管</x:v>
      </x:c>
      <x:c r="L1271" s="10" t="str"/>
      <x:c r="M1271" s="10" t="str">
        <x:v>未测</x:v>
      </x:c>
      <x:c r="N1271" s="10" t="str"/>
      <x:c r="O1271" s="9" t="str">
        <x:v>1. 来源（当前证据）：liveshow-proto/MainBasis/统一需求文档.md；位置：行1149、行1147
2. 规则：BR-b62d2df891f72950
3. 未动态验证</x:v>
      </x:c>
    </x:row>
    <x:row r="1272" ht="85" customHeight="1">
      <x:c r="A1272" s="10" t="n">
        <x:v>1271</x:v>
      </x:c>
      <x:c r="B1272" s="10" t="str">
        <x:v>USER-07-0163</x:v>
      </x:c>
      <x:c r="C1272" s="10" t="str">
        <x:v>主播中心</x:v>
      </x:c>
      <x:c r="D1272" s="10" t="str">
        <x:v>房管管理（主播视角）</x:v>
      </x:c>
      <x:c r="E1272" s="10" t="str">
        <x:v>功能需求</x:v>
      </x:c>
      <x:c r="F1272" s="10" t="str">
        <x:v>P2</x:v>
      </x:c>
      <x:c r="G1272" s="9" t="str">
        <x:v>验证房管管理账号资料：房管ID</x:v>
      </x:c>
      <x:c r="H1272" s="9" t="str">
        <x:v>房管ID</x:v>
      </x:c>
      <x:c r="I1272" s="9" t="str">
        <x:v>1. 执行角色为主播；当前处于房管管理页面
2. 已授权A为房管，其昵称QA房管、ID2001、头像P</x:v>
      </x:c>
      <x:c r="J1272" s="9" t="str">
        <x:v>1. 查看A房管资料</x:v>
      </x:c>
      <x:c r="K1272" s="9" t="str">
        <x:v>显示ID2001</x:v>
      </x:c>
      <x:c r="L1272" s="10" t="str"/>
      <x:c r="M1272" s="10" t="str">
        <x:v>未测</x:v>
      </x:c>
      <x:c r="N1272" s="10" t="str"/>
      <x:c r="O1272" s="9" t="str">
        <x:v>1. 来源（当前证据）：liveshow-proto/MainBasis/统一需求文档.md；位置：行1149、行1147
2. 规则：BR-5fa46808b91cde1c
3. 未动态验证</x:v>
      </x:c>
    </x:row>
    <x:row r="1273" ht="85" customHeight="1">
      <x:c r="A1273" s="10" t="n">
        <x:v>1272</x:v>
      </x:c>
      <x:c r="B1273" s="10" t="str">
        <x:v>USER-07-0164</x:v>
      </x:c>
      <x:c r="C1273" s="10" t="str">
        <x:v>主播中心</x:v>
      </x:c>
      <x:c r="D1273" s="10" t="str">
        <x:v>房管管理（主播视角）</x:v>
      </x:c>
      <x:c r="E1273" s="10" t="str">
        <x:v>功能需求</x:v>
      </x:c>
      <x:c r="F1273" s="10" t="str">
        <x:v>P2</x:v>
      </x:c>
      <x:c r="G1273" s="9" t="str">
        <x:v>验证房管管理账号资料：房管授权状态</x:v>
      </x:c>
      <x:c r="H1273" s="9" t="str">
        <x:v>房管授权状态</x:v>
      </x:c>
      <x:c r="I1273" s="9" t="str">
        <x:v>1. 执行角色为主播；当前处于房管管理页面
2. 已授权A为房管，其昵称QA房管、ID2001、头像P</x:v>
      </x:c>
      <x:c r="J1273" s="9" t="str">
        <x:v>1. 查看A房管资料</x:v>
      </x:c>
      <x:c r="K1273" s="9" t="str">
        <x:v>显示已授权</x:v>
      </x:c>
      <x:c r="L1273" s="10" t="str"/>
      <x:c r="M1273" s="10" t="str">
        <x:v>未测</x:v>
      </x:c>
      <x:c r="N1273" s="10" t="str"/>
      <x:c r="O1273" s="9" t="str">
        <x:v>1. 来源（当前证据）：liveshow-proto/MainBasis/统一需求文档.md；位置：行1149、行1147
2. 规则：BR-2f9d429b02ba2350
3. 未动态验证</x:v>
      </x:c>
    </x:row>
    <x:row r="1274" ht="85" customHeight="1">
      <x:c r="A1274" s="10" t="n">
        <x:v>1273</x:v>
      </x:c>
      <x:c r="B1274" s="10" t="str">
        <x:v>USER-07-0165</x:v>
      </x:c>
      <x:c r="C1274" s="10" t="str">
        <x:v>主播中心</x:v>
      </x:c>
      <x:c r="D1274" s="10" t="str">
        <x:v>公会通知（主播视角）</x:v>
      </x:c>
      <x:c r="E1274" s="10" t="str">
        <x:v>功能需求</x:v>
      </x:c>
      <x:c r="F1274" s="10" t="str">
        <x:v>P2</x:v>
      </x:c>
      <x:c r="G1274" s="9" t="str">
        <x:v>验证公会未读标记</x:v>
      </x:c>
      <x:c r="H1274" s="9" t="str">
        <x:v>公会通知未读标记</x:v>
      </x:c>
      <x:c r="I1274" s="9" t="str">
        <x:v>1. 执行角色为主播；当前处于公会通知页面
2. 存在尚未阅读的公会通知N</x:v>
      </x:c>
      <x:c r="J1274" s="9" t="str">
        <x:v>1. 查看通知N标题</x:v>
      </x:c>
      <x:c r="K1274" s="9" t="str">
        <x:v>显示未读提示点</x:v>
      </x:c>
      <x:c r="L1274" s="10" t="str"/>
      <x:c r="M1274" s="10" t="str">
        <x:v>未测</x:v>
      </x:c>
      <x:c r="N1274" s="10" t="str"/>
      <x:c r="O1274" s="9" t="str">
        <x:v>1. 来源（当前证据）：liveshow-proto/MainBasis/统一需求文档.md；位置：行1163、行1159
2. 规则：BR-1eab593c9fdf800e
3. 未动态验证</x:v>
      </x:c>
    </x:row>
    <x:row r="1275" ht="85" customHeight="1">
      <x:c r="A1275" s="10" t="n">
        <x:v>1274</x:v>
      </x:c>
      <x:c r="B1275" s="10" t="str">
        <x:v>USER-05-0239</x:v>
      </x:c>
      <x:c r="C1275" s="10" t="str">
        <x:v>我的</x:v>
      </x:c>
      <x:c r="D1275" s="10" t="str">
        <x:v>申请成为主播（入会申请人视角）</x:v>
      </x:c>
      <x:c r="E1275" s="10" t="str">
        <x:v>功能需求</x:v>
      </x:c>
      <x:c r="F1275" s="10" t="str">
        <x:v>P2</x:v>
      </x:c>
      <x:c r="G1275" s="9" t="str">
        <x:v>验证审核对应公会名</x:v>
      </x:c>
      <x:c r="H1275" s="9" t="str">
        <x:v>审核公会名称</x:v>
      </x:c>
      <x:c r="I1275" s="9" t="str">
        <x:v>1. 执行角色为入会申请人；当前处于申请成为主播页面
2. 向QA公会提交申请，当前公会初审中</x:v>
      </x:c>
      <x:c r="J1275" s="9" t="str">
        <x:v>1. 查看审核流程</x:v>
      </x:c>
      <x:c r="K1275" s="9" t="str">
        <x:v>显示对应公会名称QA公会</x:v>
      </x:c>
      <x:c r="L1275" s="10" t="str"/>
      <x:c r="M1275" s="10" t="str">
        <x:v>未测</x:v>
      </x:c>
      <x:c r="N1275" s="10" t="str"/>
      <x:c r="O1275" s="9" t="str">
        <x:v>1. 来源（当前证据）：liveshow-proto/MainBasis/统一需求文档.md；位置：行1173、行1169
2. 规则：BR-7fc586b22ebf94d0
3. 未动态验证</x:v>
      </x:c>
    </x:row>
    <x:row r="1276" ht="85" customHeight="1">
      <x:c r="A1276" s="10" t="n">
        <x:v>1275</x:v>
      </x:c>
      <x:c r="B1276" s="10" t="str">
        <x:v>USER-07-0166</x:v>
      </x:c>
      <x:c r="C1276" s="10" t="str">
        <x:v>主播中心</x:v>
      </x:c>
      <x:c r="D1276" s="10" t="str">
        <x:v>分成记录（主播视角）</x:v>
      </x:c>
      <x:c r="E1276" s="10" t="str">
        <x:v>功能需求</x:v>
      </x:c>
      <x:c r="F1276" s="10" t="str">
        <x:v>P2</x:v>
      </x:c>
      <x:c r="G1276" s="9" t="str">
        <x:v>验证分成日期展示</x:v>
      </x:c>
      <x:c r="H1276" s="9" t="str">
        <x:v>展示内容</x:v>
      </x:c>
      <x:c r="I1276" s="9" t="str">
        <x:v>1. 执行角色为主播；当前处于分成记录页面
2. 平台已上传当前主播日期09/01的分成记录</x:v>
      </x:c>
      <x:c r="J1276" s="9" t="str">
        <x:v>1. 查看该分成记录</x:v>
      </x:c>
      <x:c r="K1276" s="9" t="str">
        <x:v>显示分成日期09/01</x:v>
      </x:c>
      <x:c r="L1276" s="10" t="str"/>
      <x:c r="M1276" s="10" t="str">
        <x:v>未测</x:v>
      </x:c>
      <x:c r="N1276" s="10" t="str"/>
      <x:c r="O1276" s="9" t="str">
        <x:v>1. 来源（当前证据）：liveshow-proto/MainBasis/统一需求文档.md；位置：行1279、行1277
2. 规则：BR-7aa61847fa5fce8e
3. 未动态验证</x:v>
      </x:c>
    </x:row>
    <x:row r="1277" ht="85" customHeight="1">
      <x:c r="A1277" s="10" t="n">
        <x:v>1276</x:v>
      </x:c>
      <x:c r="B1277" s="10" t="str">
        <x:v>USER-08-0063</x:v>
      </x:c>
      <x:c r="C1277" s="10" t="str">
        <x:v>钱包与账单</x:v>
      </x:c>
      <x:c r="D1277" s="10" t="str">
        <x:v>余额明细（普通用户视角）</x:v>
      </x:c>
      <x:c r="E1277" s="10" t="str">
        <x:v>功能需求</x:v>
      </x:c>
      <x:c r="F1277" s="10" t="str">
        <x:v>P2</x:v>
      </x:c>
      <x:c r="G1277" s="9" t="str">
        <x:v>验证金币流水发生时间</x:v>
      </x:c>
      <x:c r="H1277" s="9" t="str">
        <x:v>展示内容</x:v>
      </x:c>
      <x:c r="I1277" s="9" t="str">
        <x:v>1. 执行角色为普通用户；当前处于余额明细页面
2. 当前金币流水发生于09/15 10:00:00，显示时区已固定</x:v>
      </x:c>
      <x:c r="J1277" s="9" t="str">
        <x:v>1. 查看该流水日期时间</x:v>
      </x:c>
      <x:c r="K1277" s="9" t="str">
        <x:v>显示09/15 10:00:00</x:v>
      </x:c>
      <x:c r="L1277" s="10" t="str"/>
      <x:c r="M1277" s="10" t="str">
        <x:v>未测</x:v>
      </x:c>
      <x:c r="N1277" s="10" t="str"/>
      <x:c r="O1277" s="9" t="str">
        <x:v>1. 来源（当前证据）：liveshow-proto/MainBasis/统一需求文档.md；位置：行1314、行1310
2. 规则：BR-b0dcf336bda65137
3. 未动态验证</x:v>
      </x:c>
    </x:row>
    <x:row r="1278" ht="85" customHeight="1">
      <x:c r="A1278" s="10" t="n">
        <x:v>1277</x:v>
      </x:c>
      <x:c r="B1278" s="10" t="str">
        <x:v>USER-08-0064</x:v>
      </x:c>
      <x:c r="C1278" s="10" t="str">
        <x:v>钱包与账单</x:v>
      </x:c>
      <x:c r="D1278" s="10" t="str">
        <x:v>支出订单详情（普通用户视角）</x:v>
      </x:c>
      <x:c r="E1278" s="10" t="str">
        <x:v>功能需求</x:v>
      </x:c>
      <x:c r="F1278" s="10" t="str">
        <x:v>P2</x:v>
      </x:c>
      <x:c r="G1278" s="9" t="str">
        <x:v>验证消费支付时间</x:v>
      </x:c>
      <x:c r="H1278" s="9" t="str">
        <x:v>展示内容</x:v>
      </x:c>
      <x:c r="I1278" s="9" t="str">
        <x:v>1. 执行角色为普通用户；当前处于支出订单详情页面
2. 本笔消费实际支付时间09/15 10:00:00，显示时区已固定</x:v>
      </x:c>
      <x:c r="J1278" s="9" t="str">
        <x:v>1. 查看支付时间</x:v>
      </x:c>
      <x:c r="K1278" s="9" t="str">
        <x:v>显示09/15 10:00:00</x:v>
      </x:c>
      <x:c r="L1278" s="10" t="str"/>
      <x:c r="M1278" s="10" t="str">
        <x:v>未测</x:v>
      </x:c>
      <x:c r="N1278" s="10" t="str"/>
      <x:c r="O1278" s="9" t="str">
        <x:v>1. 来源（当前证据）：liveshow-proto/MainBasis/统一需求文档.md；位置：行1337、行1333
2. 规则：BR-e809ec7d28bdd535
3. 未动态验证</x:v>
      </x:c>
    </x:row>
    <x:row r="1279" ht="85" customHeight="1">
      <x:c r="A1279" s="10" t="n">
        <x:v>1278</x:v>
      </x:c>
      <x:c r="B1279" s="10" t="str">
        <x:v>USER-03-0277</x:v>
      </x:c>
      <x:c r="C1279" s="10" t="str">
        <x:v>直播</x:v>
      </x:c>
      <x:c r="D1279" s="10" t="str">
        <x:v>在线观众-观众列表（普通观众视角）</x:v>
      </x:c>
      <x:c r="E1279" s="10" t="str">
        <x:v>功能需求</x:v>
      </x:c>
      <x:c r="F1279" s="10" t="str">
        <x:v>P2</x:v>
      </x:c>
      <x:c r="G1279" s="9" t="str">
        <x:v>验证观众列表身份：在线头像</x:v>
      </x:c>
      <x:c r="H1279" s="9" t="str">
        <x:v>在线头像</x:v>
      </x:c>
      <x:c r="I1279" s="9" t="str">
        <x:v>1. 执行角色为普通观众；当前处于在线观众-观众列表页面
2. A仍在本场在线，昵称QA观众、头像P、身份普通观众</x:v>
      </x:c>
      <x:c r="J1279" s="9" t="str">
        <x:v>1. 查看A用户行</x:v>
      </x:c>
      <x:c r="K1279" s="9" t="str">
        <x:v>显示头像P</x:v>
      </x:c>
      <x:c r="L1279" s="10" t="str"/>
      <x:c r="M1279" s="10" t="str">
        <x:v>未测</x:v>
      </x:c>
      <x:c r="N1279" s="10" t="str"/>
      <x:c r="O1279" s="9" t="str">
        <x:v>1. 来源（当前证据）：liveshow-proto/MainBasis/统一需求文档.md；位置：行1667、行1666
2. 规则：BR-ff2e651ae6aa85f2
3. 未动态验证</x:v>
      </x:c>
    </x:row>
    <x:row r="1280" ht="85" customHeight="1">
      <x:c r="A1280" s="10" t="n">
        <x:v>1279</x:v>
      </x:c>
      <x:c r="B1280" s="10" t="str">
        <x:v>USER-03-0278</x:v>
      </x:c>
      <x:c r="C1280" s="10" t="str">
        <x:v>直播</x:v>
      </x:c>
      <x:c r="D1280" s="10" t="str">
        <x:v>在线观众-观众列表（普通观众视角）</x:v>
      </x:c>
      <x:c r="E1280" s="10" t="str">
        <x:v>功能需求</x:v>
      </x:c>
      <x:c r="F1280" s="10" t="str">
        <x:v>P2</x:v>
      </x:c>
      <x:c r="G1280" s="9" t="str">
        <x:v>验证观众列表身份：在线昵称</x:v>
      </x:c>
      <x:c r="H1280" s="9" t="str">
        <x:v>在线昵称</x:v>
      </x:c>
      <x:c r="I1280" s="9" t="str">
        <x:v>1. 执行角色为普通观众；当前处于在线观众-观众列表页面
2. A仍在本场在线，昵称QA观众、头像P、身份普通观众</x:v>
      </x:c>
      <x:c r="J1280" s="9" t="str">
        <x:v>1. 查看A用户行</x:v>
      </x:c>
      <x:c r="K1280" s="9" t="str">
        <x:v>显示昵称QA观众</x:v>
      </x:c>
      <x:c r="L1280" s="10" t="str"/>
      <x:c r="M1280" s="10" t="str">
        <x:v>未测</x:v>
      </x:c>
      <x:c r="N1280" s="10" t="str"/>
      <x:c r="O1280" s="9" t="str">
        <x:v>1. 来源（当前证据）：liveshow-proto/MainBasis/统一需求文档.md；位置：行1667、行1666
2. 规则：BR-6528c46f98e7385c
3. 未动态验证</x:v>
      </x:c>
    </x:row>
    <x:row r="1281" ht="85" customHeight="1">
      <x:c r="A1281" s="10" t="n">
        <x:v>1280</x:v>
      </x:c>
      <x:c r="B1281" s="10" t="str">
        <x:v>USER-03-0279</x:v>
      </x:c>
      <x:c r="C1281" s="10" t="str">
        <x:v>直播</x:v>
      </x:c>
      <x:c r="D1281" s="10" t="str">
        <x:v>在线观众-观众列表（普通观众视角）</x:v>
      </x:c>
      <x:c r="E1281" s="10" t="str">
        <x:v>功能需求</x:v>
      </x:c>
      <x:c r="F1281" s="10" t="str">
        <x:v>P2</x:v>
      </x:c>
      <x:c r="G1281" s="9" t="str">
        <x:v>验证观众列表身份：在线身份</x:v>
      </x:c>
      <x:c r="H1281" s="9" t="str">
        <x:v>在线身份</x:v>
      </x:c>
      <x:c r="I1281" s="9" t="str">
        <x:v>1. 执行角色为普通观众；当前处于在线观众-观众列表页面
2. A仍在本场在线，昵称QA观众、头像P、身份普通观众</x:v>
      </x:c>
      <x:c r="J1281" s="9" t="str">
        <x:v>1. 查看A用户行</x:v>
      </x:c>
      <x:c r="K1281" s="9" t="str">
        <x:v>显示普通观众身份</x:v>
      </x:c>
      <x:c r="L1281" s="10" t="str"/>
      <x:c r="M1281" s="10" t="str">
        <x:v>未测</x:v>
      </x:c>
      <x:c r="N1281" s="10" t="str"/>
      <x:c r="O1281" s="9" t="str">
        <x:v>1. 来源（当前证据）：liveshow-proto/MainBasis/统一需求文档.md；位置：行1667、行1666
2. 规则：BR-027781ef7ba2a9e8
3. 未动态验证</x:v>
      </x:c>
    </x:row>
    <x:row r="1282" ht="85" customHeight="1">
      <x:c r="A1282" s="10" t="n">
        <x:v>1281</x:v>
      </x:c>
      <x:c r="B1282" s="10" t="str">
        <x:v>USER-03-0280</x:v>
      </x:c>
      <x:c r="C1282" s="10" t="str">
        <x:v>直播</x:v>
      </x:c>
      <x:c r="D1282" s="10" t="str">
        <x:v>在线观众-观众列表（普通观众视角）</x:v>
      </x:c>
      <x:c r="E1282" s="10" t="str">
        <x:v>功能需求</x:v>
      </x:c>
      <x:c r="F1282" s="10" t="str">
        <x:v>P2</x:v>
      </x:c>
      <x:c r="G1282" s="9" t="str">
        <x:v>验证观众列表房管标识</x:v>
      </x:c>
      <x:c r="H1282" s="9" t="str">
        <x:v>展示内容</x:v>
      </x:c>
      <x:c r="I1282" s="9" t="str">
        <x:v>1. 执行角色为普通观众；当前处于在线观众-观众列表页面
2. A在线且已被当前主播授权房管</x:v>
      </x:c>
      <x:c r="J1282" s="9" t="str">
        <x:v>1. 查看A用户行</x:v>
      </x:c>
      <x:c r="K1282" s="9" t="str">
        <x:v>显示房管标识</x:v>
      </x:c>
      <x:c r="L1282" s="10" t="str"/>
      <x:c r="M1282" s="10" t="str">
        <x:v>未测</x:v>
      </x:c>
      <x:c r="N1282" s="10" t="str"/>
      <x:c r="O1282" s="9" t="str">
        <x:v>1. 来源（当前证据）：liveshow-proto/MainBasis/统一需求文档.md；位置：行1669、行1666
2. 规则：BR-8edeafaaed906ebe
3. 未动态验证</x:v>
      </x:c>
    </x:row>
    <x:row r="1283" ht="85" customHeight="1">
      <x:c r="A1283" s="10" t="n">
        <x:v>1282</x:v>
      </x:c>
      <x:c r="B1283" s="10" t="str">
        <x:v>USER-03-0281</x:v>
      </x:c>
      <x:c r="C1283" s="10" t="str">
        <x:v>直播</x:v>
      </x:c>
      <x:c r="D1283" s="10" t="str">
        <x:v>在线观众-房管列表（普通观众视角）</x:v>
      </x:c>
      <x:c r="E1283" s="10" t="str">
        <x:v>功能需求</x:v>
      </x:c>
      <x:c r="F1283" s="10" t="str">
        <x:v>P2</x:v>
      </x:c>
      <x:c r="G1283" s="9" t="str">
        <x:v>验证房管列表在线状态：房管账号集合</x:v>
      </x:c>
      <x:c r="H1283" s="9" t="str">
        <x:v>房管账号集合</x:v>
      </x:c>
      <x:c r="I1283" s="9" t="str">
        <x:v>1. 执行角色为普通观众；当前处于在线观众-房管列表页面
2. A为已授权房管且在线，B为已授权房管且离线</x:v>
      </x:c>
      <x:c r="J1283" s="9" t="str">
        <x:v>1. 查看房管列表</x:v>
      </x:c>
      <x:c r="K1283" s="9" t="str">
        <x:v>列表包含A和B对应账号资料</x:v>
      </x:c>
      <x:c r="L1283" s="10" t="str"/>
      <x:c r="M1283" s="10" t="str">
        <x:v>未测</x:v>
      </x:c>
      <x:c r="N1283" s="10" t="str"/>
      <x:c r="O1283" s="9" t="str">
        <x:v>1. 来源（当前证据）：liveshow-proto/MainBasis/统一需求文档.md；位置：行1677、行1676
2. 规则：BR-cd28ca984b130034
3. 未动态验证</x:v>
      </x:c>
    </x:row>
    <x:row r="1284" ht="85" customHeight="1">
      <x:c r="A1284" s="10" t="n">
        <x:v>1283</x:v>
      </x:c>
      <x:c r="B1284" s="10" t="str">
        <x:v>USER-03-0282</x:v>
      </x:c>
      <x:c r="C1284" s="10" t="str">
        <x:v>直播</x:v>
      </x:c>
      <x:c r="D1284" s="10" t="str">
        <x:v>在线观众-房管列表（普通观众视角）</x:v>
      </x:c>
      <x:c r="E1284" s="10" t="str">
        <x:v>功能需求</x:v>
      </x:c>
      <x:c r="F1284" s="10" t="str">
        <x:v>P2</x:v>
      </x:c>
      <x:c r="G1284" s="9" t="str">
        <x:v>验证房管列表在线状态：房管A在线</x:v>
      </x:c>
      <x:c r="H1284" s="9" t="str">
        <x:v>房管A在线</x:v>
      </x:c>
      <x:c r="I1284" s="9" t="str">
        <x:v>1. 执行角色为普通观众；当前处于在线观众-房管列表页面
2. A为已授权房管且在线，B为已授权房管且离线</x:v>
      </x:c>
      <x:c r="J1284" s="9" t="str">
        <x:v>1. 查看房管列表</x:v>
      </x:c>
      <x:c r="K1284" s="9" t="str">
        <x:v>A标记为在线</x:v>
      </x:c>
      <x:c r="L1284" s="10" t="str"/>
      <x:c r="M1284" s="10" t="str">
        <x:v>未测</x:v>
      </x:c>
      <x:c r="N1284" s="10" t="str"/>
      <x:c r="O1284" s="9" t="str">
        <x:v>1. 来源（当前证据）：liveshow-proto/MainBasis/统一需求文档.md；位置：行1677、行1676
2. 规则：BR-2977a2d53804059a
3. 未动态验证</x:v>
      </x:c>
    </x:row>
    <x:row r="1285" ht="85" customHeight="1">
      <x:c r="A1285" s="10" t="n">
        <x:v>1284</x:v>
      </x:c>
      <x:c r="B1285" s="10" t="str">
        <x:v>USER-03-0283</x:v>
      </x:c>
      <x:c r="C1285" s="10" t="str">
        <x:v>直播</x:v>
      </x:c>
      <x:c r="D1285" s="10" t="str">
        <x:v>在线观众-房管列表（普通观众视角）</x:v>
      </x:c>
      <x:c r="E1285" s="10" t="str">
        <x:v>功能需求</x:v>
      </x:c>
      <x:c r="F1285" s="10" t="str">
        <x:v>P2</x:v>
      </x:c>
      <x:c r="G1285" s="9" t="str">
        <x:v>验证房管列表在线状态：房管B离线</x:v>
      </x:c>
      <x:c r="H1285" s="9" t="str">
        <x:v>房管B离线</x:v>
      </x:c>
      <x:c r="I1285" s="9" t="str">
        <x:v>1. 执行角色为普通观众；当前处于在线观众-房管列表页面
2. A为已授权房管且在线，B为已授权房管且离线</x:v>
      </x:c>
      <x:c r="J1285" s="9" t="str">
        <x:v>1. 查看房管列表</x:v>
      </x:c>
      <x:c r="K1285" s="9" t="str">
        <x:v>B标记为离线</x:v>
      </x:c>
      <x:c r="L1285" s="10" t="str"/>
      <x:c r="M1285" s="10" t="str">
        <x:v>未测</x:v>
      </x:c>
      <x:c r="N1285" s="10" t="str"/>
      <x:c r="O1285" s="9" t="str">
        <x:v>1. 来源（当前证据）：liveshow-proto/MainBasis/统一需求文档.md；位置：行1677、行1676
2. 规则：BR-b492cb85c083397b
3. 未动态验证</x:v>
      </x:c>
    </x:row>
    <x:row r="1286" ht="85" customHeight="1">
      <x:c r="A1286" s="10" t="n">
        <x:v>1285</x:v>
      </x:c>
      <x:c r="B1286" s="10" t="str">
        <x:v>USER-03-0284</x:v>
      </x:c>
      <x:c r="C1286" s="10" t="str">
        <x:v>直播</x:v>
      </x:c>
      <x:c r="D1286" s="10" t="str">
        <x:v>用户资料卡-普通观众（普通观众视角）</x:v>
      </x:c>
      <x:c r="E1286" s="10" t="str">
        <x:v>功能需求</x:v>
      </x:c>
      <x:c r="F1286" s="10" t="str">
        <x:v>P2</x:v>
      </x:c>
      <x:c r="G1286" s="9" t="str">
        <x:v>验证观众资料卡字段：资料头像</x:v>
      </x:c>
      <x:c r="H1286" s="9" t="str">
        <x:v>资料头像</x:v>
      </x:c>
      <x:c r="I1286" s="9" t="str">
        <x:v>1. 执行角色为普通观众；当前处于用户资料卡-普通观众页面
2. 目标A头像P、昵称QA观众、ID2001、财富5级且有当前主播有效团籍</x:v>
      </x:c>
      <x:c r="J1286" s="9" t="str">
        <x:v>1. 查看A资料卡</x:v>
      </x:c>
      <x:c r="K1286" s="9" t="str">
        <x:v>显示A头像P</x:v>
      </x:c>
      <x:c r="L1286" s="10" t="str"/>
      <x:c r="M1286" s="10" t="str">
        <x:v>未测</x:v>
      </x:c>
      <x:c r="N1286" s="10" t="str"/>
      <x:c r="O1286" s="9" t="str">
        <x:v>1. 来源（当前证据）：liveshow-proto/MainBasis/统一需求文档.md；位置：行1687、行1686
2. 规则：BR-187ab4d000ef6866
3. 未动态验证</x:v>
      </x:c>
    </x:row>
    <x:row r="1287" ht="85" customHeight="1">
      <x:c r="A1287" s="10" t="n">
        <x:v>1286</x:v>
      </x:c>
      <x:c r="B1287" s="10" t="str">
        <x:v>USER-03-0285</x:v>
      </x:c>
      <x:c r="C1287" s="10" t="str">
        <x:v>直播</x:v>
      </x:c>
      <x:c r="D1287" s="10" t="str">
        <x:v>用户资料卡-普通观众（普通观众视角）</x:v>
      </x:c>
      <x:c r="E1287" s="10" t="str">
        <x:v>功能需求</x:v>
      </x:c>
      <x:c r="F1287" s="10" t="str">
        <x:v>P2</x:v>
      </x:c>
      <x:c r="G1287" s="9" t="str">
        <x:v>验证观众资料卡字段：资料昵称</x:v>
      </x:c>
      <x:c r="H1287" s="9" t="str">
        <x:v>资料昵称</x:v>
      </x:c>
      <x:c r="I1287" s="9" t="str">
        <x:v>1. 执行角色为普通观众；当前处于用户资料卡-普通观众页面
2. 目标A头像P、昵称QA观众、ID2001、财富5级且有当前主播有效团籍</x:v>
      </x:c>
      <x:c r="J1287" s="9" t="str">
        <x:v>1. 查看A资料卡</x:v>
      </x:c>
      <x:c r="K1287" s="9" t="str">
        <x:v>显示QA观众</x:v>
      </x:c>
      <x:c r="L1287" s="10" t="str"/>
      <x:c r="M1287" s="10" t="str">
        <x:v>未测</x:v>
      </x:c>
      <x:c r="N1287" s="10" t="str"/>
      <x:c r="O1287" s="9" t="str">
        <x:v>1. 来源（当前证据）：liveshow-proto/MainBasis/统一需求文档.md；位置：行1687、行1686
2. 规则：BR-41369346ceafe8f9
3. 未动态验证</x:v>
      </x:c>
    </x:row>
    <x:row r="1288" ht="85" customHeight="1">
      <x:c r="A1288" s="10" t="n">
        <x:v>1287</x:v>
      </x:c>
      <x:c r="B1288" s="10" t="str">
        <x:v>USER-03-0286</x:v>
      </x:c>
      <x:c r="C1288" s="10" t="str">
        <x:v>直播</x:v>
      </x:c>
      <x:c r="D1288" s="10" t="str">
        <x:v>用户资料卡-普通观众（普通观众视角）</x:v>
      </x:c>
      <x:c r="E1288" s="10" t="str">
        <x:v>功能需求</x:v>
      </x:c>
      <x:c r="F1288" s="10" t="str">
        <x:v>P2</x:v>
      </x:c>
      <x:c r="G1288" s="9" t="str">
        <x:v>验证观众资料卡字段：资料ID</x:v>
      </x:c>
      <x:c r="H1288" s="9" t="str">
        <x:v>资料ID</x:v>
      </x:c>
      <x:c r="I1288" s="9" t="str">
        <x:v>1. 执行角色为普通观众；当前处于用户资料卡-普通观众页面
2. 目标A头像P、昵称QA观众、ID2001、财富5级且有当前主播有效团籍</x:v>
      </x:c>
      <x:c r="J1288" s="9" t="str">
        <x:v>1. 查看A资料卡</x:v>
      </x:c>
      <x:c r="K1288" s="9" t="str">
        <x:v>显示ID2001</x:v>
      </x:c>
      <x:c r="L1288" s="10" t="str"/>
      <x:c r="M1288" s="10" t="str">
        <x:v>未测</x:v>
      </x:c>
      <x:c r="N1288" s="10" t="str"/>
      <x:c r="O1288" s="9" t="str">
        <x:v>1. 来源（当前证据）：liveshow-proto/MainBasis/统一需求文档.md；位置：行1687、行1686
2. 规则：BR-cfa3cfd49b334962
3. 未动态验证</x:v>
      </x:c>
    </x:row>
    <x:row r="1289" ht="85" customHeight="1">
      <x:c r="A1289" s="10" t="n">
        <x:v>1288</x:v>
      </x:c>
      <x:c r="B1289" s="10" t="str">
        <x:v>USER-03-0287</x:v>
      </x:c>
      <x:c r="C1289" s="10" t="str">
        <x:v>直播</x:v>
      </x:c>
      <x:c r="D1289" s="10" t="str">
        <x:v>用户资料卡-普通观众（普通观众视角）</x:v>
      </x:c>
      <x:c r="E1289" s="10" t="str">
        <x:v>功能需求</x:v>
      </x:c>
      <x:c r="F1289" s="10" t="str">
        <x:v>P2</x:v>
      </x:c>
      <x:c r="G1289" s="9" t="str">
        <x:v>验证观众资料卡字段：资料财富等级</x:v>
      </x:c>
      <x:c r="H1289" s="9" t="str">
        <x:v>资料财富等级</x:v>
      </x:c>
      <x:c r="I1289" s="9" t="str">
        <x:v>1. 执行角色为普通观众；当前处于用户资料卡-普通观众页面
2. 目标A头像P、昵称QA观众、ID2001、财富5级且有当前主播有效团籍</x:v>
      </x:c>
      <x:c r="J1289" s="9" t="str">
        <x:v>1. 查看A资料卡</x:v>
      </x:c>
      <x:c r="K1289" s="9" t="str">
        <x:v>显示财富5级</x:v>
      </x:c>
      <x:c r="L1289" s="10" t="str"/>
      <x:c r="M1289" s="10" t="str">
        <x:v>未测</x:v>
      </x:c>
      <x:c r="N1289" s="10" t="str"/>
      <x:c r="O1289" s="9" t="str">
        <x:v>1. 来源（当前证据）：liveshow-proto/MainBasis/统一需求文档.md；位置：行1687、行1686
2. 规则：BR-b6b6e67fd73cfe84
3. 未动态验证</x:v>
      </x:c>
    </x:row>
    <x:row r="1290" ht="85" customHeight="1">
      <x:c r="A1290" s="10" t="n">
        <x:v>1289</x:v>
      </x:c>
      <x:c r="B1290" s="10" t="str">
        <x:v>USER-03-0288</x:v>
      </x:c>
      <x:c r="C1290" s="10" t="str">
        <x:v>直播</x:v>
      </x:c>
      <x:c r="D1290" s="10" t="str">
        <x:v>用户资料卡-普通观众（普通观众视角）</x:v>
      </x:c>
      <x:c r="E1290" s="10" t="str">
        <x:v>功能需求</x:v>
      </x:c>
      <x:c r="F1290" s="10" t="str">
        <x:v>P2</x:v>
      </x:c>
      <x:c r="G1290" s="9" t="str">
        <x:v>验证观众资料卡字段：资料团籍身份</x:v>
      </x:c>
      <x:c r="H1290" s="9" t="str">
        <x:v>资料团籍身份</x:v>
      </x:c>
      <x:c r="I1290" s="9" t="str">
        <x:v>1. 执行角色为普通观众；当前处于用户资料卡-普通观众页面
2. 目标A头像P、昵称QA观众、ID2001、财富5级且有当前主播有效团籍</x:v>
      </x:c>
      <x:c r="J1290" s="9" t="str">
        <x:v>1. 查看A资料卡</x:v>
      </x:c>
      <x:c r="K1290" s="9" t="str">
        <x:v>显示当前主播粉丝团身份</x:v>
      </x:c>
      <x:c r="L1290" s="10" t="str"/>
      <x:c r="M1290" s="10" t="str">
        <x:v>未测</x:v>
      </x:c>
      <x:c r="N1290" s="10" t="str"/>
      <x:c r="O1290" s="9" t="str">
        <x:v>1. 来源（当前证据）：liveshow-proto/MainBasis/统一需求文档.md；位置：行1687、行1686
2. 规则：BR-48a997904527867d
3. 未动态验证</x:v>
      </x:c>
    </x:row>
    <x:row r="1291" ht="85" customHeight="1">
      <x:c r="A1291" s="10" t="n">
        <x:v>1290</x:v>
      </x:c>
      <x:c r="B1291" s="10" t="str">
        <x:v>USER-03-0289</x:v>
      </x:c>
      <x:c r="C1291" s="10" t="str">
        <x:v>直播</x:v>
      </x:c>
      <x:c r="D1291" s="10" t="str">
        <x:v>观众资料卡-主播（本场主播视角）</x:v>
      </x:c>
      <x:c r="E1291" s="10" t="str">
        <x:v>功能需求</x:v>
      </x:c>
      <x:c r="F1291" s="10" t="str">
        <x:v>P2</x:v>
      </x:c>
      <x:c r="G1291" s="9" t="str">
        <x:v>验证主播权限资料卡字段：资料头像</x:v>
      </x:c>
      <x:c r="H1291" s="9" t="str">
        <x:v>资料头像</x:v>
      </x:c>
      <x:c r="I1291" s="9" t="str">
        <x:v>1. 执行角色为本场主播；当前处于观众资料卡-主播页面
2. 目标A头像P、昵称QA观众、ID2001、财富5级且有当前主播有效团籍</x:v>
      </x:c>
      <x:c r="J1291" s="9" t="str">
        <x:v>1. 查看A资料卡</x:v>
      </x:c>
      <x:c r="K1291" s="9" t="str">
        <x:v>显示A头像P</x:v>
      </x:c>
      <x:c r="L1291" s="10" t="str"/>
      <x:c r="M1291" s="10" t="str">
        <x:v>未测</x:v>
      </x:c>
      <x:c r="N1291" s="10" t="str"/>
      <x:c r="O1291" s="9" t="str">
        <x:v>1. 来源（当前证据）：liveshow-proto/MainBasis/统一需求文档.md；位置：行1797、行1796
2. 规则：BR-ee958f87f1e36c29
3. 未动态验证</x:v>
      </x:c>
    </x:row>
    <x:row r="1292" ht="85" customHeight="1">
      <x:c r="A1292" s="10" t="n">
        <x:v>1291</x:v>
      </x:c>
      <x:c r="B1292" s="10" t="str">
        <x:v>USER-03-0290</x:v>
      </x:c>
      <x:c r="C1292" s="10" t="str">
        <x:v>直播</x:v>
      </x:c>
      <x:c r="D1292" s="10" t="str">
        <x:v>观众资料卡-主播（本场主播视角）</x:v>
      </x:c>
      <x:c r="E1292" s="10" t="str">
        <x:v>功能需求</x:v>
      </x:c>
      <x:c r="F1292" s="10" t="str">
        <x:v>P2</x:v>
      </x:c>
      <x:c r="G1292" s="9" t="str">
        <x:v>验证主播权限资料卡字段：资料昵称</x:v>
      </x:c>
      <x:c r="H1292" s="9" t="str">
        <x:v>资料昵称</x:v>
      </x:c>
      <x:c r="I1292" s="9" t="str">
        <x:v>1. 执行角色为本场主播；当前处于观众资料卡-主播页面
2. 目标A头像P、昵称QA观众、ID2001、财富5级且有当前主播有效团籍</x:v>
      </x:c>
      <x:c r="J1292" s="9" t="str">
        <x:v>1. 查看A资料卡</x:v>
      </x:c>
      <x:c r="K1292" s="9" t="str">
        <x:v>显示QA观众</x:v>
      </x:c>
      <x:c r="L1292" s="10" t="str"/>
      <x:c r="M1292" s="10" t="str">
        <x:v>未测</x:v>
      </x:c>
      <x:c r="N1292" s="10" t="str"/>
      <x:c r="O1292" s="9" t="str">
        <x:v>1. 来源（当前证据）：liveshow-proto/MainBasis/统一需求文档.md；位置：行1797、行1796
2. 规则：BR-4802df2aa6f127d0
3. 未动态验证</x:v>
      </x:c>
    </x:row>
    <x:row r="1293" ht="85" customHeight="1">
      <x:c r="A1293" s="10" t="n">
        <x:v>1292</x:v>
      </x:c>
      <x:c r="B1293" s="10" t="str">
        <x:v>USER-03-0291</x:v>
      </x:c>
      <x:c r="C1293" s="10" t="str">
        <x:v>直播</x:v>
      </x:c>
      <x:c r="D1293" s="10" t="str">
        <x:v>观众资料卡-主播（本场主播视角）</x:v>
      </x:c>
      <x:c r="E1293" s="10" t="str">
        <x:v>功能需求</x:v>
      </x:c>
      <x:c r="F1293" s="10" t="str">
        <x:v>P2</x:v>
      </x:c>
      <x:c r="G1293" s="9" t="str">
        <x:v>验证主播权限资料卡字段：资料ID</x:v>
      </x:c>
      <x:c r="H1293" s="9" t="str">
        <x:v>资料ID</x:v>
      </x:c>
      <x:c r="I1293" s="9" t="str">
        <x:v>1. 执行角色为本场主播；当前处于观众资料卡-主播页面
2. 目标A头像P、昵称QA观众、ID2001、财富5级且有当前主播有效团籍</x:v>
      </x:c>
      <x:c r="J1293" s="9" t="str">
        <x:v>1. 查看A资料卡</x:v>
      </x:c>
      <x:c r="K1293" s="9" t="str">
        <x:v>显示ID2001</x:v>
      </x:c>
      <x:c r="L1293" s="10" t="str"/>
      <x:c r="M1293" s="10" t="str">
        <x:v>未测</x:v>
      </x:c>
      <x:c r="N1293" s="10" t="str"/>
      <x:c r="O1293" s="9" t="str">
        <x:v>1. 来源（当前证据）：liveshow-proto/MainBasis/统一需求文档.md；位置：行1797、行1796
2. 规则：BR-a21cf8e96cb7e875
3. 未动态验证</x:v>
      </x:c>
    </x:row>
    <x:row r="1294" ht="85" customHeight="1">
      <x:c r="A1294" s="10" t="n">
        <x:v>1293</x:v>
      </x:c>
      <x:c r="B1294" s="10" t="str">
        <x:v>USER-03-0292</x:v>
      </x:c>
      <x:c r="C1294" s="10" t="str">
        <x:v>直播</x:v>
      </x:c>
      <x:c r="D1294" s="10" t="str">
        <x:v>观众资料卡-主播（本场主播视角）</x:v>
      </x:c>
      <x:c r="E1294" s="10" t="str">
        <x:v>功能需求</x:v>
      </x:c>
      <x:c r="F1294" s="10" t="str">
        <x:v>P2</x:v>
      </x:c>
      <x:c r="G1294" s="9" t="str">
        <x:v>验证主播权限资料卡字段：资料财富等级</x:v>
      </x:c>
      <x:c r="H1294" s="9" t="str">
        <x:v>资料财富等级</x:v>
      </x:c>
      <x:c r="I1294" s="9" t="str">
        <x:v>1. 执行角色为本场主播；当前处于观众资料卡-主播页面
2. 目标A头像P、昵称QA观众、ID2001、财富5级且有当前主播有效团籍</x:v>
      </x:c>
      <x:c r="J1294" s="9" t="str">
        <x:v>1. 查看A资料卡</x:v>
      </x:c>
      <x:c r="K1294" s="9" t="str">
        <x:v>显示财富5级</x:v>
      </x:c>
      <x:c r="L1294" s="10" t="str"/>
      <x:c r="M1294" s="10" t="str">
        <x:v>未测</x:v>
      </x:c>
      <x:c r="N1294" s="10" t="str"/>
      <x:c r="O1294" s="9" t="str">
        <x:v>1. 来源（当前证据）：liveshow-proto/MainBasis/统一需求文档.md；位置：行1797、行1796
2. 规则：BR-75302c535b36d079
3. 未动态验证</x:v>
      </x:c>
    </x:row>
    <x:row r="1295" ht="85" customHeight="1">
      <x:c r="A1295" s="10" t="n">
        <x:v>1294</x:v>
      </x:c>
      <x:c r="B1295" s="10" t="str">
        <x:v>USER-03-0293</x:v>
      </x:c>
      <x:c r="C1295" s="10" t="str">
        <x:v>直播</x:v>
      </x:c>
      <x:c r="D1295" s="10" t="str">
        <x:v>观众资料卡-主播（本场主播视角）</x:v>
      </x:c>
      <x:c r="E1295" s="10" t="str">
        <x:v>功能需求</x:v>
      </x:c>
      <x:c r="F1295" s="10" t="str">
        <x:v>P2</x:v>
      </x:c>
      <x:c r="G1295" s="9" t="str">
        <x:v>验证主播权限资料卡字段：资料团籍身份</x:v>
      </x:c>
      <x:c r="H1295" s="9" t="str">
        <x:v>资料团籍身份</x:v>
      </x:c>
      <x:c r="I1295" s="9" t="str">
        <x:v>1. 执行角色为本场主播；当前处于观众资料卡-主播页面
2. 目标A头像P、昵称QA观众、ID2001、财富5级且有当前主播有效团籍</x:v>
      </x:c>
      <x:c r="J1295" s="9" t="str">
        <x:v>1. 查看A资料卡</x:v>
      </x:c>
      <x:c r="K1295" s="9" t="str">
        <x:v>显示当前主播粉丝团身份</x:v>
      </x:c>
      <x:c r="L1295" s="10" t="str"/>
      <x:c r="M1295" s="10" t="str">
        <x:v>未测</x:v>
      </x:c>
      <x:c r="N1295" s="10" t="str"/>
      <x:c r="O1295" s="9" t="str">
        <x:v>1. 来源（当前证据）：liveshow-proto/MainBasis/统一需求文档.md；位置：行1797、行1796
2. 规则：BR-db7d6348e4b18858
3. 未动态验证</x:v>
      </x:c>
    </x:row>
    <x:row r="1296" ht="85" customHeight="1">
      <x:c r="A1296" s="10" t="n">
        <x:v>1295</x:v>
      </x:c>
      <x:c r="B1296" s="10" t="str">
        <x:v>USER-03-0294</x:v>
      </x:c>
      <x:c r="C1296" s="10" t="str">
        <x:v>直播</x:v>
      </x:c>
      <x:c r="D1296" s="10" t="str">
        <x:v>观众资料卡-主播（本场主播视角）</x:v>
      </x:c>
      <x:c r="E1296" s="10" t="str">
        <x:v>功能需求</x:v>
      </x:c>
      <x:c r="F1296" s="10" t="str">
        <x:v>P2</x:v>
      </x:c>
      <x:c r="G1296" s="9" t="str">
        <x:v>验证资料卡长期房管身份</x:v>
      </x:c>
      <x:c r="H1296" s="9" t="str">
        <x:v>展示内容</x:v>
      </x:c>
      <x:c r="I1296" s="9" t="str">
        <x:v>1. 执行角色为本场主播；当前处于观众资料卡-主播页面
2. A前一场已获授权，本场未取消</x:v>
      </x:c>
      <x:c r="J1296" s="9" t="str">
        <x:v>1. 查看A资料卡</x:v>
      </x:c>
      <x:c r="K1296" s="9" t="str">
        <x:v>显示A仍为本主播房管</x:v>
      </x:c>
      <x:c r="L1296" s="10" t="str"/>
      <x:c r="M1296" s="10" t="str">
        <x:v>未测</x:v>
      </x:c>
      <x:c r="N1296" s="10" t="str"/>
      <x:c r="O1296" s="9" t="str">
        <x:v>1. 来源（当前证据）：liveshow-proto/MainBasis/统一需求文档.md；位置：行1798、行1796
2. 规则：BR-1bc3fd75fb5e7543
3. 未动态验证</x:v>
      </x:c>
    </x:row>
    <x:row r="1297" ht="85" customHeight="1">
      <x:c r="A1297" s="10" t="n">
        <x:v>1296</x:v>
      </x:c>
      <x:c r="B1297" s="10" t="str">
        <x:v>USER-03-0295</x:v>
      </x:c>
      <x:c r="C1297" s="10" t="str">
        <x:v>直播</x:v>
      </x:c>
      <x:c r="D1297" s="10" t="str">
        <x:v>快捷答谢（本场主播视角）</x:v>
      </x:c>
      <x:c r="E1297" s="10" t="str">
        <x:v>功能需求</x:v>
      </x:c>
      <x:c r="F1297" s="10" t="str">
        <x:v>P2</x:v>
      </x:c>
      <x:c r="G1297" s="9" t="str">
        <x:v>验证答谢目标昵称</x:v>
      </x:c>
      <x:c r="H1297" s="9" t="str">
        <x:v>展示内容</x:v>
      </x:c>
      <x:c r="I1297" s="9" t="str">
        <x:v>1. 执行角色为本场主播；当前处于快捷答谢页面
2. 当前答谢账号昵称QA观众</x:v>
      </x:c>
      <x:c r="J1297" s="9" t="str">
        <x:v>1. 查看答谢预填内容</x:v>
      </x:c>
      <x:c r="K1297" s="9" t="str">
        <x:v>显示以@QA观众开头</x:v>
      </x:c>
      <x:c r="L1297" s="10" t="str"/>
      <x:c r="M1297" s="10" t="str">
        <x:v>未测</x:v>
      </x:c>
      <x:c r="N1297" s="10" t="str"/>
      <x:c r="O1297" s="9" t="str">
        <x:v>1. 来源（当前证据）：liveshow-proto/MainBasis/统一需求文档.md；位置：行1809、行1808
2. 规则：BR-0eab4f075b13f4ae
3. 未动态验证</x:v>
      </x:c>
    </x:row>
    <x:row r="1298" ht="85" customHeight="1">
      <x:c r="A1298" s="10" t="n">
        <x:v>1297</x:v>
      </x:c>
      <x:c r="B1298" s="10" t="str">
        <x:v>USER-03-0296</x:v>
      </x:c>
      <x:c r="C1298" s="10" t="str">
        <x:v>直播</x:v>
      </x:c>
      <x:c r="D1298" s="10" t="str">
        <x:v>连麦主播（本场主播视角）</x:v>
      </x:c>
      <x:c r="E1298" s="10" t="str">
        <x:v>功能需求</x:v>
      </x:c>
      <x:c r="F1298" s="10" t="str">
        <x:v>P2</x:v>
      </x:c>
      <x:c r="G1298" s="9" t="str">
        <x:v>验证连麦列表主播资料：连麦头像</x:v>
      </x:c>
      <x:c r="H1298" s="9" t="str">
        <x:v>连麦头像</x:v>
      </x:c>
      <x:c r="I1298" s="9" t="str">
        <x:v>1. 执行角色为本场主播；当前处于连麦主播页面
2. 目标B普通房在播，未连麦且未拉黑，昵称QA主播、ID3001、头像P</x:v>
      </x:c>
      <x:c r="J1298" s="9" t="str">
        <x:v>1. 查看B主播行</x:v>
      </x:c>
      <x:c r="K1298" s="9" t="str">
        <x:v>显示头像P</x:v>
      </x:c>
      <x:c r="L1298" s="10" t="str"/>
      <x:c r="M1298" s="10" t="str">
        <x:v>未测</x:v>
      </x:c>
      <x:c r="N1298" s="10" t="str"/>
      <x:c r="O1298" s="9" t="str">
        <x:v>1. 来源（当前证据）：liveshow-proto/MainBasis/统一需求文档.md；位置：行1824、行1823
2. 规则：BR-e0a8fb6b3ba2a2ee
3. 未动态验证</x:v>
      </x:c>
    </x:row>
    <x:row r="1299" ht="85" customHeight="1">
      <x:c r="A1299" s="10" t="n">
        <x:v>1298</x:v>
      </x:c>
      <x:c r="B1299" s="10" t="str">
        <x:v>USER-03-0297</x:v>
      </x:c>
      <x:c r="C1299" s="10" t="str">
        <x:v>直播</x:v>
      </x:c>
      <x:c r="D1299" s="10" t="str">
        <x:v>连麦主播（本场主播视角）</x:v>
      </x:c>
      <x:c r="E1299" s="10" t="str">
        <x:v>功能需求</x:v>
      </x:c>
      <x:c r="F1299" s="10" t="str">
        <x:v>P2</x:v>
      </x:c>
      <x:c r="G1299" s="9" t="str">
        <x:v>验证连麦列表主播资料：连麦昵称</x:v>
      </x:c>
      <x:c r="H1299" s="9" t="str">
        <x:v>连麦昵称</x:v>
      </x:c>
      <x:c r="I1299" s="9" t="str">
        <x:v>1. 执行角色为本场主播；当前处于连麦主播页面
2. 目标B普通房在播，未连麦且未拉黑，昵称QA主播、ID3001、头像P</x:v>
      </x:c>
      <x:c r="J1299" s="9" t="str">
        <x:v>1. 查看B主播行</x:v>
      </x:c>
      <x:c r="K1299" s="9" t="str">
        <x:v>显示昵称QA主播</x:v>
      </x:c>
      <x:c r="L1299" s="10" t="str"/>
      <x:c r="M1299" s="10" t="str">
        <x:v>未测</x:v>
      </x:c>
      <x:c r="N1299" s="10" t="str"/>
      <x:c r="O1299" s="9" t="str">
        <x:v>1. 来源（当前证据）：liveshow-proto/MainBasis/统一需求文档.md；位置：行1824、行1823
2. 规则：BR-895e23d1e9ed2164
3. 未动态验证</x:v>
      </x:c>
    </x:row>
    <x:row r="1300" ht="85" customHeight="1">
      <x:c r="A1300" s="10" t="n">
        <x:v>1299</x:v>
      </x:c>
      <x:c r="B1300" s="10" t="str">
        <x:v>USER-03-0298</x:v>
      </x:c>
      <x:c r="C1300" s="10" t="str">
        <x:v>直播</x:v>
      </x:c>
      <x:c r="D1300" s="10" t="str">
        <x:v>连麦主播（本场主播视角）</x:v>
      </x:c>
      <x:c r="E1300" s="10" t="str">
        <x:v>功能需求</x:v>
      </x:c>
      <x:c r="F1300" s="10" t="str">
        <x:v>P2</x:v>
      </x:c>
      <x:c r="G1300" s="9" t="str">
        <x:v>验证连麦列表主播资料：连麦主播ID</x:v>
      </x:c>
      <x:c r="H1300" s="9" t="str">
        <x:v>连麦主播ID</x:v>
      </x:c>
      <x:c r="I1300" s="9" t="str">
        <x:v>1. 执行角色为本场主播；当前处于连麦主播页面
2. 目标B普通房在播，未连麦且未拉黑，昵称QA主播、ID3001、头像P</x:v>
      </x:c>
      <x:c r="J1300" s="9" t="str">
        <x:v>1. 查看B主播行</x:v>
      </x:c>
      <x:c r="K1300" s="9" t="str">
        <x:v>显示ID3001</x:v>
      </x:c>
      <x:c r="L1300" s="10" t="str"/>
      <x:c r="M1300" s="10" t="str">
        <x:v>未测</x:v>
      </x:c>
      <x:c r="N1300" s="10" t="str"/>
      <x:c r="O1300" s="9" t="str">
        <x:v>1. 来源（当前证据）：liveshow-proto/MainBasis/统一需求文档.md；位置：行1824、行1823
2. 规则：BR-a0f72e737a35df8a
3. 未动态验证</x:v>
      </x:c>
    </x:row>
    <x:row r="1301" ht="85" customHeight="1">
      <x:c r="A1301" s="10" t="n">
        <x:v>1300</x:v>
      </x:c>
      <x:c r="B1301" s="10" t="str">
        <x:v>USER-03-0299</x:v>
      </x:c>
      <x:c r="C1301" s="10" t="str">
        <x:v>直播</x:v>
      </x:c>
      <x:c r="D1301" s="10" t="str">
        <x:v>连麦主播（本场主播视角）</x:v>
      </x:c>
      <x:c r="E1301" s="10" t="str">
        <x:v>功能需求</x:v>
      </x:c>
      <x:c r="F1301" s="10" t="str">
        <x:v>P2</x:v>
      </x:c>
      <x:c r="G1301" s="9" t="str">
        <x:v>验证连麦列表主播资料：连麦直播状态</x:v>
      </x:c>
      <x:c r="H1301" s="9" t="str">
        <x:v>连麦直播状态</x:v>
      </x:c>
      <x:c r="I1301" s="9" t="str">
        <x:v>1. 执行角色为本场主播；当前处于连麦主播页面
2. 目标B普通房在播，未连麦且未拉黑，昵称QA主播、ID3001、头像P</x:v>
      </x:c>
      <x:c r="J1301" s="9" t="str">
        <x:v>1. 查看B主播行</x:v>
      </x:c>
      <x:c r="K1301" s="9" t="str">
        <x:v>显示B在播</x:v>
      </x:c>
      <x:c r="L1301" s="10" t="str"/>
      <x:c r="M1301" s="10" t="str">
        <x:v>未测</x:v>
      </x:c>
      <x:c r="N1301" s="10" t="str"/>
      <x:c r="O1301" s="9" t="str">
        <x:v>1. 来源（当前证据）：liveshow-proto/MainBasis/统一需求文档.md；位置：行1824、行1823
2. 规则：BR-36ecb4ebb98754eb
3. 未动态验证</x:v>
      </x:c>
    </x:row>
    <x:row r="1302" ht="85" customHeight="1">
      <x:c r="A1302" s="10" t="n">
        <x:v>1301</x:v>
      </x:c>
      <x:c r="B1302" s="10" t="str">
        <x:v>USER-03-0300</x:v>
      </x:c>
      <x:c r="C1302" s="10" t="str">
        <x:v>直播</x:v>
      </x:c>
      <x:c r="D1302" s="10" t="str">
        <x:v>连麦主播-搜索结果（本场主播视角）</x:v>
      </x:c>
      <x:c r="E1302" s="10" t="str">
        <x:v>功能需求</x:v>
      </x:c>
      <x:c r="F1302" s="10" t="str">
        <x:v>P2</x:v>
      </x:c>
      <x:c r="G1302" s="9" t="str">
        <x:v>验证连麦搜索结果身份：搜索主播身份</x:v>
      </x:c>
      <x:c r="H1302" s="9" t="str">
        <x:v>搜索主播身份</x:v>
      </x:c>
      <x:c r="I1302" s="9" t="str">
        <x:v>1. 执行角色为本场主播；当前处于连麦主播-搜索结果页面
2. 搜索命中可邀请的普通房主播B</x:v>
      </x:c>
      <x:c r="J1302" s="9" t="str">
        <x:v>1. 查看B搜索结果</x:v>
      </x:c>
      <x:c r="K1302" s="9" t="str">
        <x:v>显示B主播身份</x:v>
      </x:c>
      <x:c r="L1302" s="10" t="str"/>
      <x:c r="M1302" s="10" t="str">
        <x:v>未测</x:v>
      </x:c>
      <x:c r="N1302" s="10" t="str"/>
      <x:c r="O1302" s="9" t="str">
        <x:v>1. 来源（当前证据）：liveshow-proto/MainBasis/统一需求文档.md；位置：行1835、行1833
2. 规则：BR-c99b6d978e7b7c8d
3. 未动态验证</x:v>
      </x:c>
    </x:row>
    <x:row r="1303" ht="85" customHeight="1">
      <x:c r="A1303" s="10" t="n">
        <x:v>1302</x:v>
      </x:c>
      <x:c r="B1303" s="10" t="str">
        <x:v>USER-03-0301</x:v>
      </x:c>
      <x:c r="C1303" s="10" t="str">
        <x:v>直播</x:v>
      </x:c>
      <x:c r="D1303" s="10" t="str">
        <x:v>连麦主播-搜索结果（本场主播视角）</x:v>
      </x:c>
      <x:c r="E1303" s="10" t="str">
        <x:v>功能需求</x:v>
      </x:c>
      <x:c r="F1303" s="10" t="str">
        <x:v>P2</x:v>
      </x:c>
      <x:c r="G1303" s="9" t="str">
        <x:v>验证连麦搜索结果身份：搜索直播状态</x:v>
      </x:c>
      <x:c r="H1303" s="9" t="str">
        <x:v>搜索直播状态</x:v>
      </x:c>
      <x:c r="I1303" s="9" t="str">
        <x:v>1. 执行角色为本场主播；当前处于连麦主播-搜索结果页面
2. 搜索命中可邀请的普通房主播B</x:v>
      </x:c>
      <x:c r="J1303" s="9" t="str">
        <x:v>1. 查看B搜索结果</x:v>
      </x:c>
      <x:c r="K1303" s="9" t="str">
        <x:v>显示B在播</x:v>
      </x:c>
      <x:c r="L1303" s="10" t="str"/>
      <x:c r="M1303" s="10" t="str">
        <x:v>未测</x:v>
      </x:c>
      <x:c r="N1303" s="10" t="str"/>
      <x:c r="O1303" s="9" t="str">
        <x:v>1. 来源（当前证据）：liveshow-proto/MainBasis/统一需求文档.md；位置：行1835、行1833
2. 规则：BR-1d823a96c897ee4b
3. 未动态验证</x:v>
      </x:c>
    </x:row>
    <x:row r="1304" ht="85" customHeight="1">
      <x:c r="A1304" s="10" t="n">
        <x:v>1303</x:v>
      </x:c>
      <x:c r="B1304" s="10" t="str">
        <x:v>USER-03-0302</x:v>
      </x:c>
      <x:c r="C1304" s="10" t="str">
        <x:v>直播</x:v>
      </x:c>
      <x:c r="D1304" s="10" t="str">
        <x:v>连麦主播-搜索结果（本场主播视角）</x:v>
      </x:c>
      <x:c r="E1304" s="10" t="str">
        <x:v>功能需求</x:v>
      </x:c>
      <x:c r="F1304" s="10" t="str">
        <x:v>P2</x:v>
      </x:c>
      <x:c r="G1304" s="9" t="str">
        <x:v>验证连麦搜索结果身份：搜索邀请状态</x:v>
      </x:c>
      <x:c r="H1304" s="9" t="str">
        <x:v>搜索邀请状态</x:v>
      </x:c>
      <x:c r="I1304" s="9" t="str">
        <x:v>1. 执行角色为本场主播；当前处于连麦主播-搜索结果页面
2. 搜索命中可邀请的普通房主播B</x:v>
      </x:c>
      <x:c r="J1304" s="9" t="str">
        <x:v>1. 查看B搜索结果</x:v>
      </x:c>
      <x:c r="K1304" s="9" t="str">
        <x:v>显示B可邀请</x:v>
      </x:c>
      <x:c r="L1304" s="10" t="str"/>
      <x:c r="M1304" s="10" t="str">
        <x:v>未测</x:v>
      </x:c>
      <x:c r="N1304" s="10" t="str"/>
      <x:c r="O1304" s="9" t="str">
        <x:v>1. 来源（当前证据）：liveshow-proto/MainBasis/统一需求文档.md；位置：行1835、行1833
2. 规则：BR-07a972ccf5633a91
3. 未动态验证</x:v>
      </x:c>
    </x:row>
    <x:row r="1305" ht="85" customHeight="1">
      <x:c r="A1305" s="10" t="n">
        <x:v>1304</x:v>
      </x:c>
      <x:c r="B1305" s="10" t="str">
        <x:v>USER-03-0303</x:v>
      </x:c>
      <x:c r="C1305" s="10" t="str">
        <x:v>直播</x:v>
      </x:c>
      <x:c r="D1305" s="10" t="str">
        <x:v>收到连麦邀请（受邀主播视角）</x:v>
      </x:c>
      <x:c r="E1305" s="10" t="str">
        <x:v>功能需求</x:v>
      </x:c>
      <x:c r="F1305" s="10" t="str">
        <x:v>P2</x:v>
      </x:c>
      <x:c r="G1305" s="9" t="str">
        <x:v>验证连麦邀请提示资料：邀请头像</x:v>
      </x:c>
      <x:c r="H1305" s="9" t="str">
        <x:v>邀请头像</x:v>
      </x:c>
      <x:c r="I1305" s="9" t="str">
        <x:v>1. 执行角色为受邀主播；当前处于收到连麦邀请页面
2. 当前仅收到主播B的有效邀请，B昵称QA主播、头像P</x:v>
      </x:c>
      <x:c r="J1305" s="9" t="str">
        <x:v>1. 查看邀请提示</x:v>
      </x:c>
      <x:c r="K1305" s="9" t="str">
        <x:v>显示B头像P</x:v>
      </x:c>
      <x:c r="L1305" s="10" t="str"/>
      <x:c r="M1305" s="10" t="str">
        <x:v>未测</x:v>
      </x:c>
      <x:c r="N1305" s="10" t="str"/>
      <x:c r="O1305" s="9" t="str">
        <x:v>1. 来源（当前证据）：liveshow-proto/MainBasis/统一需求文档.md；位置：行1841、行1840
2. 规则：BR-0a57565a95c37804
3. 未动态验证</x:v>
      </x:c>
    </x:row>
    <x:row r="1306" ht="85" customHeight="1">
      <x:c r="A1306" s="10" t="n">
        <x:v>1305</x:v>
      </x:c>
      <x:c r="B1306" s="10" t="str">
        <x:v>USER-03-0304</x:v>
      </x:c>
      <x:c r="C1306" s="10" t="str">
        <x:v>直播</x:v>
      </x:c>
      <x:c r="D1306" s="10" t="str">
        <x:v>收到连麦邀请（受邀主播视角）</x:v>
      </x:c>
      <x:c r="E1306" s="10" t="str">
        <x:v>功能需求</x:v>
      </x:c>
      <x:c r="F1306" s="10" t="str">
        <x:v>P2</x:v>
      </x:c>
      <x:c r="G1306" s="9" t="str">
        <x:v>验证连麦邀请提示资料：邀请昵称</x:v>
      </x:c>
      <x:c r="H1306" s="9" t="str">
        <x:v>邀请昵称</x:v>
      </x:c>
      <x:c r="I1306" s="9" t="str">
        <x:v>1. 执行角色为受邀主播；当前处于收到连麦邀请页面
2. 当前仅收到主播B的有效邀请，B昵称QA主播、头像P</x:v>
      </x:c>
      <x:c r="J1306" s="9" t="str">
        <x:v>1. 查看邀请提示</x:v>
      </x:c>
      <x:c r="K1306" s="9" t="str">
        <x:v>显示QA主播</x:v>
      </x:c>
      <x:c r="L1306" s="10" t="str"/>
      <x:c r="M1306" s="10" t="str">
        <x:v>未测</x:v>
      </x:c>
      <x:c r="N1306" s="10" t="str"/>
      <x:c r="O1306" s="9" t="str">
        <x:v>1. 来源（当前证据）：liveshow-proto/MainBasis/统一需求文档.md；位置：行1841、行1840
2. 规则：BR-ab80e4092423229b
3. 未动态验证</x:v>
      </x:c>
    </x:row>
    <x:row r="1307" ht="85" customHeight="1">
      <x:c r="A1307" s="10" t="n">
        <x:v>1306</x:v>
      </x:c>
      <x:c r="B1307" s="10" t="str">
        <x:v>USER-03-0305</x:v>
      </x:c>
      <x:c r="C1307" s="10" t="str">
        <x:v>直播</x:v>
      </x:c>
      <x:c r="D1307" s="10" t="str">
        <x:v>收到连麦邀请（受邀主播视角）</x:v>
      </x:c>
      <x:c r="E1307" s="10" t="str">
        <x:v>功能需求</x:v>
      </x:c>
      <x:c r="F1307" s="10" t="str">
        <x:v>P2</x:v>
      </x:c>
      <x:c r="G1307" s="9" t="str">
        <x:v>验证连麦邀请提示资料：邀请数量</x:v>
      </x:c>
      <x:c r="H1307" s="9" t="str">
        <x:v>邀请数量</x:v>
      </x:c>
      <x:c r="I1307" s="9" t="str">
        <x:v>1. 执行角色为受邀主播；当前处于收到连麦邀请页面
2. 当前仅收到主播B的有效邀请，B昵称QA主播、头像P</x:v>
      </x:c>
      <x:c r="J1307" s="9" t="str">
        <x:v>1. 查看邀请提示</x:v>
      </x:c>
      <x:c r="K1307" s="9" t="str">
        <x:v>显示待处理邀请数量1</x:v>
      </x:c>
      <x:c r="L1307" s="10" t="str"/>
      <x:c r="M1307" s="10" t="str">
        <x:v>未测</x:v>
      </x:c>
      <x:c r="N1307" s="10" t="str"/>
      <x:c r="O1307" s="9" t="str">
        <x:v>1. 来源（当前证据）：liveshow-proto/MainBasis/统一需求文档.md；位置：行1841、行1840
2. 规则：BR-8f42360f234ee8fa
3. 未动态验证</x:v>
      </x:c>
    </x:row>
    <x:row r="1308" ht="85" customHeight="1">
      <x:c r="A1308" s="10" t="n">
        <x:v>1307</x:v>
      </x:c>
      <x:c r="B1308" s="10" t="str">
        <x:v>USER-04-0163</x:v>
      </x:c>
      <x:c r="C1308" s="10" t="str">
        <x:v>消息与社交</x:v>
      </x:c>
      <x:c r="D1308" s="10" t="str">
        <x:v>粉丝团群聊（粉丝团成员视角）</x:v>
      </x:c>
      <x:c r="E1308" s="10" t="str">
        <x:v>功能需求</x:v>
      </x:c>
      <x:c r="F1308" s="10" t="str">
        <x:v>P2</x:v>
      </x:c>
      <x:c r="G1308" s="9" t="str">
        <x:v>验证粉丝群会话摘要：会话团名</x:v>
      </x:c>
      <x:c r="H1308" s="9" t="str">
        <x:v>会话团名</x:v>
      </x:c>
      <x:c r="I1308" s="9" t="str">
        <x:v>1. 执行角色为粉丝团成员；当前处于粉丝团群聊页面
2. 所属团名QA团、主播头像P、最后消息QA消息，当前未读3条</x:v>
      </x:c>
      <x:c r="J1308" s="9" t="str">
        <x:v>1. 查看对应群会话</x:v>
      </x:c>
      <x:c r="K1308" s="9" t="str">
        <x:v>显示团名QA团</x:v>
      </x:c>
      <x:c r="L1308" s="10" t="str"/>
      <x:c r="M1308" s="10" t="str">
        <x:v>未测</x:v>
      </x:c>
      <x:c r="N1308" s="10" t="str"/>
      <x:c r="O1308" s="9" t="str">
        <x:v>1. 来源（当前证据）：liveshow-proto/MainBasis/统一需求文档.md；位置：行1924、行1922
2. 规则：BR-d31016bc7980e1e6
3. 未动态验证</x:v>
      </x:c>
    </x:row>
    <x:row r="1309" ht="85" customHeight="1">
      <x:c r="A1309" s="10" t="n">
        <x:v>1308</x:v>
      </x:c>
      <x:c r="B1309" s="10" t="str">
        <x:v>USER-04-0164</x:v>
      </x:c>
      <x:c r="C1309" s="10" t="str">
        <x:v>消息与社交</x:v>
      </x:c>
      <x:c r="D1309" s="10" t="str">
        <x:v>粉丝团群聊（粉丝团成员视角）</x:v>
      </x:c>
      <x:c r="E1309" s="10" t="str">
        <x:v>功能需求</x:v>
      </x:c>
      <x:c r="F1309" s="10" t="str">
        <x:v>P2</x:v>
      </x:c>
      <x:c r="G1309" s="9" t="str">
        <x:v>验证粉丝群会话摘要：会话主播头像</x:v>
      </x:c>
      <x:c r="H1309" s="9" t="str">
        <x:v>会话主播头像</x:v>
      </x:c>
      <x:c r="I1309" s="9" t="str">
        <x:v>1. 执行角色为粉丝团成员；当前处于粉丝团群聊页面
2. 所属团名QA团、主播头像P、最后消息QA消息，当前未读3条</x:v>
      </x:c>
      <x:c r="J1309" s="9" t="str">
        <x:v>1. 查看对应群会话</x:v>
      </x:c>
      <x:c r="K1309" s="9" t="str">
        <x:v>显示头像P</x:v>
      </x:c>
      <x:c r="L1309" s="10" t="str"/>
      <x:c r="M1309" s="10" t="str">
        <x:v>未测</x:v>
      </x:c>
      <x:c r="N1309" s="10" t="str"/>
      <x:c r="O1309" s="9" t="str">
        <x:v>1. 来源（当前证据）：liveshow-proto/MainBasis/统一需求文档.md；位置：行1924、行1922
2. 规则：BR-2dbb967ff1cc6bdb
3. 未动态验证</x:v>
      </x:c>
    </x:row>
    <x:row r="1310" ht="85" customHeight="1">
      <x:c r="A1310" s="10" t="n">
        <x:v>1309</x:v>
      </x:c>
      <x:c r="B1310" s="10" t="str">
        <x:v>USER-04-0165</x:v>
      </x:c>
      <x:c r="C1310" s="10" t="str">
        <x:v>消息与社交</x:v>
      </x:c>
      <x:c r="D1310" s="10" t="str">
        <x:v>粉丝团群聊（粉丝团成员视角）</x:v>
      </x:c>
      <x:c r="E1310" s="10" t="str">
        <x:v>功能需求</x:v>
      </x:c>
      <x:c r="F1310" s="10" t="str">
        <x:v>P2</x:v>
      </x:c>
      <x:c r="G1310" s="9" t="str">
        <x:v>验证粉丝群会话摘要：会话最后消息</x:v>
      </x:c>
      <x:c r="H1310" s="9" t="str">
        <x:v>会话最后消息</x:v>
      </x:c>
      <x:c r="I1310" s="9" t="str">
        <x:v>1. 执行角色为粉丝团成员；当前处于粉丝团群聊页面
2. 所属团名QA团、主播头像P、最后消息QA消息，当前未读3条</x:v>
      </x:c>
      <x:c r="J1310" s="9" t="str">
        <x:v>1. 查看对应群会话</x:v>
      </x:c>
      <x:c r="K1310" s="9" t="str">
        <x:v>显示QA消息</x:v>
      </x:c>
      <x:c r="L1310" s="10" t="str"/>
      <x:c r="M1310" s="10" t="str">
        <x:v>未测</x:v>
      </x:c>
      <x:c r="N1310" s="10" t="str"/>
      <x:c r="O1310" s="9" t="str">
        <x:v>1. 来源（当前证据）：liveshow-proto/MainBasis/统一需求文档.md；位置：行1924、行1922
2. 规则：BR-5384659a27cc80fe
3. 未动态验证</x:v>
      </x:c>
    </x:row>
    <x:row r="1311" ht="85" customHeight="1">
      <x:c r="A1311" s="10" t="n">
        <x:v>1310</x:v>
      </x:c>
      <x:c r="B1311" s="10" t="str">
        <x:v>USER-04-0166</x:v>
      </x:c>
      <x:c r="C1311" s="10" t="str">
        <x:v>消息与社交</x:v>
      </x:c>
      <x:c r="D1311" s="10" t="str">
        <x:v>粉丝团群聊（粉丝团成员视角）</x:v>
      </x:c>
      <x:c r="E1311" s="10" t="str">
        <x:v>功能需求</x:v>
      </x:c>
      <x:c r="F1311" s="10" t="str">
        <x:v>P2</x:v>
      </x:c>
      <x:c r="G1311" s="9" t="str">
        <x:v>验证粉丝群会话摘要：会话未读数</x:v>
      </x:c>
      <x:c r="H1311" s="9" t="str">
        <x:v>会话未读数</x:v>
      </x:c>
      <x:c r="I1311" s="9" t="str">
        <x:v>1. 执行角色为粉丝团成员；当前处于粉丝团群聊页面
2. 所属团名QA团、主播头像P、最后消息QA消息，当前未读3条</x:v>
      </x:c>
      <x:c r="J1311" s="9" t="str">
        <x:v>1. 查看对应群会话</x:v>
      </x:c>
      <x:c r="K1311" s="9" t="str">
        <x:v>显示未读3</x:v>
      </x:c>
      <x:c r="L1311" s="10" t="str"/>
      <x:c r="M1311" s="10" t="str">
        <x:v>未测</x:v>
      </x:c>
      <x:c r="N1311" s="10" t="str"/>
      <x:c r="O1311" s="9" t="str">
        <x:v>1. 来源（当前证据）：liveshow-proto/MainBasis/统一需求文档.md；位置：行1924、行1922
2. 规则：BR-2a2c43e64db6ed83
3. 未动态验证</x:v>
      </x:c>
    </x:row>
    <x:row r="1312" ht="85" customHeight="1">
      <x:c r="A1312" s="10" t="n">
        <x:v>1311</x:v>
      </x:c>
      <x:c r="B1312" s="10" t="str">
        <x:v>USER-02-0174</x:v>
      </x:c>
      <x:c r="C1312" s="10" t="str">
        <x:v>首页与福利</x:v>
      </x:c>
      <x:c r="D1312" s="10" t="str">
        <x:v>系统通知授权弹窗（普通用户视角）</x:v>
      </x:c>
      <x:c r="E1312" s="10" t="str">
        <x:v>功能需求</x:v>
      </x:c>
      <x:c r="F1312" s="10" t="str">
        <x:v>P2</x:v>
      </x:c>
      <x:c r="G1312" s="9" t="str">
        <x:v>验证允许通知后的设备状态</x:v>
      </x:c>
      <x:c r="H1312" s="9" t="str">
        <x:v>展示内容</x:v>
      </x:c>
      <x:c r="I1312" s="9" t="str">
        <x:v>1. 执行角色为普通用户；当前处于系统通知授权弹窗页面
2. 系统授权请求已调起</x:v>
      </x:c>
      <x:c r="J1312" s="9" t="str">
        <x:v>1. 点击允许
2. 进入设置页面</x:v>
      </x:c>
      <x:c r="K1312" s="9" t="str">
        <x:v>系统通知状态为已开启</x:v>
      </x:c>
      <x:c r="L1312" s="10" t="str"/>
      <x:c r="M1312" s="10" t="str">
        <x:v>未测</x:v>
      </x:c>
      <x:c r="N1312" s="10" t="str"/>
      <x:c r="O1312" s="9" t="str">
        <x:v>1. 来源（当前证据）：liveshow-proto/MainBasis/统一需求文档.md；位置：行1548、行1447、行1542
2. 规则：BR-c1ade976f2529c5b
3. 未动态验证</x:v>
      </x:c>
    </x:row>
    <x:row r="1313" ht="85" customHeight="1">
      <x:c r="A1313" s="10" t="n">
        <x:v>1312</x:v>
      </x:c>
      <x:c r="B1313" s="10" t="str">
        <x:v>USER-02-0175</x:v>
      </x:c>
      <x:c r="C1313" s="10" t="str">
        <x:v>首页与福利</x:v>
      </x:c>
      <x:c r="D1313" s="10" t="str">
        <x:v>系统通知授权弹窗（普通用户视角）</x:v>
      </x:c>
      <x:c r="E1313" s="10" t="str">
        <x:v>功能需求</x:v>
      </x:c>
      <x:c r="F1313" s="10" t="str">
        <x:v>P2</x:v>
      </x:c>
      <x:c r="G1313" s="9" t="str">
        <x:v>验证拒绝通知后的设备状态</x:v>
      </x:c>
      <x:c r="H1313" s="9" t="str">
        <x:v>展示内容</x:v>
      </x:c>
      <x:c r="I1313" s="9" t="str">
        <x:v>1. 执行角色为普通用户；当前处于系统通知授权弹窗页面
2. 系统授权请求已调起</x:v>
      </x:c>
      <x:c r="J1313" s="9" t="str">
        <x:v>1. 点击不允许
2. 进入设置页面</x:v>
      </x:c>
      <x:c r="K1313" s="9" t="str">
        <x:v>系统通知状态为已拒绝</x:v>
      </x:c>
      <x:c r="L1313" s="10" t="str"/>
      <x:c r="M1313" s="10" t="str">
        <x:v>未测</x:v>
      </x:c>
      <x:c r="N1313" s="10" t="str"/>
      <x:c r="O1313" s="9" t="str">
        <x:v>1. 来源（当前证据）：liveshow-proto/MainBasis/统一需求文档.md；位置：行1548、行1447、行1542
2. 规则：BR-141a2ac8144fc9a4
3. 未动态验证</x:v>
      </x:c>
    </x:row>
    <x:row r="1314" ht="85" customHeight="1">
      <x:c r="A1314" s="10" t="n">
        <x:v>1313</x:v>
      </x:c>
      <x:c r="B1314" s="10" t="str">
        <x:v>USER-05-0240</x:v>
      </x:c>
      <x:c r="C1314" s="10" t="str">
        <x:v>我的</x:v>
      </x:c>
      <x:c r="D1314" s="10" t="str">
        <x:v>我的（已通过主播认证的用户视角）</x:v>
      </x:c>
      <x:c r="E1314" s="10" t="str">
        <x:v>功能需求</x:v>
      </x:c>
      <x:c r="F1314" s="10" t="str">
        <x:v>P2</x:v>
      </x:c>
      <x:c r="G1314" s="9" t="str">
        <x:v>验证主播身份共用个人资料</x:v>
      </x:c>
      <x:c r="H1314" s="9" t="str">
        <x:v>展示内容</x:v>
      </x:c>
      <x:c r="I1314" s="9" t="str">
        <x:v>1. 执行角色为已通过主播认证的用户；当前处于我的页面
2. 取得主播身份前昵称QA用户、余额50；认证过程没有资产或资料变更</x:v>
      </x:c>
      <x:c r="J1314" s="9" t="str">
        <x:v>1. 查看本人资料</x:v>
      </x:c>
      <x:c r="K1314" s="9" t="str">
        <x:v>昵称仍为QA用户</x:v>
      </x:c>
      <x:c r="L1314" s="10" t="str"/>
      <x:c r="M1314" s="10" t="str">
        <x:v>未测</x:v>
      </x:c>
      <x:c r="N1314" s="10" t="str"/>
      <x:c r="O1314" s="9" t="str">
        <x:v>1. 来源（当前证据）：liveshow-proto/MainBasis/统一需求文档.md；位置：行682、行676
2. 规则：BR-d1281d2a3c2540e8
3. 未动态验证</x:v>
      </x:c>
    </x:row>
    <x:row r="1315" ht="85" customHeight="1">
      <x:c r="A1315" s="10" t="n">
        <x:v>1314</x:v>
      </x:c>
      <x:c r="B1315" s="10" t="str">
        <x:v>USER-05-0241</x:v>
      </x:c>
      <x:c r="C1315" s="10" t="str">
        <x:v>我的</x:v>
      </x:c>
      <x:c r="D1315" s="10" t="str">
        <x:v>我的（已通过主播认证的用户视角）</x:v>
      </x:c>
      <x:c r="E1315" s="10" t="str">
        <x:v>功能需求</x:v>
      </x:c>
      <x:c r="F1315" s="10" t="str">
        <x:v>P2</x:v>
      </x:c>
      <x:c r="G1315" s="9" t="str">
        <x:v>验证主播身份共用金币资产</x:v>
      </x:c>
      <x:c r="H1315" s="9" t="str">
        <x:v>资产数值</x:v>
      </x:c>
      <x:c r="I1315" s="9" t="str">
        <x:v>1. 执行角色为已通过主播认证的用户；当前处于我的页面
2. 取得主播身份前昵称QA用户、余额50；认证过程没有资产或资料变更</x:v>
      </x:c>
      <x:c r="J1315" s="9" t="str">
        <x:v>1. 查看金币余额</x:v>
      </x:c>
      <x:c r="K1315" s="9" t="str">
        <x:v>真实金币余额仍为50</x:v>
      </x:c>
      <x:c r="L1315" s="10" t="str"/>
      <x:c r="M1315" s="10" t="str">
        <x:v>未测</x:v>
      </x:c>
      <x:c r="N1315" s="10" t="str"/>
      <x:c r="O1315" s="9" t="str">
        <x:v>1. 来源（当前证据）：liveshow-proto/MainBasis/统一需求文档.md；位置：行682、行676
2. 规则：BR-572f670406667f37
3. 未动态验证</x:v>
      </x:c>
    </x:row>
    <x:row r="1316" ht="85" customHeight="1">
      <x:c r="A1316" s="10" t="n">
        <x:v>1315</x:v>
      </x:c>
      <x:c r="B1316" s="10" t="str">
        <x:v>USER-04-0167</x:v>
      </x:c>
      <x:c r="C1316" s="10" t="str">
        <x:v>消息与社交</x:v>
      </x:c>
      <x:c r="D1316" s="10" t="str">
        <x:v>粉丝列表（普通用户视角）</x:v>
      </x:c>
      <x:c r="E1316" s="10" t="str">
        <x:v>功能需求</x:v>
      </x:c>
      <x:c r="F1316" s="10" t="str">
        <x:v>P2</x:v>
      </x:c>
      <x:c r="G1316" s="9" t="str">
        <x:v>验证搜索保留原相对顺序</x:v>
      </x:c>
      <x:c r="H1316" s="9" t="str">
        <x:v>排列次序</x:v>
      </x:c>
      <x:c r="I1316" s="9" t="str">
        <x:v>1. 执行角色为普通用户；当前处于粉丝列表页面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来源（当前证据）：liveshow-proto/MainBasis/统一需求文档.md；位置：行714、行707
2. 规则：BR-af541362ef883ef4
3. 未动态验证</x:v>
      </x:c>
    </x:row>
    <x:row r="1317" ht="85" customHeight="1">
      <x:c r="A1317" s="10" t="n">
        <x:v>1316</x:v>
      </x:c>
      <x:c r="B1317" s="10" t="str">
        <x:v>USER-04-0168</x:v>
      </x:c>
      <x:c r="C1317" s="10" t="str">
        <x:v>消息与社交</x:v>
      </x:c>
      <x:c r="D1317" s="10" t="str">
        <x:v>好友列表（普通用户视角）</x:v>
      </x:c>
      <x:c r="E1317" s="10" t="str">
        <x:v>功能需求</x:v>
      </x:c>
      <x:c r="F1317" s="10" t="str">
        <x:v>P2</x:v>
      </x:c>
      <x:c r="G1317" s="9" t="str">
        <x:v>验证搜索保留原相对顺序</x:v>
      </x:c>
      <x:c r="H1317" s="9" t="str">
        <x:v>排列次序</x:v>
      </x:c>
      <x:c r="I1317" s="9" t="str">
        <x:v>1. 执行角色为普通用户；当前处于好友列表页面
2. 初始A排在B前，A与B昵称都含QA</x:v>
      </x:c>
      <x:c r="J1317" s="9" t="str">
        <x:v>1. 输入QA进行搜索</x:v>
      </x:c>
      <x:c r="K1317" s="9" t="str">
        <x:v>A仍排在B前</x:v>
      </x:c>
      <x:c r="L1317" s="10" t="str"/>
      <x:c r="M1317" s="10" t="str">
        <x:v>未测</x:v>
      </x:c>
      <x:c r="N1317" s="10" t="str"/>
      <x:c r="O1317" s="9" t="str">
        <x:v>1. 来源（当前证据）：liveshow-proto/MainBasis/统一需求文档.md；位置：行864、行854
2. 规则：BR-57104781b43c3453
3. 未动态验证</x:v>
      </x:c>
    </x:row>
    <x:row r="1318" ht="85" customHeight="1">
      <x:c r="A1318" s="10" t="n">
        <x:v>1317</x:v>
      </x:c>
      <x:c r="B1318" s="10" t="str">
        <x:v>USER-04-0169</x:v>
      </x:c>
      <x:c r="C1318" s="10" t="str">
        <x:v>消息与社交</x:v>
      </x:c>
      <x:c r="D1318" s="10" t="str">
        <x:v>群管理（群主）（所属主播视角）</x:v>
      </x:c>
      <x:c r="E1318" s="10" t="str">
        <x:v>功能需求</x:v>
      </x:c>
      <x:c r="F1318" s="10" t="str">
        <x:v>P2</x:v>
      </x:c>
      <x:c r="G1318" s="9" t="str">
        <x:v>验证主播群免打扰只改本人</x:v>
      </x:c>
      <x:c r="H1318" s="9" t="str">
        <x:v>群免打扰设置独立性</x:v>
      </x:c>
      <x:c r="I1318" s="9" t="str">
        <x:v>1. 执行角色为所属主播；当前处于群管理（群主）页面
2. 当前免打扰关闭，成员B偏好为关闭</x:v>
      </x:c>
      <x:c r="J1318" s="9" t="str">
        <x:v>1. 启用群消息免打扰</x:v>
      </x:c>
      <x:c r="K1318" s="9" t="str">
        <x:v>本主播对此群的免打扰变为开启</x:v>
      </x:c>
      <x:c r="L1318" s="10" t="str"/>
      <x:c r="M1318" s="10" t="str">
        <x:v>未测</x:v>
      </x:c>
      <x:c r="N1318" s="10" t="str"/>
      <x:c r="O1318" s="9" t="str">
        <x:v>1. 来源（当前证据）：liveshow-proto/MainBasis/统一需求文档.md；位置：行926、行919
2. 规则：BR-60a3088e64ed130b
3. 未动态验证</x:v>
      </x:c>
    </x:row>
    <x:row r="1319" ht="85" customHeight="1">
      <x:c r="A1319" s="10" t="n">
        <x:v>1318</x:v>
      </x:c>
      <x:c r="B1319" s="10" t="str">
        <x:v>USER-03-0306</x:v>
      </x:c>
      <x:c r="C1319" s="10" t="str">
        <x:v>直播</x:v>
      </x:c>
      <x:c r="D1319" s="10" t="str">
        <x:v>观众资料卡-主播（本场主播视角）</x:v>
      </x:c>
      <x:c r="E1319" s="10" t="str">
        <x:v>功能需求</x:v>
      </x:c>
      <x:c r="F1319" s="10" t="str">
        <x:v>P2</x:v>
      </x:c>
      <x:c r="G1319" s="9" t="str">
        <x:v>验证被踢出目标不可设房管</x:v>
      </x:c>
      <x:c r="H1319" s="9" t="str">
        <x:v>入口可用性</x:v>
      </x:c>
      <x:c r="I1319" s="9" t="str">
        <x:v>1. 执行角色为本场主播；当前处于观众资料卡-主播页面
2. 目标A已被本场踢出，房管人数未满</x:v>
      </x:c>
      <x:c r="J1319" s="9" t="str">
        <x:v>1. 点击设置房管</x:v>
      </x:c>
      <x:c r="K1319" s="9" t="str">
        <x:v>不能为A新增房管身份</x:v>
      </x:c>
      <x:c r="L1319" s="10" t="str"/>
      <x:c r="M1319" s="10" t="str">
        <x:v>未测</x:v>
      </x:c>
      <x:c r="N1319" s="10" t="str"/>
      <x:c r="O1319" s="9" t="str">
        <x:v>1. 来源（当前证据）：liveshow-proto/MainBasis/统一需求文档.md；位置：行1802、行1796
2. 规则：BR-469dbd589f1e24de
3. 未动态验证</x:v>
      </x:c>
    </x:row>
    <x:row r="1320" ht="85" customHeight="1">
      <x:c r="A1320" s="10" t="n">
        <x:v>1319</x:v>
      </x:c>
      <x:c r="B1320" s="10" t="str">
        <x:v>USER-03-0307</x:v>
      </x:c>
      <x:c r="C1320" s="10" t="str">
        <x:v>直播</x:v>
      </x:c>
      <x:c r="D1320" s="10" t="str">
        <x:v>观众资料卡-主播（本场主播视角）</x:v>
      </x:c>
      <x:c r="E1320" s="10" t="str">
        <x:v>功能需求</x:v>
      </x:c>
      <x:c r="F1320" s="10" t="str">
        <x:v>P2</x:v>
      </x:c>
      <x:c r="G1320" s="9" t="str">
        <x:v>验证有效巡房目标无拉黑</x:v>
      </x:c>
      <x:c r="H1320" s="9" t="str">
        <x:v>巡房人员拉黑入口</x:v>
      </x:c>
      <x:c r="I1320" s="9" t="str">
        <x:v>1. 执行角色为本场主播；当前处于观众资料卡-主播页面
2. 目标A正处于有效巡房会话</x:v>
      </x:c>
      <x:c r="J1320" s="9" t="str">
        <x:v>1. 查看A资料卡操作</x:v>
      </x:c>
      <x:c r="K1320" s="9" t="str">
        <x:v>不展示拉黑操作</x:v>
      </x:c>
      <x:c r="L1320" s="10" t="str"/>
      <x:c r="M1320" s="10" t="str">
        <x:v>未测</x:v>
      </x:c>
      <x:c r="N1320" s="10" t="str"/>
      <x:c r="O1320" s="9" t="str">
        <x:v>1. 来源（当前证据）：liveshow-proto/MainBasis/统一需求文档.md；位置：行1804、行1796
2. 规则：BR-5a61e1077c105b8a
3. 未动态验证</x:v>
      </x:c>
    </x:row>
    <x:row r="1321" ht="85" customHeight="1">
      <x:c r="A1321" s="10" t="n">
        <x:v>1320</x:v>
      </x:c>
      <x:c r="B1321" s="10" t="str">
        <x:v>USER-03-0308</x:v>
      </x:c>
      <x:c r="C1321" s="10" t="str">
        <x:v>直播</x:v>
      </x:c>
      <x:c r="D1321" s="10" t="str">
        <x:v>观众资料卡-主播（本场主播视角）</x:v>
      </x:c>
      <x:c r="E1321" s="10" t="str">
        <x:v>功能需求</x:v>
      </x:c>
      <x:c r="F1321" s="10" t="str">
        <x:v>P2</x:v>
      </x:c>
      <x:c r="G1321" s="9" t="str">
        <x:v>验证有效巡房目标无踢出</x:v>
      </x:c>
      <x:c r="H1321" s="9" t="str">
        <x:v>展示内容</x:v>
      </x:c>
      <x:c r="I1321" s="9" t="str">
        <x:v>1. 执行角色为本场主播；当前处于观众资料卡-主播页面
2. 目标A正处于有效巡房会话</x:v>
      </x:c>
      <x:c r="J1321" s="9" t="str">
        <x:v>1. 查看A资料卡操作</x:v>
      </x:c>
      <x:c r="K1321" s="9" t="str">
        <x:v>不展示踢出操作</x:v>
      </x:c>
      <x:c r="L1321" s="10" t="str"/>
      <x:c r="M1321" s="10" t="str">
        <x:v>未测</x:v>
      </x:c>
      <x:c r="N1321" s="10" t="str"/>
      <x:c r="O1321" s="9" t="str">
        <x:v>1. 来源（当前证据）：liveshow-proto/MainBasis/统一需求文档.md；位置：行1804、行1796
2. 规则：BR-433ff86d991f6be2
3. 未动态验证</x:v>
      </x:c>
    </x:row>
    <x:row r="1322" ht="85" customHeight="1">
      <x:c r="A1322" s="10" t="n">
        <x:v>1321</x:v>
      </x:c>
      <x:c r="B1322" s="10" t="str">
        <x:v>USER-03-0309</x:v>
      </x:c>
      <x:c r="C1322" s="10" t="str">
        <x:v>直播</x:v>
      </x:c>
      <x:c r="D1322" s="10" t="str">
        <x:v>恢复发言确认（本场主播视角）</x:v>
      </x:c>
      <x:c r="E1322" s="10" t="str">
        <x:v>功能需求</x:v>
      </x:c>
      <x:c r="F1322" s="10" t="str">
        <x:v>P2</x:v>
      </x:c>
      <x:c r="G1322" s="9" t="str">
        <x:v>验证目标已恢复不重复处理</x:v>
      </x:c>
      <x:c r="H1322" s="9" t="str">
        <x:v>恢复发言重复处理限制</x:v>
      </x:c>
      <x:c r="I1322" s="9" t="str">
        <x:v>1. 执行角色为本场主播；当前处于恢复发言确认页面
2. 恢复确认弹窗打开后，A已由房管恢复发言</x:v>
      </x:c>
      <x:c r="J1322" s="9" t="str">
        <x:v>1. 点击确认恢复发言</x:v>
      </x:c>
      <x:c r="K1322" s="9" t="str">
        <x:v>不再次执行恢复操作</x:v>
      </x:c>
      <x:c r="L1322" s="10" t="str"/>
      <x:c r="M1322" s="10" t="str">
        <x:v>未测</x:v>
      </x:c>
      <x:c r="N1322" s="10" t="str"/>
      <x:c r="O1322" s="9" t="str">
        <x:v>1. 来源（当前证据）：liveshow-proto/MainBasis/统一需求文档.md；位置：行1792、行1791
2. 规则：BR-c5a751bd84180ce4
3. 未动态验证</x:v>
      </x:c>
    </x:row>
    <x:row r="1323" ht="85" customHeight="1">
      <x:c r="A1323" s="10" t="n">
        <x:v>1322</x:v>
      </x:c>
      <x:c r="B1323" s="10" t="str">
        <x:v>USER-03-0310</x:v>
      </x:c>
      <x:c r="C1323" s="10" t="str">
        <x:v>直播</x:v>
      </x:c>
      <x:c r="D1323" s="10" t="str">
        <x:v>恢复发言确认（本场主播视角）</x:v>
      </x:c>
      <x:c r="E1323" s="10" t="str">
        <x:v>功能需求</x:v>
      </x:c>
      <x:c r="F1323" s="10" t="str">
        <x:v>P2</x:v>
      </x:c>
      <x:c r="G1323" s="9" t="str">
        <x:v>验证场次已结束不恢复旧禁言</x:v>
      </x:c>
      <x:c r="H1323" s="9" t="str">
        <x:v>旧场次禁言操作限制</x:v>
      </x:c>
      <x:c r="I1323" s="9" t="str">
        <x:v>1. 执行角色为本场主播；当前处于恢复发言确认页面
2. 恢复确认弹窗打开后，本场已经结束</x:v>
      </x:c>
      <x:c r="J1323" s="9" t="str">
        <x:v>1. 点击确认恢复发言</x:v>
      </x:c>
      <x:c r="K1323" s="9" t="str">
        <x:v>不执行旧场次恢复操作</x:v>
      </x:c>
      <x:c r="L1323" s="10" t="str"/>
      <x:c r="M1323" s="10" t="str">
        <x:v>未测</x:v>
      </x:c>
      <x:c r="N1323" s="10" t="str"/>
      <x:c r="O1323" s="9" t="str">
        <x:v>1. 来源（当前证据）：liveshow-proto/MainBasis/统一需求文档.md；位置：行1792、行1791
2. 规则：BR-303d6df48628fae3
3. 未动态验证</x:v>
      </x:c>
    </x:row>
    <x:row r="1324" ht="115" customHeight="1">
      <x:c r="A1324" s="10" t="n">
        <x:v>1323</x:v>
      </x:c>
      <x:c r="B1324" s="10" t="str">
        <x:v>USER-03-0311</x:v>
      </x:c>
      <x:c r="C1324" s="10" t="str">
        <x:v>直播</x:v>
      </x:c>
      <x:c r="D1324" s="10" t="str">
        <x:v>直播间-主播-密码房（密码房主播视角）</x:v>
      </x:c>
      <x:c r="E1324" s="10" t="str">
        <x:v>功能需求</x:v>
      </x:c>
      <x:c r="F1324" s="10" t="str">
        <x:v>P2</x:v>
      </x:c>
      <x:c r="G1324" s="9" t="str">
        <x:v>验证本场贡献多级排序</x:v>
      </x:c>
      <x:c r="H1324" s="9" t="str">
        <x:v>排列次序</x:v>
      </x:c>
      <x:c r="I1324" s="9" t="str">
        <x:v>1. 执行角色为密码房主播；当前处于直播间-主播-密码房页面
2. 当前场次真实金币贡献记录已准备，不涉及运营虚拟金币
3. A贡献200；B/C/D贡献100；B粉丝5级；C/D粉丝3级、财富2级；C的ID2，D的ID10</x:v>
      </x:c>
      <x:c r="J1324" s="9" t="str">
        <x:v>1. 打开本场贡献榜</x:v>
      </x:c>
      <x:c r="K1324" s="9" t="str">
        <x:v>顺序为A、B、C、D</x:v>
      </x:c>
      <x:c r="L1324" s="10" t="str"/>
      <x:c r="M1324" s="10" t="str">
        <x:v>未测</x:v>
      </x:c>
      <x:c r="N1324" s="10" t="str"/>
      <x:c r="O1324" s="9" t="str">
        <x:v>1. 来源（当前证据）：liveshow-proto/MainBasis/统一需求文档.md；位置：行814、行812
2. 规则：BR-892c596f641c6858
3. 未动态验证</x:v>
      </x:c>
    </x:row>
    <x:row r="1325" ht="100" customHeight="1">
      <x:c r="A1325" s="10" t="n">
        <x:v>1324</x:v>
      </x:c>
      <x:c r="B1325" s="10" t="str">
        <x:v>USER-03-0312</x:v>
      </x:c>
      <x:c r="C1325" s="10" t="str">
        <x:v>直播</x:v>
      </x:c>
      <x:c r="D1325" s="10" t="str">
        <x:v>直播间-主播-密码房（密码房主播视角）</x:v>
      </x:c>
      <x:c r="E1325" s="10" t="str">
        <x:v>功能需求</x:v>
      </x:c>
      <x:c r="F1325" s="10" t="str">
        <x:v>P2</x:v>
      </x:c>
      <x:c r="G1325" s="9" t="str">
        <x:v>验证本场榜单容量</x:v>
      </x:c>
      <x:c r="H1325" s="9" t="str">
        <x:v>展示内容</x:v>
      </x:c>
      <x:c r="I1325" s="9" t="str">
        <x:v>1. 执行角色为密码房主播；当前处于直播间-主播-密码房页面
2. 当前场次真实金币贡献记录已准备，不涉及运营虚拟金币
3. 当前有100名有效贡献者，已按规定条件完成全排序</x:v>
      </x:c>
      <x:c r="J1325" s="9" t="str">
        <x:v>1. 打开本场贡献榜
2. 滚动到底部</x:v>
      </x:c>
      <x:c r="K1325" s="9" t="str">
        <x:v>只展示排序前99名</x:v>
      </x:c>
      <x:c r="L1325" s="10" t="str"/>
      <x:c r="M1325" s="10" t="str">
        <x:v>未测</x:v>
      </x:c>
      <x:c r="N1325" s="10" t="str"/>
      <x:c r="O1325" s="9" t="str">
        <x:v>1. 来源（当前证据）：liveshow-proto/MainBasis/统一需求文档.md；位置：行814、行812
2. 规则：BR-53dd5b571152728d
3. 未动态验证</x:v>
      </x:c>
    </x:row>
    <x:row r="1326" ht="115" customHeight="1">
      <x:c r="A1326" s="10" t="n">
        <x:v>1325</x:v>
      </x:c>
      <x:c r="B1326" s="10" t="str">
        <x:v>USER-03-0313</x:v>
      </x:c>
      <x:c r="C1326" s="10" t="str">
        <x:v>直播</x:v>
      </x:c>
      <x:c r="D1326" s="10" t="str">
        <x:v>直播间-主播-密码房（密码房主播视角）</x:v>
      </x:c>
      <x:c r="E1326" s="10" t="str">
        <x:v>功能需求</x:v>
      </x:c>
      <x:c r="F1326" s="10" t="str">
        <x:v>P2</x:v>
      </x:c>
      <x:c r="G1326" s="9" t="str">
        <x:v>验证在线贡献多级排序</x:v>
      </x:c>
      <x:c r="H1326" s="9" t="str">
        <x:v>排列次序</x:v>
      </x:c>
      <x:c r="I1326" s="9" t="str">
        <x:v>1. 执行角色为密码房主播；当前处于直播间-主播-密码房页面
2. 当前场次真实金币贡献记录已准备，不涉及运营虚拟金币
3. 在线A贡献200；B/C/D贡献100；B粉丝5级；C/D粉丝3级、财富2级；C的ID2，D的ID10</x:v>
      </x:c>
      <x:c r="J1326" s="9" t="str">
        <x:v>1. 打开在线观众
2. 切换按贡献</x:v>
      </x:c>
      <x:c r="K1326" s="9" t="str">
        <x:v>顺序为A、B、C、D</x:v>
      </x:c>
      <x:c r="L1326" s="10" t="str"/>
      <x:c r="M1326" s="10" t="str">
        <x:v>未测</x:v>
      </x:c>
      <x:c r="N1326" s="10" t="str"/>
      <x:c r="O1326" s="9" t="str">
        <x:v>1. 来源（当前证据）：liveshow-proto/MainBasis/统一需求文档.md；位置：行815、行812
2. 规则：BR-c71cda34bde83d59
3. 未动态验证</x:v>
      </x:c>
    </x:row>
    <x:row r="1327" ht="115" customHeight="1">
      <x:c r="A1327" s="10" t="n">
        <x:v>1326</x:v>
      </x:c>
      <x:c r="B1327" s="10" t="str">
        <x:v>USER-03-0314</x:v>
      </x:c>
      <x:c r="C1327" s="10" t="str">
        <x:v>直播</x:v>
      </x:c>
      <x:c r="D1327" s="10" t="str">
        <x:v>直播间-主播-密码房（密码房主播视角）</x:v>
      </x:c>
      <x:c r="E1327" s="10" t="str">
        <x:v>功能需求</x:v>
      </x:c>
      <x:c r="F1327" s="10" t="str">
        <x:v>P2</x:v>
      </x:c>
      <x:c r="G1327" s="9" t="str">
        <x:v>验证在线时长多级排序</x:v>
      </x:c>
      <x:c r="H1327" s="9" t="str">
        <x:v>排列次序</x:v>
      </x:c>
      <x:c r="I1327" s="9" t="str">
        <x:v>1. 执行角色为密码房主播；当前处于直播间-主播-密码房页面
2. 当前场次真实金币贡献记录已准备，不涉及运营虚拟金币
3. 在线A时长20分钟；B/C时长10分钟且贡献相同；B粉丝5级，C粉丝3级</x:v>
      </x:c>
      <x:c r="J1327" s="9" t="str">
        <x:v>1. 打开在线观众
2. 切换按停留时长</x:v>
      </x:c>
      <x:c r="K1327" s="9" t="str">
        <x:v>顺序为A、B、C</x:v>
      </x:c>
      <x:c r="L1327" s="10" t="str"/>
      <x:c r="M1327" s="10" t="str">
        <x:v>未测</x:v>
      </x:c>
      <x:c r="N1327" s="10" t="str"/>
      <x:c r="O1327" s="9" t="str">
        <x:v>1. 来源（当前证据）：liveshow-proto/MainBasis/统一需求文档.md；位置：行815、行812
2. 规则：BR-bd9332dd09b4cb07
3. 未动态验证</x:v>
      </x:c>
    </x:row>
    <x:row r="1328" ht="100" customHeight="1">
      <x:c r="A1328" s="10" t="n">
        <x:v>1327</x:v>
      </x:c>
      <x:c r="B1328" s="10" t="str">
        <x:v>USER-03-0315</x:v>
      </x:c>
      <x:c r="C1328" s="10" t="str">
        <x:v>直播</x:v>
      </x:c>
      <x:c r="D1328" s="10" t="str">
        <x:v>直播间-主播-密码房（密码房主播视角）</x:v>
      </x:c>
      <x:c r="E1328" s="10" t="str">
        <x:v>功能需求</x:v>
      </x:c>
      <x:c r="F1328" s="10" t="str">
        <x:v>P2</x:v>
      </x:c>
      <x:c r="G1328" s="9" t="str">
        <x:v>验证消费冲正更新排名</x:v>
      </x:c>
      <x:c r="H1328" s="9" t="str">
        <x:v>排列次序</x:v>
      </x:c>
      <x:c r="I1328" s="9" t="str">
        <x:v>1. 执行角色为密码房主播；当前处于直播间-主播-密码房页面
2. 当前场次真实金币贡献记录已准备，不涉及运营虚拟金币
3. A贡献200、B贡献150；A其中100金币消费已完成有效冲正</x:v>
      </x:c>
      <x:c r="J1328" s="9" t="str">
        <x:v>1. 打开本场贡献榜
2. 刷新榜单</x:v>
      </x:c>
      <x:c r="K1328" s="9" t="str">
        <x:v>B排在A前</x:v>
      </x:c>
      <x:c r="L1328" s="10" t="str"/>
      <x:c r="M1328" s="10" t="str">
        <x:v>未测</x:v>
      </x:c>
      <x:c r="N1328" s="10" t="str"/>
      <x:c r="O1328" s="9" t="str">
        <x:v>1. 来源（当前证据）：liveshow-proto/MainBasis/统一需求文档.md；位置：行819、行812
2. 规则：BR-007df9e1b22a06d4
3. 未动态验证</x:v>
      </x:c>
    </x:row>
    <x:row r="1329" ht="100" customHeight="1">
      <x:c r="A1329" s="10" t="n">
        <x:v>1328</x:v>
      </x:c>
      <x:c r="B1329" s="10" t="str">
        <x:v>USER-03-0316</x:v>
      </x:c>
      <x:c r="C1329" s="10" t="str">
        <x:v>直播</x:v>
      </x:c>
      <x:c r="D1329" s="10" t="str">
        <x:v>直播间-主播-密码房（密码房主播视角）</x:v>
      </x:c>
      <x:c r="E1329" s="10" t="str">
        <x:v>功能需求</x:v>
      </x:c>
      <x:c r="F1329" s="10" t="str">
        <x:v>P2</x:v>
      </x:c>
      <x:c r="G1329" s="9" t="str">
        <x:v>验证充值退款保留贡献</x:v>
      </x:c>
      <x:c r="H1329" s="9" t="str">
        <x:v>展示内容</x:v>
      </x:c>
      <x:c r="I1329" s="9" t="str">
        <x:v>1. 执行角色为密码房主播；当前处于直播间-主播-密码房页面
2. 当前场次真实金币贡献记录已准备，不涉及运营虚拟金币
3. A本场赠礼100已完成；对应充值刚退款但赠礼未冲正</x:v>
      </x:c>
      <x:c r="J1329" s="9" t="str">
        <x:v>1. 打开本场贡献榜
2. 刷新榜单</x:v>
      </x:c>
      <x:c r="K1329" s="9" t="str">
        <x:v>A本场贡献仍为100</x:v>
      </x:c>
      <x:c r="L1329" s="10" t="str"/>
      <x:c r="M1329" s="10" t="str">
        <x:v>未测</x:v>
      </x:c>
      <x:c r="N1329" s="10" t="str"/>
      <x:c r="O1329" s="9" t="str">
        <x:v>1. 来源（当前证据）：liveshow-proto/MainBasis/统一需求文档.md；位置：行819、行812
2. 规则：BR-109b95654fb7b18d
3. 未动态验证</x:v>
      </x:c>
    </x:row>
    <x:row r="1330" ht="115" customHeight="1">
      <x:c r="A1330" s="10" t="n">
        <x:v>1329</x:v>
      </x:c>
      <x:c r="B1330" s="10" t="str">
        <x:v>USER-03-0317</x:v>
      </x:c>
      <x:c r="C1330" s="10" t="str">
        <x:v>直播</x:v>
      </x:c>
      <x:c r="D1330" s="10" t="str">
        <x:v>直播间-连麦中-主播（连麦中主播视角）</x:v>
      </x:c>
      <x:c r="E1330" s="10" t="str">
        <x:v>功能需求</x:v>
      </x:c>
      <x:c r="F1330" s="10" t="str">
        <x:v>P2</x:v>
      </x:c>
      <x:c r="G1330" s="9" t="str">
        <x:v>验证本场贡献多级排序</x:v>
      </x:c>
      <x:c r="H1330" s="9" t="str">
        <x:v>排列次序</x:v>
      </x:c>
      <x:c r="I1330" s="9" t="str">
        <x:v>1. 执行角色为连麦中主播；当前处于直播间-连麦中-主播页面
2. 当前场次真实金币贡献记录已准备，不涉及运营虚拟金币
3. A贡献200；B/C/D贡献100；B粉丝5级；C/D粉丝3级、财富2级；C的ID2，D的ID10</x:v>
      </x:c>
      <x:c r="J1330" s="9" t="str">
        <x:v>1. 打开本场贡献榜</x:v>
      </x:c>
      <x:c r="K1330" s="9" t="str">
        <x:v>顺序为A、B、C、D</x:v>
      </x:c>
      <x:c r="L1330" s="10" t="str"/>
      <x:c r="M1330" s="10" t="str">
        <x:v>未测</x:v>
      </x:c>
      <x:c r="N1330" s="10" t="str"/>
      <x:c r="O1330" s="9" t="str">
        <x:v>1. 来源（当前证据）：liveshow-proto/MainBasis/统一需求文档.md；位置：行827、行823
2. 规则：BR-e9920401291c7786
3. 未动态验证</x:v>
      </x:c>
    </x:row>
    <x:row r="1331" ht="100" customHeight="1">
      <x:c r="A1331" s="10" t="n">
        <x:v>1330</x:v>
      </x:c>
      <x:c r="B1331" s="10" t="str">
        <x:v>USER-03-0318</x:v>
      </x:c>
      <x:c r="C1331" s="10" t="str">
        <x:v>直播</x:v>
      </x:c>
      <x:c r="D1331" s="10" t="str">
        <x:v>直播间-连麦中-主播（连麦中主播视角）</x:v>
      </x:c>
      <x:c r="E1331" s="10" t="str">
        <x:v>功能需求</x:v>
      </x:c>
      <x:c r="F1331" s="10" t="str">
        <x:v>P2</x:v>
      </x:c>
      <x:c r="G1331" s="9" t="str">
        <x:v>验证本场榜单容量</x:v>
      </x:c>
      <x:c r="H1331" s="9" t="str">
        <x:v>展示内容</x:v>
      </x:c>
      <x:c r="I1331" s="9" t="str">
        <x:v>1. 执行角色为连麦中主播；当前处于直播间-连麦中-主播页面
2. 当前场次真实金币贡献记录已准备，不涉及运营虚拟金币
3. 当前有100名有效贡献者，已按规定条件完成全排序</x:v>
      </x:c>
      <x:c r="J1331" s="9" t="str">
        <x:v>1. 打开本场贡献榜
2. 滚动到底部</x:v>
      </x:c>
      <x:c r="K1331" s="9" t="str">
        <x:v>只展示排序前99名</x:v>
      </x:c>
      <x:c r="L1331" s="10" t="str"/>
      <x:c r="M1331" s="10" t="str">
        <x:v>未测</x:v>
      </x:c>
      <x:c r="N1331" s="10" t="str"/>
      <x:c r="O1331" s="9" t="str">
        <x:v>1. 来源（当前证据）：liveshow-proto/MainBasis/统一需求文档.md；位置：行827、行823
2. 规则：BR-4ae7620e61f3d9df
3. 未动态验证</x:v>
      </x:c>
    </x:row>
    <x:row r="1332" ht="115" customHeight="1">
      <x:c r="A1332" s="10" t="n">
        <x:v>1331</x:v>
      </x:c>
      <x:c r="B1332" s="10" t="str">
        <x:v>USER-03-0319</x:v>
      </x:c>
      <x:c r="C1332" s="10" t="str">
        <x:v>直播</x:v>
      </x:c>
      <x:c r="D1332" s="10" t="str">
        <x:v>直播间-连麦中-主播（连麦中主播视角）</x:v>
      </x:c>
      <x:c r="E1332" s="10" t="str">
        <x:v>功能需求</x:v>
      </x:c>
      <x:c r="F1332" s="10" t="str">
        <x:v>P2</x:v>
      </x:c>
      <x:c r="G1332" s="9" t="str">
        <x:v>验证在线贡献多级排序</x:v>
      </x:c>
      <x:c r="H1332" s="9" t="str">
        <x:v>排列次序</x:v>
      </x:c>
      <x:c r="I1332" s="9" t="str">
        <x:v>1. 执行角色为连麦中主播；当前处于直播间-连麦中-主播页面
2. 当前场次真实金币贡献记录已准备，不涉及运营虚拟金币
3. 在线A贡献200；B/C/D贡献100；B粉丝5级；C/D粉丝3级、财富2级；C的ID2，D的ID10</x:v>
      </x:c>
      <x:c r="J1332" s="9" t="str">
        <x:v>1. 打开在线观众
2. 切换按贡献</x:v>
      </x:c>
      <x:c r="K1332" s="9" t="str">
        <x:v>顺序为A、B、C、D</x:v>
      </x:c>
      <x:c r="L1332" s="10" t="str"/>
      <x:c r="M1332" s="10" t="str">
        <x:v>未测</x:v>
      </x:c>
      <x:c r="N1332" s="10" t="str"/>
      <x:c r="O1332" s="9" t="str">
        <x:v>1. 来源（当前证据）：liveshow-proto/MainBasis/统一需求文档.md；位置：行828、行823
2. 规则：BR-383f63121650a7f4
3. 未动态验证</x:v>
      </x:c>
    </x:row>
    <x:row r="1333" ht="115" customHeight="1">
      <x:c r="A1333" s="10" t="n">
        <x:v>1332</x:v>
      </x:c>
      <x:c r="B1333" s="10" t="str">
        <x:v>USER-03-0320</x:v>
      </x:c>
      <x:c r="C1333" s="10" t="str">
        <x:v>直播</x:v>
      </x:c>
      <x:c r="D1333" s="10" t="str">
        <x:v>直播间-连麦中-主播（连麦中主播视角）</x:v>
      </x:c>
      <x:c r="E1333" s="10" t="str">
        <x:v>功能需求</x:v>
      </x:c>
      <x:c r="F1333" s="10" t="str">
        <x:v>P2</x:v>
      </x:c>
      <x:c r="G1333" s="9" t="str">
        <x:v>验证在线时长多级排序</x:v>
      </x:c>
      <x:c r="H1333" s="9" t="str">
        <x:v>排列次序</x:v>
      </x:c>
      <x:c r="I1333" s="9" t="str">
        <x:v>1. 执行角色为连麦中主播；当前处于直播间-连麦中-主播页面
2. 当前场次真实金币贡献记录已准备，不涉及运营虚拟金币
3. 在线A时长20分钟；B/C时长10分钟且贡献相同；B粉丝5级，C粉丝3级</x:v>
      </x:c>
      <x:c r="J1333" s="9" t="str">
        <x:v>1. 打开在线观众
2. 切换按停留时长</x:v>
      </x:c>
      <x:c r="K1333" s="9" t="str">
        <x:v>顺序为A、B、C</x:v>
      </x:c>
      <x:c r="L1333" s="10" t="str"/>
      <x:c r="M1333" s="10" t="str">
        <x:v>未测</x:v>
      </x:c>
      <x:c r="N1333" s="10" t="str"/>
      <x:c r="O1333" s="9" t="str">
        <x:v>1. 来源（当前证据）：liveshow-proto/MainBasis/统一需求文档.md；位置：行828、行823
2. 规则：BR-da8b4aebfa50bdb1
3. 未动态验证</x:v>
      </x:c>
    </x:row>
    <x:row r="1334" ht="100" customHeight="1">
      <x:c r="A1334" s="10" t="n">
        <x:v>1333</x:v>
      </x:c>
      <x:c r="B1334" s="10" t="str">
        <x:v>USER-03-0321</x:v>
      </x:c>
      <x:c r="C1334" s="10" t="str">
        <x:v>直播</x:v>
      </x:c>
      <x:c r="D1334" s="10" t="str">
        <x:v>直播间-连麦中-主播（连麦中主播视角）</x:v>
      </x:c>
      <x:c r="E1334" s="10" t="str">
        <x:v>功能需求</x:v>
      </x:c>
      <x:c r="F1334" s="10" t="str">
        <x:v>P2</x:v>
      </x:c>
      <x:c r="G1334" s="9" t="str">
        <x:v>验证消费冲正更新排名</x:v>
      </x:c>
      <x:c r="H1334" s="9" t="str">
        <x:v>排列次序</x:v>
      </x:c>
      <x:c r="I1334" s="9" t="str">
        <x:v>1. 执行角色为连麦中主播；当前处于直播间-连麦中-主播页面
2. 当前场次真实金币贡献记录已准备，不涉及运营虚拟金币
3. A贡献200、B贡献150；A其中100金币消费已完成有效冲正</x:v>
      </x:c>
      <x:c r="J1334" s="9" t="str">
        <x:v>1. 打开本场贡献榜
2. 刷新榜单</x:v>
      </x:c>
      <x:c r="K1334" s="9" t="str">
        <x:v>B排在A前</x:v>
      </x:c>
      <x:c r="L1334" s="10" t="str"/>
      <x:c r="M1334" s="10" t="str">
        <x:v>未测</x:v>
      </x:c>
      <x:c r="N1334" s="10" t="str"/>
      <x:c r="O1334" s="9" t="str">
        <x:v>1. 来源（当前证据）：liveshow-proto/MainBasis/统一需求文档.md；位置：行831、行823
2. 规则：BR-1eea7a53bcc8d6da
3. 未动态验证</x:v>
      </x:c>
    </x:row>
    <x:row r="1335" ht="100" customHeight="1">
      <x:c r="A1335" s="10" t="n">
        <x:v>1334</x:v>
      </x:c>
      <x:c r="B1335" s="10" t="str">
        <x:v>USER-03-0322</x:v>
      </x:c>
      <x:c r="C1335" s="10" t="str">
        <x:v>直播</x:v>
      </x:c>
      <x:c r="D1335" s="10" t="str">
        <x:v>直播间-连麦中-主播（连麦中主播视角）</x:v>
      </x:c>
      <x:c r="E1335" s="10" t="str">
        <x:v>功能需求</x:v>
      </x:c>
      <x:c r="F1335" s="10" t="str">
        <x:v>P2</x:v>
      </x:c>
      <x:c r="G1335" s="9" t="str">
        <x:v>验证充值退款保留贡献</x:v>
      </x:c>
      <x:c r="H1335" s="9" t="str">
        <x:v>展示内容</x:v>
      </x:c>
      <x:c r="I1335" s="9" t="str">
        <x:v>1. 执行角色为连麦中主播；当前处于直播间-连麦中-主播页面
2. 当前场次真实金币贡献记录已准备，不涉及运营虚拟金币
3. A本场赠礼100已完成；对应充值刚退款但赠礼未冲正</x:v>
      </x:c>
      <x:c r="J1335" s="9" t="str">
        <x:v>1. 打开本场贡献榜
2. 刷新榜单</x:v>
      </x:c>
      <x:c r="K1335" s="9" t="str">
        <x:v>A本场贡献仍为100</x:v>
      </x:c>
      <x:c r="L1335" s="10" t="str"/>
      <x:c r="M1335" s="10" t="str">
        <x:v>未测</x:v>
      </x:c>
      <x:c r="N1335" s="10" t="str"/>
      <x:c r="O1335" s="9" t="str">
        <x:v>1. 来源（当前证据）：liveshow-proto/MainBasis/统一需求文档.md；位置：行831、行823
2. 规则：BR-d41f2eef30bf53e1
3. 未动态验证</x:v>
      </x:c>
    </x:row>
    <x:row r="1336" ht="85" customHeight="1">
      <x:c r="A1336" s="10" t="n">
        <x:v>1335</x:v>
      </x:c>
      <x:c r="B1336" s="10" t="str">
        <x:v>USER-03-0323</x:v>
      </x:c>
      <x:c r="C1336" s="10" t="str">
        <x:v>直播</x:v>
      </x:c>
      <x:c r="D1336" s="10" t="str">
        <x:v>直播间（普通房）（运营账号视角）</x:v>
      </x:c>
      <x:c r="E1336" s="10" t="str">
        <x:v>功能需求</x:v>
      </x:c>
      <x:c r="F1336" s="10" t="str">
        <x:v>P2</x:v>
      </x:c>
      <x:c r="G1336" s="9" t="str">
        <x:v>验证运营密码房免输密码</x:v>
      </x:c>
      <x:c r="H1336" s="9" t="str">
        <x:v>运营账号密码房免验证</x:v>
      </x:c>
      <x:c r="I1336" s="9" t="str">
        <x:v>1. 执行角色为运营账号；当前处于直播间（普通房）页面
2. 账号可用；目标为正在直播的密码房，当前不处于有效巡房会话</x:v>
      </x:c>
      <x:c r="J1336" s="9" t="str">
        <x:v>1. 进入目标密码房</x:v>
      </x:c>
      <x:c r="K1336" s="9" t="str">
        <x:v>无需输入密码即可观看</x:v>
      </x:c>
      <x:c r="L1336" s="10" t="str"/>
      <x:c r="M1336" s="10" t="str">
        <x:v>未测</x:v>
      </x:c>
      <x:c r="N1336" s="10" t="str"/>
      <x:c r="O1336" s="9" t="str">
        <x:v>1. 来源（当前证据）：liveshow-proto/MainBasis/统一需求文档.md；位置：行455、行758
2. 规则：BR-931627e45be3e2e8
3. 未动态验证</x:v>
      </x:c>
    </x:row>
    <x:row r="1337" ht="130" customHeight="1">
      <x:c r="A1337" s="10" t="n">
        <x:v>1336</x:v>
      </x:c>
      <x:c r="B1337" s="10" t="str">
        <x:v>USER-04-0170</x:v>
      </x:c>
      <x:c r="C1337" s="10" t="str">
        <x:v>消息与社交</x:v>
      </x:c>
      <x:c r="D1337" s="10" t="str">
        <x:v>系统通知（举报人视角）</x:v>
      </x:c>
      <x:c r="E1337" s="10" t="str">
        <x:v>功能需求</x:v>
      </x:c>
      <x:c r="F1337" s="10" t="str">
        <x:v>P2</x:v>
      </x:c>
      <x:c r="G1337" s="9" t="str">
        <x:v>验证直播举报不处置通知</x:v>
      </x:c>
      <x:c r="H1337" s="9" t="str">
        <x:v>举报处理通知正文</x:v>
      </x:c>
      <x:c r="I1337" s="9" t="str">
        <x:v>1. 执行角色为举报人；当前处于系统通知页面
2. 当前场次举报已被平台判定不处置</x:v>
      </x:c>
      <x:c r="J1337" s="9" t="str">
        <x:v>1. 刷新系统通知</x:v>
      </x:c>
      <x:c r="K1337" s="9" t="str">
        <x:v>收到“举报内容暂无可处置违规，感谢您的反馈”</x:v>
      </x:c>
      <x:c r="L1337" s="10" t="str">
        <x:v>FLOW-04F3866E</x:v>
      </x:c>
      <x:c r="M1337" s="10" t="str">
        <x:v>未测</x:v>
      </x:c>
      <x:c r="N1337" s="10" t="str"/>
      <x:c r="O1337" s="9" t="str">
        <x:v>1. 来源（当前证据）：liveshow-proto/MainBasis/统一需求文档.md；位置：行292、行666
2. 规则：BR-2cbcc16d31f61079
3. 未动态验证
4. 状态转换：ST-REPORT-LIVE-NONE；共同业务对象：直播场次举报；当前阶段：平台判定不处置后的用户App观察</x:v>
      </x:c>
    </x:row>
    <x:row r="1338" ht="130" customHeight="1">
      <x:c r="A1338" s="10" t="n">
        <x:v>1337</x:v>
      </x:c>
      <x:c r="B1338" s="10" t="str">
        <x:v>USER-04-0171</x:v>
      </x:c>
      <x:c r="C1338" s="10" t="str">
        <x:v>消息与社交</x:v>
      </x:c>
      <x:c r="D1338" s="10" t="str">
        <x:v>系统通知（举报人视角）</x:v>
      </x:c>
      <x:c r="E1338" s="10" t="str">
        <x:v>功能需求</x:v>
      </x:c>
      <x:c r="F1338" s="10" t="str">
        <x:v>P2</x:v>
      </x:c>
      <x:c r="G1338" s="9" t="str">
        <x:v>验证直播举报警告通知</x:v>
      </x:c>
      <x:c r="H1338" s="9" t="str">
        <x:v>举报处理通知正文</x:v>
      </x:c>
      <x:c r="I1338" s="9" t="str">
        <x:v>1. 执行角色为举报人；当前处于系统通知页面
2. 当前场次举报已被平台判定警告</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来源（当前证据）：liveshow-proto/MainBasis/统一需求文档.md；位置：行293、行666
2. 规则：BR-dd208c8f8423a74f
3. 未动态验证
4. 状态转换：ST-REPORT-LIVE-WARN；共同业务对象：直播场次举报；当前阶段：平台判定警告后的用户App观察</x:v>
      </x:c>
    </x:row>
    <x:row r="1339" ht="130" customHeight="1">
      <x:c r="A1339" s="10" t="n">
        <x:v>1338</x:v>
      </x:c>
      <x:c r="B1339" s="10" t="str">
        <x:v>USER-04-0172</x:v>
      </x:c>
      <x:c r="C1339" s="10" t="str">
        <x:v>消息与社交</x:v>
      </x:c>
      <x:c r="D1339" s="10" t="str">
        <x:v>系统通知（举报人视角）</x:v>
      </x:c>
      <x:c r="E1339" s="10" t="str">
        <x:v>功能需求</x:v>
      </x:c>
      <x:c r="F1339" s="10" t="str">
        <x:v>P2</x:v>
      </x:c>
      <x:c r="G1339" s="9" t="str">
        <x:v>验证直播举报关播通知</x:v>
      </x:c>
      <x:c r="H1339" s="9" t="str">
        <x:v>举报处理通知正文</x:v>
      </x:c>
      <x:c r="I1339" s="9" t="str">
        <x:v>1. 执行角色为举报人；当前处于系统通知页面
2. 当前场次举报已被平台判定关播</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来源（当前证据）：liveshow-proto/MainBasis/统一需求文档.md；位置：行294、行666
2. 规则：BR-0fe3cd9589b77099
3. 未动态验证
4. 状态转换：ST-REPORT-LIVE-END；共同业务对象：直播场次举报；当前阶段：平台判定关播后的用户App观察</x:v>
      </x:c>
    </x:row>
    <x:row r="1340" ht="130" customHeight="1">
      <x:c r="A1340" s="10" t="n">
        <x:v>1339</x:v>
      </x:c>
      <x:c r="B1340" s="10" t="str">
        <x:v>USER-04-0173</x:v>
      </x:c>
      <x:c r="C1340" s="10" t="str">
        <x:v>消息与社交</x:v>
      </x:c>
      <x:c r="D1340" s="10" t="str">
        <x:v>系统通知（举报人视角）</x:v>
      </x:c>
      <x:c r="E1340" s="10" t="str">
        <x:v>功能需求</x:v>
      </x:c>
      <x:c r="F1340" s="10" t="str">
        <x:v>P2</x:v>
      </x:c>
      <x:c r="G1340" s="9" t="str">
        <x:v>验证直播举报关闭权限通知</x:v>
      </x:c>
      <x:c r="H1340" s="9" t="str">
        <x:v>举报处理通知正文</x:v>
      </x:c>
      <x:c r="I1340" s="9" t="str">
        <x:v>1. 执行角色为举报人；当前处于系统通知页面
2. 当前场次举报已被平台判定关闭直播权限</x:v>
      </x:c>
      <x:c r="J1340" s="9" t="str">
        <x:v>1. 刷新系统通知</x:v>
      </x:c>
      <x:c r="K1340" s="9" t="str">
        <x:v>收到“举报成立，平台已依规处理”</x:v>
      </x:c>
      <x:c r="L1340" s="10" t="str">
        <x:v>FLOW-04F3866E</x:v>
      </x:c>
      <x:c r="M1340" s="10" t="str">
        <x:v>未测</x:v>
      </x:c>
      <x:c r="N1340" s="10" t="str"/>
      <x:c r="O1340" s="9" t="str">
        <x:v>1. 来源（当前证据）：liveshow-proto/MainBasis/统一需求文档.md；位置：行295、行666
2. 规则：BR-047fd2e184809d41
3. 未动态验证
4. 状态转换：ST-REPORT-LIVE-DISABLE；共同业务对象：直播场次举报；当前阶段：平台判定关闭直播权限后的用户App观察</x:v>
      </x:c>
    </x:row>
    <x:row r="1341" ht="130" customHeight="1">
      <x:c r="A1341" s="10" t="n">
        <x:v>1340</x:v>
      </x:c>
      <x:c r="B1341" s="10" t="str">
        <x:v>USER-04-0174</x:v>
      </x:c>
      <x:c r="C1341" s="10" t="str">
        <x:v>消息与社交</x:v>
      </x:c>
      <x:c r="D1341" s="10" t="str">
        <x:v>系统通知（举报人视角）</x:v>
      </x:c>
      <x:c r="E1341" s="10" t="str">
        <x:v>功能需求</x:v>
      </x:c>
      <x:c r="F1341" s="10" t="str">
        <x:v>P2</x:v>
      </x:c>
      <x:c r="G1341" s="9" t="str">
        <x:v>验证账号举报不处置通知</x:v>
      </x:c>
      <x:c r="H1341" s="9" t="str">
        <x:v>举报处理通知正文</x:v>
      </x:c>
      <x:c r="I1341" s="9" t="str">
        <x:v>1. 执行角色为举报人；当前处于系统通知页面
2. 对账号A举报已被平台判定不处置</x:v>
      </x:c>
      <x:c r="J1341" s="9" t="str">
        <x:v>1. 刷新系统通知</x:v>
      </x:c>
      <x:c r="K1341" s="9" t="str">
        <x:v>收到“举报账号暂无可处置的违规，感谢您的反馈”</x:v>
      </x:c>
      <x:c r="L1341" s="10" t="str">
        <x:v>FLOW-7E5FA76C</x:v>
      </x:c>
      <x:c r="M1341" s="10" t="str">
        <x:v>未测</x:v>
      </x:c>
      <x:c r="N1341" s="10" t="str"/>
      <x:c r="O1341" s="9" t="str">
        <x:v>1. 来源（当前证据）：liveshow-proto/MainBasis/统一需求文档.md；位置：行307、行666
2. 规则：BR-6f6d613d76cfd162
3. 未动态验证
4. 状态转换：ST-REPORT-ACCOUNT-NONE；共同业务对象：账号举报；当前阶段：平台判定不处置后的用户App观察</x:v>
      </x:c>
    </x:row>
    <x:row r="1342" ht="130" customHeight="1">
      <x:c r="A1342" s="10" t="n">
        <x:v>1341</x:v>
      </x:c>
      <x:c r="B1342" s="10" t="str">
        <x:v>USER-04-0175</x:v>
      </x:c>
      <x:c r="C1342" s="10" t="str">
        <x:v>消息与社交</x:v>
      </x:c>
      <x:c r="D1342" s="10" t="str">
        <x:v>系统通知（举报人视角）</x:v>
      </x:c>
      <x:c r="E1342" s="10" t="str">
        <x:v>功能需求</x:v>
      </x:c>
      <x:c r="F1342" s="10" t="str">
        <x:v>P2</x:v>
      </x:c>
      <x:c r="G1342" s="9" t="str">
        <x:v>验证账号举报封禁通知</x:v>
      </x:c>
      <x:c r="H1342" s="9" t="str">
        <x:v>举报处理通知正文</x:v>
      </x:c>
      <x:c r="I1342" s="9" t="str">
        <x:v>1. 执行角色为举报人；当前处于系统通知页面
2. 对账号A举报已成立并封禁A</x:v>
      </x:c>
      <x:c r="J1342" s="9" t="str">
        <x:v>1. 刷新系统通知</x:v>
      </x:c>
      <x:c r="K1342" s="9" t="str">
        <x:v>收到“举报成立，平台已依规处理”</x:v>
      </x:c>
      <x:c r="L1342" s="10" t="str">
        <x:v>FLOW-7E5FA76C</x:v>
      </x:c>
      <x:c r="M1342" s="10" t="str">
        <x:v>未测</x:v>
      </x:c>
      <x:c r="N1342" s="10" t="str"/>
      <x:c r="O1342" s="9" t="str">
        <x:v>1. 来源（当前证据）：liveshow-proto/MainBasis/统一需求文档.md；位置：行308、行666
2. 规则：BR-bf3a605eaabe8116
3. 未动态验证
4. 状态转换：ST-REPORT-ACCOUNT-BAN；共同业务对象：账号举报；当前阶段：平台判定封禁后的用户App观察</x:v>
      </x:c>
    </x:row>
    <x:row r="1343" ht="85" customHeight="1">
      <x:c r="A1343" s="10" t="n">
        <x:v>1342</x:v>
      </x:c>
      <x:c r="B1343" s="10" t="str">
        <x:v>USER-03-0324</x:v>
      </x:c>
      <x:c r="C1343" s="10" t="str">
        <x:v>直播</x:v>
      </x:c>
      <x:c r="D1343" s="10" t="str">
        <x:v>直播间（主播）（本场主播视角）</x:v>
      </x:c>
      <x:c r="E1343" s="10" t="str">
        <x:v>功能需求</x:v>
      </x:c>
      <x:c r="F1343" s="10" t="str">
        <x:v>P2</x:v>
      </x:c>
      <x:c r="G1343" s="9" t="str">
        <x:v>验证举报警告保留直播</x:v>
      </x:c>
      <x:c r="H1343" s="9" t="str">
        <x:v>展示内容</x:v>
      </x:c>
      <x:c r="I1343" s="9" t="str">
        <x:v>1. 执行角色为本场主播；当前处于直播间（主播）页面
2. 本场收到平台警告处置</x:v>
      </x:c>
      <x:c r="J1343" s="9" t="str">
        <x:v>1. 查看当前直播画面</x:v>
      </x:c>
      <x:c r="K1343" s="9" t="str">
        <x:v>本场仍在直播</x:v>
      </x:c>
      <x:c r="L1343" s="10" t="str"/>
      <x:c r="M1343" s="10" t="str">
        <x:v>未测</x:v>
      </x:c>
      <x:c r="N1343" s="10" t="str"/>
      <x:c r="O1343" s="9" t="str">
        <x:v>1. 来源（当前证据）：liveshow-proto/MainBasis/统一需求文档.md；位置：行293、行796
2. 规则：BR-6778cfa3e989df54
3. 未动态验证</x:v>
      </x:c>
    </x:row>
    <x:row r="1344" ht="85" customHeight="1">
      <x:c r="A1344" s="10" t="n">
        <x:v>1343</x:v>
      </x:c>
      <x:c r="B1344" s="10" t="str">
        <x:v>USER-03-0325</x:v>
      </x:c>
      <x:c r="C1344" s="10" t="str">
        <x:v>直播</x:v>
      </x:c>
      <x:c r="D1344" s="10" t="str">
        <x:v>直播间（主播）（本场主播视角）</x:v>
      </x:c>
      <x:c r="E1344" s="10" t="str">
        <x:v>功能需求</x:v>
      </x:c>
      <x:c r="F1344" s="10" t="str">
        <x:v>P2</x:v>
      </x:c>
      <x:c r="G1344" s="9" t="str">
        <x:v>验证举报警告强提示</x:v>
      </x:c>
      <x:c r="H1344" s="9" t="str">
        <x:v>展示内容</x:v>
      </x:c>
      <x:c r="I1344" s="9" t="str">
        <x:v>1. 执行角色为本场主播；当前处于直播间（主播）页面
2. 本场收到平台警告处置</x:v>
      </x:c>
      <x:c r="J1344" s="9" t="str">
        <x:v>1. 查看直播间弹窗</x:v>
      </x:c>
      <x:c r="K1344" s="9" t="str">
        <x:v>显示“直播间存在违规，请及时调整”</x:v>
      </x:c>
      <x:c r="L1344" s="10" t="str"/>
      <x:c r="M1344" s="10" t="str">
        <x:v>未测</x:v>
      </x:c>
      <x:c r="N1344" s="10" t="str"/>
      <x:c r="O1344" s="9" t="str">
        <x:v>1. 来源（当前证据）：liveshow-proto/MainBasis/统一需求文档.md；位置：行293、行796
2. 规则：BR-d9132a021b561714
3. 未动态验证</x:v>
      </x:c>
    </x:row>
    <x:row r="1345" ht="85" customHeight="1">
      <x:c r="A1345" s="10" t="n">
        <x:v>1344</x:v>
      </x:c>
      <x:c r="B1345" s="10" t="str">
        <x:v>USER-03-0326</x:v>
      </x:c>
      <x:c r="C1345" s="10" t="str">
        <x:v>直播</x:v>
      </x:c>
      <x:c r="D1345" s="10" t="str">
        <x:v>直播间（主播）（本场主播视角）</x:v>
      </x:c>
      <x:c r="E1345" s="10" t="str">
        <x:v>功能需求</x:v>
      </x:c>
      <x:c r="F1345" s="10" t="str">
        <x:v>P2</x:v>
      </x:c>
      <x:c r="G1345" s="9" t="str">
        <x:v>验证举报关播结束本场</x:v>
      </x:c>
      <x:c r="H1345" s="9" t="str">
        <x:v>举报关播后场次状态</x:v>
      </x:c>
      <x:c r="I1345" s="9" t="str">
        <x:v>1. 执行角色为本场主播；当前处于直播间（主播）页面
2. 平台刚对当前场次执行关播</x:v>
      </x:c>
      <x:c r="J1345" s="9" t="str">
        <x:v>1. 查看当前场次状态</x:v>
      </x:c>
      <x:c r="K1345" s="9" t="str">
        <x:v>本场变为已结束</x:v>
      </x:c>
      <x:c r="L1345" s="10" t="str"/>
      <x:c r="M1345" s="10" t="str">
        <x:v>未测</x:v>
      </x:c>
      <x:c r="N1345" s="10" t="str"/>
      <x:c r="O1345" s="9" t="str">
        <x:v>1. 来源（当前证据）：liveshow-proto/MainBasis/统一需求文档.md；位置：行294、行796
2. 规则：BR-b9827bf303909abd
3. 未动态验证</x:v>
      </x:c>
    </x:row>
    <x:row r="1346" ht="85" customHeight="1">
      <x:c r="A1346" s="10" t="n">
        <x:v>1345</x:v>
      </x:c>
      <x:c r="B1346" s="10" t="str">
        <x:v>USER-03-0327</x:v>
      </x:c>
      <x:c r="C1346" s="10" t="str">
        <x:v>直播</x:v>
      </x:c>
      <x:c r="D1346" s="10" t="str">
        <x:v>直播间（主播）（本场主播视角）</x:v>
      </x:c>
      <x:c r="E1346" s="10" t="str">
        <x:v>功能需求</x:v>
      </x:c>
      <x:c r="F1346" s="10" t="str">
        <x:v>P2</x:v>
      </x:c>
      <x:c r="G1346" s="9" t="str">
        <x:v>验证举报关闭权限结束本场</x:v>
      </x:c>
      <x:c r="H1346" s="9" t="str">
        <x:v>权限关闭后场次状态</x:v>
      </x:c>
      <x:c r="I1346" s="9" t="str">
        <x:v>1. 执行角色为本场主播；当前处于直播间（主播）页面
2. 平台刚关闭当前主播直播权限</x:v>
      </x:c>
      <x:c r="J1346" s="9" t="str">
        <x:v>1. 查看当前场次状态</x:v>
      </x:c>
      <x:c r="K1346" s="9" t="str">
        <x:v>本场变为已结束</x:v>
      </x:c>
      <x:c r="L1346" s="10" t="str"/>
      <x:c r="M1346" s="10" t="str">
        <x:v>未测</x:v>
      </x:c>
      <x:c r="N1346" s="10" t="str"/>
      <x:c r="O1346" s="9" t="str">
        <x:v>1. 来源（当前证据）：liveshow-proto/MainBasis/统一需求文档.md；位置：行295、行796
2. 规则：BR-e0d79123e4514222
3. 未动态验证</x:v>
      </x:c>
    </x:row>
    <x:row r="1347" ht="85" customHeight="1">
      <x:c r="A1347" s="10" t="n">
        <x:v>1346</x:v>
      </x:c>
      <x:c r="B1347" s="10" t="str">
        <x:v>USER-03-0328</x:v>
      </x:c>
      <x:c r="C1347" s="10" t="str">
        <x:v>直播</x:v>
      </x:c>
      <x:c r="D1347" s="10" t="str">
        <x:v>直播间（主播）（本场主播视角）</x:v>
      </x:c>
      <x:c r="E1347" s="10" t="str">
        <x:v>功能需求</x:v>
      </x:c>
      <x:c r="F1347" s="10" t="str">
        <x:v>P2</x:v>
      </x:c>
      <x:c r="G1347" s="9" t="str">
        <x:v>验证账号封禁强制下线</x:v>
      </x:c>
      <x:c r="H1347" s="9" t="str">
        <x:v>展示内容</x:v>
      </x:c>
      <x:c r="I1347" s="9" t="str">
        <x:v>1. 执行角色为本场主播；当前处于直播间（主播）页面
2. 平台刚封禁当前账号，封禁前正在直播</x:v>
      </x:c>
      <x:c r="J1347" s="9" t="str">
        <x:v>1. 查看当前会话</x:v>
      </x:c>
      <x:c r="K1347" s="9" t="str">
        <x:v>当前账号被强制下线</x:v>
      </x:c>
      <x:c r="L1347" s="10" t="str"/>
      <x:c r="M1347" s="10" t="str">
        <x:v>未测</x:v>
      </x:c>
      <x:c r="N1347" s="10" t="str"/>
      <x:c r="O1347" s="9" t="str">
        <x:v>1. 来源（当前证据）：liveshow-proto/MainBasis/统一需求文档.md；位置：行308、行796
2. 规则：BR-1f8c78407c09832f
3. 未动态验证</x:v>
      </x:c>
    </x:row>
    <x:row r="1348" ht="85" customHeight="1">
      <x:c r="A1348" s="10" t="n">
        <x:v>1347</x:v>
      </x:c>
      <x:c r="B1348" s="10" t="str">
        <x:v>USER-04-0176</x:v>
      </x:c>
      <x:c r="C1348" s="10" t="str">
        <x:v>消息与社交</x:v>
      </x:c>
      <x:c r="D1348" s="10" t="str">
        <x:v>系统通知（被处置主播视角）</x:v>
      </x:c>
      <x:c r="E1348" s="10" t="str">
        <x:v>功能需求</x:v>
      </x:c>
      <x:c r="F1348" s="10" t="str">
        <x:v>P2</x:v>
      </x:c>
      <x:c r="G1348" s="9" t="str">
        <x:v>验证举报警告站内消息</x:v>
      </x:c>
      <x:c r="H1348" s="9" t="str">
        <x:v>举报警告通知正文</x:v>
      </x:c>
      <x:c r="I1348" s="9" t="str">
        <x:v>1. 执行角色为被处置主播；当前处于系统通知页面
2. 此前场次受到警告处置</x:v>
      </x:c>
      <x:c r="J1348" s="9" t="str">
        <x:v>1. 刷新系统通知</x:v>
      </x:c>
      <x:c r="K1348" s="9" t="str">
        <x:v>收到“直播间存在违规，请及时调整”</x:v>
      </x:c>
      <x:c r="L1348" s="10" t="str"/>
      <x:c r="M1348" s="10" t="str">
        <x:v>未测</x:v>
      </x:c>
      <x:c r="N1348" s="10" t="str"/>
      <x:c r="O1348" s="9" t="str">
        <x:v>1. 来源（当前证据）：liveshow-proto/MainBasis/统一需求文档.md；位置：行293、行666
2. 规则：BR-a5a6dc618598d524
3. 未动态验证</x:v>
      </x:c>
    </x:row>
    <x:row r="1349" ht="85" customHeight="1">
      <x:c r="A1349" s="10" t="n">
        <x:v>1348</x:v>
      </x:c>
      <x:c r="B1349" s="10" t="str">
        <x:v>USER-04-0177</x:v>
      </x:c>
      <x:c r="C1349" s="10" t="str">
        <x:v>消息与社交</x:v>
      </x:c>
      <x:c r="D1349" s="10" t="str">
        <x:v>系统通知（被处置主播视角）</x:v>
      </x:c>
      <x:c r="E1349" s="10" t="str">
        <x:v>功能需求</x:v>
      </x:c>
      <x:c r="F1349" s="10" t="str">
        <x:v>P2</x:v>
      </x:c>
      <x:c r="G1349" s="9" t="str">
        <x:v>验证举报关播站内消息</x:v>
      </x:c>
      <x:c r="H1349" s="9" t="str">
        <x:v>举报关播通知正文</x:v>
      </x:c>
      <x:c r="I1349" s="9" t="str">
        <x:v>1. 执行角色为被处置主播；当前处于系统通知页面
2. 此前场次受到关播处置</x:v>
      </x:c>
      <x:c r="J1349" s="9" t="str">
        <x:v>1. 刷新系统通知</x:v>
      </x:c>
      <x:c r="K1349" s="9" t="str">
        <x:v>收到“直播间存在违规，平台已关闭直播间”</x:v>
      </x:c>
      <x:c r="L1349" s="10" t="str"/>
      <x:c r="M1349" s="10" t="str">
        <x:v>未测</x:v>
      </x:c>
      <x:c r="N1349" s="10" t="str"/>
      <x:c r="O1349" s="9" t="str">
        <x:v>1. 来源（当前证据）：liveshow-proto/MainBasis/统一需求文档.md；位置：行294、行666
2. 规则：BR-4721c3b4da8413b2
3. 未动态验证</x:v>
      </x:c>
    </x:row>
    <x:row r="1350" ht="115" customHeight="1">
      <x:c r="A1350" s="10" t="n">
        <x:v>1349</x:v>
      </x:c>
      <x:c r="B1350" s="10" t="str">
        <x:v>USER-04-0178</x:v>
      </x:c>
      <x:c r="C1350" s="10" t="str">
        <x:v>消息与社交</x:v>
      </x:c>
      <x:c r="D1350" s="10" t="str">
        <x:v>系统通知（被处置主播视角）</x:v>
      </x:c>
      <x:c r="E1350" s="10" t="str">
        <x:v>功能需求</x:v>
      </x:c>
      <x:c r="F1350" s="10" t="str">
        <x:v>P2</x:v>
      </x:c>
      <x:c r="G1350" s="9" t="str">
        <x:v>验证举报关闭权限站内消息</x:v>
      </x:c>
      <x:c r="H1350" s="9" t="str">
        <x:v>反馈文案</x:v>
      </x:c>
      <x:c r="I1350" s="9" t="str">
        <x:v>1. 执行角色为被处置主播；当前处于系统通知页面
2. 此前场次受到关闭直播权限处置
3. 预期通知正文为“直播间严重违规，平台已关闭直播间，并关闭直播权限”</x:v>
      </x:c>
      <x:c r="J1350" s="9" t="str">
        <x:v>1. 刷新系统通知</x:v>
      </x:c>
      <x:c r="K1350" s="9" t="str">
        <x:v>通知正文与预置的完整关闭权限文案逐字一致</x:v>
      </x:c>
      <x:c r="L1350" s="10" t="str"/>
      <x:c r="M1350" s="10" t="str">
        <x:v>未测</x:v>
      </x:c>
      <x:c r="N1350" s="10" t="str"/>
      <x:c r="O1350" s="9" t="str">
        <x:v>1. 来源（当前证据）：liveshow-proto/MainBasis/统一需求文档.md；位置：行295、行666
2. 规则：BR-2ee2ab9d6aa9e329
3. 未动态验证</x:v>
      </x:c>
    </x:row>
    <x:row r="1351" ht="85" customHeight="1">
      <x:c r="A1351" s="10" t="n">
        <x:v>1350</x:v>
      </x:c>
      <x:c r="B1351" s="10" t="str">
        <x:v>USER-07-0167</x:v>
      </x:c>
      <x:c r="C1351" s="10" t="str">
        <x:v>主播中心</x:v>
      </x:c>
      <x:c r="D1351" s="10" t="str">
        <x:v>主播中心（已认证主播视角）</x:v>
      </x:c>
      <x:c r="E1351" s="10" t="str">
        <x:v>功能需求</x:v>
      </x:c>
      <x:c r="F1351" s="10" t="str">
        <x:v>P2</x:v>
      </x:c>
      <x:c r="G1351" s="9" t="str">
        <x:v>验证仅关播后仍可再播</x:v>
      </x:c>
      <x:c r="H1351" s="9" t="str">
        <x:v>页面去向</x:v>
      </x:c>
      <x:c r="I1351" s="9" t="str">
        <x:v>1. 执行角色为已认证主播；当前处于主播中心页面
2. 上一场因举报被关播，但账号、公会、认证和最终开播权限仍有效</x:v>
      </x:c>
      <x:c r="J1351" s="9" t="str">
        <x:v>1. 点击开始直播</x:v>
      </x:c>
      <x:c r="K1351" s="9" t="str">
        <x:v>允许进入开播设置</x:v>
      </x:c>
      <x:c r="L1351" s="10" t="str"/>
      <x:c r="M1351" s="10" t="str">
        <x:v>未测</x:v>
      </x:c>
      <x:c r="N1351" s="10" t="str"/>
      <x:c r="O1351" s="9" t="str">
        <x:v>1. 来源（当前证据）：liveshow-proto/MainBasis/统一需求文档.md；位置：行294、行201、行1121
2. 规则：BR-52e913308ac74a0d
3. 未动态验证</x:v>
      </x:c>
    </x:row>
    <x:row r="1352" ht="85" customHeight="1">
      <x:c r="A1352" s="10" t="n">
        <x:v>1351</x:v>
      </x:c>
      <x:c r="B1352" s="10" t="str">
        <x:v>USER-07-0168</x:v>
      </x:c>
      <x:c r="C1352" s="10" t="str">
        <x:v>主播中心</x:v>
      </x:c>
      <x:c r="D1352" s="10" t="str">
        <x:v>主播中心（已认证主播视角）</x:v>
      </x:c>
      <x:c r="E1352" s="10" t="str">
        <x:v>功能需求</x:v>
      </x:c>
      <x:c r="F1352" s="10" t="str">
        <x:v>P2</x:v>
      </x:c>
      <x:c r="G1352" s="9" t="str">
        <x:v>验证举报关权限后不能再播</x:v>
      </x:c>
      <x:c r="H1352" s="9" t="str">
        <x:v>入口可用性</x:v>
      </x:c>
      <x:c r="I1352" s="9" t="str">
        <x:v>1. 执行角色为已认证主播；当前处于主播中心页面
2. 上一场因举报关闭直播权限，权限尚未恢复</x:v>
      </x:c>
      <x:c r="J1352" s="9" t="str">
        <x:v>1. 点击开始直播</x:v>
      </x:c>
      <x:c r="K1352" s="9" t="str">
        <x:v>不能再次开播</x:v>
      </x:c>
      <x:c r="L1352" s="10" t="str"/>
      <x:c r="M1352" s="10" t="str">
        <x:v>未测</x:v>
      </x:c>
      <x:c r="N1352" s="10" t="str"/>
      <x:c r="O1352" s="9" t="str">
        <x:v>1. 来源（当前证据）：liveshow-proto/MainBasis/统一需求文档.md；位置：行295、行203、行1121
2. 规则：BR-b09122e979576659
3. 未动态验证</x:v>
      </x:c>
    </x:row>
    <x:row r="1353" ht="85" customHeight="1">
      <x:c r="A1353" s="10" t="n">
        <x:v>1352</x:v>
      </x:c>
      <x:c r="B1353" s="10" t="str">
        <x:v>USER-01-0119</x:v>
      </x:c>
      <x:c r="C1353" s="10" t="str">
        <x:v>系统入口</x:v>
      </x:c>
      <x:c r="D1353" s="10" t="str">
        <x:v>手机号登录（被封禁账号用户视角）</x:v>
      </x:c>
      <x:c r="E1353" s="10" t="str">
        <x:v>功能需求</x:v>
      </x:c>
      <x:c r="F1353" s="10" t="str">
        <x:v>P2</x:v>
      </x:c>
      <x:c r="G1353" s="9" t="str">
        <x:v>验证被举报封禁后登录反馈</x:v>
      </x:c>
      <x:c r="H1353" s="9" t="str">
        <x:v>反馈文案</x:v>
      </x:c>
      <x:c r="I1353" s="9" t="str">
        <x:v>1. 执行角色为被封禁账号用户；当前处于手机号登录页面
2. 账号绑定手机号有效；已同意协议且持有有效登录凭证</x:v>
      </x:c>
      <x:c r="J1353" s="9" t="str">
        <x:v>1. 输入已绑定手机号及有效验证码
2. 点击继续</x:v>
      </x:c>
      <x:c r="K1353" s="9" t="str">
        <x:v>提示“账号已封禁”</x:v>
      </x:c>
      <x:c r="L1353" s="10" t="str"/>
      <x:c r="M1353" s="10" t="str">
        <x:v>未测</x:v>
      </x:c>
      <x:c r="N1353" s="10" t="str"/>
      <x:c r="O1353" s="9" t="str">
        <x:v>1. 来源（当前证据）：liveshow-proto/MainBasis/统一需求文档.md；位置：行308、行1383
2. 规则：BR-85c8464e17ae3aab
3. 未动态验证</x:v>
      </x:c>
    </x:row>
    <x:row r="1354" ht="85" customHeight="1">
      <x:c r="A1354" s="10" t="n">
        <x:v>1353</x:v>
      </x:c>
      <x:c r="B1354" s="10" t="str">
        <x:v>USER-03-0329</x:v>
      </x:c>
      <x:c r="C1354" s="10" t="str">
        <x:v>直播</x:v>
      </x:c>
      <x:c r="D1354" s="10" t="str">
        <x:v>直播间（主播）（正在直播的普通房主播视角）</x:v>
      </x:c>
      <x:c r="E1354" s="10" t="str">
        <x:v>功能需求</x:v>
      </x:c>
      <x:c r="F1354" s="10" t="str">
        <x:v>P2</x:v>
      </x:c>
      <x:c r="G1354" s="9" t="str">
        <x:v>验证主动取消连麦邀请</x:v>
      </x:c>
      <x:c r="H1354" s="9" t="str">
        <x:v>连麦邀请取消状态</x:v>
      </x:c>
      <x:c r="I1354" s="9" t="str">
        <x:v>1. 执行角色为正在直播的普通房主播；当前处于直播间（主播）页面
2. 已向B发出尚未回应的连麦邀请</x:v>
      </x:c>
      <x:c r="J1354" s="9" t="str">
        <x:v>1. 点击取消邀请</x:v>
      </x:c>
      <x:c r="K1354" s="9" t="str">
        <x:v>已发给B的邀请失效</x:v>
      </x:c>
      <x:c r="L1354" s="10" t="str"/>
      <x:c r="M1354" s="10" t="str">
        <x:v>未测</x:v>
      </x:c>
      <x:c r="N1354" s="10" t="str"/>
      <x:c r="O1354" s="9" t="str">
        <x:v>1. 来源（当前证据）：liveshow-proto/MainBasis/统一需求文档.md；位置：行274、行796
2. 规则：BR-b8344b5edad3fd06
3. 未动态验证</x:v>
      </x:c>
    </x:row>
    <x:row r="1355" ht="85" customHeight="1">
      <x:c r="A1355" s="10" t="n">
        <x:v>1354</x:v>
      </x:c>
      <x:c r="B1355" s="10" t="str">
        <x:v>USER-03-0330</x:v>
      </x:c>
      <x:c r="C1355" s="10" t="str">
        <x:v>直播</x:v>
      </x:c>
      <x:c r="D1355" s="10" t="str">
        <x:v>直播间（普通房）（普通观众视角）</x:v>
      </x:c>
      <x:c r="E1355" s="10" t="str">
        <x:v>功能需求</x:v>
      </x:c>
      <x:c r="F1355" s="10" t="str">
        <x:v>P2</x:v>
      </x:c>
      <x:c r="G1355" s="9" t="str">
        <x:v>验证主播屏蔽评论对观众生效</x:v>
      </x:c>
      <x:c r="H1355" s="9" t="str">
        <x:v>展示内容</x:v>
      </x:c>
      <x:c r="I1355" s="9" t="str">
        <x:v>1. 执行角色为普通观众；当前处于直播间（普通房）页面
2. 本场消息M刚被主播屏蔽</x:v>
      </x:c>
      <x:c r="J1355" s="9" t="str">
        <x:v>1. 查看本场公屏</x:v>
      </x:c>
      <x:c r="K1355" s="9" t="str">
        <x:v>不再显示消息M</x:v>
      </x:c>
      <x:c r="L1355" s="10" t="str"/>
      <x:c r="M1355" s="10" t="str">
        <x:v>未测</x:v>
      </x:c>
      <x:c r="N1355" s="10" t="str"/>
      <x:c r="O1355" s="9" t="str">
        <x:v>1. 来源（当前证据）：liveshow-proto/MainBasis/统一需求文档.md；位置：行252、行758
2. 规则：BR-da8c156aa4168796
3. 未动态验证</x:v>
      </x:c>
    </x:row>
    <x:row r="1356" ht="130" customHeight="1">
      <x:c r="A1356" s="10" t="n">
        <x:v>1355</x:v>
      </x:c>
      <x:c r="B1356" s="10" t="str">
        <x:v>USER-03-0331</x:v>
      </x:c>
      <x:c r="C1356" s="10" t="str">
        <x:v>直播</x:v>
      </x:c>
      <x:c r="D1356" s="10" t="str">
        <x:v>直播间（普通房）（已购买本场门票的观众视角）</x:v>
      </x:c>
      <x:c r="E1356" s="10" t="str">
        <x:v>功能需求</x:v>
      </x:c>
      <x:c r="F1356" s="10" t="str">
        <x:v>P2</x:v>
      </x:c>
      <x:c r="G1356" s="9" t="str">
        <x:v>验证旧场门票不用于新场</x:v>
      </x:c>
      <x:c r="H1356" s="9" t="str">
        <x:v>展示内容</x:v>
      </x:c>
      <x:c r="I1356" s="9" t="str">
        <x:v>1. 执行角色为已购买本场门票的观众；当前处于直播间（普通房）页面
2. 刚结束门票场次S，原票只属于S；同一主播又创建新门票场次T，当前有足够余额</x:v>
      </x:c>
      <x:c r="J1356" s="9" t="str">
        <x:v>1. 进入新场次T</x:v>
      </x:c>
      <x:c r="K1356" s="9" t="str">
        <x:v>需要重新购买T场次门票</x:v>
      </x:c>
      <x:c r="L1356" s="10" t="str">
        <x:v>FLOW-FBAFAB0C</x:v>
      </x:c>
      <x:c r="M1356" s="10" t="str">
        <x:v>未测</x:v>
      </x:c>
      <x:c r="N1356" s="10" t="str"/>
      <x:c r="O1356" s="9" t="str">
        <x:v>1. 来源（当前证据）：liveshow-proto/MainBasis/统一需求文档.md；位置：行190、行841、行758
2. 规则：BR-f61803ecd36a8c3b
3. 未动态验证
4. 状态转换：ST-USER-024；共同业务对象：门票资格；当前阶段：场次结束后的用户App观察</x:v>
      </x:c>
    </x:row>
    <x:row r="1357" ht="85" customHeight="1">
      <x:c r="A1357" s="10" t="n">
        <x:v>1356</x:v>
      </x:c>
      <x:c r="B1357" s="10" t="str">
        <x:v>USER-02-0176</x:v>
      </x:c>
      <x:c r="C1357" s="10" t="str">
        <x:v>首页与福利</x:v>
      </x:c>
      <x:c r="D1357" s="10" t="str">
        <x:v>邀请好友（普通用户视角）</x:v>
      </x:c>
      <x:c r="E1357" s="10" t="str">
        <x:v>功能需求</x:v>
      </x:c>
      <x:c r="F1357" s="10" t="str">
        <x:v>P2</x:v>
      </x:c>
      <x:c r="G1357" s="9" t="str">
        <x:v>验证邀请金币合计</x:v>
      </x:c>
      <x:c r="H1357" s="9" t="str">
        <x:v>资产数值</x:v>
      </x:c>
      <x:c r="I1357" s="9" t="str">
        <x:v>1. 执行角色为普通用户；当前处于邀请好友页面
2. 活动当前每个成功邀请奖励10金币；当前成功邀请3人且奖励均已到账，无其他邀请奖励</x:v>
      </x:c>
      <x:c r="J1357" s="9" t="str">
        <x:v>1. 查看累计获得金币</x:v>
      </x:c>
      <x:c r="K1357" s="9" t="str">
        <x:v>累计获得30金币（计算结果 = 30 金币）</x:v>
      </x:c>
      <x:c r="L1357" s="10" t="str"/>
      <x:c r="M1357" s="10" t="str">
        <x:v>未测</x:v>
      </x:c>
      <x:c r="N1357" s="10" t="str"/>
      <x:c r="O1357" s="9" t="str">
        <x:v>1. 来源（当前证据）：liveshow-proto/MainBasis/统一需求文档.md；位置：行646、行645、行643、行640
2. 规则：BR-7af15f4db9d59d74
3. 未动态验证</x:v>
      </x:c>
    </x:row>
    <x:row r="1358" ht="130" customHeight="1">
      <x:c r="A1358" s="10" t="n">
        <x:v>1357</x:v>
      </x:c>
      <x:c r="B1358" s="10" t="str">
        <x:v>USER-08-0065</x:v>
      </x:c>
      <x:c r="C1358" s="10" t="str">
        <x:v>钱包与账单</x:v>
      </x:c>
      <x:c r="D1358" s="10" t="str">
        <x:v>余额明细（真实金币用户视角）</x:v>
      </x:c>
      <x:c r="E1358" s="10" t="str">
        <x:v>功能需求</x:v>
      </x:c>
      <x:c r="F1358" s="10" t="str">
        <x:v>P2</x:v>
      </x:c>
      <x:c r="G1358" s="9" t="str">
        <x:v>验证整笔充值退款形成负余额</x:v>
      </x:c>
      <x:c r="H1358" s="9" t="str">
        <x:v>资产数值</x:v>
      </x:c>
      <x:c r="I1358" s="9" t="str">
        <x:v>1. 执行角色为真实金币用户；当前处于余额明细页面
2. 原充值订单到账1000金币已全部消费，目前余额0；该充值订单刚完成退款</x:v>
      </x:c>
      <x:c r="J1358" s="9" t="str">
        <x:v>1. 刷新金币余额</x:v>
      </x:c>
      <x:c r="K1358" s="9" t="str">
        <x:v>余额变为-1000金币（计算结果 = -1000 金币）</x:v>
      </x:c>
      <x:c r="L1358" s="10" t="str">
        <x:v>FLOW-2BA2481A</x:v>
      </x:c>
      <x:c r="M1358" s="10" t="str">
        <x:v>未测</x:v>
      </x:c>
      <x:c r="N1358" s="10" t="str"/>
      <x:c r="O1358" s="9" t="str">
        <x:v>1. 来源（当前证据）：liveshow-proto/MainBasis/统一需求文档.md；位置：行403、行407、行1310
2. 规则：BR-c1113e95966d2742
3. 未动态验证
4. 状态转换：ST-USER-027；共同业务对象：充值订单；当前阶段：退款处理成功后的用户App观察</x:v>
      </x:c>
    </x:row>
    <x:row r="1359" ht="130" customHeight="1">
      <x:c r="A1359" s="10" t="n">
        <x:v>1358</x:v>
      </x:c>
      <x:c r="B1359" s="10" t="str">
        <x:v>USER-08-0066</x:v>
      </x:c>
      <x:c r="C1359" s="10" t="str">
        <x:v>钱包与账单</x:v>
      </x:c>
      <x:c r="D1359" s="10" t="str">
        <x:v>支出订单详情（真实金币用户视角）</x:v>
      </x:c>
      <x:c r="E1359" s="10" t="str">
        <x:v>功能需求</x:v>
      </x:c>
      <x:c r="F1359" s="10" t="str">
        <x:v>P2</x:v>
      </x:c>
      <x:c r="G1359" s="9" t="str">
        <x:v>验证结束场次保留消费记录</x:v>
      </x:c>
      <x:c r="H1359" s="9" t="str">
        <x:v>历史消费记录保留</x:v>
      </x:c>
      <x:c r="I1359" s="9" t="str">
        <x:v>1. 执行角色为真实金币用户；当前处于支出订单详情页面
2. 本笔消费属于已结束场次S，原始消费金额100金币</x:v>
      </x:c>
      <x:c r="J1359" s="9" t="str">
        <x:v>1. 查看该支出订单</x:v>
      </x:c>
      <x:c r="K1359" s="9" t="str">
        <x:v>原支付100金币消费记录保留</x:v>
      </x:c>
      <x:c r="L1359" s="10" t="str">
        <x:v>FLOW-FBAFAB0C</x:v>
      </x:c>
      <x:c r="M1359" s="10" t="str">
        <x:v>未测</x:v>
      </x:c>
      <x:c r="N1359" s="10" t="str"/>
      <x:c r="O1359" s="9" t="str">
        <x:v>1. 来源（当前证据）：liveshow-proto/MainBasis/统一需求文档.md；位置：行181、行841、行1333
2. 规则：BR-f3d3fa8eb1900353
3. 未动态验证
4. 状态转换：ST-USER-024；共同业务对象：门票资格；当前阶段：场次结束后的用户App观察</x:v>
      </x:c>
    </x:row>
    <x:row r="1360" ht="85" customHeight="1">
      <x:c r="A1360" s="10" t="n">
        <x:v>1359</x:v>
      </x:c>
      <x:c r="B1360" s="10" t="str">
        <x:v>USER-05-0242</x:v>
      </x:c>
      <x:c r="C1360" s="10" t="str">
        <x:v>我的</x:v>
      </x:c>
      <x:c r="D1360" s="10" t="str">
        <x:v>我的关注（已登录普通用户视角）</x:v>
      </x:c>
      <x:c r="E1360" s="10" t="str">
        <x:v>功能需求</x:v>
      </x:c>
      <x:c r="F1360" s="10" t="str">
        <x:v>P2</x:v>
      </x:c>
      <x:c r="G1360" s="9" t="str">
        <x:v>验证关注时间倒序</x:v>
      </x:c>
      <x:c r="H1360" s="9" t="str">
        <x:v>排列次序</x:v>
      </x:c>
      <x:c r="I1360" s="9" t="str">
        <x:v>1. 执行角色为已登录普通用户；当前处于我的关注页面
2. 已先后关注A、B，B为最新关注</x:v>
      </x:c>
      <x:c r="J1360" s="9" t="str">
        <x:v>1. 刷新关注列表</x:v>
      </x:c>
      <x:c r="K1360" s="9" t="str">
        <x:v>B排在A前</x:v>
      </x:c>
      <x:c r="L1360" s="10" t="str"/>
      <x:c r="M1360" s="10" t="str">
        <x:v>未测</x:v>
      </x:c>
      <x:c r="N1360" s="10" t="str"/>
      <x:c r="O1360" s="9" t="str">
        <x:v>1. 来源（当前证据）：liveshow-proto/MainBasis/统一需求文档.md；位置：行724、行718
2. 规则：BR-750387c2a13610fb
3. 未动态验证</x:v>
      </x:c>
    </x:row>
    <x:row r="1361" ht="85" customHeight="1">
      <x:c r="A1361" s="10" t="n">
        <x:v>1360</x:v>
      </x:c>
      <x:c r="B1361" s="10" t="str">
        <x:v>USER-05-0243</x:v>
      </x:c>
      <x:c r="C1361" s="10" t="str">
        <x:v>我的</x:v>
      </x:c>
      <x:c r="D1361" s="10" t="str">
        <x:v>我的关注（已登录普通用户视角）</x:v>
      </x:c>
      <x:c r="E1361" s="10" t="str">
        <x:v>功能需求</x:v>
      </x:c>
      <x:c r="F1361" s="10" t="str">
        <x:v>P2</x:v>
      </x:c>
      <x:c r="G1361" s="9" t="str">
        <x:v>验证关注主播结束状态更新</x:v>
      </x:c>
      <x:c r="H1361" s="9" t="str">
        <x:v>关注主播开播状态</x:v>
      </x:c>
      <x:c r="I1361" s="9" t="str">
        <x:v>1. 执行角色为已登录普通用户；当前处于我的关注页面
2. 当前关注主播A刚结束直播</x:v>
      </x:c>
      <x:c r="J1361" s="9" t="str">
        <x:v>1. 刷新关注列表</x:v>
      </x:c>
      <x:c r="K1361" s="9" t="str">
        <x:v>A更新为未开播</x:v>
      </x:c>
      <x:c r="L1361" s="10" t="str"/>
      <x:c r="M1361" s="10" t="str">
        <x:v>未测</x:v>
      </x:c>
      <x:c r="N1361" s="10" t="str"/>
      <x:c r="O1361" s="9" t="str">
        <x:v>1. 来源（当前证据）：liveshow-proto/MainBasis/统一需求文档.md；位置：行722、行718
2. 规则：BR-37f43241aecb8af5
3. 未动态验证</x:v>
      </x:c>
    </x:row>
    <x:row r="1362" ht="85" customHeight="1">
      <x:c r="A1362" s="10" t="n">
        <x:v>1361</x:v>
      </x:c>
      <x:c r="B1362" s="10" t="str">
        <x:v>USER-02-0177</x:v>
      </x:c>
      <x:c r="C1362" s="10" t="str">
        <x:v>首页与福利</x:v>
      </x:c>
      <x:c r="D1362" s="10" t="str">
        <x:v>全部任务（已登录普通用户视角）</x:v>
      </x:c>
      <x:c r="E1362" s="10" t="str">
        <x:v>功能需求</x:v>
      </x:c>
      <x:c r="F1362" s="10" t="str">
        <x:v>P2</x:v>
      </x:c>
      <x:c r="G1362" s="9" t="str">
        <x:v>验证全部任务无额外统计标题</x:v>
      </x:c>
      <x:c r="H1362" s="9" t="str">
        <x:v>展示内容</x:v>
      </x:c>
      <x:c r="I1362" s="9" t="str">
        <x:v>1. 执行角色为已登录普通用户；当前处于全部任务页面</x:v>
      </x:c>
      <x:c r="J1362" s="9" t="str">
        <x:v>1. 查看任务页面</x:v>
      </x:c>
      <x:c r="K1362" s="9" t="str">
        <x:v>不展示任务统计及任务分类标题</x:v>
      </x:c>
      <x:c r="L1362" s="10" t="str"/>
      <x:c r="M1362" s="10" t="str">
        <x:v>未测</x:v>
      </x:c>
      <x:c r="N1362" s="10" t="str"/>
      <x:c r="O1362" s="9" t="str">
        <x:v>1. 来源（当前证据）：liveshow-proto/MainBasis/统一需求文档.md；位置：行631、行625
2. 规则：BR-d2ccef5729cba63e
3. 未动态验证</x:v>
      </x:c>
    </x:row>
    <x:row r="1363" ht="85" customHeight="1">
      <x:c r="A1363" s="10" t="n">
        <x:v>1362</x:v>
      </x:c>
      <x:c r="B1363" s="10" t="str">
        <x:v>USER-04-0179</x:v>
      </x:c>
      <x:c r="C1363" s="10" t="str">
        <x:v>消息与社交</x:v>
      </x:c>
      <x:c r="D1363" s="10" t="str">
        <x:v>互动通知（已登录用户A视角）</x:v>
      </x:c>
      <x:c r="E1363" s="10" t="str">
        <x:v>功能需求</x:v>
      </x:c>
      <x:c r="F1363" s="10" t="str">
        <x:v>P2</x:v>
      </x:c>
      <x:c r="G1363" s="9" t="str">
        <x:v>验证互动通知归属隔离</x:v>
      </x:c>
      <x:c r="H1363" s="9" t="str">
        <x:v>展示内容</x:v>
      </x:c>
      <x:c r="I1363" s="9" t="str">
        <x:v>1. 执行角色为已登录用户A；当前处于互动通知页面
2. A和B分别有各自收到的好友申请通知</x:v>
      </x:c>
      <x:c r="J1363" s="9" t="str">
        <x:v>1. 刷新互动通知</x:v>
      </x:c>
      <x:c r="K1363" s="9" t="str">
        <x:v>列表不包含仅发给B的通知</x:v>
      </x:c>
      <x:c r="L1363" s="10" t="str"/>
      <x:c r="M1363" s="10" t="str">
        <x:v>未测</x:v>
      </x:c>
      <x:c r="N1363" s="10" t="str"/>
      <x:c r="O1363" s="9" t="str">
        <x:v>1. 来源（当前证据）：liveshow-proto/MainBasis/统一需求文档.md；位置：行877、行870
2. 规则：BR-cf317a326f378860
3. 未动态验证</x:v>
      </x:c>
    </x:row>
    <x:row r="1364" ht="85" customHeight="1">
      <x:c r="A1364" s="10" t="n">
        <x:v>1363</x:v>
      </x:c>
      <x:c r="B1364" s="10" t="str">
        <x:v>USER-04-0180</x:v>
      </x:c>
      <x:c r="C1364" s="10" t="str">
        <x:v>消息与社交</x:v>
      </x:c>
      <x:c r="D1364" s="10" t="str">
        <x:v>1 对 1 私信（已登录用户A视角）</x:v>
      </x:c>
      <x:c r="E1364" s="10" t="str">
        <x:v>功能需求</x:v>
      </x:c>
      <x:c r="F1364" s="10" t="str">
        <x:v>P2</x:v>
      </x:c>
      <x:c r="G1364" s="9" t="str">
        <x:v>验证私信按所选对象隔离</x:v>
      </x:c>
      <x:c r="H1364" s="9" t="str">
        <x:v>展示内容</x:v>
      </x:c>
      <x:c r="I1364" s="9" t="str">
        <x:v>1. 执行角色为已登录用户A；当前处于1 对 1 私信页面
2. A与B的会话含QA-B；A与C的会话含QA-C；当前会话对象为B</x:v>
      </x:c>
      <x:c r="J1364" s="9" t="str">
        <x:v>1. 查看聊天记录</x:v>
      </x:c>
      <x:c r="K1364" s="9" t="str">
        <x:v>不展示A与C之间的QA-C消息</x:v>
      </x:c>
      <x:c r="L1364" s="10" t="str"/>
      <x:c r="M1364" s="10" t="str">
        <x:v>未测</x:v>
      </x:c>
      <x:c r="N1364" s="10" t="str"/>
      <x:c r="O1364" s="9" t="str">
        <x:v>1. 来源（当前证据）：liveshow-proto/MainBasis/统一需求文档.md；位置：行891、行883
2. 规则：BR-9c23d434359a9f54
3. 未动态验证</x:v>
      </x:c>
    </x:row>
    <x:row r="1365" ht="85" customHeight="1">
      <x:c r="A1365" s="10" t="n">
        <x:v>1364</x:v>
      </x:c>
      <x:c r="B1365" s="10" t="str">
        <x:v>USER-04-0181</x:v>
      </x:c>
      <x:c r="C1365" s="10" t="str">
        <x:v>消息与社交</x:v>
      </x:c>
      <x:c r="D1365" s="10" t="str">
        <x:v>粉丝团群聊（粉丝团成员视角）</x:v>
      </x:c>
      <x:c r="E1365" s="10" t="str">
        <x:v>功能需求</x:v>
      </x:c>
      <x:c r="F1365" s="10" t="str">
        <x:v>P2</x:v>
      </x:c>
      <x:c r="G1365" s="9" t="str">
        <x:v>验证粉丝群消息按群隔离</x:v>
      </x:c>
      <x:c r="H1365" s="9" t="str">
        <x:v>展示内容</x:v>
      </x:c>
      <x:c r="I1365" s="9" t="str">
        <x:v>1. 执行角色为粉丝团成员；当前处于粉丝团群聊页面
2. 当前所属群G1有QA-G1消息；另一群G2有QA-G2消息；当前查看G1</x:v>
      </x:c>
      <x:c r="J1365" s="9" t="str">
        <x:v>1. 查看群消息</x:v>
      </x:c>
      <x:c r="K1365" s="9" t="str">
        <x:v>不展示G2的QA-G2消息</x:v>
      </x:c>
      <x:c r="L1365" s="10" t="str"/>
      <x:c r="M1365" s="10" t="str">
        <x:v>未测</x:v>
      </x:c>
      <x:c r="N1365" s="10" t="str"/>
      <x:c r="O1365" s="9" t="str">
        <x:v>1. 来源（当前证据）：liveshow-proto/MainBasis/统一需求文档.md；位置：行904、行896
2. 规则：BR-922e3904239dab40
3. 未动态验证</x:v>
      </x:c>
    </x:row>
    <x:row r="1366" ht="85" customHeight="1">
      <x:c r="A1366" s="10" t="n">
        <x:v>1365</x:v>
      </x:c>
      <x:c r="B1366" s="10" t="str">
        <x:v>USER-04-0182</x:v>
      </x:c>
      <x:c r="C1366" s="10" t="str">
        <x:v>消息与社交</x:v>
      </x:c>
      <x:c r="D1366" s="10" t="str">
        <x:v>群管理（成员）（粉丝团成员B视角）</x:v>
      </x:c>
      <x:c r="E1366" s="10" t="str">
        <x:v>功能需求</x:v>
      </x:c>
      <x:c r="F1366" s="10" t="str">
        <x:v>P2</x:v>
      </x:c>
      <x:c r="G1366" s="9" t="str">
        <x:v>验证主播修改免打扰不改成员设置</x:v>
      </x:c>
      <x:c r="H1366" s="9" t="str">
        <x:v>展示内容</x:v>
      </x:c>
      <x:c r="I1366" s="9" t="str">
        <x:v>1. 执行角色为粉丝团成员B；当前处于群管理（成员）页面
2. 所属主播已启用其个人群免打扰；B原免打扰关闭</x:v>
      </x:c>
      <x:c r="J1366" s="9" t="str">
        <x:v>1. 查看本人的群消息免打扰</x:v>
      </x:c>
      <x:c r="K1366" s="9" t="str">
        <x:v>B的免打扰仍为关闭</x:v>
      </x:c>
      <x:c r="L1366" s="10" t="str"/>
      <x:c r="M1366" s="10" t="str">
        <x:v>未测</x:v>
      </x:c>
      <x:c r="N1366" s="10" t="str"/>
      <x:c r="O1366" s="9" t="str">
        <x:v>1. 来源（当前证据）：liveshow-proto/MainBasis/统一需求文档.md；位置：行922、行909
2. 规则：BR-882fc3fc71a59b0d
3. 未动态验证</x:v>
      </x:c>
    </x:row>
    <x:row r="1367" ht="85" customHeight="1">
      <x:c r="A1367" s="10" t="n">
        <x:v>1366</x:v>
      </x:c>
      <x:c r="B1367" s="10" t="str">
        <x:v>USER-06-0080</x:v>
      </x:c>
      <x:c r="C1367" s="10" t="str">
        <x:v>公会关系</x:v>
      </x:c>
      <x:c r="D1367" s="10" t="str">
        <x:v>申请加入公会（入会申请人A视角）</x:v>
      </x:c>
      <x:c r="E1367" s="10" t="str">
        <x:v>功能需求</x:v>
      </x:c>
      <x:c r="F1367" s="10" t="str">
        <x:v>P2</x:v>
      </x:c>
      <x:c r="G1367" s="9" t="str">
        <x:v>验证入会资料所属账号公会隔离</x:v>
      </x:c>
      <x:c r="H1367" s="9" t="str">
        <x:v>申请资料账号公会隔离</x:v>
      </x:c>
      <x:c r="I1367" s="9" t="str">
        <x:v>1. 执行角色为入会申请人A；当前处于申请加入公会页面
2. A选中公会G1；另一用户B申请G2</x:v>
      </x:c>
      <x:c r="J1367" s="9" t="str">
        <x:v>1. 查看本次申请资料</x:v>
      </x:c>
      <x:c r="K1367" s="9" t="str">
        <x:v>本表只对应A向G1的申请</x:v>
      </x:c>
      <x:c r="L1367" s="10" t="str"/>
      <x:c r="M1367" s="10" t="str">
        <x:v>未测</x:v>
      </x:c>
      <x:c r="N1367" s="10" t="str"/>
      <x:c r="O1367" s="9" t="str">
        <x:v>1. 来源（当前证据）：liveshow-proto/MainBasis/统一需求文档.md；位置：行983、行975
2. 规则：BR-47dce13b1f2632f6
3. 未动态验证</x:v>
      </x:c>
    </x:row>
    <x:row r="1368" ht="85" customHeight="1">
      <x:c r="A1368" s="10" t="n">
        <x:v>1367</x:v>
      </x:c>
      <x:c r="B1368" s="10" t="str">
        <x:v>USER-06-0081</x:v>
      </x:c>
      <x:c r="C1368" s="10" t="str">
        <x:v>公会关系</x:v>
      </x:c>
      <x:c r="D1368" s="10" t="str">
        <x:v>我的公会（已登录普通用户视角）</x:v>
      </x:c>
      <x:c r="E1368" s="10" t="str">
        <x:v>功能需求</x:v>
      </x:c>
      <x:c r="F1368" s="10" t="str">
        <x:v>P2</x:v>
      </x:c>
      <x:c r="G1368" s="9" t="str">
        <x:v>验证公会记录关系申请中</x:v>
      </x:c>
      <x:c r="H1368" s="9" t="str">
        <x:v>申请处理</x:v>
      </x:c>
      <x:c r="I1368" s="9" t="str">
        <x:v>1. 执行角色为已登录普通用户；当前处于我的公会页面
2. 当前账号与公会G的实际关系为申请中</x:v>
      </x:c>
      <x:c r="J1368" s="9" t="str">
        <x:v>1. 查看G的申请记录</x:v>
      </x:c>
      <x:c r="K1368" s="9" t="str">
        <x:v>显示申请中</x:v>
      </x:c>
      <x:c r="L1368" s="10" t="str"/>
      <x:c r="M1368" s="10" t="str">
        <x:v>未测</x:v>
      </x:c>
      <x:c r="N1368" s="10" t="str"/>
      <x:c r="O1368" s="9" t="str">
        <x:v>1. 来源（当前证据）：liveshow-proto/MainBasis/统一需求文档.md；位置：行997、行992
2. 规则：BR-f61788c69fb2edd0
3. 未动态验证</x:v>
      </x:c>
    </x:row>
    <x:row r="1369" ht="85" customHeight="1">
      <x:c r="A1369" s="10" t="n">
        <x:v>1368</x:v>
      </x:c>
      <x:c r="B1369" s="10" t="str">
        <x:v>USER-06-0082</x:v>
      </x:c>
      <x:c r="C1369" s="10" t="str">
        <x:v>公会关系</x:v>
      </x:c>
      <x:c r="D1369" s="10" t="str">
        <x:v>我的公会（已登录普通用户视角）</x:v>
      </x:c>
      <x:c r="E1369" s="10" t="str">
        <x:v>功能需求</x:v>
      </x:c>
      <x:c r="F1369" s="10" t="str">
        <x:v>P2</x:v>
      </x:c>
      <x:c r="G1369" s="9" t="str">
        <x:v>验证公会记录关系已加入</x:v>
      </x:c>
      <x:c r="H1369" s="9" t="str">
        <x:v>展示内容</x:v>
      </x:c>
      <x:c r="I1369" s="9" t="str">
        <x:v>1. 执行角色为已登录普通用户；当前处于我的公会页面
2. 当前账号与公会G的实际关系为已加入</x:v>
      </x:c>
      <x:c r="J1369" s="9" t="str">
        <x:v>1. 查看G的申请记录</x:v>
      </x:c>
      <x:c r="K1369" s="9" t="str">
        <x:v>显示已加入</x:v>
      </x:c>
      <x:c r="L1369" s="10" t="str"/>
      <x:c r="M1369" s="10" t="str">
        <x:v>未测</x:v>
      </x:c>
      <x:c r="N1369" s="10" t="str"/>
      <x:c r="O1369" s="9" t="str">
        <x:v>1. 来源（当前证据）：liveshow-proto/MainBasis/统一需求文档.md；位置：行997、行992
2. 规则：BR-0f1e707a9039786a
3. 未动态验证</x:v>
      </x:c>
    </x:row>
    <x:row r="1370" ht="85" customHeight="1">
      <x:c r="A1370" s="10" t="n">
        <x:v>1369</x:v>
      </x:c>
      <x:c r="B1370" s="10" t="str">
        <x:v>USER-06-0083</x:v>
      </x:c>
      <x:c r="C1370" s="10" t="str">
        <x:v>公会关系</x:v>
      </x:c>
      <x:c r="D1370" s="10" t="str">
        <x:v>我的公会（已登录普通用户视角）</x:v>
      </x:c>
      <x:c r="E1370" s="10" t="str">
        <x:v>功能需求</x:v>
      </x:c>
      <x:c r="F1370" s="10" t="str">
        <x:v>P2</x:v>
      </x:c>
      <x:c r="G1370" s="9" t="str">
        <x:v>验证公会记录关系已驳回</x:v>
      </x:c>
      <x:c r="H1370" s="9" t="str">
        <x:v>展示内容</x:v>
      </x:c>
      <x:c r="I1370" s="9" t="str">
        <x:v>1. 执行角色为已登录普通用户；当前处于我的公会页面
2. 当前账号与公会G的实际关系为已驳回</x:v>
      </x:c>
      <x:c r="J1370" s="9" t="str">
        <x:v>1. 查看G的申请记录</x:v>
      </x:c>
      <x:c r="K1370" s="9" t="str">
        <x:v>显示已驳回</x:v>
      </x:c>
      <x:c r="L1370" s="10" t="str"/>
      <x:c r="M1370" s="10" t="str">
        <x:v>未测</x:v>
      </x:c>
      <x:c r="N1370" s="10" t="str"/>
      <x:c r="O1370" s="9" t="str">
        <x:v>1. 来源（当前证据）：liveshow-proto/MainBasis/统一需求文档.md；位置：行997、行992
2. 规则：BR-cbe585b0f0f31adb
3. 未动态验证</x:v>
      </x:c>
    </x:row>
    <x:row r="1371" ht="85" customHeight="1">
      <x:c r="A1371" s="10" t="n">
        <x:v>1370</x:v>
      </x:c>
      <x:c r="B1371" s="10" t="str">
        <x:v>USER-06-0084</x:v>
      </x:c>
      <x:c r="C1371" s="10" t="str">
        <x:v>公会关系</x:v>
      </x:c>
      <x:c r="D1371" s="10" t="str">
        <x:v>我的公会（已登录普通用户视角）</x:v>
      </x:c>
      <x:c r="E1371" s="10" t="str">
        <x:v>功能需求</x:v>
      </x:c>
      <x:c r="F1371" s="10" t="str">
        <x:v>P2</x:v>
      </x:c>
      <x:c r="G1371" s="9" t="str">
        <x:v>验证公会记录关系已退出</x:v>
      </x:c>
      <x:c r="H1371" s="9" t="str">
        <x:v>展示内容</x:v>
      </x:c>
      <x:c r="I1371" s="9" t="str">
        <x:v>1. 执行角色为已登录普通用户；当前处于我的公会页面
2. 当前账号与公会G的实际关系为已退出</x:v>
      </x:c>
      <x:c r="J1371" s="9" t="str">
        <x:v>1. 查看G的申请记录</x:v>
      </x:c>
      <x:c r="K1371" s="9" t="str">
        <x:v>显示已退出</x:v>
      </x:c>
      <x:c r="L1371" s="10" t="str"/>
      <x:c r="M1371" s="10" t="str">
        <x:v>未测</x:v>
      </x:c>
      <x:c r="N1371" s="10" t="str"/>
      <x:c r="O1371" s="9" t="str">
        <x:v>1. 来源（当前证据）：liveshow-proto/MainBasis/统一需求文档.md；位置：行997、行992
2. 规则：BR-5161a59c23088314
3. 未动态验证</x:v>
      </x:c>
    </x:row>
    <x:row r="1372" ht="85" customHeight="1">
      <x:c r="A1372" s="10" t="n">
        <x:v>1371</x:v>
      </x:c>
      <x:c r="B1372" s="10" t="str">
        <x:v>USER-06-0085</x:v>
      </x:c>
      <x:c r="C1372" s="10" t="str">
        <x:v>公会关系</x:v>
      </x:c>
      <x:c r="D1372" s="10" t="str">
        <x:v>公会详情（已登录普通用户视角）</x:v>
      </x:c>
      <x:c r="E1372" s="10" t="str">
        <x:v>功能需求</x:v>
      </x:c>
      <x:c r="F1372" s="10" t="str">
        <x:v>P2</x:v>
      </x:c>
      <x:c r="G1372" s="9" t="str">
        <x:v>验证公会时间轴申请类型</x:v>
      </x:c>
      <x:c r="H1372" s="9" t="str">
        <x:v>公会申请类型</x:v>
      </x: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三条记录各自标记为加入、退出、退出</x:v>
      </x:c>
      <x:c r="L1372" s="10" t="str"/>
      <x:c r="M1372" s="10" t="str">
        <x:v>未测</x:v>
      </x:c>
      <x:c r="N1372" s="10" t="str"/>
      <x:c r="O1372" s="9" t="str">
        <x:v>1. 来源（当前证据）：liveshow-proto/MainBasis/统一需求文档.md；位置：行1009、行1005
2. 规则：BR-70b484ae3558538f
3. 未动态验证</x:v>
      </x:c>
    </x:row>
    <x:row r="1373" ht="85" customHeight="1">
      <x:c r="A1373" s="10" t="n">
        <x:v>1372</x:v>
      </x:c>
      <x:c r="B1373" s="10" t="str">
        <x:v>USER-06-0086</x:v>
      </x:c>
      <x:c r="C1373" s="10" t="str">
        <x:v>公会关系</x:v>
      </x:c>
      <x:c r="D1373" s="10" t="str">
        <x:v>公会详情（已登录普通用户视角）</x:v>
      </x:c>
      <x:c r="E1373" s="10" t="str">
        <x:v>功能需求</x:v>
      </x:c>
      <x:c r="F1373" s="10" t="str">
        <x:v>P2</x:v>
      </x:c>
      <x:c r="G1373" s="9" t="str">
        <x:v>验证公会时间轴处理状态</x:v>
      </x:c>
      <x:c r="H1373" s="9" t="str">
        <x:v>展示内容</x:v>
      </x:c>
      <x:c r="I1373" s="9" t="str">
        <x:v>1. 执行角色为已登录普通用户；当前处于公会详情页面
2. 本人与G有一次已通过加入申请、一次已驳回退会申请、一次待审核退会申请</x:v>
      </x:c>
      <x:c r="J1373" s="9" t="str">
        <x:v>1. 查看时间轴</x:v>
      </x:c>
      <x:c r="K1373" s="9" t="str">
        <x:v>三条记录各自标记为通过、驳回、待审核</x:v>
      </x:c>
      <x:c r="L1373" s="10" t="str"/>
      <x:c r="M1373" s="10" t="str">
        <x:v>未测</x:v>
      </x:c>
      <x:c r="N1373" s="10" t="str"/>
      <x:c r="O1373" s="9" t="str">
        <x:v>1. 来源（当前证据）：liveshow-proto/MainBasis/统一需求文档.md；位置：行1009、行1005
2. 规则：BR-72c8a8a28a239057
3. 未动态验证</x:v>
      </x:c>
    </x:row>
    <x:row r="1374" ht="100" customHeight="1">
      <x:c r="A1374" s="10" t="n">
        <x:v>1373</x:v>
      </x:c>
      <x:c r="B1374" s="10" t="str">
        <x:v>USER-06-0087</x:v>
      </x:c>
      <x:c r="C1374" s="10" t="str">
        <x:v>公会关系</x:v>
      </x:c>
      <x:c r="D1374" s="10" t="str">
        <x:v>公会详情（已登录普通用户视角）</x:v>
      </x:c>
      <x:c r="E1374" s="10" t="str">
        <x:v>功能需求</x:v>
      </x:c>
      <x:c r="F1374" s="10" t="str">
        <x:v>P2</x:v>
      </x:c>
      <x:c r="G1374" s="9" t="str">
        <x:v>验证公会时间轴关系隔离</x:v>
      </x:c>
      <x:c r="H1374" s="9" t="str">
        <x:v>展示内容</x:v>
      </x:c>
      <x:c r="I1374" s="9" t="str">
        <x:v>1. 执行角色为已登录普通用户；当前处于公会详情页面
2. 本人与G有一次已通过加入申请、一次已驳回退会申请、一次待审核退会申请
3. 本人与H另有申请记录</x:v>
      </x:c>
      <x:c r="J1374" s="9" t="str">
        <x:v>1. 查看G的时间轴</x:v>
      </x:c>
      <x:c r="K1374" s="9" t="str">
        <x:v>不包含公会H的申请记录</x:v>
      </x:c>
      <x:c r="L1374" s="10" t="str"/>
      <x:c r="M1374" s="10" t="str">
        <x:v>未测</x:v>
      </x:c>
      <x:c r="N1374" s="10" t="str"/>
      <x:c r="O1374" s="9" t="str">
        <x:v>1. 来源（当前证据）：liveshow-proto/MainBasis/统一需求文档.md；位置：行1017、行1005
2. 规则：BR-76114f124b25b73f
3. 未动态验证</x:v>
      </x:c>
    </x:row>
    <x:row r="1375" ht="85" customHeight="1">
      <x:c r="A1375" s="10" t="n">
        <x:v>1374</x:v>
      </x:c>
      <x:c r="B1375" s="10" t="str">
        <x:v>USER-06-0088</x:v>
      </x:c>
      <x:c r="C1375" s="10" t="str">
        <x:v>公会关系</x:v>
      </x:c>
      <x:c r="D1375" s="10" t="str">
        <x:v>申请退出公会（公会G主播视角）</x:v>
      </x:c>
      <x:c r="E1375" s="10" t="str">
        <x:v>功能需求</x:v>
      </x:c>
      <x:c r="F1375" s="10" t="str">
        <x:v>P2</x:v>
      </x:c>
      <x:c r="G1375" s="9" t="str">
        <x:v>验证退会申请账号归属</x:v>
      </x:c>
      <x:c r="H1375" s="9" t="str">
        <x:v>退会申请主体</x:v>
      </x:c>
      <x:c r="I1375" s="9" t="str">
        <x:v>1. 执行角色为公会G主播；当前处于申请退出公会页面
2. 当前账号只加入公会G；其他用户B也属于G</x:v>
      </x:c>
      <x:c r="J1375" s="9" t="str">
        <x:v>1. 查看退出申请主体</x:v>
      </x:c>
      <x:c r="K1375" s="9" t="str">
        <x:v>退出申请主体固定为当前账号</x:v>
      </x:c>
      <x:c r="L1375" s="10" t="str"/>
      <x:c r="M1375" s="10" t="str">
        <x:v>未测</x:v>
      </x:c>
      <x:c r="N1375" s="10" t="str"/>
      <x:c r="O1375" s="9" t="str">
        <x:v>1. 来源（当前证据）：liveshow-proto/MainBasis/统一需求文档.md；位置：行1035、行1028
2. 规则：BR-d67496ec30caf0c7
3. 未动态验证</x:v>
      </x:c>
    </x:row>
    <x:row r="1376" ht="85" customHeight="1">
      <x:c r="A1376" s="10" t="n">
        <x:v>1375</x:v>
      </x:c>
      <x:c r="B1376" s="10" t="str">
        <x:v>USER-07-0169</x:v>
      </x:c>
      <x:c r="C1376" s="10" t="str">
        <x:v>主播中心</x:v>
      </x:c>
      <x:c r="D1376" s="10" t="str">
        <x:v>粉丝团（所属主播视角）</x:v>
      </x:c>
      <x:c r="E1376" s="10" t="str">
        <x:v>功能需求</x:v>
      </x:c>
      <x:c r="F1376" s="10" t="str">
        <x:v>P2</x:v>
      </x:c>
      <x:c r="G1376" s="9" t="str">
        <x:v>验证粉丝团成员计数范围</x:v>
      </x:c>
      <x:c r="H1376" s="9" t="str">
        <x:v>粉丝团成员计数</x:v>
      </x:c>
      <x:c r="I1376" s="9" t="str">
        <x:v>1. 执行角色为所属主播；当前处于粉丝团页面
2. 当前粉丝团有10名有效成员，另有2名已退出成员</x:v>
      </x:c>
      <x:c r="J1376" s="9" t="str">
        <x:v>1. 查看成员数</x:v>
      </x:c>
      <x:c r="K1376" s="9" t="str">
        <x:v>成员数为10</x:v>
      </x:c>
      <x:c r="L1376" s="10" t="str"/>
      <x:c r="M1376" s="10" t="str">
        <x:v>未测</x:v>
      </x:c>
      <x:c r="N1376" s="10" t="str"/>
      <x:c r="O1376" s="9" t="str">
        <x:v>1. 来源（当前证据）：liveshow-proto/MainBasis/统一需求文档.md；位置：行1225、行1222
2. 规则：BR-60df3854eed14b8d
3. 未动态验证</x:v>
      </x:c>
    </x:row>
    <x:row r="1377" ht="85" customHeight="1">
      <x:c r="A1377" s="10" t="n">
        <x:v>1376</x:v>
      </x:c>
      <x:c r="B1377" s="10" t="str">
        <x:v>USER-07-0170</x:v>
      </x:c>
      <x:c r="C1377" s="10" t="str">
        <x:v>主播中心</x:v>
      </x:c>
      <x:c r="D1377" s="10" t="str">
        <x:v>粉丝团（所属主播视角）</x:v>
      </x:c>
      <x:c r="E1377" s="10" t="str">
        <x:v>功能需求</x:v>
      </x:c>
      <x:c r="F1377" s="10" t="str">
        <x:v>P2</x:v>
      </x:c>
      <x:c r="G1377" s="9" t="str">
        <x:v>验证粉丝团加入门槛展示</x:v>
      </x:c>
      <x:c r="H1377" s="9" t="str">
        <x:v>粉丝团入团门槛</x:v>
      </x:c>
      <x:c r="I1377" s="9" t="str">
        <x:v>1. 执行角色为所属主播；当前处于粉丝团页面
2. 当前配置需要关注且累计贡献门槛100金币</x:v>
      </x:c>
      <x:c r="J1377" s="9" t="str">
        <x:v>1. 查看加入条件</x:v>
      </x:c>
      <x:c r="K1377" s="9" t="str">
        <x:v>显示需要关注且贡献门槛100金币</x:v>
      </x:c>
      <x:c r="L1377" s="10" t="str"/>
      <x:c r="M1377" s="10" t="str">
        <x:v>未测</x:v>
      </x:c>
      <x:c r="N1377" s="10" t="str"/>
      <x:c r="O1377" s="9" t="str">
        <x:v>1. 来源（当前证据）：liveshow-proto/MainBasis/统一需求文档.md；位置：行1226、行1222
2. 规则：BR-39208d9f33b14ccf
3. 未动态验证</x:v>
      </x:c>
    </x:row>
    <x:row r="1378" ht="85" customHeight="1">
      <x:c r="A1378" s="10" t="n">
        <x:v>1377</x:v>
      </x:c>
      <x:c r="B1378" s="10" t="str">
        <x:v>USER-07-0171</x:v>
      </x:c>
      <x:c r="C1378" s="10" t="str">
        <x:v>主播中心</x:v>
      </x:c>
      <x:c r="D1378" s="10" t="str">
        <x:v>粉丝列表（主播视角）</x:v>
      </x:c>
      <x:c r="E1378" s="10" t="str">
        <x:v>功能需求</x:v>
      </x:c>
      <x:c r="F1378" s="10" t="str">
        <x:v>P2</x:v>
      </x:c>
      <x:c r="G1378" s="9" t="str">
        <x:v>验证粉丝财富等级配置映射</x:v>
      </x:c>
      <x:c r="H1378" s="9" t="str">
        <x:v>展示内容</x:v>
      </x:c>
      <x:c r="I1378" s="9" t="str">
        <x:v>1. 执行角色为主播；当前处于粉丝列表页面
2. 用户A当前财富成长值达到已配置5级区间</x:v>
      </x:c>
      <x:c r="J1378" s="9" t="str">
        <x:v>1. 查看A财富等级</x:v>
      </x:c>
      <x:c r="K1378" s="9" t="str">
        <x:v>显示财富5级</x:v>
      </x:c>
      <x:c r="L1378" s="10" t="str"/>
      <x:c r="M1378" s="10" t="str">
        <x:v>未测</x:v>
      </x:c>
      <x:c r="N1378" s="10" t="str"/>
      <x:c r="O1378" s="9" t="str">
        <x:v>1. 来源（当前证据）：liveshow-proto/MainBasis/统一需求文档.md；位置：行1215、行1212
2. 规则：BR-533c8d7e68503406
3. 未动态验证</x:v>
      </x:c>
    </x:row>
    <x:row r="1379" ht="85" customHeight="1">
      <x:c r="A1379" s="10" t="n">
        <x:v>1378</x:v>
      </x:c>
      <x:c r="B1379" s="10" t="str">
        <x:v>USER-02-0178</x:v>
      </x:c>
      <x:c r="C1379" s="10" t="str">
        <x:v>首页与福利</x:v>
      </x:c>
      <x:c r="D1379" s="10" t="str">
        <x:v>贡献榜（普通用户视角）</x:v>
      </x:c>
      <x:c r="E1379" s="10" t="str">
        <x:v>功能需求</x:v>
      </x:c>
      <x:c r="F1379" s="10" t="str">
        <x:v>P2</x:v>
      </x:c>
      <x:c r="G1379" s="9" t="str">
        <x:v>验证贡献榜初始财富等级</x:v>
      </x:c>
      <x:c r="H1379" s="9" t="str">
        <x:v>展示内容</x:v>
      </x:c>
      <x:c r="I1379" s="9" t="str">
        <x:v>1. 执行角色为普通用户；当前处于贡献榜页面
2. 榜单中A只有初始财富等级</x:v>
      </x:c>
      <x:c r="J1379" s="9" t="str">
        <x:v>1. 查看A财富等级</x:v>
      </x:c>
      <x:c r="K1379" s="9" t="str">
        <x:v>显示财富1级</x:v>
      </x:c>
      <x:c r="L1379" s="10" t="str"/>
      <x:c r="M1379" s="10" t="str">
        <x:v>未测</x:v>
      </x:c>
      <x:c r="N1379" s="10" t="str"/>
      <x:c r="O1379" s="9" t="str">
        <x:v>1. 来源（当前证据）：liveshow-proto/MainBasis/统一需求文档.md；位置：行561、行553
2. 规则：BR-97b0af531ee9cadd
3. 未动态验证</x:v>
      </x:c>
    </x:row>
    <x:row r="1380" ht="85" customHeight="1">
      <x:c r="A1380" s="10" t="n">
        <x:v>1379</x:v>
      </x:c>
      <x:c r="B1380" s="10" t="str">
        <x:v>USER-05-0244</x:v>
      </x:c>
      <x:c r="C1380" s="10" t="str">
        <x:v>我的</x:v>
      </x:c>
      <x:c r="D1380" s="10" t="str">
        <x:v>贡献榜（有效粉丝团成员视角）</x:v>
      </x:c>
      <x:c r="E1380" s="10" t="str">
        <x:v>功能需求</x:v>
      </x:c>
      <x:c r="F1380" s="10" t="str">
        <x:v>P2</x:v>
      </x:c>
      <x:c r="G1380" s="9" t="str">
        <x:v>验证粉丝贡献榜最低财富等级</x:v>
      </x:c>
      <x:c r="H1380" s="9" t="str">
        <x:v>展示内容</x:v>
      </x:c>
      <x:c r="I1380" s="9" t="str">
        <x:v>1. 执行角色为有效粉丝团成员；当前处于贡献榜页面
2. 本人为当前主播粉丝团有效成员，等级均处于初始等级</x:v>
      </x:c>
      <x:c r="J1380" s="9" t="str">
        <x:v>1. 查看本人财富等级</x:v>
      </x:c>
      <x:c r="K1380" s="9" t="str">
        <x:v>显示财富1级</x:v>
      </x:c>
      <x:c r="L1380" s="10" t="str"/>
      <x:c r="M1380" s="10" t="str">
        <x:v>未测</x:v>
      </x:c>
      <x:c r="N1380" s="10" t="str"/>
      <x:c r="O1380" s="9" t="str">
        <x:v>1. 来源（当前证据）：liveshow-proto/MainBasis/统一需求文档.md；位置：行1114、行1107
2. 规则：BR-18279e9d1e7dc4e7
3. 未动态验证</x:v>
      </x:c>
    </x:row>
    <x:row r="1381" ht="85" customHeight="1">
      <x:c r="A1381" s="10" t="n">
        <x:v>1380</x:v>
      </x:c>
      <x:c r="B1381" s="10" t="str">
        <x:v>USER-05-0245</x:v>
      </x:c>
      <x:c r="C1381" s="10" t="str">
        <x:v>我的</x:v>
      </x:c>
      <x:c r="D1381" s="10" t="str">
        <x:v>申请成为主播（入会申请人视角）</x:v>
      </x:c>
      <x:c r="E1381" s="10" t="str">
        <x:v>功能需求</x:v>
      </x:c>
      <x:c r="F1381" s="10" t="str">
        <x:v>P2</x:v>
      </x:c>
      <x:c r="G1381" s="9" t="str">
        <x:v>验证公会审核中不显示处理时间</x:v>
      </x:c>
      <x:c r="H1381" s="9" t="str">
        <x:v>审核处理时间可见性</x:v>
      </x:c>
      <x:c r="I1381" s="9" t="str">
        <x:v>1. 执行角色为入会申请人；当前处于申请成为主播页面
2. 公会正在审核本次申请</x:v>
      </x:c>
      <x:c r="J1381" s="9" t="str">
        <x:v>1. 查看公会审核节点</x:v>
      </x:c>
      <x:c r="K1381" s="9" t="str">
        <x:v>不显示公会处理时间</x:v>
      </x:c>
      <x:c r="L1381" s="10" t="str"/>
      <x:c r="M1381" s="10" t="str">
        <x:v>未测</x:v>
      </x:c>
      <x:c r="N1381" s="10" t="str"/>
      <x:c r="O1381" s="9" t="str">
        <x:v>1. 来源（当前证据）：liveshow-proto/MainBasis/统一需求文档.md；位置：行1174、行1169
2. 规则：BR-55534aee0f463901
3. 未动态验证</x:v>
      </x:c>
    </x:row>
    <x:row r="1382" ht="85" customHeight="1">
      <x:c r="A1382" s="10" t="n">
        <x:v>1381</x:v>
      </x:c>
      <x:c r="B1382" s="10" t="str">
        <x:v>USER-05-0246</x:v>
      </x:c>
      <x:c r="C1382" s="10" t="str">
        <x:v>我的</x:v>
      </x:c>
      <x:c r="D1382" s="10" t="str">
        <x:v>申请成为主播（入会申请人视角）</x:v>
      </x:c>
      <x:c r="E1382" s="10" t="str">
        <x:v>功能需求</x:v>
      </x:c>
      <x:c r="F1382" s="10" t="str">
        <x:v>P2</x:v>
      </x:c>
      <x:c r="G1382" s="9" t="str">
        <x:v>验证平台未开始不显示处理时间</x:v>
      </x:c>
      <x:c r="H1382" s="9" t="str">
        <x:v>展示内容</x:v>
      </x:c>
      <x:c r="I1382" s="9" t="str">
        <x:v>1. 执行角色为入会申请人；当前处于申请成为主播页面
2. 公会尚未通过，平台未开始审核</x:v>
      </x:c>
      <x:c r="J1382" s="9" t="str">
        <x:v>1. 查看平台审核节点</x:v>
      </x:c>
      <x:c r="K1382" s="9" t="str">
        <x:v>不显示平台处理时间</x:v>
      </x:c>
      <x:c r="L1382" s="10" t="str"/>
      <x:c r="M1382" s="10" t="str">
        <x:v>未测</x:v>
      </x:c>
      <x:c r="N1382" s="10" t="str"/>
      <x:c r="O1382" s="9" t="str">
        <x:v>1. 来源（当前证据）：liveshow-proto/MainBasis/统一需求文档.md；位置：行1174、行1169
2. 规则：BR-8223c6f1d152c5b8
3. 未动态验证</x:v>
      </x:c>
    </x:row>
    <x:row r="1383" ht="85" customHeight="1">
      <x:c r="A1383" s="10" t="n">
        <x:v>1382</x:v>
      </x:c>
      <x:c r="B1383" s="10" t="str">
        <x:v>USER-05-0247</x:v>
      </x:c>
      <x:c r="C1383" s="10" t="str">
        <x:v>我的</x:v>
      </x:c>
      <x:c r="D1383" s="10" t="str">
        <x:v>申请成为主播（入会申请人视角）</x:v>
      </x:c>
      <x:c r="E1383" s="10" t="str">
        <x:v>功能需求</x:v>
      </x:c>
      <x:c r="F1383" s="10" t="str">
        <x:v>P2</x:v>
      </x:c>
      <x:c r="G1383" s="9" t="str">
        <x:v>验证公会通过处理时间</x:v>
      </x:c>
      <x:c r="H1383" s="9" t="str">
        <x:v>展示内容</x:v>
      </x:c>
      <x:c r="I1383" s="9" t="str">
        <x:v>1. 执行角色为入会申请人；当前处于申请成为主播页面
2. 公会在09/15 10:00通过申请</x:v>
      </x:c>
      <x:c r="J1383" s="9" t="str">
        <x:v>1. 查看公会审核节点</x:v>
      </x:c>
      <x:c r="K1383" s="9" t="str">
        <x:v>通过时间为09/15 10:00</x:v>
      </x:c>
      <x:c r="L1383" s="10" t="str"/>
      <x:c r="M1383" s="10" t="str">
        <x:v>未测</x:v>
      </x:c>
      <x:c r="N1383" s="10" t="str"/>
      <x:c r="O1383" s="9" t="str">
        <x:v>1. 来源（当前证据）：liveshow-proto/MainBasis/统一需求文档.md；位置：行1174、行1169
2. 规则：BR-ad1680c302857614
3. 未动态验证</x:v>
      </x:c>
    </x:row>
    <x:row r="1384" ht="130" customHeight="1">
      <x:c r="A1384" s="10" t="n">
        <x:v>1383</x:v>
      </x:c>
      <x:c r="B1384" s="10" t="str">
        <x:v>USER-05-0248</x:v>
      </x:c>
      <x:c r="C1384" s="10" t="str">
        <x:v>我的</x:v>
      </x:c>
      <x:c r="D1384" s="10" t="str">
        <x:v>申请成为主播（入会申请人视角）</x:v>
      </x:c>
      <x:c r="E1384" s="10" t="str">
        <x:v>功能需求</x:v>
      </x:c>
      <x:c r="F1384" s="10" t="str">
        <x:v>P2</x:v>
      </x:c>
      <x:c r="G1384" s="9" t="str">
        <x:v>验证公会驳回处理时间</x:v>
      </x:c>
      <x:c r="H1384" s="9" t="str">
        <x:v>展示内容</x:v>
      </x:c>
      <x:c r="I1384" s="9" t="str">
        <x:v>1. 执行角色为入会申请人；当前处于申请成为主播页面
2. 公会在09/15 10:00驳回申请</x:v>
      </x:c>
      <x:c r="J1384" s="9" t="str">
        <x:v>1. 查看公会审核节点</x:v>
      </x:c>
      <x:c r="K1384" s="9" t="str">
        <x:v>驳回时间为09/15 10:00</x:v>
      </x:c>
      <x:c r="L1384" s="10" t="str">
        <x:v>FLOW-B8276CAE</x:v>
      </x:c>
      <x:c r="M1384" s="10" t="str">
        <x:v>未测</x:v>
      </x:c>
      <x:c r="N1384" s="10" t="str"/>
      <x:c r="O1384" s="9" t="str">
        <x:v>1. 来源（当前证据）：liveshow-proto/MainBasis/统一需求文档.md；位置：行1174、行1169
2. 规则：BR-97aa4a2e9af22b60
3. 未动态验证
4. 状态转换：ST-USER-010；共同业务对象：入会申请；当前阶段：公会驳回申请后的用户App观察</x:v>
      </x:c>
    </x:row>
    <x:row r="1385" ht="85" customHeight="1">
      <x:c r="A1385" s="10" t="n">
        <x:v>1384</x:v>
      </x:c>
      <x:c r="B1385" s="10" t="str">
        <x:v>USER-05-0249</x:v>
      </x:c>
      <x:c r="C1385" s="10" t="str">
        <x:v>我的</x:v>
      </x:c>
      <x:c r="D1385" s="10" t="str">
        <x:v>申请成为主播（入会申请人视角）</x:v>
      </x:c>
      <x:c r="E1385" s="10" t="str">
        <x:v>功能需求</x:v>
      </x:c>
      <x:c r="F1385" s="10" t="str">
        <x:v>P2</x:v>
      </x:c>
      <x:c r="G1385" s="9" t="str">
        <x:v>验证审核页配置Banner</x:v>
      </x:c>
      <x:c r="H1385" s="9" t="str">
        <x:v>审核页Banner展示</x:v>
      </x:c>
      <x:c r="I1385" s="9" t="str">
        <x:v>1. 执行角色为入会申请人；当前处于申请成为主播页面
2. 后台已上传当前有效BannerP</x:v>
      </x:c>
      <x:c r="J1385" s="9" t="str">
        <x:v>1. 查看审核页Banner</x:v>
      </x:c>
      <x:c r="K1385" s="9" t="str">
        <x:v>显示后台BannerP</x:v>
      </x:c>
      <x:c r="L1385" s="10" t="str"/>
      <x:c r="M1385" s="10" t="str">
        <x:v>未测</x:v>
      </x:c>
      <x:c r="N1385" s="10" t="str"/>
      <x:c r="O1385" s="9" t="str">
        <x:v>1. 来源（当前证据）：liveshow-proto/MainBasis/统一需求文档.md；位置：行1171、行1169
2. 规则：BR-4ceaa6e41eeb8f82
3. 未动态验证</x:v>
      </x:c>
    </x:row>
    <x:row r="1386" ht="85" customHeight="1">
      <x:c r="A1386" s="10" t="n">
        <x:v>1385</x:v>
      </x:c>
      <x:c r="B1386" s="10" t="str">
        <x:v>USER-07-0172</x:v>
      </x:c>
      <x:c r="C1386" s="10" t="str">
        <x:v>主播中心</x:v>
      </x:c>
      <x:c r="D1386" s="10" t="str">
        <x:v>主播中心（当前主播视角）</x:v>
      </x:c>
      <x:c r="E1386" s="10" t="str">
        <x:v>功能需求</x:v>
      </x:c>
      <x:c r="F1386" s="10" t="str">
        <x:v>P2</x:v>
      </x:c>
      <x:c r="G1386" s="9" t="str">
        <x:v>验证今日时长显示</x:v>
      </x:c>
      <x:c r="H1386" s="9" t="str">
        <x:v>展示内容</x:v>
      </x:c>
      <x:c r="I1386" s="9" t="str">
        <x:v>1. 执行角色为当前主播；当前处于主播中心页面
2. 当前普通直播累计2小时30分钟，有效直播口径已独立统计</x:v>
      </x:c>
      <x:c r="J1386" s="9" t="str">
        <x:v>1. 选择今日
2. 查看时长</x:v>
      </x:c>
      <x:c r="K1386" s="9" t="str">
        <x:v>显示2小时30分钟</x:v>
      </x:c>
      <x:c r="L1386" s="10" t="str"/>
      <x:c r="M1386" s="10" t="str">
        <x:v>未测</x:v>
      </x:c>
      <x:c r="N1386" s="10" t="str"/>
      <x:c r="O1386" s="9" t="str">
        <x:v>1. 来源（当前证据）：liveshow-proto/MainBasis/统一需求文档.md；位置：行1132、行1121
2. 规则：BR-f2c96430c756b721
3. 未动态验证</x:v>
      </x:c>
    </x:row>
    <x:row r="1387" ht="85" customHeight="1">
      <x:c r="A1387" s="10" t="n">
        <x:v>1386</x:v>
      </x:c>
      <x:c r="B1387" s="10" t="str">
        <x:v>USER-07-0173</x:v>
      </x:c>
      <x:c r="C1387" s="10" t="str">
        <x:v>主播中心</x:v>
      </x:c>
      <x:c r="D1387" s="10" t="str">
        <x:v>主播中心（当前主播视角）</x:v>
      </x:c>
      <x:c r="E1387" s="10" t="str">
        <x:v>功能需求</x:v>
      </x:c>
      <x:c r="F1387" s="10" t="str">
        <x:v>P2</x:v>
      </x:c>
      <x:c r="G1387" s="9" t="str">
        <x:v>验证本月达标日不重复累计</x:v>
      </x:c>
      <x:c r="H1387" s="9" t="str">
        <x:v>展示内容</x:v>
      </x:c>
      <x:c r="I1387" s="9" t="str">
        <x:v>1. 执行角色为当前主播；当前处于主播中心页面
2. 本月有3个自然日分别有效直播3小时、6小时、2小时；业务时区固定</x:v>
      </x:c>
      <x:c r="J1387" s="9" t="str">
        <x:v>1. 选择本月
2. 查看有效天数</x:v>
      </x:c>
      <x:c r="K1387" s="9" t="str">
        <x:v>有效天数为2天</x:v>
      </x:c>
      <x:c r="L1387" s="10" t="str"/>
      <x:c r="M1387" s="10" t="str">
        <x:v>未测</x:v>
      </x:c>
      <x:c r="N1387" s="10" t="str"/>
      <x:c r="O1387" s="9" t="str">
        <x:v>1. 来源（当前证据）：liveshow-proto/MainBasis/统一需求文档.md；位置：行1133、行1121
2. 规则：BR-abef0b0952ed11ed
3. 未动态验证</x:v>
      </x:c>
    </x:row>
    <x:row r="1388" ht="85" customHeight="1">
      <x:c r="A1388" s="10" t="n">
        <x:v>1387</x:v>
      </x:c>
      <x:c r="B1388" s="10" t="str">
        <x:v>USER-07-0174</x:v>
      </x:c>
      <x:c r="C1388" s="10" t="str">
        <x:v>主播中心</x:v>
      </x:c>
      <x:c r="D1388" s="10" t="str">
        <x:v>直播记录（当前主播视角）</x:v>
      </x:c>
      <x:c r="E1388" s="10" t="str">
        <x:v>功能需求</x:v>
      </x:c>
      <x:c r="F1388" s="10" t="str">
        <x:v>P2</x:v>
      </x:c>
      <x:c r="G1388" s="9" t="str">
        <x:v>验证筛选直播收益求和</x:v>
      </x:c>
      <x:c r="H1388" s="9" t="str">
        <x:v>资产数值</x:v>
      </x:c>
      <x:c r="I1388" s="9" t="str">
        <x:v>1. 执行角色为当前主播；当前处于直播记录页面
2. 所选范围有场次S1收益100金币、S2收益200金币，均为真实普通礼物；S3在范围外</x:v>
      </x:c>
      <x:c r="J1388" s="9" t="str">
        <x:v>1. 查看汇总收益</x:v>
      </x:c>
      <x:c r="K1388" s="9" t="str">
        <x:v>当前筛选收益为300金币（计算结果 = 300 金币）</x:v>
      </x:c>
      <x:c r="L1388" s="10" t="str"/>
      <x:c r="M1388" s="10" t="str">
        <x:v>未测</x:v>
      </x:c>
      <x:c r="N1388" s="10" t="str"/>
      <x:c r="O1388" s="9" t="str">
        <x:v>1. 来源（当前证据）：liveshow-proto/MainBasis/统一需求文档.md；位置：行1266、行1259
2. 规则：BR-b9425675e6b85af0
3. 未动态验证</x:v>
      </x:c>
    </x:row>
    <x:row r="1389" ht="115" customHeight="1">
      <x:c r="A1389" s="10" t="n">
        <x:v>1388</x:v>
      </x:c>
      <x:c r="B1389" s="10" t="str">
        <x:v>USER-07-0175</x:v>
      </x:c>
      <x:c r="C1389" s="10" t="str">
        <x:v>主播中心</x:v>
      </x:c>
      <x:c r="D1389" s="10" t="str">
        <x:v>直播记录（当前主播视角）</x:v>
      </x:c>
      <x:c r="E1389" s="10" t="str">
        <x:v>功能需求</x:v>
      </x:c>
      <x:c r="F1389" s="10" t="str">
        <x:v>P2</x:v>
      </x:c>
      <x:c r="G1389" s="9" t="str">
        <x:v>验证场次观众独立统计</x:v>
      </x:c>
      <x:c r="H1389" s="9" t="str">
        <x:v>展示内容</x:v>
      </x:c>
      <x:c r="I1389" s="9" t="str">
        <x:v>1. 执行角色为当前主播；当前处于直播记录页面
2. 所选范围有场次S1收益100金币、S2收益200金币，均为真实普通礼物；S3在范围外
3. S1统计观众7人，S2统计20人</x:v>
      </x:c>
      <x:c r="J1389" s="9" t="str">
        <x:v>1. 查看S1观众人数</x:v>
      </x:c>
      <x:c r="K1389" s="9" t="str">
        <x:v>S1显示7人</x:v>
      </x:c>
      <x:c r="L1389" s="10" t="str"/>
      <x:c r="M1389" s="10" t="str">
        <x:v>未测</x:v>
      </x:c>
      <x:c r="N1389" s="10" t="str"/>
      <x:c r="O1389" s="9" t="str">
        <x:v>1. 来源（当前证据）：liveshow-proto/MainBasis/统一需求文档.md；位置：行1268、行1264、行1259
2. 规则：BR-a5e44d2b95cbbed3
3. 未动态验证</x:v>
      </x:c>
    </x:row>
    <x:row r="1390" ht="85" customHeight="1">
      <x:c r="A1390" s="10" t="n">
        <x:v>1389</x:v>
      </x:c>
      <x:c r="B1390" s="10" t="str">
        <x:v>USER-07-0176</x:v>
      </x:c>
      <x:c r="C1390" s="10" t="str">
        <x:v>主播中心</x:v>
      </x:c>
      <x:c r="D1390" s="10" t="str">
        <x:v>月数据（当前主播视角）</x:v>
      </x:c>
      <x:c r="E1390" s="10" t="str">
        <x:v>功能需求</x:v>
      </x:c>
      <x:c r="F1390" s="10" t="str">
        <x:v>P2</x:v>
      </x:c>
      <x:c r="G1390" s="9" t="str">
        <x:v>验证月收益统计范围</x:v>
      </x:c>
      <x:c r="H1390" s="9" t="str">
        <x:v>资产数值</x:v>
      </x:c>
      <x:c r="I1390" s="9" t="str">
        <x:v>1. 执行角色为当前主播；当前处于月数据页面
2. 当前选择9月；9月两场收益100和200金币、有效时长30和60分钟；8月数据不计入</x:v>
      </x:c>
      <x:c r="J1390" s="9" t="str">
        <x:v>1. 查看月收益</x:v>
      </x:c>
      <x:c r="K1390" s="9" t="str">
        <x:v>9月收益为300金币（计算结果 = 300 金币）</x:v>
      </x:c>
      <x:c r="L1390" s="10" t="str"/>
      <x:c r="M1390" s="10" t="str">
        <x:v>未测</x:v>
      </x:c>
      <x:c r="N1390" s="10" t="str"/>
      <x:c r="O1390" s="9" t="str">
        <x:v>1. 来源（当前证据）：liveshow-proto/MainBasis/统一需求文档.md；位置：行2027、行2033、行2024
2. 规则：BR-3ee5075d95973bcd
3. 未动态验证</x:v>
      </x:c>
    </x:row>
    <x:row r="1391" ht="85" customHeight="1">
      <x:c r="A1391" s="10" t="n">
        <x:v>1390</x:v>
      </x:c>
      <x:c r="B1391" s="10" t="str">
        <x:v>USER-07-0177</x:v>
      </x:c>
      <x:c r="C1391" s="10" t="str">
        <x:v>主播中心</x:v>
      </x:c>
      <x:c r="D1391" s="10" t="str">
        <x:v>月数据（当前主播视角）</x:v>
      </x:c>
      <x:c r="E1391" s="10" t="str">
        <x:v>功能需求</x:v>
      </x:c>
      <x:c r="F1391" s="10" t="str">
        <x:v>P2</x:v>
      </x:c>
      <x:c r="G1391" s="9" t="str">
        <x:v>验证月时长求和</x:v>
      </x:c>
      <x:c r="H1391" s="9" t="str">
        <x:v>展示内容</x:v>
      </x:c>
      <x:c r="I1391" s="9" t="str">
        <x:v>1. 执行角色为当前主播；当前处于月数据页面
2. 当前选择9月；9月两场收益100和200金币、有效时长30和60分钟；8月数据不计入</x:v>
      </x:c>
      <x:c r="J1391" s="9" t="str">
        <x:v>1. 查看开播时长</x:v>
      </x:c>
      <x:c r="K1391" s="9" t="str">
        <x:v>开播时长为90分钟（计算结果 = 90 分钟）</x:v>
      </x:c>
      <x:c r="L1391" s="10" t="str"/>
      <x:c r="M1391" s="10" t="str">
        <x:v>未测</x:v>
      </x:c>
      <x:c r="N1391" s="10" t="str"/>
      <x:c r="O1391" s="9" t="str">
        <x:v>1. 来源（当前证据）：liveshow-proto/MainBasis/统一需求文档.md；位置：行2029、行2024
2. 规则：BR-6e5c0159ebc7e1d1
3. 未动态验证</x:v>
      </x:c>
    </x:row>
    <x:row r="1392" ht="100" customHeight="1">
      <x:c r="A1392" s="10" t="n">
        <x:v>1391</x:v>
      </x:c>
      <x:c r="B1392" s="10" t="str">
        <x:v>USER-07-0178</x:v>
      </x:c>
      <x:c r="C1392" s="10" t="str">
        <x:v>主播中心</x:v>
      </x:c>
      <x:c r="D1392" s="10" t="str">
        <x:v>月数据（当前主播视角）</x:v>
      </x:c>
      <x:c r="E1392" s="10" t="str">
        <x:v>功能需求</x:v>
      </x:c>
      <x:c r="F1392" s="10" t="str">
        <x:v>P2</x:v>
      </x:c>
      <x:c r="G1392" s="9" t="str">
        <x:v>验证月观众人次回显</x:v>
      </x:c>
      <x:c r="H1392" s="9" t="str">
        <x:v>展示内容</x:v>
      </x:c>
      <x:c r="I1392" s="9" t="str">
        <x:v>1. 执行角色为当前主播；当前处于月数据页面
2. 当前选择9月；9月两场收益100和200金币、有效时长30和60分钟；8月数据不计入
3. 9月服务端统计观众人次50</x:v>
      </x:c>
      <x:c r="J1392" s="9" t="str">
        <x:v>1. 查看观众人次</x:v>
      </x:c>
      <x:c r="K1392" s="9" t="str">
        <x:v>显示50人次</x:v>
      </x:c>
      <x:c r="L1392" s="10" t="str"/>
      <x:c r="M1392" s="10" t="str">
        <x:v>未测</x:v>
      </x:c>
      <x:c r="N1392" s="10" t="str"/>
      <x:c r="O1392" s="9" t="str">
        <x:v>1. 来源（当前证据）：liveshow-proto/MainBasis/统一需求文档.md；位置：行2030、行2024
2. 规则：BR-35b79076d5fd5e29
3. 未动态验证</x:v>
      </x:c>
    </x:row>
    <x:row r="1393" ht="100" customHeight="1">
      <x:c r="A1393" s="10" t="n">
        <x:v>1392</x:v>
      </x:c>
      <x:c r="B1393" s="10" t="str">
        <x:v>USER-07-0179</x:v>
      </x:c>
      <x:c r="C1393" s="10" t="str">
        <x:v>主播中心</x:v>
      </x:c>
      <x:c r="D1393" s="10" t="str">
        <x:v>月数据（当前主播视角）</x:v>
      </x:c>
      <x:c r="E1393" s="10" t="str">
        <x:v>功能需求</x:v>
      </x:c>
      <x:c r="F1393" s="10" t="str">
        <x:v>P2</x:v>
      </x:c>
      <x:c r="G1393" s="9" t="str">
        <x:v>验证月新增粉丝回显</x:v>
      </x:c>
      <x:c r="H1393" s="9" t="str">
        <x:v>展示内容</x:v>
      </x:c>
      <x:c r="I1393" s="9" t="str">
        <x:v>1. 执行角色为当前主播；当前处于月数据页面
2. 当前选择9月；9月两场收益100和200金币、有效时长30和60分钟；8月数据不计入
3. 9月服务端统计新增粉丝5</x:v>
      </x:c>
      <x:c r="J1393" s="9" t="str">
        <x:v>1. 查看新增粉丝</x:v>
      </x:c>
      <x:c r="K1393" s="9" t="str">
        <x:v>显示5人</x:v>
      </x:c>
      <x:c r="L1393" s="10" t="str"/>
      <x:c r="M1393" s="10" t="str">
        <x:v>未测</x:v>
      </x:c>
      <x:c r="N1393" s="10" t="str"/>
      <x:c r="O1393" s="9" t="str">
        <x:v>1. 来源（当前证据）：liveshow-proto/MainBasis/统一需求文档.md；位置：行2031、行2024
2. 规则：BR-df3fe5d5616624ff
3. 未动态验证</x:v>
      </x:c>
    </x:row>
    <x:row r="1394" ht="100" customHeight="1">
      <x:c r="A1394" s="10" t="n">
        <x:v>1393</x:v>
      </x:c>
      <x:c r="B1394" s="10" t="str">
        <x:v>USER-07-0180</x:v>
      </x:c>
      <x:c r="C1394" s="10" t="str">
        <x:v>主播中心</x:v>
      </x:c>
      <x:c r="D1394" s="10" t="str">
        <x:v>月数据（当前主播视角）</x:v>
      </x:c>
      <x:c r="E1394" s="10" t="str">
        <x:v>功能需求</x:v>
      </x:c>
      <x:c r="F1394" s="10" t="str">
        <x:v>P2</x:v>
      </x:c>
      <x:c r="G1394" s="9" t="str">
        <x:v>验证月送礼人数回显</x:v>
      </x:c>
      <x:c r="H1394" s="9" t="str">
        <x:v>展示内容</x:v>
      </x:c>
      <x:c r="I1394" s="9" t="str">
        <x:v>1. 执行角色为当前主播；当前处于月数据页面
2. 当前选择9月；9月两场收益100和200金币、有效时长30和60分钟；8月数据不计入
3. 9月服务端统计送礼人数7</x:v>
      </x:c>
      <x:c r="J1394" s="9" t="str">
        <x:v>1. 查看送礼人数</x:v>
      </x:c>
      <x:c r="K1394" s="9" t="str">
        <x:v>显示7人</x:v>
      </x:c>
      <x:c r="L1394" s="10" t="str"/>
      <x:c r="M1394" s="10" t="str">
        <x:v>未测</x:v>
      </x:c>
      <x:c r="N1394" s="10" t="str"/>
      <x:c r="O1394" s="9" t="str">
        <x:v>1. 来源（当前证据）：liveshow-proto/MainBasis/统一需求文档.md；位置：行2031、行2024
2. 规则：BR-7ae2d4e0956c9db4
3. 未动态验证</x:v>
      </x:c>
    </x:row>
    <x:row r="1395" ht="85" customHeight="1">
      <x:c r="A1395" s="10" t="n">
        <x:v>1394</x:v>
      </x:c>
      <x:c r="B1395" s="10" t="str">
        <x:v>USER-03-0332</x:v>
      </x:c>
      <x:c r="C1395" s="10" t="str">
        <x:v>直播</x:v>
      </x:c>
      <x:c r="D1395" s="10" t="str">
        <x:v>粉丝团-未加入（未入团普通观众视角）</x:v>
      </x:c>
      <x:c r="E1395" s="10" t="str">
        <x:v>功能需求</x:v>
      </x:c>
      <x:c r="F1395" s="10" t="str">
        <x:v>P2</x:v>
      </x:c>
      <x:c r="G1395" s="9" t="str">
        <x:v>验证未入团卡片团名</x:v>
      </x:c>
      <x:c r="H1395" s="9" t="str">
        <x:v>展示内容</x:v>
      </x:c>
      <x:c r="I1395" s="9" t="str">
        <x:v>1. 执行角色为未入团普通观众；当前处于粉丝团-未加入页面
2. 当前主播粉丝团名QA团、有效成员10人、当前等级5</x:v>
      </x:c>
      <x:c r="J1395" s="9" t="str">
        <x:v>1. 查看粉丝团名称</x:v>
      </x:c>
      <x:c r="K1395" s="9" t="str">
        <x:v>显示QA团</x:v>
      </x:c>
      <x:c r="L1395" s="10" t="str"/>
      <x:c r="M1395" s="10" t="str">
        <x:v>未测</x:v>
      </x:c>
      <x:c r="N1395" s="10" t="str"/>
      <x:c r="O1395" s="9" t="str">
        <x:v>1. 来源（当前证据）：liveshow-proto/MainBasis/统一需求文档.md；位置：行1607、行1606
2. 规则：BR-1262794d0fadb6d9
3. 未动态验证</x:v>
      </x:c>
    </x:row>
    <x:row r="1396" ht="85" customHeight="1">
      <x:c r="A1396" s="10" t="n">
        <x:v>1395</x:v>
      </x:c>
      <x:c r="B1396" s="10" t="str">
        <x:v>USER-03-0333</x:v>
      </x:c>
      <x:c r="C1396" s="10" t="str">
        <x:v>直播</x:v>
      </x:c>
      <x:c r="D1396" s="10" t="str">
        <x:v>粉丝团-未加入（未入团普通观众视角）</x:v>
      </x:c>
      <x:c r="E1396" s="10" t="str">
        <x:v>功能需求</x:v>
      </x:c>
      <x:c r="F1396" s="10" t="str">
        <x:v>P2</x:v>
      </x:c>
      <x:c r="G1396" s="9" t="str">
        <x:v>验证未入团卡片人数</x:v>
      </x:c>
      <x:c r="H1396" s="9" t="str">
        <x:v>展示内容</x:v>
      </x:c>
      <x:c r="I1396" s="9" t="str">
        <x:v>1. 执行角色为未入团普通观众；当前处于粉丝团-未加入页面
2. 当前主播粉丝团名QA团、有效成员10人、当前等级5</x:v>
      </x:c>
      <x:c r="J1396" s="9" t="str">
        <x:v>1. 查看成员数</x:v>
      </x:c>
      <x:c r="K1396" s="9" t="str">
        <x:v>显示10人</x:v>
      </x:c>
      <x:c r="L1396" s="10" t="str"/>
      <x:c r="M1396" s="10" t="str">
        <x:v>未测</x:v>
      </x:c>
      <x:c r="N1396" s="10" t="str"/>
      <x:c r="O1396" s="9" t="str">
        <x:v>1. 来源（当前证据）：liveshow-proto/MainBasis/统一需求文档.md；位置：行1607、行1606
2. 规则：BR-7bc0308cb8725623
3. 未动态验证</x:v>
      </x:c>
    </x:row>
    <x:row r="1397" ht="85" customHeight="1">
      <x:c r="A1397" s="10" t="n">
        <x:v>1396</x:v>
      </x:c>
      <x:c r="B1397" s="10" t="str">
        <x:v>USER-03-0334</x:v>
      </x:c>
      <x:c r="C1397" s="10" t="str">
        <x:v>直播</x:v>
      </x:c>
      <x:c r="D1397" s="10" t="str">
        <x:v>粉丝团-未加入（未入团普通观众视角）</x:v>
      </x:c>
      <x:c r="E1397" s="10" t="str">
        <x:v>功能需求</x:v>
      </x:c>
      <x:c r="F1397" s="10" t="str">
        <x:v>P2</x:v>
      </x:c>
      <x:c r="G1397" s="9" t="str">
        <x:v>验证未入团卡片等级</x:v>
      </x:c>
      <x:c r="H1397" s="9" t="str">
        <x:v>展示内容</x:v>
      </x:c>
      <x:c r="I1397" s="9" t="str">
        <x:v>1. 执行角色为未入团普通观众；当前处于粉丝团-未加入页面
2. 当前主播粉丝团名QA团、有效成员10人、当前等级5</x:v>
      </x:c>
      <x:c r="J1397" s="9" t="str">
        <x:v>1. 查看当前等级</x:v>
      </x:c>
      <x:c r="K1397" s="9" t="str">
        <x:v>显示5级</x:v>
      </x:c>
      <x:c r="L1397" s="10" t="str"/>
      <x:c r="M1397" s="10" t="str">
        <x:v>未测</x:v>
      </x:c>
      <x:c r="N1397" s="10" t="str"/>
      <x:c r="O1397" s="9" t="str">
        <x:v>1. 来源（当前证据）：liveshow-proto/MainBasis/统一需求文档.md；位置：行1607、行1606
2. 规则：BR-278bc10ca97722ed
3. 未动态验证</x:v>
      </x:c>
    </x:row>
    <x:row r="1398" ht="85" customHeight="1">
      <x:c r="A1398" s="10" t="n">
        <x:v>1397</x:v>
      </x:c>
      <x:c r="B1398" s="10" t="str">
        <x:v>USER-03-0335</x:v>
      </x:c>
      <x:c r="C1398" s="10" t="str">
        <x:v>直播</x:v>
      </x:c>
      <x:c r="D1398" s="10" t="str">
        <x:v>粉丝团-未加入（未入团普通观众视角）</x:v>
      </x:c>
      <x:c r="E1398" s="10" t="str">
        <x:v>功能需求</x:v>
      </x:c>
      <x:c r="F1398" s="10" t="str">
        <x:v>P2</x:v>
      </x:c>
      <x:c r="G1398" s="9" t="str">
        <x:v>验证入团权益内容</x:v>
      </x:c>
      <x:c r="H1398" s="9" t="str">
        <x:v>展示内容</x:v>
      </x:c>
      <x:c r="I1398" s="9" t="str">
        <x:v>1. 执行角色为未入团普通观众；当前处于粉丝团-未加入页面
2. 当前主播粉丝团名QA团、有效成员10人、当前等级5</x:v>
      </x:c>
      <x:c r="J1398" s="9" t="str">
        <x:v>1. 查看加入权益</x:v>
      </x:c>
      <x:c r="K1398" s="9" t="str">
        <x:v>权益包含群聊、灯牌及等级权益</x:v>
      </x:c>
      <x:c r="L1398" s="10" t="str"/>
      <x:c r="M1398" s="10" t="str">
        <x:v>未测</x:v>
      </x:c>
      <x:c r="N1398" s="10" t="str"/>
      <x:c r="O1398" s="9" t="str">
        <x:v>1. 来源（当前证据）：liveshow-proto/MainBasis/统一需求文档.md；位置：行1609、行1606
2. 规则：BR-13f8768a88a5dc52
3. 未动态验证</x:v>
      </x:c>
    </x:row>
    <x:row r="1399" ht="85" customHeight="1">
      <x:c r="A1399" s="10" t="n">
        <x:v>1398</x:v>
      </x:c>
      <x:c r="B1399" s="10" t="str">
        <x:v>USER-03-0336</x:v>
      </x:c>
      <x:c r="C1399" s="10" t="str">
        <x:v>直播</x:v>
      </x:c>
      <x:c r="D1399" s="10" t="str">
        <x:v>粉丝团-已加入（已入团普通观众视角）</x:v>
      </x:c>
      <x:c r="E1399" s="10" t="str">
        <x:v>功能需求</x:v>
      </x:c>
      <x:c r="F1399" s="10" t="str">
        <x:v>P2</x:v>
      </x:c>
      <x:c r="G1399" s="9" t="str">
        <x:v>验证已入团卡片等级</x:v>
      </x:c>
      <x:c r="H1399" s="9" t="str">
        <x:v>展示内容</x:v>
      </x:c>
      <x:c r="I1399" s="9" t="str">
        <x:v>1. 执行角色为已入团普通观众；当前处于粉丝团-已加入页面
2. 本人对当前主播的本次有效团籍粉丝等级5、亲密度20</x:v>
      </x:c>
      <x:c r="J1399" s="9" t="str">
        <x:v>1. 查看粉丝等级</x:v>
      </x:c>
      <x:c r="K1399" s="9" t="str">
        <x:v>显示本人在当前主播团内5级</x:v>
      </x:c>
      <x:c r="L1399" s="10" t="str"/>
      <x:c r="M1399" s="10" t="str">
        <x:v>未测</x:v>
      </x:c>
      <x:c r="N1399" s="10" t="str"/>
      <x:c r="O1399" s="9" t="str">
        <x:v>1. 来源（当前证据）：liveshow-proto/MainBasis/统一需求文档.md；位置：行1620、行1619
2. 规则：BR-7bc8cda6f7dab6d9
3. 未动态验证</x:v>
      </x:c>
    </x:row>
    <x:row r="1400" ht="85" customHeight="1">
      <x:c r="A1400" s="10" t="n">
        <x:v>1399</x:v>
      </x:c>
      <x:c r="B1400" s="10" t="str">
        <x:v>USER-03-0337</x:v>
      </x:c>
      <x:c r="C1400" s="10" t="str">
        <x:v>直播</x:v>
      </x:c>
      <x:c r="D1400" s="10" t="str">
        <x:v>粉丝团-已加入（已入团普通观众视角）</x:v>
      </x:c>
      <x:c r="E1400" s="10" t="str">
        <x:v>功能需求</x:v>
      </x:c>
      <x:c r="F1400" s="10" t="str">
        <x:v>P2</x:v>
      </x:c>
      <x:c r="G1400" s="9" t="str">
        <x:v>验证已入团卡片亲密度</x:v>
      </x:c>
      <x:c r="H1400" s="9" t="str">
        <x:v>展示内容</x:v>
      </x:c>
      <x:c r="I1400" s="9" t="str">
        <x:v>1. 执行角色为已入团普通观众；当前处于粉丝团-已加入页面
2. 本人对当前主播的本次有效团籍粉丝等级5、亲密度20</x:v>
      </x:c>
      <x:c r="J1400" s="9" t="str">
        <x:v>1. 查看亲密度</x:v>
      </x:c>
      <x:c r="K1400" s="9" t="str">
        <x:v>显示本人与当前主播亲密度20</x:v>
      </x:c>
      <x:c r="L1400" s="10" t="str"/>
      <x:c r="M1400" s="10" t="str">
        <x:v>未测</x:v>
      </x:c>
      <x:c r="N1400" s="10" t="str"/>
      <x:c r="O1400" s="9" t="str">
        <x:v>1. 来源（当前证据）：liveshow-proto/MainBasis/统一需求文档.md；位置：行1621、行1619
2. 规则：BR-4a657e7c325b3ef6
3. 未动态验证</x:v>
      </x:c>
    </x:row>
    <x:row r="1401" ht="85" customHeight="1">
      <x:c r="A1401" s="10" t="n">
        <x:v>1400</x:v>
      </x:c>
      <x:c r="B1401" s="10" t="str">
        <x:v>USER-03-0338</x:v>
      </x:c>
      <x:c r="C1401" s="10" t="str">
        <x:v>直播</x:v>
      </x:c>
      <x:c r="D1401" s="10" t="str">
        <x:v>在线观众-观众列表（普通观众视角）</x:v>
      </x:c>
      <x:c r="E1401" s="10" t="str">
        <x:v>功能需求</x:v>
      </x:c>
      <x:c r="F1401" s="10" t="str">
        <x:v>P2</x:v>
      </x:c>
      <x:c r="G1401" s="9" t="str">
        <x:v>验证在线观众财富等级</x:v>
      </x:c>
      <x:c r="H1401" s="9" t="str">
        <x:v>展示内容</x:v>
      </x:c>
      <x:c r="I1401" s="9" t="str">
        <x:v>1. 执行角色为普通观众；当前处于在线观众-观众列表页面
2. 当前在线账号A财富成长值对应配置5级</x:v>
      </x:c>
      <x:c r="J1401" s="9" t="str">
        <x:v>1. 查看A财富等级</x:v>
      </x:c>
      <x:c r="K1401" s="9" t="str">
        <x:v>显示财富5级</x:v>
      </x:c>
      <x:c r="L1401" s="10" t="str"/>
      <x:c r="M1401" s="10" t="str">
        <x:v>未测</x:v>
      </x:c>
      <x:c r="N1401" s="10" t="str"/>
      <x:c r="O1401" s="9" t="str">
        <x:v>1. 来源（当前证据）：liveshow-proto/MainBasis/统一需求文档.md；位置：行1668、行1666
2. 规则：BR-e21f76647682e33f
3. 未动态验证</x:v>
      </x:c>
    </x:row>
    <x:row r="1402" ht="85" customHeight="1">
      <x:c r="A1402" s="10" t="n">
        <x:v>1401</x:v>
      </x:c>
      <x:c r="B1402" s="10" t="str">
        <x:v>USER-03-0339</x:v>
      </x:c>
      <x:c r="C1402" s="10" t="str">
        <x:v>直播</x:v>
      </x:c>
      <x:c r="D1402" s="10" t="str">
        <x:v>在线观众-观众列表（普通观众视角）</x:v>
      </x:c>
      <x:c r="E1402" s="10" t="str">
        <x:v>功能需求</x:v>
      </x:c>
      <x:c r="F1402" s="10" t="str">
        <x:v>P2</x:v>
      </x:c>
      <x:c r="G1402" s="9" t="str">
        <x:v>验证在线观众资料卡入口</x:v>
      </x:c>
      <x:c r="H1402" s="9" t="str">
        <x:v>展示内容</x:v>
      </x:c>
      <x:c r="I1402" s="9" t="str">
        <x:v>1. 执行角色为普通观众；当前处于在线观众-观众列表页面
2. A仍在线且账号可访问</x:v>
      </x:c>
      <x:c r="J1402" s="9" t="str">
        <x:v>1. 点击A用户行</x:v>
      </x:c>
      <x:c r="K1402" s="9" t="str">
        <x:v>打开A资料卡</x:v>
      </x:c>
      <x:c r="L1402" s="10" t="str"/>
      <x:c r="M1402" s="10" t="str">
        <x:v>未测</x:v>
      </x:c>
      <x:c r="N1402" s="10" t="str"/>
      <x:c r="O1402" s="9" t="str">
        <x:v>1. 来源（当前证据）：liveshow-proto/MainBasis/统一需求文档.md；位置：行1673、行1666
2. 规则：BR-d6562fde078eb8ed
3. 未动态验证</x:v>
      </x:c>
    </x:row>
    <x:row r="1403" ht="85" customHeight="1">
      <x:c r="A1403" s="10" t="n">
        <x:v>1402</x:v>
      </x:c>
      <x:c r="B1403" s="10" t="str">
        <x:v>USER-03-0340</x:v>
      </x:c>
      <x:c r="C1403" s="10" t="str">
        <x:v>直播</x:v>
      </x:c>
      <x:c r="D1403" s="10" t="str">
        <x:v>在线观众-房管列表（普通观众视角）</x:v>
      </x:c>
      <x:c r="E1403" s="10" t="str">
        <x:v>功能需求</x:v>
      </x:c>
      <x:c r="F1403" s="10" t="str">
        <x:v>P2</x:v>
      </x:c>
      <x:c r="G1403" s="9" t="str">
        <x:v>验证房管跨场次仍展示</x:v>
      </x:c>
      <x:c r="H1403" s="9" t="str">
        <x:v>展示内容</x:v>
      </x:c>
      <x:c r="I1403" s="9" t="str">
        <x:v>1. 执行角色为普通观众；当前处于在线观众-房管列表页面
2. A上场已被本主播授权，本场未取消</x:v>
      </x:c>
      <x:c r="J1403" s="9" t="str">
        <x:v>1. 查看房管列表</x:v>
      </x:c>
      <x:c r="K1403" s="9" t="str">
        <x:v>列表仍包含房管A</x:v>
      </x:c>
      <x:c r="L1403" s="10" t="str"/>
      <x:c r="M1403" s="10" t="str">
        <x:v>未测</x:v>
      </x:c>
      <x:c r="N1403" s="10" t="str"/>
      <x:c r="O1403" s="9" t="str">
        <x:v>1. 来源（当前证据）：liveshow-proto/MainBasis/统一需求文档.md；位置：行1678、行1676
2. 规则：BR-1c5680f18d9c2549
3. 未动态验证</x:v>
      </x:c>
    </x:row>
    <x:row r="1404" ht="85" customHeight="1">
      <x:c r="A1404" s="10" t="n">
        <x:v>1403</x:v>
      </x:c>
      <x:c r="B1404" s="10" t="str">
        <x:v>USER-03-0341</x:v>
      </x:c>
      <x:c r="C1404" s="10" t="str">
        <x:v>直播</x:v>
      </x:c>
      <x:c r="D1404" s="10" t="str">
        <x:v>本场贡献-贡献榜（本场主播视角）</x:v>
      </x:c>
      <x:c r="E1404" s="10" t="str">
        <x:v>功能需求</x:v>
      </x:c>
      <x:c r="F1404" s="10" t="str">
        <x:v>P2</x:v>
      </x:c>
      <x:c r="G1404" s="9" t="str">
        <x:v>验证主播贡献榜当前禁言标识</x:v>
      </x:c>
      <x:c r="H1404" s="9" t="str">
        <x:v>展示内容</x:v>
      </x:c>
      <x:c r="I1404" s="9" t="str">
        <x:v>1. 执行角色为本场主播；当前处于本场贡献-贡献榜页面
2. A本场有贡献且被本场禁言</x:v>
      </x:c>
      <x:c r="J1404" s="9" t="str">
        <x:v>1. 查看A贡献行</x:v>
      </x:c>
      <x:c r="K1404" s="9" t="str">
        <x:v>展示A禁言标识</x:v>
      </x:c>
      <x:c r="L1404" s="10" t="str"/>
      <x:c r="M1404" s="10" t="str">
        <x:v>未测</x:v>
      </x:c>
      <x:c r="N1404" s="10" t="str"/>
      <x:c r="O1404" s="9" t="str">
        <x:v>1. 来源（当前证据）：liveshow-proto/MainBasis/统一需求文档.md；位置：行1752、行1747
2. 规则：BR-ec2417712159c9e6
3. 未动态验证</x:v>
      </x:c>
    </x:row>
    <x:row r="1405" ht="85" customHeight="1">
      <x:c r="A1405" s="10" t="n">
        <x:v>1404</x:v>
      </x:c>
      <x:c r="B1405" s="10" t="str">
        <x:v>USER-03-0342</x:v>
      </x:c>
      <x:c r="C1405" s="10" t="str">
        <x:v>直播</x:v>
      </x:c>
      <x:c r="D1405" s="10" t="str">
        <x:v>本场贡献-贡献榜（本场主播视角）</x:v>
      </x:c>
      <x:c r="E1405" s="10" t="str">
        <x:v>功能需求</x:v>
      </x:c>
      <x:c r="F1405" s="10" t="str">
        <x:v>P2</x:v>
      </x:c>
      <x:c r="G1405" s="9" t="str">
        <x:v>验证主播贡献榜跳在线列表</x:v>
      </x:c>
      <x:c r="H1405" s="9" t="str">
        <x:v>展示内容</x:v>
      </x:c>
      <x:c r="I1405" s="9" t="str">
        <x:v>1. 执行角色为本场主播；当前处于本场贡献-贡献榜页面</x:v>
      </x:c>
      <x:c r="J1405" s="9" t="str">
        <x:v>1. 切换至观众</x:v>
      </x:c>
      <x:c r="K1405" s="9" t="str">
        <x:v>展示当前在线观众列表</x:v>
      </x:c>
      <x:c r="L1405" s="10" t="str"/>
      <x:c r="M1405" s="10" t="str">
        <x:v>未测</x:v>
      </x:c>
      <x:c r="N1405" s="10" t="str"/>
      <x:c r="O1405" s="9" t="str">
        <x:v>1. 来源（当前证据）：liveshow-proto/MainBasis/统一需求文档.md；位置：行1758、行1775、行1747
2. 规则：BR-908483a084cfcd38
3. 未动态验证</x:v>
      </x:c>
    </x:row>
    <x:row r="1406" ht="85" customHeight="1">
      <x:c r="A1406" s="10" t="n">
        <x:v>1405</x:v>
      </x:c>
      <x:c r="B1406" s="10" t="str">
        <x:v>USER-03-0343</x:v>
      </x:c>
      <x:c r="C1406" s="10" t="str">
        <x:v>直播</x:v>
      </x:c>
      <x:c r="D1406" s="10" t="str">
        <x:v>本场贡献-贡献榜（本场主播视角）</x:v>
      </x:c>
      <x:c r="E1406" s="10" t="str">
        <x:v>功能需求</x:v>
      </x:c>
      <x:c r="F1406" s="10" t="str">
        <x:v>P2</x:v>
      </x:c>
      <x:c r="G1406" s="9" t="str">
        <x:v>验证主播贡献榜用户资料卡</x:v>
      </x:c>
      <x:c r="H1406" s="9" t="str">
        <x:v>展示内容</x:v>
      </x:c>
      <x:c r="I1406" s="9" t="str">
        <x:v>1. 执行角色为本场主播；当前处于本场贡献-贡献榜页面
2. A在榜且可访问</x:v>
      </x:c>
      <x:c r="J1406" s="9" t="str">
        <x:v>1. 点击A用户行</x:v>
      </x:c>
      <x:c r="K1406" s="9" t="str">
        <x:v>打开A的主播权限资料卡</x:v>
      </x:c>
      <x:c r="L1406" s="10" t="str"/>
      <x:c r="M1406" s="10" t="str">
        <x:v>未测</x:v>
      </x:c>
      <x:c r="N1406" s="10" t="str"/>
      <x:c r="O1406" s="9" t="str">
        <x:v>1. 来源（当前证据）：liveshow-proto/MainBasis/统一需求文档.md；位置：行1758、行1747
2. 规则：BR-c9437a3de51eff6b
3. 未动态验证</x:v>
      </x:c>
    </x:row>
    <x:row r="1407" ht="85" customHeight="1">
      <x:c r="A1407" s="10" t="n">
        <x:v>1406</x:v>
      </x:c>
      <x:c r="B1407" s="10" t="str">
        <x:v>USER-03-0344</x:v>
      </x:c>
      <x:c r="C1407" s="10" t="str">
        <x:v>直播</x:v>
      </x:c>
      <x:c r="D1407" s="10" t="str">
        <x:v>本场贡献-贡献榜（本场主播视角）</x:v>
      </x:c>
      <x:c r="E1407" s="10" t="str">
        <x:v>功能需求</x:v>
      </x:c>
      <x:c r="F1407" s="10" t="str">
        <x:v>P2</x:v>
      </x:c>
      <x:c r="G1407" s="9" t="str">
        <x:v>验证主播贡献榜私信对象</x:v>
      </x:c>
      <x:c r="H1407" s="9" t="str">
        <x:v>页面去向</x:v>
      </x:c>
      <x:c r="I1407" s="9" t="str">
        <x:v>1. 执行角色为本场主播；当前处于本场贡献-贡献榜页面
2. A在榜且与本主播互为好友、未拉黑</x:v>
      </x:c>
      <x:c r="J1407" s="9" t="str">
        <x:v>1. 点击A私信</x:v>
      </x:c>
      <x:c r="K1407" s="9" t="str">
        <x:v>进入与A的单聊</x:v>
      </x:c>
      <x:c r="L1407" s="10" t="str"/>
      <x:c r="M1407" s="10" t="str">
        <x:v>未测</x:v>
      </x:c>
      <x:c r="N1407" s="10" t="str"/>
      <x:c r="O1407" s="9" t="str">
        <x:v>1. 来源（当前证据）：liveshow-proto/MainBasis/统一需求文档.md；位置：行1758、行1747
2. 规则：BR-682c254fe43f8651
3. 未动态验证</x:v>
      </x:c>
    </x:row>
    <x:row r="1408" ht="85" customHeight="1">
      <x:c r="A1408" s="10" t="n">
        <x:v>1407</x:v>
      </x:c>
      <x:c r="B1408" s="10" t="str">
        <x:v>USER-03-0345</x:v>
      </x:c>
      <x:c r="C1408" s="10" t="str">
        <x:v>直播</x:v>
      </x:c>
      <x:c r="D1408" s="10" t="str">
        <x:v>重点观众（本场主播视角）</x:v>
      </x:c>
      <x:c r="E1408" s="10" t="str">
        <x:v>功能需求</x:v>
      </x:c>
      <x:c r="F1408" s="10" t="str">
        <x:v>P2</x:v>
      </x:c>
      <x:c r="G1408" s="9" t="str">
        <x:v>验证重点观众资料卡对象</x:v>
      </x:c>
      <x:c r="H1408" s="9" t="str">
        <x:v>展示内容</x:v>
      </x:c>
      <x:c r="I1408" s="9" t="str">
        <x:v>1. 执行角色为本场主播；当前处于重点观众页面
2. 所选重点观众为A，A账号可访问</x:v>
      </x:c>
      <x:c r="J1408" s="9" t="str">
        <x:v>1. 点击A用户行</x:v>
      </x:c>
      <x:c r="K1408" s="9" t="str">
        <x:v>打开A的主播权限资料卡</x:v>
      </x:c>
      <x:c r="L1408" s="10" t="str"/>
      <x:c r="M1408" s="10" t="str">
        <x:v>未测</x:v>
      </x:c>
      <x:c r="N1408" s="10" t="str"/>
      <x:c r="O1408" s="9" t="str">
        <x:v>1. 来源（当前证据）：liveshow-proto/MainBasis/统一需求文档.md；位置：行1820、行1815
2. 规则：BR-802ed9282cc2adae
3. 未动态验证</x:v>
      </x:c>
    </x:row>
    <x:row r="1409" ht="85" customHeight="1">
      <x:c r="A1409" s="10" t="n">
        <x:v>1408</x:v>
      </x:c>
      <x:c r="B1409" s="10" t="str">
        <x:v>USER-03-0346</x:v>
      </x:c>
      <x:c r="C1409" s="10" t="str">
        <x:v>直播</x:v>
      </x:c>
      <x:c r="D1409" s="10" t="str">
        <x:v>重点观众（本场主播视角）</x:v>
      </x:c>
      <x:c r="E1409" s="10" t="str">
        <x:v>功能需求</x:v>
      </x:c>
      <x:c r="F1409" s="10" t="str">
        <x:v>P2</x:v>
      </x:c>
      <x:c r="G1409" s="9" t="str">
        <x:v>验证重点观众私信对象</x:v>
      </x:c>
      <x:c r="H1409" s="9" t="str">
        <x:v>页面去向</x:v>
      </x:c>
      <x:c r="I1409" s="9" t="str">
        <x:v>1. 执行角色为本场主播；当前处于重点观众页面
2. 所选重点观众为A，A账号可访问
3. A与主播为好友且未拉黑</x:v>
      </x:c>
      <x:c r="J1409" s="9" t="str">
        <x:v>1. 点击A私信</x:v>
      </x:c>
      <x:c r="K1409" s="9" t="str">
        <x:v>进入与A单聊</x:v>
      </x:c>
      <x:c r="L1409" s="10" t="str"/>
      <x:c r="M1409" s="10" t="str">
        <x:v>未测</x:v>
      </x:c>
      <x:c r="N1409" s="10" t="str"/>
      <x:c r="O1409" s="9" t="str">
        <x:v>1. 来源（当前证据）：liveshow-proto/MainBasis/统一需求文档.md；位置：行1820、行1815
2. 规则：BR-e4fc449b53c2a331
3. 未动态验证</x:v>
      </x:c>
    </x:row>
    <x:row r="1410" ht="85" customHeight="1">
      <x:c r="A1410" s="10" t="n">
        <x:v>1409</x:v>
      </x:c>
      <x:c r="B1410" s="10" t="str">
        <x:v>USER-03-0347</x:v>
      </x:c>
      <x:c r="C1410" s="10" t="str">
        <x:v>直播</x:v>
      </x:c>
      <x:c r="D1410" s="10" t="str">
        <x:v>重点观众（本场主播视角）</x:v>
      </x:c>
      <x:c r="E1410" s="10" t="str">
        <x:v>功能需求</x:v>
      </x:c>
      <x:c r="F1410" s="10" t="str">
        <x:v>P2</x:v>
      </x:c>
      <x:c r="G1410" s="9" t="str">
        <x:v>验证重点观众提及对象</x:v>
      </x:c>
      <x:c r="H1410" s="9" t="str">
        <x:v>展示内容</x:v>
      </x:c>
      <x:c r="I1410" s="9" t="str">
        <x:v>1. 执行角色为本场主播；当前处于重点观众页面
2. 所选重点观众为A，A账号可访问</x:v>
      </x:c>
      <x:c r="J1410" s="9" t="str">
        <x:v>1. 点击A的@入口</x:v>
      </x:c>
      <x:c r="K1410" s="9" t="str">
        <x:v>输入框预填@A</x:v>
      </x:c>
      <x:c r="L1410" s="10" t="str"/>
      <x:c r="M1410" s="10" t="str">
        <x:v>未测</x:v>
      </x:c>
      <x:c r="N1410" s="10" t="str"/>
      <x:c r="O1410" s="9" t="str">
        <x:v>1. 来源（当前证据）：liveshow-proto/MainBasis/统一需求文档.md；位置：行1820、行1815
2. 规则：BR-ba98f1b287ce6fac
3. 未动态验证</x:v>
      </x:c>
    </x:row>
    <x:row r="1411" ht="85" customHeight="1">
      <x:c r="A1411" s="10" t="n">
        <x:v>1410</x:v>
      </x:c>
      <x:c r="B1411" s="10" t="str">
        <x:v>USER-03-0348</x:v>
      </x:c>
      <x:c r="C1411" s="10" t="str">
        <x:v>直播</x:v>
      </x:c>
      <x:c r="D1411" s="10" t="str">
        <x:v>直播间（主播）（本场主播视角）</x:v>
      </x:c>
      <x:c r="E1411" s="10" t="str">
        <x:v>功能需求</x:v>
      </x:c>
      <x:c r="F1411" s="10" t="str">
        <x:v>P2</x:v>
      </x:c>
      <x:c r="G1411" s="9" t="str">
        <x:v>验证失效连麦邀请移除</x:v>
      </x:c>
      <x:c r="H1411" s="9" t="str">
        <x:v>失效连麦邀请清理</x:v>
      </x:c>
      <x:c r="I1411" s="9" t="str">
        <x:v>1. 执行角色为本场主播；当前处于直播间（主播）页面
2. 向B发出的邀请尚未回应，B现已结束直播</x:v>
      </x:c>
      <x:c r="J1411" s="9" t="str">
        <x:v>1. 打开连麦邀请列表</x:v>
      </x:c>
      <x:c r="K1411" s="9" t="str">
        <x:v>B的邀请不再属于有效邀请</x:v>
      </x:c>
      <x:c r="L1411" s="10" t="str"/>
      <x:c r="M1411" s="10" t="str">
        <x:v>未测</x:v>
      </x:c>
      <x:c r="N1411" s="10" t="str"/>
      <x:c r="O1411" s="9" t="str">
        <x:v>1. 来源（当前证据）：liveshow-proto/MainBasis/统一需求文档.md；位置：行1843、行796
2. 规则：BR-3da8d7f71abefb37
3. 未动态验证</x:v>
      </x:c>
    </x:row>
    <x:row r="1412" ht="85" customHeight="1">
      <x:c r="A1412" s="10" t="n">
        <x:v>1411</x:v>
      </x:c>
      <x:c r="B1412" s="10" t="str">
        <x:v>USER-04-0183</x:v>
      </x:c>
      <x:c r="C1412" s="10" t="str">
        <x:v>消息与社交</x:v>
      </x:c>
      <x:c r="D1412" s="10" t="str">
        <x:v>用户主页（普通用户A视角）</x:v>
      </x:c>
      <x:c r="E1412" s="10" t="str">
        <x:v>功能需求</x:v>
      </x:c>
      <x:c r="F1412" s="10" t="str">
        <x:v>P2</x:v>
      </x:c>
      <x:c r="G1412" s="9" t="str">
        <x:v>验证主页确认拉黑状态</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x:v>
      </x:c>
      <x:c r="K1412" s="9" t="str">
        <x:v>B变为已拉黑</x:v>
      </x:c>
      <x:c r="L1412" s="10" t="str"/>
      <x:c r="M1412" s="10" t="str">
        <x:v>未测</x:v>
      </x:c>
      <x:c r="N1412" s="10" t="str"/>
      <x:c r="O1412" s="9" t="str">
        <x:v>1. 来源（当前证据）：liveshow-proto/MainBasis/统一需求文档.md；位置：行1047、行1955、行1039
2. 规则：BR-b1766c6be39da511
3. 未动态验证</x:v>
      </x:c>
    </x:row>
    <x:row r="1413" ht="85" customHeight="1">
      <x:c r="A1413" s="10" t="n">
        <x:v>1412</x:v>
      </x:c>
      <x:c r="B1413" s="10" t="str">
        <x:v>USER-04-0184</x:v>
      </x:c>
      <x:c r="C1413" s="10" t="str">
        <x:v>消息与社交</x:v>
      </x:c>
      <x:c r="D1413" s="10" t="str">
        <x:v>用户主页（普通用户A视角）</x:v>
      </x:c>
      <x:c r="E1413" s="10" t="str">
        <x:v>功能需求</x:v>
      </x:c>
      <x:c r="F1413" s="10" t="str">
        <x:v>P2</x:v>
      </x:c>
      <x:c r="G1413" s="9" t="str">
        <x:v>验证主页拉黑解除本人关注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进入我的关注</x:v>
      </x:c>
      <x:c r="K1413" s="9" t="str">
        <x:v>B从A关注列表移除</x:v>
      </x:c>
      <x:c r="L1413" s="10" t="str"/>
      <x:c r="M1413" s="10" t="str">
        <x:v>未测</x:v>
      </x:c>
      <x:c r="N1413" s="10" t="str"/>
      <x:c r="O1413" s="9" t="str">
        <x:v>1. 来源（当前证据）：liveshow-proto/MainBasis/统一需求文档.md；位置：行1047、行1955、行1039
2. 规则：BR-4571a7a979599815
3. 未动态验证</x:v>
      </x:c>
    </x:row>
    <x:row r="1414" ht="85" customHeight="1">
      <x:c r="A1414" s="10" t="n">
        <x:v>1413</x:v>
      </x:c>
      <x:c r="B1414" s="10" t="str">
        <x:v>USER-04-0185</x:v>
      </x:c>
      <x:c r="C1414" s="10" t="str">
        <x:v>消息与社交</x:v>
      </x:c>
      <x:c r="D1414" s="10" t="str">
        <x:v>用户主页（普通用户A视角）</x:v>
      </x:c>
      <x:c r="E1414" s="10" t="str">
        <x:v>功能需求</x:v>
      </x:c>
      <x:c r="F1414" s="10" t="str">
        <x:v>P2</x:v>
      </x:c>
      <x:c r="G1414" s="9" t="str">
        <x:v>验证主页拉黑解除对方关注</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进入我的粉丝</x:v>
      </x:c>
      <x:c r="K1414" s="9" t="str">
        <x:v>B从A粉丝列表移除</x:v>
      </x:c>
      <x:c r="L1414" s="10" t="str"/>
      <x:c r="M1414" s="10" t="str">
        <x:v>未测</x:v>
      </x:c>
      <x:c r="N1414" s="10" t="str"/>
      <x:c r="O1414" s="9" t="str">
        <x:v>1. 来源（当前证据）：liveshow-proto/MainBasis/统一需求文档.md；位置：行1047、行1955、行1039
2. 规则：BR-f61dd5bbe51773df
3. 未动态验证</x:v>
      </x:c>
    </x:row>
    <x:row r="1415" ht="85" customHeight="1">
      <x:c r="A1415" s="10" t="n">
        <x:v>1414</x:v>
      </x:c>
      <x:c r="B1415" s="10" t="str">
        <x:v>USER-04-0186</x:v>
      </x:c>
      <x:c r="C1415" s="10" t="str">
        <x:v>消息与社交</x:v>
      </x:c>
      <x:c r="D1415" s="10" t="str">
        <x:v>用户主页（普通用户A视角）</x:v>
      </x:c>
      <x:c r="E1415" s="10" t="str">
        <x:v>功能需求</x:v>
      </x:c>
      <x:c r="F1415" s="10" t="str">
        <x:v>P2</x:v>
      </x:c>
      <x:c r="G1415" s="9" t="str">
        <x:v>验证主页拉黑解除好友</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进入好友列表</x:v>
      </x:c>
      <x:c r="K1415" s="9" t="str">
        <x:v>B不再是A的好友</x:v>
      </x:c>
      <x:c r="L1415" s="10" t="str"/>
      <x:c r="M1415" s="10" t="str">
        <x:v>未测</x:v>
      </x:c>
      <x:c r="N1415" s="10" t="str"/>
      <x:c r="O1415" s="9" t="str">
        <x:v>1. 来源（当前证据）：liveshow-proto/MainBasis/统一需求文档.md；位置：行1047、行1955、行1039
2. 规则：BR-eb51adb439be6731
3. 未动态验证</x:v>
      </x:c>
    </x:row>
    <x:row r="1416" ht="85" customHeight="1">
      <x:c r="A1416" s="10" t="n">
        <x:v>1415</x:v>
      </x:c>
      <x:c r="B1416" s="10" t="str">
        <x:v>USER-04-0187</x:v>
      </x:c>
      <x:c r="C1416" s="10" t="str">
        <x:v>消息与社交</x:v>
      </x:c>
      <x:c r="D1416" s="10" t="str">
        <x:v>用户主页（普通用户A视角）</x:v>
      </x:c>
      <x:c r="E1416" s="10" t="str">
        <x:v>功能需求</x:v>
      </x:c>
      <x:c r="F1416" s="10" t="str">
        <x:v>P2</x:v>
      </x:c>
      <x:c r="G1416" s="9" t="str">
        <x:v>验证主页拉黑删除会话</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进入私信列表</x:v>
      </x:c>
      <x:c r="K1416" s="9" t="str">
        <x:v>不再展示与B的私信会话</x:v>
      </x:c>
      <x:c r="L1416" s="10" t="str"/>
      <x:c r="M1416" s="10" t="str">
        <x:v>未测</x:v>
      </x:c>
      <x:c r="N1416" s="10" t="str"/>
      <x:c r="O1416" s="9" t="str">
        <x:v>1. 来源（当前证据）：liveshow-proto/MainBasis/统一需求文档.md；位置：行1047、行1955、行1039
2. 规则：BR-13ab60ef4a01215b
3. 未动态验证</x:v>
      </x:c>
    </x:row>
    <x:row r="1417" ht="85" customHeight="1">
      <x:c r="A1417" s="10" t="n">
        <x:v>1416</x:v>
      </x:c>
      <x:c r="B1417" s="10" t="str">
        <x:v>USER-04-0188</x:v>
      </x:c>
      <x:c r="C1417" s="10" t="str">
        <x:v>消息与社交</x:v>
      </x:c>
      <x:c r="D1417" s="10" t="str">
        <x:v>用户主页（普通用户A视角）</x:v>
      </x:c>
      <x:c r="E1417" s="10" t="str">
        <x:v>功能需求</x:v>
      </x:c>
      <x:c r="F1417" s="10" t="str">
        <x:v>P2</x:v>
      </x:c>
      <x:c r="G1417" s="9" t="str">
        <x:v>验证主页拉黑清除团籍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点击确认
3. 进入我的粉丝团</x:v>
      </x:c>
      <x:c r="K1417" s="9" t="str">
        <x:v>不再展示B的粉丝团</x:v>
      </x:c>
      <x:c r="L1417" s="10" t="str"/>
      <x:c r="M1417" s="10" t="str">
        <x:v>未测</x:v>
      </x:c>
      <x:c r="N1417" s="10" t="str"/>
      <x:c r="O1417" s="9" t="str">
        <x:v>1. 来源（当前证据）：liveshow-proto/MainBasis/统一需求文档.md；位置：行1047、行1955、行1039
2. 规则：BR-83cd0a04a0173dac
3. 未动态验证</x:v>
      </x:c>
    </x:row>
    <x:row r="1418" ht="85" customHeight="1">
      <x:c r="A1418" s="10" t="n">
        <x:v>1417</x:v>
      </x:c>
      <x:c r="B1418" s="10" t="str">
        <x:v>USER-04-0189</x:v>
      </x:c>
      <x:c r="C1418" s="10" t="str">
        <x:v>消息与社交</x:v>
      </x:c>
      <x:c r="D1418" s="10" t="str">
        <x:v>用户主页（普通用户A视角）</x:v>
      </x:c>
      <x:c r="E1418" s="10" t="str">
        <x:v>功能需求</x:v>
      </x:c>
      <x:c r="F1418" s="10" t="str">
        <x:v>P2</x:v>
      </x:c>
      <x:c r="G1418" s="9" t="str">
        <x:v>验证取消主页拉黑保留团籍</x:v>
      </x:c>
      <x:c r="H1418" s="9" t="str">
        <x:v>账号关系</x:v>
      </x:c>
      <x:c r="I1418" s="9" t="str">
        <x:v>1. 执行角色为普通用户A；当前处于用户主页页面
2. 目标B与A原先互相关注并为好友，具有聊天历史QA旧消息；A具有B粉丝团有效团籍</x:v>
      </x:c>
      <x:c r="J1418" s="9" t="str">
        <x:v>1. 点击拉黑
2. 点击取消</x:v>
      </x:c>
      <x:c r="K1418" s="9" t="str">
        <x:v>本人对B的粉丝团团籍保持有效</x:v>
      </x:c>
      <x:c r="L1418" s="10" t="str"/>
      <x:c r="M1418" s="10" t="str">
        <x:v>未测</x:v>
      </x:c>
      <x:c r="N1418" s="10" t="str"/>
      <x:c r="O1418" s="9" t="str">
        <x:v>1. 来源（当前证据）：liveshow-proto/MainBasis/统一需求文档.md；位置：行1956、行1039
2. 规则：BR-8ab3addf214feb00
3. 未动态验证</x:v>
      </x:c>
    </x:row>
    <x:row r="1419" ht="85" customHeight="1">
      <x:c r="A1419" s="10" t="n">
        <x:v>1418</x:v>
      </x:c>
      <x:c r="B1419" s="10" t="str">
        <x:v>USER-04-0190</x:v>
      </x:c>
      <x:c r="C1419" s="10" t="str">
        <x:v>消息与社交</x:v>
      </x:c>
      <x:c r="D1419" s="10" t="str">
        <x:v>主播主页（普通用户A视角）</x:v>
      </x:c>
      <x:c r="E1419" s="10" t="str">
        <x:v>功能需求</x:v>
      </x:c>
      <x:c r="F1419" s="10" t="str">
        <x:v>P2</x:v>
      </x:c>
      <x:c r="G1419" s="9" t="str">
        <x:v>验证主页确认拉黑状态</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x:v>
      </x:c>
      <x:c r="K1419" s="9" t="str">
        <x:v>B变为已拉黑</x:v>
      </x:c>
      <x:c r="L1419" s="10" t="str"/>
      <x:c r="M1419" s="10" t="str">
        <x:v>未测</x:v>
      </x:c>
      <x:c r="N1419" s="10" t="str"/>
      <x:c r="O1419" s="9" t="str">
        <x:v>1. 来源（当前证据）：liveshow-proto/MainBasis/统一需求文档.md；位置：行1063、行1963、行1054
2. 规则：BR-f9e47543fd63db4c
3. 未动态验证</x:v>
      </x:c>
    </x:row>
    <x:row r="1420" ht="85" customHeight="1">
      <x:c r="A1420" s="10" t="n">
        <x:v>1419</x:v>
      </x:c>
      <x:c r="B1420" s="10" t="str">
        <x:v>USER-04-0191</x:v>
      </x:c>
      <x:c r="C1420" s="10" t="str">
        <x:v>消息与社交</x:v>
      </x:c>
      <x:c r="D1420" s="10" t="str">
        <x:v>主播主页（普通用户A视角）</x:v>
      </x:c>
      <x:c r="E1420" s="10" t="str">
        <x:v>功能需求</x:v>
      </x:c>
      <x:c r="F1420" s="10" t="str">
        <x:v>P2</x:v>
      </x:c>
      <x:c r="G1420" s="9" t="str">
        <x:v>验证主页拉黑解除本人关注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进入我的关注</x:v>
      </x:c>
      <x:c r="K1420" s="9" t="str">
        <x:v>B从A关注列表移除</x:v>
      </x:c>
      <x:c r="L1420" s="10" t="str"/>
      <x:c r="M1420" s="10" t="str">
        <x:v>未测</x:v>
      </x:c>
      <x:c r="N1420" s="10" t="str"/>
      <x:c r="O1420" s="9" t="str">
        <x:v>1. 来源（当前证据）：liveshow-proto/MainBasis/统一需求文档.md；位置：行1063、行1963、行1054
2. 规则：BR-8692353bda30fde3
3. 未动态验证</x:v>
      </x:c>
    </x:row>
    <x:row r="1421" ht="85" customHeight="1">
      <x:c r="A1421" s="10" t="n">
        <x:v>1420</x:v>
      </x:c>
      <x:c r="B1421" s="10" t="str">
        <x:v>USER-04-0192</x:v>
      </x:c>
      <x:c r="C1421" s="10" t="str">
        <x:v>消息与社交</x:v>
      </x:c>
      <x:c r="D1421" s="10" t="str">
        <x:v>主播主页（普通用户A视角）</x:v>
      </x:c>
      <x:c r="E1421" s="10" t="str">
        <x:v>功能需求</x:v>
      </x:c>
      <x:c r="F1421" s="10" t="str">
        <x:v>P2</x:v>
      </x:c>
      <x:c r="G1421" s="9" t="str">
        <x:v>验证主页拉黑解除对方关注</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进入我的粉丝</x:v>
      </x:c>
      <x:c r="K1421" s="9" t="str">
        <x:v>B从A粉丝列表移除</x:v>
      </x:c>
      <x:c r="L1421" s="10" t="str"/>
      <x:c r="M1421" s="10" t="str">
        <x:v>未测</x:v>
      </x:c>
      <x:c r="N1421" s="10" t="str"/>
      <x:c r="O1421" s="9" t="str">
        <x:v>1. 来源（当前证据）：liveshow-proto/MainBasis/统一需求文档.md；位置：行1063、行1963、行1054
2. 规则：BR-19482cdcbd42a8df
3. 未动态验证</x:v>
      </x:c>
    </x:row>
    <x:row r="1422" ht="85" customHeight="1">
      <x:c r="A1422" s="10" t="n">
        <x:v>1421</x:v>
      </x:c>
      <x:c r="B1422" s="10" t="str">
        <x:v>USER-04-0193</x:v>
      </x:c>
      <x:c r="C1422" s="10" t="str">
        <x:v>消息与社交</x:v>
      </x:c>
      <x:c r="D1422" s="10" t="str">
        <x:v>主播主页（普通用户A视角）</x:v>
      </x:c>
      <x:c r="E1422" s="10" t="str">
        <x:v>功能需求</x:v>
      </x:c>
      <x:c r="F1422" s="10" t="str">
        <x:v>P2</x:v>
      </x:c>
      <x:c r="G1422" s="9" t="str">
        <x:v>验证主页拉黑解除好友</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进入好友列表</x:v>
      </x:c>
      <x:c r="K1422" s="9" t="str">
        <x:v>B不再是A的好友</x:v>
      </x:c>
      <x:c r="L1422" s="10" t="str"/>
      <x:c r="M1422" s="10" t="str">
        <x:v>未测</x:v>
      </x:c>
      <x:c r="N1422" s="10" t="str"/>
      <x:c r="O1422" s="9" t="str">
        <x:v>1. 来源（当前证据）：liveshow-proto/MainBasis/统一需求文档.md；位置：行1063、行1963、行1054
2. 规则：BR-193b7c6763699095
3. 未动态验证</x:v>
      </x:c>
    </x:row>
    <x:row r="1423" ht="85" customHeight="1">
      <x:c r="A1423" s="10" t="n">
        <x:v>1422</x:v>
      </x:c>
      <x:c r="B1423" s="10" t="str">
        <x:v>USER-04-0194</x:v>
      </x:c>
      <x:c r="C1423" s="10" t="str">
        <x:v>消息与社交</x:v>
      </x:c>
      <x:c r="D1423" s="10" t="str">
        <x:v>主播主页（普通用户A视角）</x:v>
      </x:c>
      <x:c r="E1423" s="10" t="str">
        <x:v>功能需求</x:v>
      </x:c>
      <x:c r="F1423" s="10" t="str">
        <x:v>P2</x:v>
      </x:c>
      <x:c r="G1423" s="9" t="str">
        <x:v>验证主页拉黑删除会话</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进入私信列表</x:v>
      </x:c>
      <x:c r="K1423" s="9" t="str">
        <x:v>不再展示与B的私信会话</x:v>
      </x:c>
      <x:c r="L1423" s="10" t="str"/>
      <x:c r="M1423" s="10" t="str">
        <x:v>未测</x:v>
      </x:c>
      <x:c r="N1423" s="10" t="str"/>
      <x:c r="O1423" s="9" t="str">
        <x:v>1. 来源（当前证据）：liveshow-proto/MainBasis/统一需求文档.md；位置：行1063、行1963、行1054
2. 规则：BR-3715d4d82f6cd6d5
3. 未动态验证</x:v>
      </x:c>
    </x:row>
    <x:row r="1424" ht="85" customHeight="1">
      <x:c r="A1424" s="10" t="n">
        <x:v>1423</x:v>
      </x:c>
      <x:c r="B1424" s="10" t="str">
        <x:v>USER-04-0195</x:v>
      </x:c>
      <x:c r="C1424" s="10" t="str">
        <x:v>消息与社交</x:v>
      </x:c>
      <x:c r="D1424" s="10" t="str">
        <x:v>主播主页（普通用户A视角）</x:v>
      </x:c>
      <x:c r="E1424" s="10" t="str">
        <x:v>功能需求</x:v>
      </x:c>
      <x:c r="F1424" s="10" t="str">
        <x:v>P2</x:v>
      </x:c>
      <x:c r="G1424" s="9" t="str">
        <x:v>验证主页拉黑清除团籍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点击确认
3. 进入我的粉丝团</x:v>
      </x:c>
      <x:c r="K1424" s="9" t="str">
        <x:v>不再展示B的粉丝团</x:v>
      </x:c>
      <x:c r="L1424" s="10" t="str"/>
      <x:c r="M1424" s="10" t="str">
        <x:v>未测</x:v>
      </x:c>
      <x:c r="N1424" s="10" t="str"/>
      <x:c r="O1424" s="9" t="str">
        <x:v>1. 来源（当前证据）：liveshow-proto/MainBasis/统一需求文档.md；位置：行1063、行1963、行1054
2. 规则：BR-d10fc4c3ca73608a
3. 未动态验证</x:v>
      </x:c>
    </x:row>
    <x:row r="1425" ht="85" customHeight="1">
      <x:c r="A1425" s="10" t="n">
        <x:v>1424</x:v>
      </x:c>
      <x:c r="B1425" s="10" t="str">
        <x:v>USER-04-0196</x:v>
      </x:c>
      <x:c r="C1425" s="10" t="str">
        <x:v>消息与社交</x:v>
      </x:c>
      <x:c r="D1425" s="10" t="str">
        <x:v>主播主页（普通用户A视角）</x:v>
      </x:c>
      <x:c r="E1425" s="10" t="str">
        <x:v>功能需求</x:v>
      </x:c>
      <x:c r="F1425" s="10" t="str">
        <x:v>P2</x:v>
      </x:c>
      <x:c r="G1425" s="9" t="str">
        <x:v>验证取消主页拉黑保留团籍</x:v>
      </x:c>
      <x:c r="H1425" s="9" t="str">
        <x:v>账号关系</x:v>
      </x:c>
      <x:c r="I1425" s="9" t="str">
        <x:v>1. 执行角色为普通用户A；当前处于主播主页页面
2. 目标B与A原先互相关注并为好友，具有聊天历史QA旧消息；A具有B粉丝团有效团籍</x:v>
      </x:c>
      <x:c r="J1425" s="9" t="str">
        <x:v>1. 点击拉黑
2. 点击取消</x:v>
      </x:c>
      <x:c r="K1425" s="9" t="str">
        <x:v>本人对B的粉丝团团籍保持有效</x:v>
      </x:c>
      <x:c r="L1425" s="10" t="str"/>
      <x:c r="M1425" s="10" t="str">
        <x:v>未测</x:v>
      </x:c>
      <x:c r="N1425" s="10" t="str"/>
      <x:c r="O1425" s="9" t="str">
        <x:v>1. 来源（当前证据）：liveshow-proto/MainBasis/统一需求文档.md；位置：行1069、行1054
2. 规则：BR-621875d186206538
3. 未动态验证</x:v>
      </x:c>
    </x:row>
    <x:row r="1426" ht="85" customHeight="1">
      <x:c r="A1426" s="10" t="n">
        <x:v>1425</x:v>
      </x:c>
      <x:c r="B1426" s="10" t="str">
        <x:v>USER-07-0181</x:v>
      </x:c>
      <x:c r="C1426" s="10" t="str">
        <x:v>主播中心</x:v>
      </x:c>
      <x:c r="D1426" s="10" t="str">
        <x:v>房管管理（主播A视角）</x:v>
      </x:c>
      <x:c r="E1426" s="10" t="str">
        <x:v>功能需求</x:v>
      </x:c>
      <x:c r="F1426" s="10" t="str">
        <x:v>P2</x:v>
      </x:c>
      <x:c r="G1426" s="9" t="str">
        <x:v>验证拉黑自动解除房管</x:v>
      </x:c>
      <x:c r="H1426" s="9" t="str">
        <x:v>账号关系</x:v>
      </x:c>
      <x:c r="I1426" s="9" t="str">
        <x:v>1. 执行角色为主播A；当前处于房管管理页面
2. A已授权B为房管，随后A与B建立拉黑关系</x:v>
      </x:c>
      <x:c r="J1426" s="9" t="str">
        <x:v>1. 刷新房管列表</x:v>
      </x:c>
      <x:c r="K1426" s="9" t="str">
        <x:v>B不再是A的房管</x:v>
      </x:c>
      <x:c r="L1426" s="10" t="str"/>
      <x:c r="M1426" s="10" t="str">
        <x:v>未测</x:v>
      </x:c>
      <x:c r="N1426" s="10" t="str"/>
      <x:c r="O1426" s="9" t="str">
        <x:v>1. 来源（当前证据）：liveshow-proto/MainBasis/统一需求文档.md；位置：行1680、行945、行1147
2. 规则：BR-1621d0fd170433a8
3. 未动态验证</x:v>
      </x:c>
    </x:row>
    <x:row r="1427" ht="85" customHeight="1">
      <x:c r="A1427" s="10" t="n">
        <x:v>1426</x:v>
      </x:c>
      <x:c r="B1427" s="10" t="str">
        <x:v>USER-03-0349</x:v>
      </x:c>
      <x:c r="C1427" s="10" t="str">
        <x:v>直播</x:v>
      </x:c>
      <x:c r="D1427" s="10" t="str">
        <x:v>直播间（普通房）（普通观众B视角）</x:v>
      </x:c>
      <x:c r="E1427" s="10" t="str">
        <x:v>功能需求</x:v>
      </x:c>
      <x:c r="F1427" s="10" t="str">
        <x:v>P2</x:v>
      </x:c>
      <x:c r="G1427" s="9" t="str">
        <x:v>验证主播拉黑在线观众退出</x:v>
      </x:c>
      <x:c r="H1427" s="9" t="str">
        <x:v>账号关系</x:v>
      </x:c>
      <x:c r="I1427" s="9" t="str">
        <x:v>1. 执行角色为普通观众B；当前处于直播间（普通房）页面
2. B正在主播A房间内，A刚把B拉黑</x:v>
      </x:c>
      <x:c r="J1427" s="9" t="str">
        <x:v>1. 查看当前房间状态</x:v>
      </x:c>
      <x:c r="K1427" s="9" t="str">
        <x:v>B退出A的直播间</x:v>
      </x:c>
      <x:c r="L1427" s="10" t="str"/>
      <x:c r="M1427" s="10" t="str">
        <x:v>未测</x:v>
      </x:c>
      <x:c r="N1427" s="10" t="str"/>
      <x:c r="O1427" s="9" t="str">
        <x:v>1. 来源（当前证据）：liveshow-proto/MainBasis/统一需求文档.md；位置：行948、行758
2. 规则：BR-b51a0e7c34a8470a
3. 未动态验证</x:v>
      </x:c>
    </x:row>
    <x:row r="1428" ht="85" customHeight="1">
      <x:c r="A1428" s="10" t="n">
        <x:v>1427</x:v>
      </x:c>
      <x:c r="B1428" s="10" t="str">
        <x:v>USER-03-0350</x:v>
      </x:c>
      <x:c r="C1428" s="10" t="str">
        <x:v>直播</x:v>
      </x:c>
      <x:c r="D1428" s="10" t="str">
        <x:v>直播间（普通房）（真实金币观众视角）</x:v>
      </x:c>
      <x:c r="E1428" s="10" t="str">
        <x:v>功能需求</x:v>
      </x:c>
      <x:c r="F1428" s="10" t="str">
        <x:v>P2</x:v>
      </x:c>
      <x:c r="G1428" s="9" t="str">
        <x:v>验证连续赠送逐件扣款</x:v>
      </x:c>
      <x:c r="H1428" s="9" t="str">
        <x:v>资产数值</x:v>
      </x:c>
      <x:c r="I1428" s="9" t="str">
        <x:v>1. 执行角色为真实金币观众；当前处于直播间（普通房）页面
2. 普通礼物单价10金币，余额100金币；三次连续赠送均成功</x:v>
      </x:c>
      <x:c r="J1428" s="9" t="str">
        <x:v>1. 连续点击同一普通礼物的赠送按钮3次
2. 查看金币余额</x:v>
      </x:c>
      <x:c r="K1428" s="9" t="str">
        <x:v>余额为70金币（计算结果 = 70 金币）</x:v>
      </x:c>
      <x:c r="L1428" s="10" t="str"/>
      <x:c r="M1428" s="10" t="str">
        <x:v>未测</x:v>
      </x:c>
      <x:c r="N1428" s="10" t="str"/>
      <x:c r="O1428" s="9" t="str">
        <x:v>1. 来源（当前证据）：liveshow-proto/MainBasis/统一需求文档.md；位置：行339、行758
2. 规则：BR-70c6732397250428
3. 未动态验证</x:v>
      </x:c>
    </x:row>
    <x:row r="1429" ht="85" customHeight="1">
      <x:c r="A1429" s="10" t="n">
        <x:v>1428</x:v>
      </x:c>
      <x:c r="B1429" s="10" t="str">
        <x:v>USER-03-0351</x:v>
      </x:c>
      <x:c r="C1429" s="10" t="str">
        <x:v>直播</x:v>
      </x:c>
      <x:c r="D1429" s="10" t="str">
        <x:v>直播间（普通房）（真实金币观众视角）</x:v>
      </x:c>
      <x:c r="E1429" s="10" t="str">
        <x:v>功能需求</x:v>
      </x:c>
      <x:c r="F1429" s="10" t="str">
        <x:v>P2</x:v>
      </x:c>
      <x:c r="G1429" s="9" t="str">
        <x:v>验证连续赠送逐件记录</x:v>
      </x:c>
      <x:c r="H1429" s="9" t="str">
        <x:v>逐件赠送记录</x:v>
      </x:c>
      <x:c r="I1429" s="9" t="str">
        <x:v>1. 执行角色为真实金币观众；当前处于直播间（普通房）页面
2. 普通礼物单价10金币，余额100金币；三次连续赠送均成功</x:v>
      </x:c>
      <x:c r="J1429" s="9" t="str">
        <x:v>1. 连续点击同一普通礼物的赠送按钮3次
2. 进入余额明细</x:v>
      </x:c>
      <x:c r="K1429" s="9" t="str">
        <x:v>存在3条各扣10金币的成功赠送记录</x:v>
      </x:c>
      <x:c r="L1429" s="10" t="str"/>
      <x:c r="M1429" s="10" t="str">
        <x:v>未测</x:v>
      </x:c>
      <x:c r="N1429" s="10" t="str"/>
      <x:c r="O1429" s="9" t="str">
        <x:v>1. 来源（当前证据）：liveshow-proto/MainBasis/统一需求文档.md；位置：行339、行758
2. 规则：BR-175b18c13a0ea39d
3. 未动态验证</x:v>
      </x:c>
    </x:row>
    <x:row r="1430" ht="85" customHeight="1">
      <x:c r="A1430" s="10" t="n">
        <x:v>1429</x:v>
      </x:c>
      <x:c r="B1430" s="10" t="str">
        <x:v>USER-03-0352</x:v>
      </x:c>
      <x:c r="C1430" s="10" t="str">
        <x:v>直播</x:v>
      </x:c>
      <x:c r="D1430" s="10" t="str">
        <x:v>直播间（普通房）（房管视角）</x:v>
      </x:c>
      <x:c r="E1430" s="10" t="str">
        <x:v>功能需求</x:v>
      </x:c>
      <x:c r="F1430" s="10" t="str">
        <x:v>P2</x:v>
      </x:c>
      <x:c r="G1430" s="9" t="str">
        <x:v>验证房管屏蔽单条评论</x:v>
      </x:c>
      <x:c r="H1430" s="9" t="str">
        <x:v>展示内容</x:v>
      </x:c>
      <x:c r="I1430" s="9" t="str">
        <x:v>1. 执行角色为房管；当前处于直播间（普通房）页面
2. 公屏存在普通观众的两条评论M和N</x:v>
      </x:c>
      <x:c r="J1430" s="9" t="str">
        <x:v>1. 选择评论M
2. 点击屏蔽</x:v>
      </x:c>
      <x:c r="K1430" s="9" t="str">
        <x:v>仅M从公屏移除</x:v>
      </x:c>
      <x:c r="L1430" s="10" t="str"/>
      <x:c r="M1430" s="10" t="str">
        <x:v>未测</x:v>
      </x:c>
      <x:c r="N1430" s="10" t="str"/>
      <x:c r="O1430" s="9" t="str">
        <x:v>1. 来源（当前证据）：liveshow-proto/MainBasis/统一需求文档.md；位置：行1681、行1154、行512、行251、行758
2. 规则：BR-9df7438b41d2e460
3. 未动态验证</x:v>
      </x:c>
    </x:row>
    <x:row r="1431" ht="85" customHeight="1">
      <x:c r="A1431" s="10" t="n">
        <x:v>1430</x:v>
      </x:c>
      <x:c r="B1431" s="10" t="str">
        <x:v>USER-03-0353</x:v>
      </x:c>
      <x:c r="C1431" s="10" t="str">
        <x:v>直播</x:v>
      </x:c>
      <x:c r="D1431" s="10" t="str">
        <x:v>直播间（主播）（本场主播视角）</x:v>
      </x:c>
      <x:c r="E1431" s="10" t="str">
        <x:v>功能需求</x:v>
      </x:c>
      <x:c r="F1431" s="10" t="str">
        <x:v>P2</x:v>
      </x:c>
      <x:c r="G1431" s="9" t="str">
        <x:v>验证巡房会话不能踢出</x:v>
      </x:c>
      <x:c r="H1431" s="9" t="str">
        <x:v>入口可用性</x:v>
      </x:c>
      <x:c r="I1431" s="9" t="str">
        <x:v>1. 执行角色为本场主播；当前处于直播间（主播）页面
2. 巡房人员A已从后台有效巡房任务进入本场</x:v>
      </x:c>
      <x:c r="J1431" s="9" t="str">
        <x:v>1. 打开A资料卡
2. 点击踢出A</x:v>
      </x:c>
      <x:c r="K1431" s="9" t="str">
        <x:v>不能将A踢出本场</x:v>
      </x:c>
      <x:c r="L1431" s="10" t="str"/>
      <x:c r="M1431" s="10" t="str">
        <x:v>未测</x:v>
      </x:c>
      <x:c r="N1431" s="10" t="str"/>
      <x:c r="O1431" s="9" t="str">
        <x:v>1. 来源（当前证据）：liveshow-proto/MainBasis/统一需求文档.md；位置：行766、行796
2. 规则：BR-2eb71881b9a34c45
3. 未动态验证</x:v>
      </x:c>
    </x:row>
    <x:row r="1432" ht="85" customHeight="1">
      <x:c r="A1432" s="10" t="n">
        <x:v>1431</x:v>
      </x:c>
      <x:c r="B1432" s="10" t="str">
        <x:v>USER-03-0354</x:v>
      </x:c>
      <x:c r="C1432" s="10" t="str">
        <x:v>直播</x:v>
      </x:c>
      <x:c r="D1432" s="10" t="str">
        <x:v>直播间（主播）（本场主播视角）</x:v>
      </x:c>
      <x:c r="E1432" s="10" t="str">
        <x:v>功能需求</x:v>
      </x:c>
      <x:c r="F1432" s="10" t="str">
        <x:v>P2</x:v>
      </x:c>
      <x:c r="G1432" s="9" t="str">
        <x:v>验证巡房会话不能拉黑</x:v>
      </x:c>
      <x:c r="H1432" s="9" t="str">
        <x:v>账号关系</x:v>
      </x:c>
      <x:c r="I1432" s="9" t="str">
        <x:v>1. 执行角色为本场主播；当前处于直播间（主播）页面
2. 巡房人员A已从后台有效巡房任务进入本场</x:v>
      </x:c>
      <x:c r="J1432" s="9" t="str">
        <x:v>1. 打开A资料卡
2. 点击拉黑A</x:v>
      </x:c>
      <x:c r="K1432" s="9" t="str">
        <x:v>不能建立对A的拉黑关系</x:v>
      </x:c>
      <x:c r="L1432" s="10" t="str"/>
      <x:c r="M1432" s="10" t="str">
        <x:v>未测</x:v>
      </x:c>
      <x:c r="N1432" s="10" t="str"/>
      <x:c r="O1432" s="9" t="str">
        <x:v>1. 来源（当前证据）：liveshow-proto/MainBasis/统一需求文档.md；位置：行766、行796
2. 规则：BR-54edc7c8f212cd7b
3. 未动态验证</x:v>
      </x:c>
    </x:row>
    <x:row r="1433" ht="85" customHeight="1">
      <x:c r="A1433" s="10" t="n">
        <x:v>1432</x:v>
      </x:c>
      <x:c r="B1433" s="10" t="str">
        <x:v>USER-05-0250</x:v>
      </x:c>
      <x:c r="C1433" s="10" t="str">
        <x:v>我的</x:v>
      </x:c>
      <x:c r="D1433" s="10" t="str">
        <x:v>黑名单管理（主播视角）</x:v>
      </x:c>
      <x:c r="E1433" s="10" t="str">
        <x:v>功能需求</x:v>
      </x:c>
      <x:c r="F1433" s="10" t="str">
        <x:v>P2</x:v>
      </x:c>
      <x:c r="G1433" s="9" t="str">
        <x:v>验证巡房结束保留原黑名单</x:v>
      </x:c>
      <x:c r="H1433" s="9" t="str">
        <x:v>数据保持</x:v>
      </x:c>
      <x:c r="I1433" s="9" t="str">
        <x:v>1. 执行角色为主播；当前处于黑名单管理页面
2. A原在本人黑名单中；A刚完成有效巡房任务</x:v>
      </x:c>
      <x:c r="J1433" s="9" t="str">
        <x:v>1. 刷新黑名单</x:v>
      </x:c>
      <x:c r="K1433" s="9" t="str">
        <x:v>A原有拉黑记录仍保留</x:v>
      </x:c>
      <x:c r="L1433" s="10" t="str"/>
      <x:c r="M1433" s="10" t="str">
        <x:v>未测</x:v>
      </x:c>
      <x:c r="N1433" s="10" t="str"/>
      <x:c r="O1433" s="9" t="str">
        <x:v>1. 来源（当前证据）：liveshow-proto/MainBasis/统一需求文档.md；位置：行951、行765、行941
2. 规则：BR-57ac2965fb8bc09e
3. 未动态验证</x:v>
      </x:c>
    </x:row>
    <x:row r="1434" ht="85" customHeight="1">
      <x:c r="A1434" s="10" t="n">
        <x:v>1433</x:v>
      </x:c>
      <x:c r="B1434" s="10" t="str">
        <x:v>USER-04-0197</x:v>
      </x:c>
      <x:c r="C1434" s="10" t="str">
        <x:v>消息与社交</x:v>
      </x:c>
      <x:c r="D1434" s="10" t="str">
        <x:v>举报直播间（普通用户视角）</x:v>
      </x:c>
      <x:c r="E1434" s="10" t="str">
        <x:v>功能需求</x:v>
      </x:c>
      <x:c r="F1434" s="10" t="str">
        <x:v>P2</x:v>
      </x:c>
      <x:c r="G1434" s="9" t="str">
        <x:v>验证举报类型完整集合</x:v>
      </x:c>
      <x:c r="H1434" s="9" t="str">
        <x:v>展示内容</x:v>
      </x:c>
      <x:c r="I1434" s="9" t="str">
        <x:v>1. 执行角色为普通用户；当前处于举报直播间页面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来源（当前证据）：liveshow-proto/MainBasis/统一需求文档.md；位置：行783、行286、行779
2. 规则：BR-cae26bdb0f2d10ba
3. 未动态验证</x:v>
      </x:c>
    </x:row>
    <x:row r="1435" ht="85" customHeight="1">
      <x:c r="A1435" s="10" t="n">
        <x:v>1434</x:v>
      </x:c>
      <x:c r="B1435" s="10" t="str">
        <x:v>USER-03-0355</x:v>
      </x:c>
      <x:c r="C1435" s="10" t="str">
        <x:v>直播</x:v>
      </x:c>
      <x:c r="D1435" s="10" t="str">
        <x:v>举报用户（普通用户视角）</x:v>
      </x:c>
      <x:c r="E1435" s="10" t="str">
        <x:v>功能需求</x:v>
      </x:c>
      <x:c r="F1435" s="10" t="str">
        <x:v>P2</x:v>
      </x:c>
      <x:c r="G1435" s="9" t="str">
        <x:v>验证举报类型完整集合</x:v>
      </x:c>
      <x:c r="H1435" s="9" t="str">
        <x:v>展示内容</x:v>
      </x:c>
      <x:c r="I1435" s="9" t="str">
        <x:v>1. 执行角色为普通用户；当前处于举报用户页面
2. 当前举报对象有效</x:v>
      </x:c>
      <x:c r="J1435" s="9" t="str">
        <x:v>1. 查看举报类型</x:v>
      </x:c>
      <x:c r="K1435" s="9" t="str">
        <x:v>可选类型为色情低俗、涉及宗教政治、暴恐血腥、未成年人有害、其他</x:v>
      </x:c>
      <x:c r="L1435" s="10" t="str"/>
      <x:c r="M1435" s="10" t="str">
        <x:v>未测</x:v>
      </x:c>
      <x:c r="N1435" s="10" t="str"/>
      <x:c r="O1435" s="9" t="str">
        <x:v>1. 来源（当前证据）：liveshow-proto/MainBasis/统一需求文档.md；位置：行791、行286、行788
2. 规则：BR-2c911d34fc1a5444
3. 未动态验证</x:v>
      </x:c>
    </x:row>
    <x:row r="1436" ht="85" customHeight="1">
      <x:c r="A1436" s="10" t="n">
        <x:v>1435</x:v>
      </x:c>
      <x:c r="B1436" s="10" t="str">
        <x:v>USER-03-0356</x:v>
      </x:c>
      <x:c r="C1436" s="10" t="str">
        <x:v>直播</x:v>
      </x:c>
      <x:c r="D1436" s="10" t="str">
        <x:v>直播间（普通房）（普通观众视角）</x:v>
      </x:c>
      <x:c r="E1436" s="10" t="str">
        <x:v>功能需求</x:v>
      </x:c>
      <x:c r="F1436" s="10" t="str">
        <x:v>P2</x:v>
      </x:c>
      <x:c r="G1436" s="9" t="str">
        <x:v>验证结束场次不提供举报入口</x:v>
      </x:c>
      <x:c r="H1436" s="9" t="str">
        <x:v>展示内容</x:v>
      </x:c>
      <x:c r="I1436" s="9" t="str">
        <x:v>1. 执行角色为普通观众；当前处于直播间（普通房）页面
2. 所查看场次已经结束</x:v>
      </x:c>
      <x:c r="J1436" s="9" t="str">
        <x:v>1. 查看场次结束页面操作</x:v>
      </x:c>
      <x:c r="K1436" s="9" t="str">
        <x:v>不提供对已结束场次的直播举报入口</x:v>
      </x:c>
      <x:c r="L1436" s="10" t="str"/>
      <x:c r="M1436" s="10" t="str">
        <x:v>未测</x:v>
      </x:c>
      <x:c r="N1436" s="10" t="str"/>
      <x:c r="O1436" s="9" t="str">
        <x:v>1. 来源（当前证据）：liveshow-proto/MainBasis/统一需求文档.md；位置：行782、行511、行758
2. 规则：BR-e74a8ab8009e978a
3. 未动态验证</x:v>
      </x:c>
    </x:row>
    <x:row r="1437" ht="85" customHeight="1">
      <x:c r="A1437" s="10" t="n">
        <x:v>1436</x:v>
      </x:c>
      <x:c r="B1437" s="10" t="str">
        <x:v>USER-04-0198</x:v>
      </x:c>
      <x:c r="C1437" s="10" t="str">
        <x:v>消息与社交</x:v>
      </x:c>
      <x:c r="D1437" s="10" t="str">
        <x:v>粉丝团群聊（有效粉丝团成员视角）</x:v>
      </x:c>
      <x:c r="E1437" s="10" t="str">
        <x:v>功能需求</x:v>
      </x:c>
      <x:c r="F1437" s="10" t="str">
        <x:v>P2</x:v>
      </x:c>
      <x:c r="G1437" s="9" t="str">
        <x:v>验证单人禁言限制群发送</x:v>
      </x:c>
      <x:c r="H1437" s="9" t="str">
        <x:v>入口可用性</x:v>
      </x:c>
      <x:c r="I1437" s="9" t="str">
        <x:v>1. 执行角色为有效粉丝团成员；当前处于粉丝团群聊页面
2. 当前群内单人禁言生效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来源（当前证据）：liveshow-proto/MainBasis/统一需求文档.md；位置：行900、行914、行896
2. 规则：BR-3e0724c374c80ec8
3. 未动态验证</x:v>
      </x:c>
    </x:row>
    <x:row r="1438" ht="85" customHeight="1">
      <x:c r="A1438" s="10" t="n">
        <x:v>1437</x:v>
      </x:c>
      <x:c r="B1438" s="10" t="str">
        <x:v>USER-04-0199</x:v>
      </x:c>
      <x:c r="C1438" s="10" t="str">
        <x:v>消息与社交</x:v>
      </x:c>
      <x:c r="D1438" s="10" t="str">
        <x:v>粉丝团群聊（有效粉丝团成员视角）</x:v>
      </x:c>
      <x:c r="E1438" s="10" t="str">
        <x:v>功能需求</x:v>
      </x:c>
      <x:c r="F1438" s="10" t="str">
        <x:v>P2</x:v>
      </x:c>
      <x:c r="G1438" s="9" t="str">
        <x:v>验证全员禁言限制群发送</x:v>
      </x:c>
      <x:c r="H1438" s="9" t="str">
        <x:v>入口可用性</x:v>
      </x:c>
      <x:c r="I1438" s="9" t="str">
        <x:v>1. 执行角色为有效粉丝团成员；当前处于粉丝团群聊页面
2. 当前群内全员禁言生效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来源（当前证据）：liveshow-proto/MainBasis/统一需求文档.md；位置：行900、行914、行896
2. 规则：BR-5dc9671cd9143aa5
3. 未动态验证</x:v>
      </x:c>
    </x:row>
    <x:row r="1439" ht="85" customHeight="1">
      <x:c r="A1439" s="10" t="n">
        <x:v>1438</x:v>
      </x:c>
      <x:c r="B1439" s="10" t="str">
        <x:v>USER-04-0200</x:v>
      </x:c>
      <x:c r="C1439" s="10" t="str">
        <x:v>消息与社交</x:v>
      </x:c>
      <x:c r="D1439" s="10" t="str">
        <x:v>粉丝团群聊（有效粉丝团成员视角）</x:v>
      </x:c>
      <x:c r="E1439" s="10" t="str">
        <x:v>功能需求</x:v>
      </x:c>
      <x:c r="F1439" s="10" t="str">
        <x:v>P2</x:v>
      </x:c>
      <x:c r="G1439" s="9" t="str">
        <x:v>验证平台发言限制限制群发送</x:v>
      </x:c>
      <x:c r="H1439" s="9" t="str">
        <x:v>入口可用性</x:v>
      </x:c>
      <x:c r="I1439" s="9" t="str">
        <x:v>1. 执行角色为有效粉丝团成员；当前处于粉丝团群聊页面
2. 当前群内平台发言限制生效</x:v>
      </x:c>
      <x:c r="J1439" s="9" t="str">
        <x:v>1. 输入文本QA消息
2. 尝试发送</x:v>
      </x:c>
      <x:c r="K1439" s="9" t="str">
        <x:v>QA消息不能发送到当前群</x:v>
      </x:c>
      <x:c r="L1439" s="10" t="str"/>
      <x:c r="M1439" s="10" t="str">
        <x:v>未测</x:v>
      </x:c>
      <x:c r="N1439" s="10" t="str"/>
      <x:c r="O1439" s="9" t="str">
        <x:v>1. 来源（当前证据）：liveshow-proto/MainBasis/统一需求文档.md；位置：行900、行914、行896
2. 规则：BR-74be988226843e29
3. 未动态验证</x:v>
      </x:c>
    </x:row>
    <x:row r="1440" ht="85" customHeight="1">
      <x:c r="A1440" s="10" t="n">
        <x:v>1439</x:v>
      </x:c>
      <x:c r="B1440" s="10" t="str">
        <x:v>USER-04-0201</x:v>
      </x:c>
      <x:c r="C1440" s="10" t="str">
        <x:v>消息与社交</x:v>
      </x:c>
      <x:c r="D1440" s="10" t="str">
        <x:v>粉丝团群聊（有效粉丝团成员视角）</x:v>
      </x:c>
      <x:c r="E1440" s="10" t="str">
        <x:v>功能需求</x:v>
      </x:c>
      <x:c r="F1440" s="10" t="str">
        <x:v>P2</x:v>
      </x:c>
      <x:c r="G1440" s="9" t="str">
        <x:v>验证群限制解除后恢复发送</x:v>
      </x:c>
      <x:c r="H1440" s="9" t="str">
        <x:v>群发言限制解除</x:v>
      </x:c>
      <x:c r="I1440" s="9" t="str">
        <x:v>1. 执行角色为有效粉丝团成员；当前处于粉丝团群聊页面
2. 单人、全员和平台发言限制均已解除</x:v>
      </x:c>
      <x:c r="J1440" s="9" t="str">
        <x:v>1. 输入文本QA恢复
2. 点击发送</x:v>
      </x:c>
      <x:c r="K1440" s="9" t="str">
        <x:v>QA恢复写入当前群</x:v>
      </x:c>
      <x:c r="L1440" s="10" t="str"/>
      <x:c r="M1440" s="10" t="str">
        <x:v>未测</x:v>
      </x:c>
      <x:c r="N1440" s="10" t="str"/>
      <x:c r="O1440" s="9" t="str">
        <x:v>1. 来源（当前证据）：liveshow-proto/MainBasis/统一需求文档.md；位置：行900、行896
2. 规则：BR-d74964dd73b2d55b
3. 未动态验证</x:v>
      </x:c>
    </x:row>
    <x:row r="1441" ht="85" customHeight="1">
      <x:c r="A1441" s="10" t="n">
        <x:v>1440</x:v>
      </x:c>
      <x:c r="B1441" s="10" t="str">
        <x:v>USER-05-0251</x:v>
      </x:c>
      <x:c r="C1441" s="10" t="str">
        <x:v>我的</x:v>
      </x:c>
      <x:c r="D1441" s="10" t="str">
        <x:v>我的粉丝团（有效粉丝团成员视角）</x:v>
      </x:c>
      <x:c r="E1441" s="10" t="str">
        <x:v>功能需求</x:v>
      </x:c>
      <x:c r="F1441" s="10" t="str">
        <x:v>P2</x:v>
      </x:c>
      <x:c r="G1441" s="9" t="str">
        <x:v>验证群禁言保留团籍</x:v>
      </x:c>
      <x:c r="H1441" s="9" t="str">
        <x:v>展示内容</x:v>
      </x:c>
      <x:c r="I1441" s="9" t="str">
        <x:v>1. 执行角色为有效粉丝团成员；当前处于我的粉丝团页面
2. 本人仅被所属主播单人群禁言</x:v>
      </x:c>
      <x:c r="J1441" s="9" t="str">
        <x:v>1. 刷新我的粉丝团</x:v>
      </x:c>
      <x:c r="K1441" s="9" t="str">
        <x:v>原团籍仍有效</x:v>
      </x:c>
      <x:c r="L1441" s="10" t="str"/>
      <x:c r="M1441" s="10" t="str">
        <x:v>未测</x:v>
      </x:c>
      <x:c r="N1441" s="10" t="str"/>
      <x:c r="O1441" s="9" t="str">
        <x:v>1. 来源（当前证据）：liveshow-proto/MainBasis/统一需求文档.md；位置：行1602、行261、行1085
2. 规则：BR-901687c5fe9461f6
3. 未动态验证</x:v>
      </x:c>
    </x:row>
    <x:row r="1442" ht="85" customHeight="1">
      <x:c r="A1442" s="10" t="n">
        <x:v>1441</x:v>
      </x:c>
      <x:c r="B1442" s="10" t="str">
        <x:v>USER-05-0252</x:v>
      </x:c>
      <x:c r="C1442" s="10" t="str">
        <x:v>我的</x:v>
      </x:c>
      <x:c r="D1442" s="10" t="str">
        <x:v>我的关注（已关注主播的粉丝团成员视角）</x:v>
      </x:c>
      <x:c r="E1442" s="10" t="str">
        <x:v>功能需求</x:v>
      </x:c>
      <x:c r="F1442" s="10" t="str">
        <x:v>P2</x:v>
      </x:c>
      <x:c r="G1442" s="9" t="str">
        <x:v>验证群禁言保留关注</x:v>
      </x:c>
      <x:c r="H1442" s="9" t="str">
        <x:v>账号关系</x:v>
      </x:c>
      <x:c r="I1442" s="9" t="str">
        <x:v>1. 执行角色为已关注主播的粉丝团成员；当前处于我的关注页面
2. 本人仅被该主播单人群禁言</x:v>
      </x:c>
      <x:c r="J1442" s="9" t="str">
        <x:v>1. 刷新关注列表</x:v>
      </x:c>
      <x:c r="K1442" s="9" t="str">
        <x:v>该主播仍在关注列表</x:v>
      </x:c>
      <x:c r="L1442" s="10" t="str"/>
      <x:c r="M1442" s="10" t="str">
        <x:v>未测</x:v>
      </x:c>
      <x:c r="N1442" s="10" t="str"/>
      <x:c r="O1442" s="9" t="str">
        <x:v>1. 来源（当前证据）：liveshow-proto/MainBasis/统一需求文档.md；位置：行1602、行718
2. 规则：BR-badd1d034b57df53
3. 未动态验证</x:v>
      </x:c>
    </x:row>
    <x:row r="1443" ht="85" customHeight="1">
      <x:c r="A1443" s="10" t="n">
        <x:v>1442</x:v>
      </x:c>
      <x:c r="B1443" s="10" t="str">
        <x:v>USER-03-0357</x:v>
      </x:c>
      <x:c r="C1443" s="10" t="str">
        <x:v>直播</x:v>
      </x:c>
      <x:c r="D1443" s="10" t="str">
        <x:v>直播间（普通房）（有效粉丝团成员视角）</x:v>
      </x:c>
      <x:c r="E1443" s="10" t="str">
        <x:v>功能需求</x:v>
      </x:c>
      <x:c r="F1443" s="10" t="str">
        <x:v>P2</x:v>
      </x:c>
      <x:c r="G1443" s="9" t="str">
        <x:v>验证群禁言不限制公屏</x:v>
      </x:c>
      <x:c r="H1443" s="9" t="str">
        <x:v>群禁言下公屏发送</x:v>
      </x:c>
      <x:c r="I1443" s="9" t="str">
        <x:v>1. 执行角色为有效粉丝团成员；当前处于直播间（普通房）页面
2. 本人在本主播粉丝群被禁言，本场公屏没有禁言限制</x:v>
      </x:c>
      <x:c r="J1443" s="9" t="str">
        <x:v>1. 输入文本QA公屏
2. 点击发送</x:v>
      </x:c>
      <x:c r="K1443" s="9" t="str">
        <x:v>QA公屏成功发送</x:v>
      </x:c>
      <x:c r="L1443" s="10" t="str"/>
      <x:c r="M1443" s="10" t="str">
        <x:v>未测</x:v>
      </x:c>
      <x:c r="N1443" s="10" t="str"/>
      <x:c r="O1443" s="9" t="str">
        <x:v>1. 来源（当前证据）：liveshow-proto/MainBasis/统一需求文档.md；位置：行1602、行758
2. 规则：BR-072d4387ac68013e
3. 未动态验证</x:v>
      </x:c>
    </x:row>
    <x:row r="1444" ht="85" customHeight="1">
      <x:c r="A1444" s="10" t="n">
        <x:v>1443</x:v>
      </x:c>
      <x:c r="B1444" s="10" t="str">
        <x:v>USER-04-0202</x:v>
      </x:c>
      <x:c r="C1444" s="10" t="str">
        <x:v>消息与社交</x:v>
      </x:c>
      <x:c r="D1444" s="10" t="str">
        <x:v>群管理（群主）（所属主播视角）</x:v>
      </x:c>
      <x:c r="E1444" s="10" t="str">
        <x:v>功能需求</x:v>
      </x:c>
      <x:c r="F1444" s="10" t="str">
        <x:v>P2</x:v>
      </x:c>
      <x:c r="G1444" s="9" t="str">
        <x:v>验证主播管理公告所属群</x:v>
      </x:c>
      <x:c r="H1444" s="9" t="str">
        <x:v>展示内容</x:v>
      </x:c>
      <x:c r="I1444" s="9" t="str">
        <x:v>1. 执行角色为所属主播；当前处于群管理（群主）页面
2. 当前群公告为QA公告；另一群公告为QB公告</x:v>
      </x:c>
      <x:c r="J1444" s="9" t="str">
        <x:v>1. 查看群公告</x:v>
      </x:c>
      <x:c r="K1444" s="9" t="str">
        <x:v>显示QA公告</x:v>
      </x:c>
      <x:c r="L1444" s="10" t="str"/>
      <x:c r="M1444" s="10" t="str">
        <x:v>未测</x:v>
      </x:c>
      <x:c r="N1444" s="10" t="str"/>
      <x:c r="O1444" s="9" t="str">
        <x:v>1. 来源（当前证据）：liveshow-proto/MainBasis/统一需求文档.md；位置：行923、行919
2. 规则：BR-9c71f89c083ffe0d
3. 未动态验证</x:v>
      </x:c>
    </x:row>
    <x:row r="1445" ht="85" customHeight="1">
      <x:c r="A1445" s="10" t="n">
        <x:v>1444</x:v>
      </x:c>
      <x:c r="B1445" s="10" t="str">
        <x:v>USER-04-0203</x:v>
      </x:c>
      <x:c r="C1445" s="10" t="str">
        <x:v>消息与社交</x:v>
      </x:c>
      <x:c r="D1445" s="10" t="str">
        <x:v>用户主页（用户A视角）</x:v>
      </x:c>
      <x:c r="E1445" s="10" t="str">
        <x:v>功能需求</x:v>
      </x:c>
      <x:c r="F1445" s="10" t="str">
        <x:v>P2</x:v>
      </x:c>
      <x:c r="G1445" s="9" t="str">
        <x:v>验证用户主页关注独立状态</x:v>
      </x:c>
      <x:c r="H1445" s="9" t="str">
        <x:v>账号关系</x:v>
      </x:c>
      <x:c r="I1445" s="9" t="str">
        <x:v>1. 执行角色为用户A；当前处于用户主页页面
2. A已关注B但与B不是好友、未互相拉黑</x:v>
      </x:c>
      <x:c r="J1445" s="9" t="str">
        <x:v>1. 查看B的关注状态</x:v>
      </x:c>
      <x:c r="K1445" s="9" t="str">
        <x:v>显示已关注</x:v>
      </x:c>
      <x:c r="L1445" s="10" t="str"/>
      <x:c r="M1445" s="10" t="str">
        <x:v>未测</x:v>
      </x:c>
      <x:c r="N1445" s="10" t="str"/>
      <x:c r="O1445" s="9" t="str">
        <x:v>1. 来源（当前证据）：liveshow-proto/MainBasis/统一需求文档.md；位置：行1044、行1039
2. 规则：BR-33c21c953e86ee06
3. 未动态验证</x:v>
      </x:c>
    </x:row>
    <x:row r="1446" ht="85" customHeight="1">
      <x:c r="A1446" s="10" t="n">
        <x:v>1445</x:v>
      </x:c>
      <x:c r="B1446" s="10" t="str">
        <x:v>USER-04-0204</x:v>
      </x:c>
      <x:c r="C1446" s="10" t="str">
        <x:v>消息与社交</x:v>
      </x:c>
      <x:c r="D1446" s="10" t="str">
        <x:v>用户主页（用户A视角）</x:v>
      </x:c>
      <x:c r="E1446" s="10" t="str">
        <x:v>功能需求</x:v>
      </x:c>
      <x:c r="F1446" s="10" t="str">
        <x:v>P2</x:v>
      </x:c>
      <x:c r="G1446" s="9" t="str">
        <x:v>验证用户主页好友独立状态</x:v>
      </x:c>
      <x:c r="H1446" s="9" t="str">
        <x:v>账号关系</x:v>
      </x:c>
      <x:c r="I1446" s="9" t="str">
        <x:v>1. 执行角色为用户A；当前处于用户主页页面
2. A已关注B但与B不是好友、未互相拉黑</x:v>
      </x:c>
      <x:c r="J1446" s="9" t="str">
        <x:v>1. 查看B的好友状态</x:v>
      </x:c>
      <x:c r="K1446" s="9" t="str">
        <x:v>显示非好友</x:v>
      </x:c>
      <x:c r="L1446" s="10" t="str"/>
      <x:c r="M1446" s="10" t="str">
        <x:v>未测</x:v>
      </x:c>
      <x:c r="N1446" s="10" t="str"/>
      <x:c r="O1446" s="9" t="str">
        <x:v>1. 来源（当前证据）：liveshow-proto/MainBasis/统一需求文档.md；位置：行1044、行1039
2. 规则：BR-7545ee243c3149ac
3. 未动态验证</x:v>
      </x:c>
    </x:row>
    <x:row r="1447" ht="85" customHeight="1">
      <x:c r="A1447" s="10" t="n">
        <x:v>1446</x:v>
      </x:c>
      <x:c r="B1447" s="10" t="str">
        <x:v>USER-04-0205</x:v>
      </x:c>
      <x:c r="C1447" s="10" t="str">
        <x:v>消息与社交</x:v>
      </x:c>
      <x:c r="D1447" s="10" t="str">
        <x:v>用户主页（用户A视角）</x:v>
      </x:c>
      <x:c r="E1447" s="10" t="str">
        <x:v>功能需求</x:v>
      </x:c>
      <x:c r="F1447" s="10" t="str">
        <x:v>P2</x:v>
      </x:c>
      <x:c r="G1447" s="9" t="str">
        <x:v>验证用户主页拉黑独立状态</x:v>
      </x:c>
      <x:c r="H1447" s="9" t="str">
        <x:v>账号关系</x:v>
      </x:c>
      <x:c r="I1447" s="9" t="str">
        <x:v>1. 执行角色为用户A；当前处于用户主页页面
2. A已关注B但与B不是好友、未互相拉黑</x:v>
      </x:c>
      <x:c r="J1447" s="9" t="str">
        <x:v>1. 查看B的拉黑状态</x:v>
      </x:c>
      <x:c r="K1447" s="9" t="str">
        <x:v>显示未拉黑</x:v>
      </x:c>
      <x:c r="L1447" s="10" t="str"/>
      <x:c r="M1447" s="10" t="str">
        <x:v>未测</x:v>
      </x:c>
      <x:c r="N1447" s="10" t="str"/>
      <x:c r="O1447" s="9" t="str">
        <x:v>1. 来源（当前证据）：liveshow-proto/MainBasis/统一需求文档.md；位置：行1044、行1039
2. 规则：BR-3b35dbe60dd1c7bc
3. 未动态验证</x:v>
      </x:c>
    </x:row>
    <x:row r="1448" ht="85" customHeight="1">
      <x:c r="A1448" s="10" t="n">
        <x:v>1447</x:v>
      </x:c>
      <x:c r="B1448" s="10" t="str">
        <x:v>USER-04-0206</x:v>
      </x:c>
      <x:c r="C1448" s="10" t="str">
        <x:v>消息与社交</x:v>
      </x:c>
      <x:c r="D1448" s="10" t="str">
        <x:v>主播主页（普通用户视角）</x:v>
      </x:c>
      <x:c r="E1448" s="10" t="str">
        <x:v>功能需求</x:v>
      </x:c>
      <x:c r="F1448" s="10" t="str">
        <x:v>P2</x:v>
      </x:c>
      <x:c r="G1448" s="9" t="str">
        <x:v>验证主播粉丝统计</x:v>
      </x:c>
      <x:c r="H1448" s="9" t="str">
        <x:v>展示内容</x:v>
      </x:c>
      <x:c r="I1448" s="9" t="str">
        <x:v>1. 执行角色为普通用户；当前处于主播主页页面
2. 当前主播有3名有效粉丝、关注4人、历史累计观众人次20；展馆收到礼物A两件及B三件</x:v>
      </x:c>
      <x:c r="J1448" s="9" t="str">
        <x:v>1. 查看粉丝数</x:v>
      </x:c>
      <x:c r="K1448" s="9" t="str">
        <x:v>显示3人</x:v>
      </x:c>
      <x:c r="L1448" s="10" t="str"/>
      <x:c r="M1448" s="10" t="str">
        <x:v>未测</x:v>
      </x:c>
      <x:c r="N1448" s="10" t="str"/>
      <x:c r="O1448" s="9" t="str">
        <x:v>1. 来源（当前证据）：liveshow-proto/MainBasis/统一需求文档.md；位置：行1057、行1054
2. 规则：BR-fa627f44d60fe3d8
3. 未动态验证</x:v>
      </x:c>
    </x:row>
    <x:row r="1449" ht="85" customHeight="1">
      <x:c r="A1449" s="10" t="n">
        <x:v>1448</x:v>
      </x:c>
      <x:c r="B1449" s="10" t="str">
        <x:v>USER-04-0207</x:v>
      </x:c>
      <x:c r="C1449" s="10" t="str">
        <x:v>消息与社交</x:v>
      </x:c>
      <x:c r="D1449" s="10" t="str">
        <x:v>主播主页（普通用户视角）</x:v>
      </x:c>
      <x:c r="E1449" s="10" t="str">
        <x:v>功能需求</x:v>
      </x:c>
      <x:c r="F1449" s="10" t="str">
        <x:v>P2</x:v>
      </x:c>
      <x:c r="G1449" s="9" t="str">
        <x:v>验证主播关注统计</x:v>
      </x:c>
      <x:c r="H1449" s="9" t="str">
        <x:v>主播关注人数统计</x:v>
      </x:c>
      <x:c r="I1449" s="9" t="str">
        <x:v>1. 执行角色为普通用户；当前处于主播主页页面
2. 当前主播有3名有效粉丝、关注4人、历史累计观众人次20；展馆收到礼物A两件及B三件</x:v>
      </x:c>
      <x:c r="J1449" s="9" t="str">
        <x:v>1. 查看关注数</x:v>
      </x:c>
      <x:c r="K1449" s="9" t="str">
        <x:v>显示4人</x:v>
      </x:c>
      <x:c r="L1449" s="10" t="str"/>
      <x:c r="M1449" s="10" t="str">
        <x:v>未测</x:v>
      </x:c>
      <x:c r="N1449" s="10" t="str"/>
      <x:c r="O1449" s="9" t="str">
        <x:v>1. 来源（当前证据）：liveshow-proto/MainBasis/统一需求文档.md；位置：行1057、行1054
2. 规则：BR-d8c854e450b6f6bf
3. 未动态验证</x:v>
      </x:c>
    </x:row>
    <x:row r="1450" ht="85" customHeight="1">
      <x:c r="A1450" s="10" t="n">
        <x:v>1449</x:v>
      </x:c>
      <x:c r="B1450" s="10" t="str">
        <x:v>USER-04-0208</x:v>
      </x:c>
      <x:c r="C1450" s="10" t="str">
        <x:v>消息与社交</x:v>
      </x:c>
      <x:c r="D1450" s="10" t="str">
        <x:v>主播主页（普通用户视角）</x:v>
      </x:c>
      <x:c r="E1450" s="10" t="str">
        <x:v>功能需求</x:v>
      </x:c>
      <x:c r="F1450" s="10" t="str">
        <x:v>P2</x:v>
      </x:c>
      <x:c r="G1450" s="9" t="str">
        <x:v>验证主播历史观众统计</x:v>
      </x:c>
      <x:c r="H1450" s="9" t="str">
        <x:v>展示内容</x:v>
      </x:c>
      <x:c r="I1450" s="9" t="str">
        <x:v>1. 执行角色为普通用户；当前处于主播主页页面
2. 当前主播有3名有效粉丝、关注4人、历史累计观众人次20；展馆收到礼物A两件及B三件</x:v>
      </x:c>
      <x:c r="J1450" s="9" t="str">
        <x:v>1. 查看观众数</x:v>
      </x:c>
      <x:c r="K1450" s="9" t="str">
        <x:v>显示20人次</x:v>
      </x:c>
      <x:c r="L1450" s="10" t="str"/>
      <x:c r="M1450" s="10" t="str">
        <x:v>未测</x:v>
      </x:c>
      <x:c r="N1450" s="10" t="str"/>
      <x:c r="O1450" s="9" t="str">
        <x:v>1. 来源（当前证据）：liveshow-proto/MainBasis/统一需求文档.md；位置：行1057、行1054
2. 规则：BR-08fccae589bb1945
3. 未动态验证</x:v>
      </x:c>
    </x:row>
    <x:row r="1451" ht="85" customHeight="1">
      <x:c r="A1451" s="10" t="n">
        <x:v>1450</x:v>
      </x:c>
      <x:c r="B1451" s="10" t="str">
        <x:v>USER-04-0209</x:v>
      </x:c>
      <x:c r="C1451" s="10" t="str">
        <x:v>消息与社交</x:v>
      </x:c>
      <x:c r="D1451" s="10" t="str">
        <x:v>主播主页（普通用户视角）</x:v>
      </x:c>
      <x:c r="E1451" s="10" t="str">
        <x:v>功能需求</x:v>
      </x:c>
      <x:c r="F1451" s="10" t="str">
        <x:v>P2</x:v>
      </x:c>
      <x:c r="G1451" s="9" t="str">
        <x:v>验证主播礼物种类统计</x:v>
      </x:c>
      <x:c r="H1451" s="9" t="str">
        <x:v>展示内容</x:v>
      </x:c>
      <x:c r="I1451" s="9" t="str">
        <x:v>1. 执行角色为普通用户；当前处于主播主页页面
2. 当前主播有3名有效粉丝、关注4人、历史累计观众人次20；展馆收到礼物A两件及B三件</x:v>
      </x:c>
      <x:c r="J1451" s="9" t="str">
        <x:v>1. 查看礼物种类</x:v>
      </x:c>
      <x:c r="K1451" s="9" t="str">
        <x:v>显示2种</x:v>
      </x:c>
      <x:c r="L1451" s="10" t="str"/>
      <x:c r="M1451" s="10" t="str">
        <x:v>未测</x:v>
      </x:c>
      <x:c r="N1451" s="10" t="str"/>
      <x:c r="O1451" s="9" t="str">
        <x:v>1. 来源（当前证据）：liveshow-proto/MainBasis/统一需求文档.md；位置：行1058、行1054
2. 规则：BR-1cb626535e36b471
3. 未动态验证</x:v>
      </x:c>
    </x:row>
    <x:row r="1452" ht="85" customHeight="1">
      <x:c r="A1452" s="10" t="n">
        <x:v>1451</x:v>
      </x:c>
      <x:c r="B1452" s="10" t="str">
        <x:v>USER-04-0210</x:v>
      </x:c>
      <x:c r="C1452" s="10" t="str">
        <x:v>消息与社交</x:v>
      </x:c>
      <x:c r="D1452" s="10" t="str">
        <x:v>主播主页（普通用户视角）</x:v>
      </x:c>
      <x:c r="E1452" s="10" t="str">
        <x:v>功能需求</x:v>
      </x:c>
      <x:c r="F1452" s="10" t="str">
        <x:v>P2</x:v>
      </x:c>
      <x:c r="G1452" s="9" t="str">
        <x:v>验证主播礼物收到数量</x:v>
      </x:c>
      <x:c r="H1452" s="9" t="str">
        <x:v>展示内容</x:v>
      </x:c>
      <x:c r="I1452" s="9" t="str">
        <x:v>1. 执行角色为普通用户；当前处于主播主页页面
2. 当前主播有3名有效粉丝、关注4人、历史累计观众人次20；展馆收到礼物A两件及B三件</x:v>
      </x:c>
      <x:c r="J1452" s="9" t="str">
        <x:v>1. 查看历史收到数量</x:v>
      </x:c>
      <x:c r="K1452" s="9" t="str">
        <x:v>显示5件</x:v>
      </x:c>
      <x:c r="L1452" s="10" t="str"/>
      <x:c r="M1452" s="10" t="str">
        <x:v>未测</x:v>
      </x:c>
      <x:c r="N1452" s="10" t="str"/>
      <x:c r="O1452" s="9" t="str">
        <x:v>1. 来源（当前证据）：liveshow-proto/MainBasis/统一需求文档.md；位置：行1058、行1054
2. 规则：BR-b786c62c071198fc
3. 未动态验证</x:v>
      </x:c>
    </x:row>
    <x:row r="1453" ht="85" customHeight="1">
      <x:c r="A1453" s="10" t="n">
        <x:v>1452</x:v>
      </x:c>
      <x:c r="B1453" s="10" t="str">
        <x:v>USER-04-0211</x:v>
      </x:c>
      <x:c r="C1453" s="10" t="str">
        <x:v>消息与社交</x:v>
      </x:c>
      <x:c r="D1453" s="10" t="str">
        <x:v>主播主页（普通用户A视角）</x:v>
      </x:c>
      <x:c r="E1453" s="10" t="str">
        <x:v>功能需求</x:v>
      </x:c>
      <x:c r="F1453" s="10" t="str">
        <x:v>P2</x:v>
      </x:c>
      <x:c r="G1453" s="9" t="str">
        <x:v>验证主播主页关注独立状态</x:v>
      </x:c>
      <x:c r="H1453" s="9" t="str">
        <x:v>账号关系</x:v>
      </x:c>
      <x:c r="I1453" s="9" t="str">
        <x:v>1. 执行角色为普通用户A；当前处于主播主页页面
2. A关注主播B，与B不是好友且未互相拉黑</x:v>
      </x:c>
      <x:c r="J1453" s="9" t="str">
        <x:v>1. 查看关注状态</x:v>
      </x:c>
      <x:c r="K1453" s="9" t="str">
        <x:v>显示已关注</x:v>
      </x:c>
      <x:c r="L1453" s="10" t="str"/>
      <x:c r="M1453" s="10" t="str">
        <x:v>未测</x:v>
      </x:c>
      <x:c r="N1453" s="10" t="str"/>
      <x:c r="O1453" s="9" t="str">
        <x:v>1. 来源（当前证据）：liveshow-proto/MainBasis/统一需求文档.md；位置：行1060、行1054
2. 规则：BR-4aa9ca3fdd64d9c8
3. 未动态验证</x:v>
      </x:c>
    </x:row>
    <x:row r="1454" ht="85" customHeight="1">
      <x:c r="A1454" s="10" t="n">
        <x:v>1453</x:v>
      </x:c>
      <x:c r="B1454" s="10" t="str">
        <x:v>USER-04-0212</x:v>
      </x:c>
      <x:c r="C1454" s="10" t="str">
        <x:v>消息与社交</x:v>
      </x:c>
      <x:c r="D1454" s="10" t="str">
        <x:v>主播主页（普通用户A视角）</x:v>
      </x:c>
      <x:c r="E1454" s="10" t="str">
        <x:v>功能需求</x:v>
      </x:c>
      <x:c r="F1454" s="10" t="str">
        <x:v>P2</x:v>
      </x:c>
      <x:c r="G1454" s="9" t="str">
        <x:v>验证主播主页好友独立状态</x:v>
      </x:c>
      <x:c r="H1454" s="9" t="str">
        <x:v>账号关系</x:v>
      </x:c>
      <x:c r="I1454" s="9" t="str">
        <x:v>1. 执行角色为普通用户A；当前处于主播主页页面
2. A关注主播B，与B不是好友且未互相拉黑</x:v>
      </x:c>
      <x:c r="J1454" s="9" t="str">
        <x:v>1. 查看好友状态</x:v>
      </x:c>
      <x:c r="K1454" s="9" t="str">
        <x:v>显示非好友</x:v>
      </x:c>
      <x:c r="L1454" s="10" t="str"/>
      <x:c r="M1454" s="10" t="str">
        <x:v>未测</x:v>
      </x:c>
      <x:c r="N1454" s="10" t="str"/>
      <x:c r="O1454" s="9" t="str">
        <x:v>1. 来源（当前证据）：liveshow-proto/MainBasis/统一需求文档.md；位置：行1060、行1054
2. 规则：BR-e18c83dce23f1f93
3. 未动态验证</x:v>
      </x:c>
    </x:row>
    <x:row r="1455" ht="85" customHeight="1">
      <x:c r="A1455" s="10" t="n">
        <x:v>1454</x:v>
      </x:c>
      <x:c r="B1455" s="10" t="str">
        <x:v>USER-04-0213</x:v>
      </x:c>
      <x:c r="C1455" s="10" t="str">
        <x:v>消息与社交</x:v>
      </x:c>
      <x:c r="D1455" s="10" t="str">
        <x:v>主播主页（普通用户A视角）</x:v>
      </x:c>
      <x:c r="E1455" s="10" t="str">
        <x:v>功能需求</x:v>
      </x:c>
      <x:c r="F1455" s="10" t="str">
        <x:v>P2</x:v>
      </x:c>
      <x:c r="G1455" s="9" t="str">
        <x:v>验证主播主页拉黑独立状态</x:v>
      </x:c>
      <x:c r="H1455" s="9" t="str">
        <x:v>账号关系</x:v>
      </x:c>
      <x:c r="I1455" s="9" t="str">
        <x:v>1. 执行角色为普通用户A；当前处于主播主页页面
2. A关注主播B，与B不是好友且未互相拉黑</x:v>
      </x:c>
      <x:c r="J1455" s="9" t="str">
        <x:v>1. 查看拉黑状态</x:v>
      </x:c>
      <x:c r="K1455" s="9" t="str">
        <x:v>显示未拉黑</x:v>
      </x:c>
      <x:c r="L1455" s="10" t="str"/>
      <x:c r="M1455" s="10" t="str">
        <x:v>未测</x:v>
      </x:c>
      <x:c r="N1455" s="10" t="str"/>
      <x:c r="O1455" s="9" t="str">
        <x:v>1. 来源（当前证据）：liveshow-proto/MainBasis/统一需求文档.md；位置：行1060、行1054
2. 规则：BR-a58412d0f3e5109c
3. 未动态验证</x:v>
      </x:c>
    </x:row>
    <x:row r="1456" ht="85" customHeight="1">
      <x:c r="A1456" s="10" t="n">
        <x:v>1455</x:v>
      </x:c>
      <x:c r="B1456" s="10" t="str">
        <x:v>USER-04-0214</x:v>
      </x:c>
      <x:c r="C1456" s="10" t="str">
        <x:v>消息与社交</x:v>
      </x:c>
      <x:c r="D1456" s="10" t="str">
        <x:v>主播主页（普通用户A视角）</x:v>
      </x:c>
      <x:c r="E1456" s="10" t="str">
        <x:v>功能需求</x:v>
      </x:c>
      <x:c r="F1456" s="10" t="str">
        <x:v>P2</x:v>
      </x:c>
      <x:c r="G1456" s="9" t="str">
        <x:v>验证主播主页私信权限受限</x:v>
      </x:c>
      <x:c r="H1456" s="9" t="str">
        <x:v>入口可用性</x:v>
      </x:c>
      <x:c r="I1456" s="9" t="str">
        <x:v>1. 执行角色为普通用户A；当前处于主播主页页面
2. A与主播B非好友，已主动发出3条私信，B未回应</x:v>
      </x:c>
      <x:c r="J1456" s="9" t="str">
        <x:v>1. 点击私信
2. 尝试再发送QA消息</x:v>
      </x:c>
      <x:c r="K1456" s="9" t="str">
        <x:v>第四条主动私信不能发出</x:v>
      </x:c>
      <x:c r="L1456" s="10" t="str"/>
      <x:c r="M1456" s="10" t="str">
        <x:v>未测</x:v>
      </x:c>
      <x:c r="N1456" s="10" t="str"/>
      <x:c r="O1456" s="9" t="str">
        <x:v>1. 来源（当前证据）：liveshow-proto/MainBasis/统一需求文档.md；位置：行1060、行887、行1054
2. 规则：BR-8782fa2f658581e8
3. 未动态验证</x:v>
      </x:c>
    </x:row>
    <x:row r="1457" ht="85" customHeight="1">
      <x:c r="A1457" s="10" t="n">
        <x:v>1456</x:v>
      </x:c>
      <x:c r="B1457" s="10" t="str">
        <x:v>USER-05-0253</x:v>
      </x:c>
      <x:c r="C1457" s="10" t="str">
        <x:v>我的</x:v>
      </x:c>
      <x:c r="D1457" s="10" t="str">
        <x:v>我的粉丝团（有效粉丝团成员视角）</x:v>
      </x:c>
      <x:c r="E1457" s="10" t="str">
        <x:v>功能需求</x:v>
      </x:c>
      <x:c r="F1457" s="10" t="str">
        <x:v>P2</x:v>
      </x:c>
      <x:c r="G1457" s="9" t="str">
        <x:v>验证卡片本周我的排名</x:v>
      </x:c>
      <x:c r="H1457" s="9" t="str">
        <x:v>展示内容</x:v>
      </x:c>
      <x:c r="I1457" s="9" t="str">
        <x:v>1. 执行角色为有效粉丝团成员；当前处于我的粉丝团页面
2. 本人当前主播粉丝团本周贡献排名为第2名</x:v>
      </x:c>
      <x:c r="J1457" s="9" t="str">
        <x:v>1. 查看卡片我的排名</x:v>
      </x:c>
      <x:c r="K1457" s="9" t="str">
        <x:v>显示第2名</x:v>
      </x:c>
      <x:c r="L1457" s="10" t="str"/>
      <x:c r="M1457" s="10" t="str">
        <x:v>未测</x:v>
      </x:c>
      <x:c r="N1457" s="10" t="str"/>
      <x:c r="O1457" s="9" t="str">
        <x:v>1. 来源（当前证据）：liveshow-proto/MainBasis/统一需求文档.md；位置：行1097、行1085
2. 规则：BR-23a325f1682291e2
3. 未动态验证</x:v>
      </x:c>
    </x:row>
    <x:row r="1458" ht="100" customHeight="1">
      <x:c r="A1458" s="10" t="n">
        <x:v>1457</x:v>
      </x:c>
      <x:c r="B1458" s="10" t="str">
        <x:v>USER-05-0254</x:v>
      </x:c>
      <x:c r="C1458" s="10" t="str">
        <x:v>我的</x:v>
      </x:c>
      <x:c r="D1458" s="10" t="str">
        <x:v>我的粉丝团（有效粉丝团成员视角）</x:v>
      </x:c>
      <x:c r="E1458" s="10" t="str">
        <x:v>功能需求</x:v>
      </x:c>
      <x:c r="F1458" s="10" t="str">
        <x:v>P2</x:v>
      </x:c>
      <x:c r="G1458" s="9" t="str">
        <x:v>验证卡片贡献本周范围：有效成员贡献排序</x:v>
      </x:c>
      <x:c r="H1458" s="9" t="str">
        <x:v>有效成员贡献排序</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A排在B前</x:v>
      </x:c>
      <x:c r="L1458" s="10" t="str"/>
      <x:c r="M1458" s="10" t="str">
        <x:v>未测</x:v>
      </x:c>
      <x:c r="N1458" s="10" t="str"/>
      <x:c r="O1458" s="9" t="str">
        <x:v>1. 来源（当前证据）：liveshow-proto/MainBasis/统一需求文档.md；位置：行1101、行1085
2. 规则：BR-d86e0b5444d789df
3. 未动态验证</x:v>
      </x:c>
    </x:row>
    <x:row r="1459" ht="100" customHeight="1">
      <x:c r="A1459" s="10" t="n">
        <x:v>1458</x:v>
      </x:c>
      <x:c r="B1459" s="10" t="str">
        <x:v>USER-05-0255</x:v>
      </x:c>
      <x:c r="C1459" s="10" t="str">
        <x:v>我的</x:v>
      </x:c>
      <x:c r="D1459" s="10" t="str">
        <x:v>我的粉丝团（有效粉丝团成员视角）</x:v>
      </x:c>
      <x:c r="E1459" s="10" t="str">
        <x:v>功能需求</x:v>
      </x:c>
      <x:c r="F1459" s="10" t="str">
        <x:v>P2</x:v>
      </x:c>
      <x:c r="G1459" s="9" t="str">
        <x:v>验证卡片贡献本周范围：退团账号排除</x:v>
      </x:c>
      <x:c r="H1459" s="9" t="str">
        <x:v>退团账号排除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不展示已退团C</x:v>
      </x:c>
      <x:c r="L1459" s="10" t="str"/>
      <x:c r="M1459" s="10" t="str">
        <x:v>未测</x:v>
      </x:c>
      <x:c r="N1459" s="10" t="str"/>
      <x:c r="O1459" s="9" t="str">
        <x:v>1. 来源（当前证据）：liveshow-proto/MainBasis/统一需求文档.md；位置：行1101、行1085
2. 规则：BR-5bac252cb94f69f8
3. 未动态验证</x:v>
      </x:c>
    </x:row>
    <x:row r="1460" ht="100" customHeight="1">
      <x:c r="A1460" s="10" t="n">
        <x:v>1459</x:v>
      </x:c>
      <x:c r="B1460" s="10" t="str">
        <x:v>USER-05-0256</x:v>
      </x:c>
      <x:c r="C1460" s="10" t="str">
        <x:v>我的</x:v>
      </x:c>
      <x:c r="D1460" s="10" t="str">
        <x:v>我的粉丝团（有效粉丝团成员视角）</x:v>
      </x:c>
      <x:c r="E1460" s="10" t="str">
        <x:v>功能需求</x:v>
      </x:c>
      <x:c r="F1460" s="10" t="str">
        <x:v>P2</x:v>
      </x:c>
      <x:c r="G1460" s="9" t="str">
        <x:v>验证卡片贡献本周范围：运营账号排除</x:v>
      </x:c>
      <x:c r="H1460" s="9" t="str">
        <x:v>运营账号排除</x:v>
      </x:c>
      <x:c r="I1460" s="9" t="str">
        <x:v>1. 执行角色为有效粉丝团成员；当前处于我的粉丝团页面
2. 本周A入团前贡献100、入团后50，B贡献100；A和B当前均为有效团籍，C已退团且贡献200，D为运营号</x:v>
      </x:c>
      <x:c r="J1460" s="9" t="str">
        <x:v>1. 查看卡片贡献榜头像顺序</x:v>
      </x:c>
      <x:c r="K1460" s="9" t="str">
        <x:v>不展示运营号D</x:v>
      </x:c>
      <x:c r="L1460" s="10" t="str"/>
      <x:c r="M1460" s="10" t="str">
        <x:v>未测</x:v>
      </x:c>
      <x:c r="N1460" s="10" t="str"/>
      <x:c r="O1460" s="9" t="str">
        <x:v>1. 来源（当前证据）：liveshow-proto/MainBasis/统一需求文档.md；位置：行1101、行1085
2. 规则：BR-b5b04fd273867a47
3. 未动态验证</x:v>
      </x:c>
    </x:row>
    <x:row r="1461" ht="85" customHeight="1">
      <x:c r="A1461" s="10" t="n">
        <x:v>1460</x:v>
      </x:c>
      <x:c r="B1461" s="10" t="str">
        <x:v>USER-07-0182</x:v>
      </x:c>
      <x:c r="C1461" s="10" t="str">
        <x:v>主播中心</x:v>
      </x:c>
      <x:c r="D1461" s="10" t="str">
        <x:v>开播设置（有开播资格的主播视角）</x:v>
      </x:c>
      <x:c r="E1461" s="10" t="str">
        <x:v>功能需求</x:v>
      </x:c>
      <x:c r="F1461" s="10" t="str">
        <x:v>P2</x:v>
      </x:c>
      <x:c r="G1461" s="9" t="str">
        <x:v>验证开播封面可不填</x:v>
      </x:c>
      <x:c r="H1461" s="9" t="str">
        <x:v>开播封面必填条件</x:v>
      </x:c>
      <x:c r="I1461" s="9" t="str">
        <x:v>1. 执行角色为有开播资格的主播；当前处于开播设置页面
2. 相机麦克风已授权，普通房主题和分类均有效，未上传封面</x:v>
      </x:c>
      <x:c r="J1461" s="9" t="str">
        <x:v>1. 点击开始直播</x:v>
      </x:c>
      <x:c r="K1461" s="9" t="str">
        <x:v>允许创建本次场次</x:v>
      </x:c>
      <x:c r="L1461" s="10" t="str"/>
      <x:c r="M1461" s="10" t="str">
        <x:v>未测</x:v>
      </x:c>
      <x:c r="N1461" s="10" t="str"/>
      <x:c r="O1461" s="9" t="str">
        <x:v>1. 来源（当前证据）：liveshow-proto/MainBasis/统一需求文档.md；位置：行1188、行1186
2. 规则：BR-c9aa907620ed03bf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验证区号返回保留密码登录</x:v>
      </x:c>
      <x:c r="H1462" s="9" t="str">
        <x:v>登录方式保留</x:v>
      </x:c>
      <x:c r="I1462" s="9" t="str">
        <x:v>1. 执行角色为未登录普通用户；当前处于手机号登录页面
2. 当前已选择密码登录并输入手机号</x:v>
      </x:c>
      <x:c r="J1462" s="9" t="str">
        <x:v>1. 点击区号
2. 选择印度尼西亚+62</x:v>
      </x:c>
      <x:c r="K1462" s="9" t="str">
        <x:v>仍为密码登录</x:v>
      </x:c>
      <x:c r="L1462" s="10" t="str"/>
      <x:c r="M1462" s="10" t="str">
        <x:v>未测</x:v>
      </x:c>
      <x:c r="N1462" s="10" t="str"/>
      <x:c r="O1462" s="9" t="str">
        <x:v>1. 来源（当前证据）：liveshow-proto/MainBasis/统一需求文档.md；位置：行1390、行1394、行1383
2. 规则：BR-50cd2f30756cda16
3. 未动态验证</x:v>
      </x:c>
    </x:row>
    <x:row r="1463" ht="85" customHeight="1">
      <x:c r="A1463" s="10" t="n">
        <x:v>1462</x:v>
      </x:c>
      <x:c r="B1463" s="10" t="str">
        <x:v>USER-01-0121</x:v>
      </x:c>
      <x:c r="C1463" s="10" t="str">
        <x:v>系统入口</x:v>
      </x:c>
      <x:c r="D1463" s="10" t="str">
        <x:v>手机号登录（未登录普通用户视角）</x:v>
      </x:c>
      <x:c r="E1463" s="10" t="str">
        <x:v>功能需求</x:v>
      </x:c>
      <x:c r="F1463" s="10" t="str">
        <x:v>P2</x:v>
      </x:c>
      <x:c r="G1463" s="9" t="str">
        <x:v>验证区号返回保留验证码登录</x:v>
      </x:c>
      <x:c r="H1463" s="9" t="str">
        <x:v>登录方式保留</x:v>
      </x:c>
      <x:c r="I1463" s="9" t="str">
        <x:v>1. 执行角色为未登录普通用户；当前处于手机号登录页面
2. 当前已选择验证码登录并输入手机号</x:v>
      </x:c>
      <x:c r="J1463" s="9" t="str">
        <x:v>1. 点击区号
2. 选择印度尼西亚+62</x:v>
      </x:c>
      <x:c r="K1463" s="9" t="str">
        <x:v>仍为验证码登录</x:v>
      </x:c>
      <x:c r="L1463" s="10" t="str"/>
      <x:c r="M1463" s="10" t="str">
        <x:v>未测</x:v>
      </x:c>
      <x:c r="N1463" s="10" t="str"/>
      <x:c r="O1463" s="9" t="str">
        <x:v>1. 来源（当前证据）：liveshow-proto/MainBasis/统一需求文档.md；位置：行1390、行1394、行1383
2. 规则：BR-b43c58363ceb44fb
3. 未动态验证</x:v>
      </x:c>
    </x:row>
    <x:row r="1464" ht="85" customHeight="1">
      <x:c r="A1464" s="10" t="n">
        <x:v>1463</x:v>
      </x:c>
      <x:c r="B1464" s="10" t="str">
        <x:v>USER-01-0122</x:v>
      </x:c>
      <x:c r="C1464" s="10" t="str">
        <x:v>系统入口</x:v>
      </x:c>
      <x:c r="D1464" s="10" t="str">
        <x:v>手机号登录（未设置密码的用户视角）</x:v>
      </x:c>
      <x:c r="E1464" s="10" t="str">
        <x:v>功能需求</x:v>
      </x:c>
      <x:c r="F1464" s="10" t="str">
        <x:v>P2</x:v>
      </x:c>
      <x:c r="G1464" s="9" t="str">
        <x:v>验证未设置密码通过手机号验证码登录</x:v>
      </x:c>
      <x:c r="H1464" s="9" t="str">
        <x:v>凭证有效性</x:v>
      </x:c>
      <x:c r="I1464" s="9" t="str">
        <x:v>1. 执行角色为未设置密码的用户；当前处于手机号登录页面
2. 当前账号已绑定有效手机号但未设置密码；协议已同意；已取得该账号有效验证码</x:v>
      </x:c>
      <x:c r="J1464" s="9" t="str">
        <x:v>1. 输入已绑定手机号
2. 切换验证码登录
3. 输入有效验证码
4. 点击继续</x:v>
      </x:c>
      <x:c r="K1464" s="9" t="str">
        <x:v>进入首页</x:v>
      </x:c>
      <x:c r="L1464" s="10" t="str"/>
      <x:c r="M1464" s="10" t="str">
        <x:v>未测</x:v>
      </x:c>
      <x:c r="N1464" s="10" t="str"/>
      <x:c r="O1464" s="9" t="str">
        <x:v>1. 来源（当前证据）：liveshow-proto/MainBasis/统一需求文档.md；位置：行1478、行1383
2. 规则：BR-1906aa35bc7b5af5
3. 未动态验证</x:v>
      </x:c>
    </x:row>
    <x:row r="1465" ht="85" customHeight="1">
      <x:c r="A1465" s="10" t="n">
        <x:v>1464</x:v>
      </x:c>
      <x:c r="B1465" s="10" t="str">
        <x:v>USER-01-0123</x:v>
      </x:c>
      <x:c r="C1465" s="10" t="str">
        <x:v>系统入口</x:v>
      </x:c>
      <x:c r="D1465" s="10" t="str">
        <x:v>邮箱登录（未设置密码的用户视角）</x:v>
      </x:c>
      <x:c r="E1465" s="10" t="str">
        <x:v>功能需求</x:v>
      </x:c>
      <x:c r="F1465" s="10" t="str">
        <x:v>P2</x:v>
      </x:c>
      <x:c r="G1465" s="9" t="str">
        <x:v>验证未设置密码通过邮箱验证码登录</x:v>
      </x:c>
      <x:c r="H1465" s="9" t="str">
        <x:v>凭证有效性</x:v>
      </x:c>
      <x:c r="I1465" s="9" t="str">
        <x:v>1. 执行角色为未设置密码的用户；当前处于邮箱登录页面
2. 当前账号已绑定有效邮箱但未设置密码；协议已同意；已取得该账号有效验证码</x:v>
      </x:c>
      <x:c r="J1465" s="9" t="str">
        <x:v>1. 输入已绑定邮箱
2. 切换验证码登录
3. 输入有效验证码
4. 点击继续</x:v>
      </x:c>
      <x:c r="K1465" s="9" t="str">
        <x:v>进入首页</x:v>
      </x:c>
      <x:c r="L1465" s="10" t="str"/>
      <x:c r="M1465" s="10" t="str">
        <x:v>未测</x:v>
      </x:c>
      <x:c r="N1465" s="10" t="str"/>
      <x:c r="O1465" s="9" t="str">
        <x:v>1. 来源（当前证据）：liveshow-proto/MainBasis/统一需求文档.md；位置：行1478、行1412
2. 规则：BR-9056629d90a52515
3. 未动态验证</x:v>
      </x:c>
    </x:row>
    <x:row r="1466" ht="85" customHeight="1">
      <x:c r="A1466" s="10" t="n">
        <x:v>1465</x:v>
      </x:c>
      <x:c r="B1466" s="10" t="str">
        <x:v>USER-05-0257</x:v>
      </x:c>
      <x:c r="C1466" s="10" t="str">
        <x:v>我的</x:v>
      </x:c>
      <x:c r="D1466" s="10" t="str">
        <x:v>修改密码（已设置密码用户视角）</x:v>
      </x:c>
      <x:c r="E1466" s="10" t="str">
        <x:v>功能需求</x:v>
      </x:c>
      <x:c r="F1466" s="10" t="str">
        <x:v>P2</x:v>
      </x:c>
      <x:c r="G1466" s="9" t="str">
        <x:v>验证修改密码旧密码为空</x:v>
      </x:c>
      <x:c r="H1466" s="9" t="str">
        <x:v>凭证有效性</x:v>
      </x:c>
      <x:c r="I1466" s="9" t="str">
        <x:v>1. 执行角色为已设置密码用户；当前处于修改密码页面
2. 当前有效密码QaOld123</x:v>
      </x:c>
      <x:c r="J1466" s="9" t="str">
        <x:v>1. 清空当前密码
2. 输入新密码QaNew123
3. 尝试保存</x:v>
      </x:c>
      <x:c r="K1466" s="9" t="str">
        <x:v>不能将账号密码改为QaNew123</x:v>
      </x:c>
      <x:c r="L1466" s="10" t="str"/>
      <x:c r="M1466" s="10" t="str">
        <x:v>未测</x:v>
      </x:c>
      <x:c r="N1466" s="10" t="str"/>
      <x:c r="O1466" s="9" t="str">
        <x:v>1. 来源（当前证据）：liveshow-proto/MainBasis/统一需求文档.md；位置：行1498、行1496
2. 规则：BR-a6cdece7f1421f4c
3. 未动态验证</x:v>
      </x:c>
    </x:row>
    <x:row r="1467" ht="85" customHeight="1">
      <x:c r="A1467" s="10" t="n">
        <x:v>1466</x:v>
      </x:c>
      <x:c r="B1467" s="10" t="str">
        <x:v>USER-05-0258</x:v>
      </x:c>
      <x:c r="C1467" s="10" t="str">
        <x:v>我的</x:v>
      </x:c>
      <x:c r="D1467" s="10" t="str">
        <x:v>系统通知-从未申请（已登录普通用户视角）</x:v>
      </x:c>
      <x:c r="E1467" s="10" t="str">
        <x:v>功能需求</x:v>
      </x:c>
      <x:c r="F1467" s="10" t="str">
        <x:v>P2</x:v>
      </x:c>
      <x:c r="G1467" s="9" t="str">
        <x:v>验证首次系统通知状态</x:v>
      </x:c>
      <x:c r="H1467" s="9" t="str">
        <x:v>展示内容</x:v>
      </x:c>
      <x:c r="I1467" s="9" t="str">
        <x:v>1. 执行角色为已登录普通用户；当前处于系统通知-从未申请页面
2. 本设备尚未向系统申请通知授权</x:v>
      </x:c>
      <x:c r="J1467" s="9" t="str">
        <x:v>1. 查看系统通知状态</x:v>
      </x:c>
      <x:c r="K1467" s="9" t="str">
        <x:v>显示未开启</x:v>
      </x:c>
      <x:c r="L1467" s="10" t="str"/>
      <x:c r="M1467" s="10" t="str">
        <x:v>未测</x:v>
      </x:c>
      <x:c r="N1467" s="10" t="str"/>
      <x:c r="O1467" s="9" t="str">
        <x:v>1. 来源（当前证据）：liveshow-proto/MainBasis/统一需求文档.md；位置：行1553、行1551
2. 规则：BR-86132d01fe310bef
3. 未动态验证</x:v>
      </x:c>
    </x:row>
    <x:row r="1468" ht="115" customHeight="1">
      <x:c r="A1468" s="10" t="n">
        <x:v>1467</x:v>
      </x:c>
      <x:c r="B1468" s="10" t="str">
        <x:v>USER-05-0259</x:v>
      </x:c>
      <x:c r="C1468" s="10" t="str">
        <x:v>我的</x:v>
      </x:c>
      <x:c r="D1468" s="10" t="str">
        <x:v>系统通知-已授权（已登录普通用户视角）</x:v>
      </x:c>
      <x:c r="E1468" s="10" t="str">
        <x:v>功能需求</x:v>
      </x:c>
      <x:c r="F1468" s="10" t="str">
        <x:v>P2</x:v>
      </x:c>
      <x:c r="G1468" s="9" t="str">
        <x:v>验证已授权关闭开播分类</x:v>
      </x:c>
      <x:c r="H1468" s="9" t="str">
        <x:v>展示内容</x:v>
      </x:c>
      <x:c r="I1468" s="9" t="str">
        <x:v>1. 执行角色为已登录普通用户；当前处于系统通知-已授权页面
2. 本设备系统通知已授权；开播提醒关闭、互动通知开启；当前收到一条关注主播开播事件和一条好友申请</x:v>
      </x:c>
      <x:c r="J1468" s="9" t="str">
        <x:v>1. 查看设备是否收到本次主播开播通知</x:v>
      </x:c>
      <x:c r="K1468" s="9" t="str">
        <x:v>不展示本次主播开播推送</x:v>
      </x:c>
      <x:c r="L1468" s="10" t="str"/>
      <x:c r="M1468" s="10" t="str">
        <x:v>未测</x:v>
      </x:c>
      <x:c r="N1468" s="10" t="str"/>
      <x:c r="O1468" s="9" t="str">
        <x:v>1. 来源（当前证据）：liveshow-proto/MainBasis/统一需求文档.md；位置：行1570、行1566
2. 规则：BR-31c3b03799b0c4c4
3. 未动态验证</x:v>
      </x:c>
    </x:row>
    <x:row r="1469" ht="115" customHeight="1">
      <x:c r="A1469" s="10" t="n">
        <x:v>1468</x:v>
      </x:c>
      <x:c r="B1469" s="10" t="str">
        <x:v>USER-05-0260</x:v>
      </x:c>
      <x:c r="C1469" s="10" t="str">
        <x:v>我的</x:v>
      </x:c>
      <x:c r="D1469" s="10" t="str">
        <x:v>系统通知-已授权（已登录普通用户视角）</x:v>
      </x:c>
      <x:c r="E1469" s="10" t="str">
        <x:v>功能需求</x:v>
      </x:c>
      <x:c r="F1469" s="10" t="str">
        <x:v>P2</x:v>
      </x:c>
      <x:c r="G1469" s="9" t="str">
        <x:v>验证已授权保留互动分类</x:v>
      </x:c>
      <x:c r="H1469" s="9" t="str">
        <x:v>展示内容</x:v>
      </x:c>
      <x:c r="I1469" s="9" t="str">
        <x:v>1. 执行角色为已登录普通用户；当前处于系统通知-已授权页面
2. 本设备系统通知已授权；开播提醒关闭、互动通知开启；当前收到一条关注主播开播事件和一条好友申请</x:v>
      </x:c>
      <x:c r="J1469" s="9" t="str">
        <x:v>1. 查看设备收到的好友申请通知</x:v>
      </x:c>
      <x:c r="K1469" s="9" t="str">
        <x:v>展示本次好友申请互动推送</x:v>
      </x:c>
      <x:c r="L1469" s="10" t="str"/>
      <x:c r="M1469" s="10" t="str">
        <x:v>未测</x:v>
      </x:c>
      <x:c r="N1469" s="10" t="str"/>
      <x:c r="O1469" s="9" t="str">
        <x:v>1. 来源（当前证据）：liveshow-proto/MainBasis/统一需求文档.md；位置：行1570、行1566
2. 规则：BR-1c9ffd60d178749c
3. 未动态验证</x:v>
      </x:c>
    </x:row>
    <x:row r="1470" ht="85" customHeight="1">
      <x:c r="A1470" s="10" t="n">
        <x:v>1469</x:v>
      </x:c>
      <x:c r="B1470" s="10" t="str">
        <x:v>USER-03-0358</x:v>
      </x:c>
      <x:c r="C1470" s="10" t="str">
        <x:v>直播</x:v>
      </x:c>
      <x:c r="D1470" s="10" t="str">
        <x:v>充值（真实金币用户视角）</x:v>
      </x:c>
      <x:c r="E1470" s="10" t="str">
        <x:v>功能需求</x:v>
      </x:c>
      <x:c r="F1470" s="10" t="str">
        <x:v>P2</x:v>
      </x:c>
      <x:c r="G1470" s="9" t="str">
        <x:v>验证快捷充值配置范围</x:v>
      </x:c>
      <x:c r="H1470" s="9" t="str">
        <x:v>展示内容</x:v>
      </x:c>
      <x:c r="I1470" s="9" t="str">
        <x:v>1. 执行角色为真实金币用户；当前处于充值页面
2. 后台当前端启用套餐P（100金币赠10金币）及支付渠道C</x:v>
      </x:c>
      <x:c r="J1470" s="9" t="str">
        <x:v>1. 查看充值套餐和支付渠道</x:v>
      </x:c>
      <x:c r="K1470" s="9" t="str">
        <x:v>显示套餐P与渠道C</x:v>
      </x:c>
      <x:c r="L1470" s="10" t="str"/>
      <x:c r="M1470" s="10" t="str">
        <x:v>未测</x:v>
      </x:c>
      <x:c r="N1470" s="10" t="str"/>
      <x:c r="O1470" s="9" t="str">
        <x:v>1. 来源（当前证据）：liveshow-proto/MainBasis/统一需求文档.md；位置：行1591、行1589
2. 规则：BR-e6731b280dc02733
3. 未动态验证</x:v>
      </x:c>
    </x:row>
    <x:row r="1471" ht="85" customHeight="1">
      <x:c r="A1471" s="10" t="n">
        <x:v>1470</x:v>
      </x:c>
      <x:c r="B1471" s="10" t="str">
        <x:v>USER-03-0359</x:v>
      </x:c>
      <x:c r="C1471" s="10" t="str">
        <x:v>直播</x:v>
      </x:c>
      <x:c r="D1471" s="10" t="str">
        <x:v>充值（真实金币用户视角）</x:v>
      </x:c>
      <x:c r="E1471" s="10" t="str">
        <x:v>功能需求</x:v>
      </x:c>
      <x:c r="F1471" s="10" t="str">
        <x:v>P2</x:v>
      </x:c>
      <x:c r="G1471" s="9" t="str">
        <x:v>验证快捷充值失败不增余额</x:v>
      </x:c>
      <x:c r="H1471" s="9" t="str">
        <x:v>资产数值</x:v>
      </x:c>
      <x:c r="I1471" s="9" t="str">
        <x:v>1. 执行角色为真实金币用户；当前处于充值页面
2. 原金币余额20；本次选择有效套餐，支付最终状态为失败</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来源（当前证据）：liveshow-proto/MainBasis/统一需求文档.md；位置：行1592、行1589
2. 规则：BR-7bfa4a66e8756f04
3. 未动态验证</x:v>
      </x:c>
    </x:row>
    <x:row r="1472" ht="85" customHeight="1">
      <x:c r="A1472" s="10" t="n">
        <x:v>1471</x:v>
      </x:c>
      <x:c r="B1472" s="10" t="str">
        <x:v>USER-03-0360</x:v>
      </x:c>
      <x:c r="C1472" s="10" t="str">
        <x:v>直播</x:v>
      </x:c>
      <x:c r="D1472" s="10" t="str">
        <x:v>充值（真实金币用户视角）</x:v>
      </x:c>
      <x:c r="E1472" s="10" t="str">
        <x:v>功能需求</x:v>
      </x:c>
      <x:c r="F1472" s="10" t="str">
        <x:v>P2</x:v>
      </x:c>
      <x:c r="G1472" s="9" t="str">
        <x:v>验证快捷充值取消不增余额</x:v>
      </x:c>
      <x:c r="H1472" s="9" t="str">
        <x:v>资产数值</x:v>
      </x:c>
      <x:c r="I1472" s="9" t="str">
        <x:v>1. 执行角色为真实金币用户；当前处于充值页面
2. 原金币余额20；本次选择有效套餐，支付最终状态为取消</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来源（当前证据）：liveshow-proto/MainBasis/统一需求文档.md；位置：行1592、行1589
2. 规则：BR-92d05d4031a078c8
3. 未动态验证</x:v>
      </x:c>
    </x:row>
    <x:row r="1473" ht="85" customHeight="1">
      <x:c r="A1473" s="10" t="n">
        <x:v>1472</x:v>
      </x:c>
      <x:c r="B1473" s="10" t="str">
        <x:v>USER-03-0361</x:v>
      </x:c>
      <x:c r="C1473" s="10" t="str">
        <x:v>直播</x:v>
      </x:c>
      <x:c r="D1473" s="10" t="str">
        <x:v>充值（真实金币用户视角）</x:v>
      </x:c>
      <x:c r="E1473" s="10" t="str">
        <x:v>功能需求</x:v>
      </x:c>
      <x:c r="F1473" s="10" t="str">
        <x:v>P2</x:v>
      </x:c>
      <x:c r="G1473" s="9" t="str">
        <x:v>验证快捷充值超时不增余额</x:v>
      </x:c>
      <x:c r="H1473" s="9" t="str">
        <x:v>资产数值</x:v>
      </x:c>
      <x:c r="I1473" s="9" t="str">
        <x:v>1. 执行角色为真实金币用户；当前处于充值页面
2. 原金币余额20；本次选择有效套餐，支付最终状态为超时</x:v>
      </x:c>
      <x:c r="J1473" s="9" t="str">
        <x:v>1. 提交支付
2. 重新查看金币余额</x:v>
      </x:c>
      <x:c r="K1473" s="9" t="str">
        <x:v>余额仍为20金币</x:v>
      </x:c>
      <x:c r="L1473" s="10" t="str"/>
      <x:c r="M1473" s="10" t="str">
        <x:v>未测</x:v>
      </x:c>
      <x:c r="N1473" s="10" t="str"/>
      <x:c r="O1473" s="9" t="str">
        <x:v>1. 来源（当前证据）：liveshow-proto/MainBasis/统一需求文档.md；位置：行1592、行1589
2. 规则：BR-a1ac01c73a0a52a8
3. 未动态验证</x:v>
      </x:c>
    </x:row>
    <x:row r="1474" ht="85" customHeight="1">
      <x:c r="A1474" s="10" t="n">
        <x:v>1473</x:v>
      </x:c>
      <x:c r="B1474" s="10" t="str">
        <x:v>USER-03-0362</x:v>
      </x:c>
      <x:c r="C1474" s="10" t="str">
        <x:v>直播</x:v>
      </x:c>
      <x:c r="D1474" s="10" t="str">
        <x:v>充值（真实金币用户视角）</x:v>
      </x:c>
      <x:c r="E1474" s="10" t="str">
        <x:v>功能需求</x:v>
      </x:c>
      <x:c r="F1474" s="10" t="str">
        <x:v>P2</x:v>
      </x:c>
      <x:c r="G1474" s="9" t="str">
        <x:v>验证快捷充值成功到账</x:v>
      </x:c>
      <x:c r="H1474" s="9" t="str">
        <x:v>资产数值</x:v>
      </x:c>
      <x:c r="I1474" s="9" t="str">
        <x:v>1. 执行角色为真实金币用户；当前处于充值页面
2. 原余额20；本次套餐到账100金币且支付成功</x:v>
      </x:c>
      <x:c r="J1474" s="9" t="str">
        <x:v>1. 刷新金币余额</x:v>
      </x:c>
      <x:c r="K1474" s="9" t="str">
        <x:v>余额为120金币（计算结果 = 120 金币）</x:v>
      </x:c>
      <x:c r="L1474" s="10" t="str"/>
      <x:c r="M1474" s="10" t="str">
        <x:v>未测</x:v>
      </x:c>
      <x:c r="N1474" s="10" t="str"/>
      <x:c r="O1474" s="9" t="str">
        <x:v>1. 来源（当前证据）：liveshow-proto/MainBasis/统一需求文档.md；位置：行1592、行320、行1589
2. 规则：BR-44d12de85d3c243f
3. 未动态验证</x:v>
      </x:c>
    </x:row>
    <x:row r="1475" ht="85" customHeight="1">
      <x:c r="A1475" s="10" t="n">
        <x:v>1474</x:v>
      </x:c>
      <x:c r="B1475" s="10" t="str">
        <x:v>USER-03-0363</x:v>
      </x:c>
      <x:c r="C1475" s="10" t="str">
        <x:v>直播</x:v>
      </x:c>
      <x:c r="D1475" s="10" t="str">
        <x:v>充值（真实金币用户视角）</x:v>
      </x:c>
      <x:c r="E1475" s="10" t="str">
        <x:v>功能需求</x:v>
      </x:c>
      <x:c r="F1475" s="10" t="str">
        <x:v>P2</x:v>
      </x:c>
      <x:c r="G1475" s="9" t="str">
        <x:v>验证快捷充值成功记账</x:v>
      </x:c>
      <x:c r="H1475" s="9" t="str">
        <x:v>快捷充值记录</x:v>
      </x:c>
      <x:c r="I1475" s="9" t="str">
        <x:v>1. 执行角色为真实金币用户；当前处于充值页面
2. 原余额20；本次套餐到账100金币且支付成功</x:v>
      </x:c>
      <x:c r="J1475" s="9" t="str">
        <x:v>1. 进入余额明细</x:v>
      </x:c>
      <x:c r="K1475" s="9" t="str">
        <x:v>存在本次100金币充值记录</x:v>
      </x:c>
      <x:c r="L1475" s="10" t="str"/>
      <x:c r="M1475" s="10" t="str">
        <x:v>未测</x:v>
      </x:c>
      <x:c r="N1475" s="10" t="str"/>
      <x:c r="O1475" s="9" t="str">
        <x:v>1. 来源（当前证据）：liveshow-proto/MainBasis/统一需求文档.md；位置：行1592、行320、行1589
2. 规则：BR-54a0183c3bc2d924
3. 未动态验证</x:v>
      </x:c>
    </x:row>
    <x:row r="1476" ht="85" customHeight="1">
      <x:c r="A1476" s="10" t="n">
        <x:v>1475</x:v>
      </x:c>
      <x:c r="B1476" s="10" t="str">
        <x:v>USER-03-0364</x:v>
      </x:c>
      <x:c r="C1476" s="10" t="str">
        <x:v>直播</x:v>
      </x:c>
      <x:c r="D1476" s="10" t="str">
        <x:v>粉丝团-已加入（刚入团普通用户视角）</x:v>
      </x:c>
      <x:c r="E1476" s="10" t="str">
        <x:v>功能需求</x:v>
      </x:c>
      <x:c r="F1476" s="10" t="str">
        <x:v>P2</x:v>
      </x:c>
      <x:c r="G1476" s="9" t="str">
        <x:v>验证入团获得粉丝群资格</x:v>
      </x:c>
      <x:c r="H1476" s="9" t="str">
        <x:v>页面去向</x:v>
      </x:c>
      <x:c r="I1476" s="9" t="str">
        <x:v>1. 执行角色为刚入团普通用户；当前处于粉丝团-已加入页面
2. 刚成功加入当前主播粉丝团</x:v>
      </x:c>
      <x:c r="J1476" s="9" t="str">
        <x:v>1. 点击群聊入口</x:v>
      </x:c>
      <x:c r="K1476" s="9" t="str">
        <x:v>可以进入该主播粉丝群</x:v>
      </x:c>
      <x:c r="L1476" s="10" t="str"/>
      <x:c r="M1476" s="10" t="str">
        <x:v>未测</x:v>
      </x:c>
      <x:c r="N1476" s="10" t="str"/>
      <x:c r="O1476" s="9" t="str">
        <x:v>1. 来源（当前证据）：liveshow-proto/MainBasis/统一需求文档.md；位置：行1613、行1622、行1623、行1619
2. 规则：BR-108998d8d12da266
3. 未动态验证</x:v>
      </x:c>
    </x:row>
    <x:row r="1477" ht="85" customHeight="1">
      <x:c r="A1477" s="10" t="n">
        <x:v>1476</x:v>
      </x:c>
      <x:c r="B1477" s="10" t="str">
        <x:v>USER-03-0365</x:v>
      </x:c>
      <x:c r="C1477" s="10" t="str">
        <x:v>直播</x:v>
      </x:c>
      <x:c r="D1477" s="10" t="str">
        <x:v>粉丝团-已加入（有效粉丝团成员视角）</x:v>
      </x:c>
      <x:c r="E1477" s="10" t="str">
        <x:v>功能需求</x:v>
      </x:c>
      <x:c r="F1477" s="10" t="str">
        <x:v>P2</x:v>
      </x:c>
      <x:c r="G1477" s="9" t="str">
        <x:v>验证有效团籍灯牌展示</x:v>
      </x:c>
      <x:c r="H1477" s="9" t="str">
        <x:v>展示内容</x:v>
      </x:c>
      <x:c r="I1477" s="9" t="str">
        <x:v>1. 执行角色为有效粉丝团成员；当前处于粉丝团-已加入页面
2. 当前团籍配置有效灯牌QA团及粉丝等级5</x:v>
      </x:c>
      <x:c r="J1477" s="9" t="str">
        <x:v>1. 查看当前团籍灯牌</x:v>
      </x:c>
      <x:c r="K1477" s="9" t="str">
        <x:v>显示QA团灯牌</x:v>
      </x:c>
      <x:c r="L1477" s="10" t="str"/>
      <x:c r="M1477" s="10" t="str">
        <x:v>未测</x:v>
      </x:c>
      <x:c r="N1477" s="10" t="str"/>
      <x:c r="O1477" s="9" t="str">
        <x:v>1. 来源（当前证据）：liveshow-proto/MainBasis/统一需求文档.md；位置：行1623、行1619
2. 规则：BR-6b788674bb1e663a
3. 未动态验证</x:v>
      </x:c>
    </x:row>
    <x:row r="1478" ht="85" customHeight="1">
      <x:c r="A1478" s="10" t="n">
        <x:v>1477</x:v>
      </x:c>
      <x:c r="B1478" s="10" t="str">
        <x:v>USER-03-0366</x:v>
      </x:c>
      <x:c r="C1478" s="10" t="str">
        <x:v>直播</x:v>
      </x:c>
      <x:c r="D1478" s="10" t="str">
        <x:v>用户资料卡-普通观众（普通观众A视角）</x:v>
      </x:c>
      <x:c r="E1478" s="10" t="str">
        <x:v>功能需求</x:v>
      </x:c>
      <x:c r="F1478" s="10" t="str">
        <x:v>P2</x:v>
      </x:c>
      <x:c r="G1478" s="9" t="str">
        <x:v>验证观众资料卡关系独立</x:v>
      </x:c>
      <x:c r="H1478" s="9" t="str">
        <x:v>展示内容</x:v>
      </x:c>
      <x:c r="I1478" s="9" t="str">
        <x:v>1. 执行角色为普通观众A；当前处于用户资料卡-普通观众页面
2. A已关注观众B，与B不是好友且未拉黑</x:v>
      </x:c>
      <x:c r="J1478" s="9" t="str">
        <x:v>1. 查看B关系操作</x:v>
      </x:c>
      <x:c r="K1478" s="9" t="str">
        <x:v>已关注状态不会显示为已建立好友</x:v>
      </x:c>
      <x:c r="L1478" s="10" t="str"/>
      <x:c r="M1478" s="10" t="str">
        <x:v>未测</x:v>
      </x:c>
      <x:c r="N1478" s="10" t="str"/>
      <x:c r="O1478" s="9" t="str">
        <x:v>1. 来源（当前证据）：liveshow-proto/MainBasis/统一需求文档.md；位置：行1688、行1686
2. 规则：BR-6d19ea96899f6d3d
3. 未动态验证</x:v>
      </x:c>
    </x:row>
    <x:row r="1479" ht="85" customHeight="1">
      <x:c r="A1479" s="10" t="n">
        <x:v>1478</x:v>
      </x:c>
      <x:c r="B1479" s="10" t="str">
        <x:v>USER-03-0367</x:v>
      </x:c>
      <x:c r="C1479" s="10" t="str">
        <x:v>直播</x:v>
      </x:c>
      <x:c r="D1479" s="10" t="str">
        <x:v>本场贡献-收到礼物（普通观众视角）</x:v>
      </x:c>
      <x:c r="E1479" s="10" t="str">
        <x:v>功能需求</x:v>
      </x:c>
      <x:c r="F1479" s="10" t="str">
        <x:v>P2</x:v>
      </x:c>
      <x:c r="G1479" s="9" t="str">
        <x:v>验证本场礼物贡献不扣返奖</x:v>
      </x:c>
      <x:c r="H1479" s="9" t="str">
        <x:v>资产数值</x:v>
      </x:c>
      <x:c r="I1479" s="9" t="str">
        <x:v>1. 执行角色为普通观众；当前处于本场贡献-收到礼物页面
2. 本场仅成功送出单价10金币幸运礼物3件，另获50金币返奖</x:v>
      </x:c>
      <x:c r="J1479" s="9" t="str">
        <x:v>1. 查看该礼物贡献</x:v>
      </x:c>
      <x:c r="K1479" s="9" t="str">
        <x:v>贡献为30金币（计算结果 = 30 金币）</x:v>
      </x:c>
      <x:c r="L1479" s="10" t="str"/>
      <x:c r="M1479" s="10" t="str">
        <x:v>未测</x:v>
      </x:c>
      <x:c r="N1479" s="10" t="str"/>
      <x:c r="O1479" s="9" t="str">
        <x:v>1. 来源（当前证据）：liveshow-proto/MainBasis/统一需求文档.md；位置：行1727、行1724
2. 规则：BR-ba81bb4f96a5e230
3. 未动态验证</x:v>
      </x:c>
    </x:row>
    <x:row r="1480" ht="85" customHeight="1">
      <x:c r="A1480" s="10" t="n">
        <x:v>1479</x:v>
      </x:c>
      <x:c r="B1480" s="10" t="str">
        <x:v>USER-03-0368</x:v>
      </x:c>
      <x:c r="C1480" s="10" t="str">
        <x:v>直播</x:v>
      </x:c>
      <x:c r="D1480" s="10" t="str">
        <x:v>主播资料卡（普通观众视角）</x:v>
      </x:c>
      <x:c r="E1480" s="10" t="str">
        <x:v>功能需求</x:v>
      </x:c>
      <x:c r="F1480" s="10" t="str">
        <x:v>P2</x:v>
      </x:c>
      <x:c r="G1480" s="9" t="str">
        <x:v>验证主播资料卡结束状态</x:v>
      </x:c>
      <x:c r="H1480" s="9" t="str">
        <x:v>展示内容</x:v>
      </x:c>
      <x:c r="I1480" s="9" t="str">
        <x:v>1. 执行角色为普通观众；当前处于主播资料卡页面
2. 资料卡对应主播A刚结束当前场次</x:v>
      </x:c>
      <x:c r="J1480" s="9" t="str">
        <x:v>1. 刷新主播资料卡</x:v>
      </x:c>
      <x:c r="K1480" s="9" t="str">
        <x:v>显示未开播</x:v>
      </x:c>
      <x:c r="L1480" s="10" t="str"/>
      <x:c r="M1480" s="10" t="str">
        <x:v>未测</x:v>
      </x:c>
      <x:c r="N1480" s="10" t="str"/>
      <x:c r="O1480" s="9" t="str">
        <x:v>1. 来源（当前证据）：liveshow-proto/MainBasis/统一需求文档.md；位置：行1741、行1739
2. 规则：BR-e861cde02d1767a4
3. 未动态验证</x:v>
      </x:c>
    </x:row>
    <x:row r="1481" ht="85" customHeight="1">
      <x:c r="A1481" s="10" t="n">
        <x:v>1480</x:v>
      </x:c>
      <x:c r="B1481" s="10" t="str">
        <x:v>USER-03-0369</x:v>
      </x:c>
      <x:c r="C1481" s="10" t="str">
        <x:v>直播</x:v>
      </x:c>
      <x:c r="D1481" s="10" t="str">
        <x:v>主播资料卡（观众B视角）</x:v>
      </x:c>
      <x:c r="E1481" s="10" t="str">
        <x:v>功能需求</x:v>
      </x:c>
      <x:c r="F1481" s="10" t="str">
        <x:v>P2</x:v>
      </x:c>
      <x:c r="G1481" s="9" t="str">
        <x:v>验证主播资料卡关注状态</x:v>
      </x:c>
      <x:c r="H1481" s="9" t="str">
        <x:v>账号关系</x:v>
      </x:c>
      <x:c r="I1481" s="9" t="str">
        <x:v>1. 执行角色为观众B；当前处于主播资料卡页面
2. B已关注A并加入A粉丝团，但非好友且未拉黑</x:v>
      </x:c>
      <x:c r="J1481" s="9" t="str">
        <x:v>1. 查看关注状态</x:v>
      </x:c>
      <x:c r="K1481" s="9" t="str">
        <x:v>显示已关注</x:v>
      </x:c>
      <x:c r="L1481" s="10" t="str"/>
      <x:c r="M1481" s="10" t="str">
        <x:v>未测</x:v>
      </x:c>
      <x:c r="N1481" s="10" t="str"/>
      <x:c r="O1481" s="9" t="str">
        <x:v>1. 来源（当前证据）：liveshow-proto/MainBasis/统一需求文档.md；位置：行1742、行1739
2. 规则：BR-f72aedd674e15b79
3. 未动态验证</x:v>
      </x:c>
    </x:row>
    <x:row r="1482" ht="85" customHeight="1">
      <x:c r="A1482" s="10" t="n">
        <x:v>1481</x:v>
      </x:c>
      <x:c r="B1482" s="10" t="str">
        <x:v>USER-03-0370</x:v>
      </x:c>
      <x:c r="C1482" s="10" t="str">
        <x:v>直播</x:v>
      </x:c>
      <x:c r="D1482" s="10" t="str">
        <x:v>主播资料卡（观众B视角）</x:v>
      </x:c>
      <x:c r="E1482" s="10" t="str">
        <x:v>功能需求</x:v>
      </x:c>
      <x:c r="F1482" s="10" t="str">
        <x:v>P2</x:v>
      </x:c>
      <x:c r="G1482" s="9" t="str">
        <x:v>验证主播资料卡好友状态</x:v>
      </x:c>
      <x:c r="H1482" s="9" t="str">
        <x:v>账号关系</x:v>
      </x:c>
      <x:c r="I1482" s="9" t="str">
        <x:v>1. 执行角色为观众B；当前处于主播资料卡页面
2. B已关注A并加入A粉丝团，但非好友且未拉黑</x:v>
      </x:c>
      <x:c r="J1482" s="9" t="str">
        <x:v>1. 查看好友状态</x:v>
      </x:c>
      <x:c r="K1482" s="9" t="str">
        <x:v>显示非好友</x:v>
      </x:c>
      <x:c r="L1482" s="10" t="str"/>
      <x:c r="M1482" s="10" t="str">
        <x:v>未测</x:v>
      </x:c>
      <x:c r="N1482" s="10" t="str"/>
      <x:c r="O1482" s="9" t="str">
        <x:v>1. 来源（当前证据）：liveshow-proto/MainBasis/统一需求文档.md；位置：行1742、行1739
2. 规则：BR-3be581d437bd9b36
3. 未动态验证</x:v>
      </x:c>
    </x:row>
    <x:row r="1483" ht="85" customHeight="1">
      <x:c r="A1483" s="10" t="n">
        <x:v>1482</x:v>
      </x:c>
      <x:c r="B1483" s="10" t="str">
        <x:v>USER-03-0371</x:v>
      </x:c>
      <x:c r="C1483" s="10" t="str">
        <x:v>直播</x:v>
      </x:c>
      <x:c r="D1483" s="10" t="str">
        <x:v>主播资料卡（观众B视角）</x:v>
      </x:c>
      <x:c r="E1483" s="10" t="str">
        <x:v>功能需求</x:v>
      </x:c>
      <x:c r="F1483" s="10" t="str">
        <x:v>P2</x:v>
      </x:c>
      <x:c r="G1483" s="9" t="str">
        <x:v>验证主播资料卡粉丝团状态</x:v>
      </x:c>
      <x:c r="H1483" s="9" t="str">
        <x:v>账号关系</x:v>
      </x:c>
      <x:c r="I1483" s="9" t="str">
        <x:v>1. 执行角色为观众B；当前处于主播资料卡页面
2. B已关注A并加入A粉丝团，但非好友且未拉黑</x:v>
      </x:c>
      <x:c r="J1483" s="9" t="str">
        <x:v>1. 查看粉丝团状态</x:v>
      </x:c>
      <x:c r="K1483" s="9" t="str">
        <x:v>显示已加入</x:v>
      </x:c>
      <x:c r="L1483" s="10" t="str"/>
      <x:c r="M1483" s="10" t="str">
        <x:v>未测</x:v>
      </x:c>
      <x:c r="N1483" s="10" t="str"/>
      <x:c r="O1483" s="9" t="str">
        <x:v>1. 来源（当前证据）：liveshow-proto/MainBasis/统一需求文档.md；位置：行1742、行1739
2. 规则：BR-d0c1a7bb65931ac9
3. 未动态验证</x:v>
      </x:c>
    </x:row>
    <x:row r="1484" ht="85" customHeight="1">
      <x:c r="A1484" s="10" t="n">
        <x:v>1483</x:v>
      </x:c>
      <x:c r="B1484" s="10" t="str">
        <x:v>USER-03-0372</x:v>
      </x:c>
      <x:c r="C1484" s="10" t="str">
        <x:v>直播</x:v>
      </x:c>
      <x:c r="D1484" s="10" t="str">
        <x:v>主播资料卡（观众B视角）</x:v>
      </x:c>
      <x:c r="E1484" s="10" t="str">
        <x:v>功能需求</x:v>
      </x:c>
      <x:c r="F1484" s="10" t="str">
        <x:v>P2</x:v>
      </x:c>
      <x:c r="G1484" s="9" t="str">
        <x:v>验证主播资料卡拉黑状态</x:v>
      </x:c>
      <x:c r="H1484" s="9" t="str">
        <x:v>账号关系</x:v>
      </x:c>
      <x:c r="I1484" s="9" t="str">
        <x:v>1. 执行角色为观众B；当前处于主播资料卡页面
2. B已关注A并加入A粉丝团，但非好友且未拉黑</x:v>
      </x:c>
      <x:c r="J1484" s="9" t="str">
        <x:v>1. 查看拉黑状态</x:v>
      </x:c>
      <x:c r="K1484" s="9" t="str">
        <x:v>显示未拉黑</x:v>
      </x:c>
      <x:c r="L1484" s="10" t="str"/>
      <x:c r="M1484" s="10" t="str">
        <x:v>未测</x:v>
      </x:c>
      <x:c r="N1484" s="10" t="str"/>
      <x:c r="O1484" s="9" t="str">
        <x:v>1. 来源（当前证据）：liveshow-proto/MainBasis/统一需求文档.md；位置：行1742、行1739
2. 规则：BR-fc26f2b55d8c4e37
3. 未动态验证</x:v>
      </x:c>
    </x:row>
    <x:row r="1485" ht="85" customHeight="1">
      <x:c r="A1485" s="10" t="n">
        <x:v>1484</x:v>
      </x:c>
      <x:c r="B1485" s="10" t="str">
        <x:v>USER-03-0373</x:v>
      </x:c>
      <x:c r="C1485" s="10" t="str">
        <x:v>直播</x:v>
      </x:c>
      <x:c r="D1485" s="10" t="str">
        <x:v>主播资料卡（观众B视角）</x:v>
      </x:c>
      <x:c r="E1485" s="10" t="str">
        <x:v>功能需求</x:v>
      </x:c>
      <x:c r="F1485" s="10" t="str">
        <x:v>P2</x:v>
      </x:c>
      <x:c r="G1485" s="9" t="str">
        <x:v>验证主播资料卡进入主页对象</x:v>
      </x:c>
      <x:c r="H1485" s="9" t="str">
        <x:v>页面去向</x:v>
      </x:c>
      <x:c r="I1485" s="9" t="str">
        <x:v>1. 执行角色为观众B；当前处于主播资料卡页面
2. 当前主播为A，B与A为好友、未互相拉黑</x:v>
      </x:c>
      <x:c r="J1485" s="9" t="str">
        <x:v>1. 点击进入主页</x:v>
      </x:c>
      <x:c r="K1485" s="9" t="str">
        <x:v>进入主播A主页</x:v>
      </x:c>
      <x:c r="L1485" s="10" t="str"/>
      <x:c r="M1485" s="10" t="str">
        <x:v>未测</x:v>
      </x:c>
      <x:c r="N1485" s="10" t="str"/>
      <x:c r="O1485" s="9" t="str">
        <x:v>1. 来源（当前证据）：liveshow-proto/MainBasis/统一需求文档.md；位置：行1744、行1739
2. 规则：BR-09914ad83e02c2b5
3. 未动态验证</x:v>
      </x:c>
    </x:row>
    <x:row r="1486" ht="85" customHeight="1">
      <x:c r="A1486" s="10" t="n">
        <x:v>1485</x:v>
      </x:c>
      <x:c r="B1486" s="10" t="str">
        <x:v>USER-03-0374</x:v>
      </x:c>
      <x:c r="C1486" s="10" t="str">
        <x:v>直播</x:v>
      </x:c>
      <x:c r="D1486" s="10" t="str">
        <x:v>主播资料卡（观众B视角）</x:v>
      </x:c>
      <x:c r="E1486" s="10" t="str">
        <x:v>功能需求</x:v>
      </x:c>
      <x:c r="F1486" s="10" t="str">
        <x:v>P2</x:v>
      </x:c>
      <x:c r="G1486" s="9" t="str">
        <x:v>验证主播资料卡私信对象</x:v>
      </x:c>
      <x:c r="H1486" s="9" t="str">
        <x:v>页面去向</x:v>
      </x:c>
      <x:c r="I1486" s="9" t="str">
        <x:v>1. 执行角色为观众B；当前处于主播资料卡页面
2. 当前主播为A，B与A为好友、未互相拉黑</x:v>
      </x:c>
      <x:c r="J1486" s="9" t="str">
        <x:v>1. 点击私信</x:v>
      </x:c>
      <x:c r="K1486" s="9" t="str">
        <x:v>进入与主播A的单聊</x:v>
      </x:c>
      <x:c r="L1486" s="10" t="str"/>
      <x:c r="M1486" s="10" t="str">
        <x:v>未测</x:v>
      </x:c>
      <x:c r="N1486" s="10" t="str"/>
      <x:c r="O1486" s="9" t="str">
        <x:v>1. 来源（当前证据）：liveshow-proto/MainBasis/统一需求文档.md；位置：行1744、行1739
2. 规则：BR-aea0b1bfed293a8a
3. 未动态验证</x:v>
      </x:c>
    </x:row>
    <x:row r="1487" ht="85" customHeight="1">
      <x:c r="A1487" s="10" t="n">
        <x:v>1486</x:v>
      </x:c>
      <x:c r="B1487" s="10" t="str">
        <x:v>USER-03-0375</x:v>
      </x:c>
      <x:c r="C1487" s="10" t="str">
        <x:v>直播</x:v>
      </x:c>
      <x:c r="D1487" s="10" t="str">
        <x:v>主播资料卡（观众B视角）</x:v>
      </x:c>
      <x:c r="E1487" s="10" t="str">
        <x:v>功能需求</x:v>
      </x:c>
      <x:c r="F1487" s="10" t="str">
        <x:v>P2</x:v>
      </x:c>
      <x:c r="G1487" s="9" t="str">
        <x:v>验证主播资料卡举报对象</x:v>
      </x:c>
      <x:c r="H1487" s="9" t="str">
        <x:v>页面去向</x:v>
      </x:c>
      <x:c r="I1487" s="9" t="str">
        <x:v>1. 执行角色为观众B；当前处于主播资料卡页面
2. 当前主播为A，B与A为好友、未互相拉黑</x:v>
      </x:c>
      <x:c r="J1487" s="9" t="str">
        <x:v>1. 点击举报</x:v>
      </x:c>
      <x:c r="K1487" s="9" t="str">
        <x:v>进入以主播A为对象的账号举报</x:v>
      </x:c>
      <x:c r="L1487" s="10" t="str"/>
      <x:c r="M1487" s="10" t="str">
        <x:v>未测</x:v>
      </x:c>
      <x:c r="N1487" s="10" t="str"/>
      <x:c r="O1487" s="9" t="str">
        <x:v>1. 来源（当前证据）：liveshow-proto/MainBasis/统一需求文档.md；位置：行1744、行1739
2. 规则：BR-6e08e29cb419bd78
3. 未动态验证</x:v>
      </x:c>
    </x:row>
    <x:row r="1488" ht="85" customHeight="1">
      <x:c r="A1488" s="10" t="n">
        <x:v>1487</x:v>
      </x:c>
      <x:c r="B1488" s="10" t="str">
        <x:v>USER-03-0376</x:v>
      </x:c>
      <x:c r="C1488" s="10" t="str">
        <x:v>直播</x:v>
      </x:c>
      <x:c r="D1488" s="10" t="str">
        <x:v>本场贡献-贡献榜（本场主播视角）</x:v>
      </x:c>
      <x:c r="E1488" s="10" t="str">
        <x:v>功能需求</x:v>
      </x:c>
      <x:c r="F1488" s="10" t="str">
        <x:v>P2</x:v>
      </x:c>
      <x:c r="G1488" s="9" t="str">
        <x:v>验证主播头像字段回显</x:v>
      </x:c>
      <x:c r="H1488" s="9" t="str">
        <x:v>展示内容</x:v>
      </x:c>
      <x:c r="I1488" s="9" t="str">
        <x:v>1. 执行角色为本场主播；当前处于本场贡献-贡献榜页面
2. 观众A当前在线、账号有效，本场有贡献；A的头像为头像P</x:v>
      </x:c>
      <x:c r="J1488" s="9" t="str">
        <x:v>1. 查看A的头像</x:v>
      </x:c>
      <x:c r="K1488" s="9" t="str">
        <x:v>显示头像P</x:v>
      </x:c>
      <x:c r="L1488" s="10" t="str"/>
      <x:c r="M1488" s="10" t="str">
        <x:v>未测</x:v>
      </x:c>
      <x:c r="N1488" s="10" t="str"/>
      <x:c r="O1488" s="9" t="str">
        <x:v>1. 来源（当前证据）：liveshow-proto/MainBasis/统一需求文档.md；位置：行1751、行1747
2. 规则：BR-62e7f3028ceb2a4c
3. 未动态验证</x:v>
      </x:c>
    </x:row>
    <x:row r="1489" ht="85" customHeight="1">
      <x:c r="A1489" s="10" t="n">
        <x:v>1488</x:v>
      </x:c>
      <x:c r="B1489" s="10" t="str">
        <x:v>USER-03-0377</x:v>
      </x:c>
      <x:c r="C1489" s="10" t="str">
        <x:v>直播</x:v>
      </x:c>
      <x:c r="D1489" s="10" t="str">
        <x:v>本场贡献-贡献榜（本场主播视角）</x:v>
      </x:c>
      <x:c r="E1489" s="10" t="str">
        <x:v>功能需求</x:v>
      </x:c>
      <x:c r="F1489" s="10" t="str">
        <x:v>P2</x:v>
      </x:c>
      <x:c r="G1489" s="9" t="str">
        <x:v>验证主播昵称字段回显</x:v>
      </x:c>
      <x:c r="H1489" s="9" t="str">
        <x:v>展示内容</x:v>
      </x:c>
      <x:c r="I1489" s="9" t="str">
        <x:v>1. 执行角色为本场主播；当前处于本场贡献-贡献榜页面
2. 观众A当前在线、账号有效，本场有贡献；A的昵称为QA观众</x:v>
      </x:c>
      <x:c r="J1489" s="9" t="str">
        <x:v>1. 查看A的昵称</x:v>
      </x:c>
      <x:c r="K1489" s="9" t="str">
        <x:v>显示QA观众</x:v>
      </x:c>
      <x:c r="L1489" s="10" t="str"/>
      <x:c r="M1489" s="10" t="str">
        <x:v>未测</x:v>
      </x:c>
      <x:c r="N1489" s="10" t="str"/>
      <x:c r="O1489" s="9" t="str">
        <x:v>1. 来源（当前证据）：liveshow-proto/MainBasis/统一需求文档.md；位置：行1751、行1747
2. 规则：BR-9d57174e45efa7a2
3. 未动态验证</x:v>
      </x:c>
    </x:row>
    <x:row r="1490" ht="85" customHeight="1">
      <x:c r="A1490" s="10" t="n">
        <x:v>1489</x:v>
      </x:c>
      <x:c r="B1490" s="10" t="str">
        <x:v>USER-03-0378</x:v>
      </x:c>
      <x:c r="C1490" s="10" t="str">
        <x:v>直播</x:v>
      </x:c>
      <x:c r="D1490" s="10" t="str">
        <x:v>本场贡献-贡献榜（本场主播视角）</x:v>
      </x:c>
      <x:c r="E1490" s="10" t="str">
        <x:v>功能需求</x:v>
      </x:c>
      <x:c r="F1490" s="10" t="str">
        <x:v>P2</x:v>
      </x:c>
      <x:c r="G1490" s="9" t="str">
        <x:v>验证主播财富等级字段回显</x:v>
      </x:c>
      <x:c r="H1490" s="9" t="str">
        <x:v>展示内容</x:v>
      </x:c>
      <x:c r="I1490" s="9" t="str">
        <x:v>1. 执行角色为本场主播；当前处于本场贡献-贡献榜页面
2. 观众A当前在线、账号有效，本场有贡献；A的财富等级为5级</x:v>
      </x:c>
      <x:c r="J1490" s="9" t="str">
        <x:v>1. 查看A的财富等级</x:v>
      </x:c>
      <x:c r="K1490" s="9" t="str">
        <x:v>显示5级</x:v>
      </x:c>
      <x:c r="L1490" s="10" t="str"/>
      <x:c r="M1490" s="10" t="str">
        <x:v>未测</x:v>
      </x:c>
      <x:c r="N1490" s="10" t="str"/>
      <x:c r="O1490" s="9" t="str">
        <x:v>1. 来源（当前证据）：liveshow-proto/MainBasis/统一需求文档.md；位置：行1751、行1747
2. 规则：BR-23ff4b6c4e13e85f
3. 未动态验证</x:v>
      </x:c>
    </x:row>
    <x:row r="1491" ht="85" customHeight="1">
      <x:c r="A1491" s="10" t="n">
        <x:v>1490</x:v>
      </x:c>
      <x:c r="B1491" s="10" t="str">
        <x:v>USER-03-0379</x:v>
      </x:c>
      <x:c r="C1491" s="10" t="str">
        <x:v>直播</x:v>
      </x:c>
      <x:c r="D1491" s="10" t="str">
        <x:v>本场贡献-贡献榜（本场主播视角）</x:v>
      </x:c>
      <x:c r="E1491" s="10" t="str">
        <x:v>功能需求</x:v>
      </x:c>
      <x:c r="F1491" s="10" t="str">
        <x:v>P2</x:v>
      </x:c>
      <x:c r="G1491" s="9" t="str">
        <x:v>验证主播粉丝等级字段回显</x:v>
      </x:c>
      <x:c r="H1491" s="9" t="str">
        <x:v>展示内容</x:v>
      </x:c>
      <x:c r="I1491" s="9" t="str">
        <x:v>1. 执行角色为本场主播；当前处于本场贡献-贡献榜页面
2. 观众A当前在线、账号有效，本场有贡献；A的粉丝等级为3级</x:v>
      </x:c>
      <x:c r="J1491" s="9" t="str">
        <x:v>1. 查看A的粉丝等级</x:v>
      </x:c>
      <x:c r="K1491" s="9" t="str">
        <x:v>显示3级</x:v>
      </x:c>
      <x:c r="L1491" s="10" t="str"/>
      <x:c r="M1491" s="10" t="str">
        <x:v>未测</x:v>
      </x:c>
      <x:c r="N1491" s="10" t="str"/>
      <x:c r="O1491" s="9" t="str">
        <x:v>1. 来源（当前证据）：liveshow-proto/MainBasis/统一需求文档.md；位置：行1751、行1747
2. 规则：BR-2a0772fa5df62cb7
3. 未动态验证</x:v>
      </x:c>
    </x:row>
    <x:row r="1492" ht="85" customHeight="1">
      <x:c r="A1492" s="10" t="n">
        <x:v>1491</x:v>
      </x:c>
      <x:c r="B1492" s="10" t="str">
        <x:v>USER-03-0380</x:v>
      </x:c>
      <x:c r="C1492" s="10" t="str">
        <x:v>直播</x:v>
      </x:c>
      <x:c r="D1492" s="10" t="str">
        <x:v>本场贡献-贡献榜（本场主播视角）</x:v>
      </x:c>
      <x:c r="E1492" s="10" t="str">
        <x:v>功能需求</x:v>
      </x:c>
      <x:c r="F1492" s="10" t="str">
        <x:v>P2</x:v>
      </x:c>
      <x:c r="G1492" s="9" t="str">
        <x:v>验证主播灯牌字段回显</x:v>
      </x:c>
      <x:c r="H1492" s="9" t="str">
        <x:v>展示内容</x:v>
      </x:c>
      <x:c r="I1492" s="9" t="str">
        <x:v>1. 执行角色为本场主播；当前处于本场贡献-贡献榜页面
2. 观众A当前在线、账号有效，本场有贡献；A的灯牌为QA团</x:v>
      </x:c>
      <x:c r="J1492" s="9" t="str">
        <x:v>1. 查看A的灯牌</x:v>
      </x:c>
      <x:c r="K1492" s="9" t="str">
        <x:v>显示QA团</x:v>
      </x:c>
      <x:c r="L1492" s="10" t="str"/>
      <x:c r="M1492" s="10" t="str">
        <x:v>未测</x:v>
      </x:c>
      <x:c r="N1492" s="10" t="str"/>
      <x:c r="O1492" s="9" t="str">
        <x:v>1. 来源（当前证据）：liveshow-proto/MainBasis/统一需求文档.md；位置：行1751、行1747
2. 规则：BR-933038a14d7de5a1
3. 未动态验证</x:v>
      </x:c>
    </x:row>
    <x:row r="1493" ht="85" customHeight="1">
      <x:c r="A1493" s="10" t="n">
        <x:v>1492</x:v>
      </x:c>
      <x:c r="B1493" s="10" t="str">
        <x:v>USER-03-0381</x:v>
      </x:c>
      <x:c r="C1493" s="10" t="str">
        <x:v>直播</x:v>
      </x:c>
      <x:c r="D1493" s="10" t="str">
        <x:v>本场贡献-贡献榜（本场主播视角）</x:v>
      </x:c>
      <x:c r="E1493" s="10" t="str">
        <x:v>功能需求</x:v>
      </x:c>
      <x:c r="F1493" s="10" t="str">
        <x:v>P2</x:v>
      </x:c>
      <x:c r="G1493" s="9" t="str">
        <x:v>验证主播亲密度字段回显</x:v>
      </x:c>
      <x:c r="H1493" s="9" t="str">
        <x:v>展示内容</x:v>
      </x:c>
      <x:c r="I1493" s="9" t="str">
        <x:v>1. 执行角色为本场主播；当前处于本场贡献-贡献榜页面
2. 观众A当前在线、账号有效，本场有贡献；A的亲密度为20</x:v>
      </x:c>
      <x:c r="J1493" s="9" t="str">
        <x:v>1. 查看A的亲密度</x:v>
      </x:c>
      <x:c r="K1493" s="9" t="str">
        <x:v>显示20</x:v>
      </x:c>
      <x:c r="L1493" s="10" t="str"/>
      <x:c r="M1493" s="10" t="str">
        <x:v>未测</x:v>
      </x:c>
      <x:c r="N1493" s="10" t="str"/>
      <x:c r="O1493" s="9" t="str">
        <x:v>1. 来源（当前证据）：liveshow-proto/MainBasis/统一需求文档.md；位置：行1751、行1747
2. 规则：BR-8a541ab71ab9ee2f
3. 未动态验证</x:v>
      </x:c>
    </x:row>
    <x:row r="1494" ht="85" customHeight="1">
      <x:c r="A1494" s="10" t="n">
        <x:v>1493</x:v>
      </x:c>
      <x:c r="B1494" s="10" t="str">
        <x:v>USER-03-0382</x:v>
      </x:c>
      <x:c r="C1494" s="10" t="str">
        <x:v>直播</x:v>
      </x:c>
      <x:c r="D1494" s="10" t="str">
        <x:v>重点观众（本场主播视角）</x:v>
      </x:c>
      <x:c r="E1494" s="10" t="str">
        <x:v>功能需求</x:v>
      </x:c>
      <x:c r="F1494" s="10" t="str">
        <x:v>P2</x:v>
      </x:c>
      <x:c r="G1494" s="9" t="str">
        <x:v>验证主播头像字段回显</x:v>
      </x:c>
      <x:c r="H1494" s="9" t="str">
        <x:v>展示内容</x:v>
      </x:c>
      <x:c r="I1494" s="9" t="str">
        <x:v>1. 执行角色为本场主播；当前处于重点观众页面
2. 观众A当前在线、账号有效，本场有贡献；A的头像为头像P</x:v>
      </x:c>
      <x:c r="J1494" s="9" t="str">
        <x:v>1. 查看A的头像</x:v>
      </x:c>
      <x:c r="K1494" s="9" t="str">
        <x:v>显示头像P</x:v>
      </x:c>
      <x:c r="L1494" s="10" t="str"/>
      <x:c r="M1494" s="10" t="str">
        <x:v>未测</x:v>
      </x:c>
      <x:c r="N1494" s="10" t="str"/>
      <x:c r="O1494" s="9" t="str">
        <x:v>1. 来源（当前证据）：liveshow-proto/MainBasis/统一需求文档.md；位置：行1817、行1815
2. 规则：BR-dec8f82276b3fc13
3. 未动态验证</x:v>
      </x:c>
    </x:row>
    <x:row r="1495" ht="85" customHeight="1">
      <x:c r="A1495" s="10" t="n">
        <x:v>1494</x:v>
      </x:c>
      <x:c r="B1495" s="10" t="str">
        <x:v>USER-03-0383</x:v>
      </x:c>
      <x:c r="C1495" s="10" t="str">
        <x:v>直播</x:v>
      </x:c>
      <x:c r="D1495" s="10" t="str">
        <x:v>重点观众（本场主播视角）</x:v>
      </x:c>
      <x:c r="E1495" s="10" t="str">
        <x:v>功能需求</x:v>
      </x:c>
      <x:c r="F1495" s="10" t="str">
        <x:v>P2</x:v>
      </x:c>
      <x:c r="G1495" s="9" t="str">
        <x:v>验证主播昵称字段回显</x:v>
      </x:c>
      <x:c r="H1495" s="9" t="str">
        <x:v>展示内容</x:v>
      </x:c>
      <x:c r="I1495" s="9" t="str">
        <x:v>1. 执行角色为本场主播；当前处于重点观众页面
2. 观众A当前在线、账号有效，本场有贡献；A的昵称为QA观众</x:v>
      </x:c>
      <x:c r="J1495" s="9" t="str">
        <x:v>1. 查看A的昵称</x:v>
      </x:c>
      <x:c r="K1495" s="9" t="str">
        <x:v>显示QA观众</x:v>
      </x:c>
      <x:c r="L1495" s="10" t="str"/>
      <x:c r="M1495" s="10" t="str">
        <x:v>未测</x:v>
      </x:c>
      <x:c r="N1495" s="10" t="str"/>
      <x:c r="O1495" s="9" t="str">
        <x:v>1. 来源（当前证据）：liveshow-proto/MainBasis/统一需求文档.md；位置：行1817、行1815
2. 规则：BR-2b99f4ab702e224b
3. 未动态验证</x:v>
      </x:c>
    </x:row>
    <x:row r="1496" ht="85" customHeight="1">
      <x:c r="A1496" s="10" t="n">
        <x:v>1495</x:v>
      </x:c>
      <x:c r="B1496" s="10" t="str">
        <x:v>USER-03-0384</x:v>
      </x:c>
      <x:c r="C1496" s="10" t="str">
        <x:v>直播</x:v>
      </x:c>
      <x:c r="D1496" s="10" t="str">
        <x:v>重点观众（本场主播视角）</x:v>
      </x:c>
      <x:c r="E1496" s="10" t="str">
        <x:v>功能需求</x:v>
      </x:c>
      <x:c r="F1496" s="10" t="str">
        <x:v>P2</x:v>
      </x:c>
      <x:c r="G1496" s="9" t="str">
        <x:v>验证主播财富等级字段回显</x:v>
      </x:c>
      <x:c r="H1496" s="9" t="str">
        <x:v>展示内容</x:v>
      </x:c>
      <x:c r="I1496" s="9" t="str">
        <x:v>1. 执行角色为本场主播；当前处于重点观众页面
2. 观众A当前在线、账号有效，本场有贡献；A的财富等级为5级</x:v>
      </x:c>
      <x:c r="J1496" s="9" t="str">
        <x:v>1. 查看A的财富等级</x:v>
      </x:c>
      <x:c r="K1496" s="9" t="str">
        <x:v>显示5级</x:v>
      </x:c>
      <x:c r="L1496" s="10" t="str"/>
      <x:c r="M1496" s="10" t="str">
        <x:v>未测</x:v>
      </x:c>
      <x:c r="N1496" s="10" t="str"/>
      <x:c r="O1496" s="9" t="str">
        <x:v>1. 来源（当前证据）：liveshow-proto/MainBasis/统一需求文档.md；位置：行1817、行1815
2. 规则：BR-eba4f1b5bc821b5f
3. 未动态验证</x:v>
      </x:c>
    </x:row>
    <x:row r="1497" ht="85" customHeight="1">
      <x:c r="A1497" s="10" t="n">
        <x:v>1496</x:v>
      </x:c>
      <x:c r="B1497" s="10" t="str">
        <x:v>USER-03-0385</x:v>
      </x:c>
      <x:c r="C1497" s="10" t="str">
        <x:v>直播</x:v>
      </x:c>
      <x:c r="D1497" s="10" t="str">
        <x:v>重点观众（本场主播视角）</x:v>
      </x:c>
      <x:c r="E1497" s="10" t="str">
        <x:v>功能需求</x:v>
      </x:c>
      <x:c r="F1497" s="10" t="str">
        <x:v>P2</x:v>
      </x:c>
      <x:c r="G1497" s="9" t="str">
        <x:v>验证主播粉丝身份字段回显</x:v>
      </x:c>
      <x:c r="H1497" s="9" t="str">
        <x:v>展示内容</x:v>
      </x:c>
      <x:c r="I1497" s="9" t="str">
        <x:v>1. 执行角色为本场主播；当前处于重点观众页面
2. 观众A当前在线、账号有效，本场有贡献；A的粉丝身份为QA团成员</x:v>
      </x:c>
      <x:c r="J1497" s="9" t="str">
        <x:v>1. 查看A的粉丝身份</x:v>
      </x:c>
      <x:c r="K1497" s="9" t="str">
        <x:v>显示QA团成员</x:v>
      </x:c>
      <x:c r="L1497" s="10" t="str"/>
      <x:c r="M1497" s="10" t="str">
        <x:v>未测</x:v>
      </x:c>
      <x:c r="N1497" s="10" t="str"/>
      <x:c r="O1497" s="9" t="str">
        <x:v>1. 来源（当前证据）：liveshow-proto/MainBasis/统一需求文档.md；位置：行1817、行1815
2. 规则：BR-3b8f638617380416
3. 未动态验证</x:v>
      </x:c>
    </x:row>
    <x:row r="1498" ht="85" customHeight="1">
      <x:c r="A1498" s="10" t="n">
        <x:v>1497</x:v>
      </x:c>
      <x:c r="B1498" s="10" t="str">
        <x:v>USER-03-0386</x:v>
      </x:c>
      <x:c r="C1498" s="10" t="str">
        <x:v>直播</x:v>
      </x:c>
      <x:c r="D1498" s="10" t="str">
        <x:v>重点观众（本场主播视角）</x:v>
      </x:c>
      <x:c r="E1498" s="10" t="str">
        <x:v>功能需求</x:v>
      </x:c>
      <x:c r="F1498" s="10" t="str">
        <x:v>P2</x:v>
      </x:c>
      <x:c r="G1498" s="9" t="str">
        <x:v>验证主播本场贡献字段回显</x:v>
      </x:c>
      <x:c r="H1498" s="9" t="str">
        <x:v>资产数值</x:v>
      </x:c>
      <x:c r="I1498" s="9" t="str">
        <x:v>1. 执行角色为本场主播；当前处于重点观众页面
2. 观众A当前在线、账号有效，本场有贡献；A的本场贡献为100金币</x:v>
      </x:c>
      <x:c r="J1498" s="9" t="str">
        <x:v>1. 查看A的本场贡献</x:v>
      </x:c>
      <x:c r="K1498" s="9" t="str">
        <x:v>显示100金币</x:v>
      </x:c>
      <x:c r="L1498" s="10" t="str"/>
      <x:c r="M1498" s="10" t="str">
        <x:v>未测</x:v>
      </x:c>
      <x:c r="N1498" s="10" t="str"/>
      <x:c r="O1498" s="9" t="str">
        <x:v>1. 来源（当前证据）：liveshow-proto/MainBasis/统一需求文档.md；位置：行1817、行1815
2. 规则：BR-36b0fcaeff610c09
3. 未动态验证</x:v>
      </x:c>
    </x:row>
    <x:row r="1499" ht="85" customHeight="1">
      <x:c r="A1499" s="10" t="n">
        <x:v>1498</x:v>
      </x:c>
      <x:c r="B1499" s="10" t="str">
        <x:v>USER-03-0387</x:v>
      </x:c>
      <x:c r="C1499" s="10" t="str">
        <x:v>直播</x:v>
      </x:c>
      <x:c r="D1499" s="10" t="str">
        <x:v>在线观众-观众列表（本场主播视角）</x:v>
      </x:c>
      <x:c r="E1499" s="10" t="str">
        <x:v>功能需求</x:v>
      </x:c>
      <x:c r="F1499" s="10" t="str">
        <x:v>P2</x:v>
      </x:c>
      <x:c r="G1499" s="9" t="str">
        <x:v>验证主播头像字段回显</x:v>
      </x:c>
      <x:c r="H1499" s="9" t="str">
        <x:v>展示内容</x:v>
      </x:c>
      <x:c r="I1499" s="9" t="str">
        <x:v>1. 执行角色为本场主播；当前处于在线观众-观众列表页面
2. 观众A当前在线、账号有效，本场有贡献；A的头像为头像P</x:v>
      </x:c>
      <x:c r="J1499" s="9" t="str">
        <x:v>1. 查看A的头像</x:v>
      </x:c>
      <x:c r="K1499" s="9" t="str">
        <x:v>显示头像P</x:v>
      </x:c>
      <x:c r="L1499" s="10" t="str"/>
      <x:c r="M1499" s="10" t="str">
        <x:v>未测</x:v>
      </x:c>
      <x:c r="N1499" s="10" t="str"/>
      <x:c r="O1499" s="9" t="str">
        <x:v>1. 来源（当前证据）：liveshow-proto/MainBasis/统一需求文档.md；位置：行1763、行1761
2. 规则：BR-5e519c90daf3778f
3. 未动态验证</x:v>
      </x:c>
    </x:row>
    <x:row r="1500" ht="85" customHeight="1">
      <x:c r="A1500" s="10" t="n">
        <x:v>1499</x:v>
      </x:c>
      <x:c r="B1500" s="10" t="str">
        <x:v>USER-03-0388</x:v>
      </x:c>
      <x:c r="C1500" s="10" t="str">
        <x:v>直播</x:v>
      </x:c>
      <x:c r="D1500" s="10" t="str">
        <x:v>在线观众-观众列表（本场主播视角）</x:v>
      </x:c>
      <x:c r="E1500" s="10" t="str">
        <x:v>功能需求</x:v>
      </x:c>
      <x:c r="F1500" s="10" t="str">
        <x:v>P2</x:v>
      </x:c>
      <x:c r="G1500" s="9" t="str">
        <x:v>验证主播昵称字段回显</x:v>
      </x:c>
      <x:c r="H1500" s="9" t="str">
        <x:v>展示内容</x:v>
      </x:c>
      <x:c r="I1500" s="9" t="str">
        <x:v>1. 执行角色为本场主播；当前处于在线观众-观众列表页面
2. 观众A当前在线、账号有效，本场有贡献；A的昵称为QA观众</x:v>
      </x:c>
      <x:c r="J1500" s="9" t="str">
        <x:v>1. 查看A的昵称</x:v>
      </x:c>
      <x:c r="K1500" s="9" t="str">
        <x:v>显示QA观众</x:v>
      </x:c>
      <x:c r="L1500" s="10" t="str"/>
      <x:c r="M1500" s="10" t="str">
        <x:v>未测</x:v>
      </x:c>
      <x:c r="N1500" s="10" t="str"/>
      <x:c r="O1500" s="9" t="str">
        <x:v>1. 来源（当前证据）：liveshow-proto/MainBasis/统一需求文档.md；位置：行1763、行1761
2. 规则：BR-c0b95e57ade9af29
3. 未动态验证</x:v>
      </x:c>
    </x:row>
    <x:row r="1501" ht="85" customHeight="1">
      <x:c r="A1501" s="10" t="n">
        <x:v>1500</x:v>
      </x:c>
      <x:c r="B1501" s="10" t="str">
        <x:v>USER-03-0389</x:v>
      </x:c>
      <x:c r="C1501" s="10" t="str">
        <x:v>直播</x:v>
      </x:c>
      <x:c r="D1501" s="10" t="str">
        <x:v>本场贡献-贡献榜（本场主播视角）</x:v>
      </x:c>
      <x:c r="E1501" s="10" t="str">
        <x:v>功能需求</x:v>
      </x:c>
      <x:c r="F1501" s="10" t="str">
        <x:v>P2</x:v>
      </x:c>
      <x:c r="G1501" s="9" t="str">
        <x:v>验证无团籍不显示粉丝身份：粉丝等级缺席</x:v>
      </x:c>
      <x:c r="H1501" s="9" t="str">
        <x:v>粉丝等级缺席</x:v>
      </x:c>
      <x:c r="I1501" s="9" t="str">
        <x:v>1. 执行角色为本场主播；当前处于本场贡献-贡献榜页面
2. 观众A有本场真实贡献，但无本主播粉丝团身份</x:v>
      </x:c>
      <x:c r="J1501" s="9" t="str">
        <x:v>1. 查看A贡献行</x:v>
      </x:c>
      <x:c r="K1501" s="9" t="str">
        <x:v>不展示A粉丝等级</x:v>
      </x:c>
      <x:c r="L1501" s="10" t="str"/>
      <x:c r="M1501" s="10" t="str">
        <x:v>未测</x:v>
      </x:c>
      <x:c r="N1501" s="10" t="str"/>
      <x:c r="O1501" s="9" t="str">
        <x:v>1. 来源（当前证据）：liveshow-proto/MainBasis/统一需求文档.md；位置：行1751、行1747
2. 规则：BR-70ba62745ad019f2
3. 未动态验证</x:v>
      </x:c>
    </x:row>
    <x:row r="1502" ht="85" customHeight="1">
      <x:c r="A1502" s="10" t="n">
        <x:v>1501</x:v>
      </x:c>
      <x:c r="B1502" s="10" t="str">
        <x:v>USER-03-0390</x:v>
      </x:c>
      <x:c r="C1502" s="10" t="str">
        <x:v>直播</x:v>
      </x:c>
      <x:c r="D1502" s="10" t="str">
        <x:v>本场贡献-贡献榜（本场主播视角）</x:v>
      </x:c>
      <x:c r="E1502" s="10" t="str">
        <x:v>功能需求</x:v>
      </x:c>
      <x:c r="F1502" s="10" t="str">
        <x:v>P2</x:v>
      </x:c>
      <x:c r="G1502" s="9" t="str">
        <x:v>验证无团籍不显示粉丝身份：灯牌缺席</x:v>
      </x:c>
      <x:c r="H1502" s="9" t="str">
        <x:v>灯牌缺席</x:v>
      </x:c>
      <x:c r="I1502" s="9" t="str">
        <x:v>1. 执行角色为本场主播；当前处于本场贡献-贡献榜页面
2. 观众A有本场真实贡献，但无本主播粉丝团身份</x:v>
      </x:c>
      <x:c r="J1502" s="9" t="str">
        <x:v>1. 查看A贡献行</x:v>
      </x:c>
      <x:c r="K1502" s="9" t="str">
        <x:v>不展示A灯牌</x:v>
      </x:c>
      <x:c r="L1502" s="10" t="str"/>
      <x:c r="M1502" s="10" t="str">
        <x:v>未测</x:v>
      </x:c>
      <x:c r="N1502" s="10" t="str"/>
      <x:c r="O1502" s="9" t="str">
        <x:v>1. 来源（当前证据）：liveshow-proto/MainBasis/统一需求文档.md；位置：行1751、行1747
2. 规则：BR-cac861bf9c9b1c4c
3. 未动态验证</x:v>
      </x:c>
    </x:row>
    <x:row r="1503" ht="85" customHeight="1">
      <x:c r="A1503" s="10" t="n">
        <x:v>1502</x:v>
      </x:c>
      <x:c r="B1503" s="10" t="str">
        <x:v>USER-03-0391</x:v>
      </x:c>
      <x:c r="C1503" s="10" t="str">
        <x:v>直播</x:v>
      </x:c>
      <x:c r="D1503" s="10" t="str">
        <x:v>本场贡献-贡献榜（本场主播视角）</x:v>
      </x:c>
      <x:c r="E1503" s="10" t="str">
        <x:v>功能需求</x:v>
      </x:c>
      <x:c r="F1503" s="10" t="str">
        <x:v>P2</x:v>
      </x:c>
      <x:c r="G1503" s="9" t="str">
        <x:v>验证无团籍不显示粉丝身份：亲密度缺席</x:v>
      </x:c>
      <x:c r="H1503" s="9" t="str">
        <x:v>亲密度缺席</x:v>
      </x:c>
      <x:c r="I1503" s="9" t="str">
        <x:v>1. 执行角色为本场主播；当前处于本场贡献-贡献榜页面
2. 观众A有本场真实贡献，但无本主播粉丝团身份</x:v>
      </x:c>
      <x:c r="J1503" s="9" t="str">
        <x:v>1. 查看A贡献行</x:v>
      </x:c>
      <x:c r="K1503" s="9" t="str">
        <x:v>不展示A团内亲密度</x:v>
      </x:c>
      <x:c r="L1503" s="10" t="str"/>
      <x:c r="M1503" s="10" t="str">
        <x:v>未测</x:v>
      </x:c>
      <x:c r="N1503" s="10" t="str"/>
      <x:c r="O1503" s="9" t="str">
        <x:v>1. 来源（当前证据）：liveshow-proto/MainBasis/统一需求文档.md；位置：行1751、行1747
2. 规则：BR-fedd615e9484b886
3. 未动态验证</x:v>
      </x:c>
    </x:row>
    <x:row r="1504" ht="85" customHeight="1">
      <x:c r="A1504" s="10" t="n">
        <x:v>1503</x:v>
      </x:c>
      <x:c r="B1504" s="10" t="str">
        <x:v>USER-03-0392</x:v>
      </x:c>
      <x:c r="C1504" s="10" t="str">
        <x:v>直播</x:v>
      </x:c>
      <x:c r="D1504" s="10" t="str">
        <x:v>在线观众-观众列表（本场主播视角）</x:v>
      </x:c>
      <x:c r="E1504" s="10" t="str">
        <x:v>功能需求</x:v>
      </x:c>
      <x:c r="F1504" s="10" t="str">
        <x:v>P2</x:v>
      </x:c>
      <x:c r="G1504" s="9" t="str">
        <x:v>验证在线观众贡献展示</x:v>
      </x:c>
      <x:c r="H1504" s="9" t="str">
        <x:v>资产数值</x:v>
      </x:c>
      <x:c r="I1504" s="9" t="str">
        <x:v>1. 执行角色为本场主播；当前处于在线观众-观众列表页面
2. A当前在线，本场有效贡献100；B已离线且贡献200</x:v>
      </x:c>
      <x:c r="J1504" s="9" t="str">
        <x:v>1. 查看A本场贡献</x:v>
      </x:c>
      <x:c r="K1504" s="9" t="str">
        <x:v>显示100金币</x:v>
      </x:c>
      <x:c r="L1504" s="10" t="str"/>
      <x:c r="M1504" s="10" t="str">
        <x:v>未测</x:v>
      </x:c>
      <x:c r="N1504" s="10" t="str"/>
      <x:c r="O1504" s="9" t="str">
        <x:v>1. 来源（当前证据）：liveshow-proto/MainBasis/统一需求文档.md；位置：行1767、行1761
2. 规则：BR-21a1e32c0488fc0f
3. 未动态验证</x:v>
      </x:c>
    </x:row>
    <x:row r="1505" ht="85" customHeight="1">
      <x:c r="A1505" s="10" t="n">
        <x:v>1504</x:v>
      </x:c>
      <x:c r="B1505" s="10" t="str">
        <x:v>USER-03-0393</x:v>
      </x:c>
      <x:c r="C1505" s="10" t="str">
        <x:v>直播</x:v>
      </x:c>
      <x:c r="D1505" s="10" t="str">
        <x:v>观众资料卡-主播（本场主播视角）</x:v>
      </x:c>
      <x:c r="E1505" s="10" t="str">
        <x:v>功能需求</x:v>
      </x:c>
      <x:c r="F1505" s="10" t="str">
        <x:v>P2</x:v>
      </x:c>
      <x:c r="G1505" s="9" t="str">
        <x:v>验证主播资料卡本场在线</x:v>
      </x:c>
      <x:c r="H1505" s="9" t="str">
        <x:v>展示内容</x:v>
      </x:c>
      <x:c r="I1505" s="9" t="str">
        <x:v>1. 执行角色为本场主播；当前处于观众资料卡-主播页面
2. A本场实际状态为在线</x:v>
      </x:c>
      <x:c r="J1505" s="9" t="str">
        <x:v>1. 查看A本场状态</x:v>
      </x:c>
      <x:c r="K1505" s="9" t="str">
        <x:v>显示在线</x:v>
      </x:c>
      <x:c r="L1505" s="10" t="str"/>
      <x:c r="M1505" s="10" t="str">
        <x:v>未测</x:v>
      </x:c>
      <x:c r="N1505" s="10" t="str"/>
      <x:c r="O1505" s="9" t="str">
        <x:v>1. 来源（当前证据）：liveshow-proto/MainBasis/统一需求文档.md；位置：行1799、行1796
2. 规则：BR-69ad6e2c9d947e1e
3. 未动态验证</x:v>
      </x:c>
    </x:row>
    <x:row r="1506" ht="85" customHeight="1">
      <x:c r="A1506" s="10" t="n">
        <x:v>1505</x:v>
      </x:c>
      <x:c r="B1506" s="10" t="str">
        <x:v>USER-03-0394</x:v>
      </x:c>
      <x:c r="C1506" s="10" t="str">
        <x:v>直播</x:v>
      </x:c>
      <x:c r="D1506" s="10" t="str">
        <x:v>观众资料卡-主播（本场主播视角）</x:v>
      </x:c>
      <x:c r="E1506" s="10" t="str">
        <x:v>功能需求</x:v>
      </x:c>
      <x:c r="F1506" s="10" t="str">
        <x:v>P2</x:v>
      </x:c>
      <x:c r="G1506" s="9" t="str">
        <x:v>验证主播资料卡本场禁言</x:v>
      </x:c>
      <x:c r="H1506" s="9" t="str">
        <x:v>展示内容</x:v>
      </x:c>
      <x:c r="I1506" s="9" t="str">
        <x:v>1. 执行角色为本场主播；当前处于观众资料卡-主播页面
2. A本场实际状态为禁言</x:v>
      </x:c>
      <x:c r="J1506" s="9" t="str">
        <x:v>1. 查看A本场状态</x:v>
      </x:c>
      <x:c r="K1506" s="9" t="str">
        <x:v>显示禁言</x:v>
      </x:c>
      <x:c r="L1506" s="10" t="str"/>
      <x:c r="M1506" s="10" t="str">
        <x:v>未测</x:v>
      </x:c>
      <x:c r="N1506" s="10" t="str"/>
      <x:c r="O1506" s="9" t="str">
        <x:v>1. 来源（当前证据）：liveshow-proto/MainBasis/统一需求文档.md；位置：行1799、行1796
2. 规则：BR-7a92930c9f3361b1
3. 未动态验证</x:v>
      </x:c>
    </x:row>
    <x:row r="1507" ht="85" customHeight="1">
      <x:c r="A1507" s="10" t="n">
        <x:v>1506</x:v>
      </x:c>
      <x:c r="B1507" s="10" t="str">
        <x:v>USER-03-0395</x:v>
      </x:c>
      <x:c r="C1507" s="10" t="str">
        <x:v>直播</x:v>
      </x:c>
      <x:c r="D1507" s="10" t="str">
        <x:v>观众资料卡-主播（本场主播视角）</x:v>
      </x:c>
      <x:c r="E1507" s="10" t="str">
        <x:v>功能需求</x:v>
      </x:c>
      <x:c r="F1507" s="10" t="str">
        <x:v>P2</x:v>
      </x:c>
      <x:c r="G1507" s="9" t="str">
        <x:v>验证主播资料卡本场踢出</x:v>
      </x:c>
      <x:c r="H1507" s="9" t="str">
        <x:v>展示内容</x:v>
      </x:c>
      <x:c r="I1507" s="9" t="str">
        <x:v>1. 执行角色为本场主播；当前处于观众资料卡-主播页面
2. A本场实际状态为踢出</x:v>
      </x:c>
      <x:c r="J1507" s="9" t="str">
        <x:v>1. 查看A本场状态</x:v>
      </x:c>
      <x:c r="K1507" s="9" t="str">
        <x:v>显示踢出</x:v>
      </x:c>
      <x:c r="L1507" s="10" t="str"/>
      <x:c r="M1507" s="10" t="str">
        <x:v>未测</x:v>
      </x:c>
      <x:c r="N1507" s="10" t="str"/>
      <x:c r="O1507" s="9" t="str">
        <x:v>1. 来源（当前证据）：liveshow-proto/MainBasis/统一需求文档.md；位置：行1799、行1796
2. 规则：BR-f9e2ea8e78396335
3. 未动态验证</x:v>
      </x:c>
    </x:row>
    <x:row r="1508" ht="85" customHeight="1">
      <x:c r="A1508" s="10" t="n">
        <x:v>1507</x:v>
      </x:c>
      <x:c r="B1508" s="10" t="str">
        <x:v>USER-03-0396</x:v>
      </x:c>
      <x:c r="C1508" s="10" t="str">
        <x:v>直播</x:v>
      </x:c>
      <x:c r="D1508" s="10" t="str">
        <x:v>观众资料卡-主播（本场主播视角）</x:v>
      </x:c>
      <x:c r="E1508" s="10" t="str">
        <x:v>功能需求</x:v>
      </x:c>
      <x:c r="F1508" s="10" t="str">
        <x:v>P2</x:v>
      </x:c>
      <x:c r="G1508" s="9" t="str">
        <x:v>验证主播资料卡提及</x:v>
      </x:c>
      <x:c r="H1508" s="9" t="str">
        <x:v>展示内容</x:v>
      </x:c>
      <x:c r="I1508" s="9" t="str">
        <x:v>1. 执行角色为本场主播；当前处于观众资料卡-主播页面
2. A账号可访问，当前查看A资料卡</x:v>
      </x:c>
      <x:c r="J1508" s="9" t="str">
        <x:v>1. 点击@</x:v>
      </x:c>
      <x:c r="K1508" s="9" t="str">
        <x:v>输入框预填@A</x:v>
      </x:c>
      <x:c r="L1508" s="10" t="str"/>
      <x:c r="M1508" s="10" t="str">
        <x:v>未测</x:v>
      </x:c>
      <x:c r="N1508" s="10" t="str"/>
      <x:c r="O1508" s="9" t="str">
        <x:v>1. 来源（当前证据）：liveshow-proto/MainBasis/统一需求文档.md；位置：行1800、行1796
2. 规则：BR-0b608e02b449bce9
3. 未动态验证</x:v>
      </x:c>
    </x:row>
    <x:row r="1509" ht="85" customHeight="1">
      <x:c r="A1509" s="10" t="n">
        <x:v>1508</x:v>
      </x:c>
      <x:c r="B1509" s="10" t="str">
        <x:v>USER-03-0397</x:v>
      </x:c>
      <x:c r="C1509" s="10" t="str">
        <x:v>直播</x:v>
      </x:c>
      <x:c r="D1509" s="10" t="str">
        <x:v>观众资料卡-主播（本场主播视角）</x:v>
      </x:c>
      <x:c r="E1509" s="10" t="str">
        <x:v>功能需求</x:v>
      </x:c>
      <x:c r="F1509" s="10" t="str">
        <x:v>P2</x:v>
      </x:c>
      <x:c r="G1509" s="9" t="str">
        <x:v>验证主播资料卡举报对象</x:v>
      </x:c>
      <x:c r="H1509" s="9" t="str">
        <x:v>页面去向</x:v>
      </x:c>
      <x:c r="I1509" s="9" t="str">
        <x:v>1. 执行角色为本场主播；当前处于观众资料卡-主播页面
2. A账号可访问，当前查看A资料卡</x:v>
      </x:c>
      <x:c r="J1509" s="9" t="str">
        <x:v>1. 点击举报</x:v>
      </x:c>
      <x:c r="K1509" s="9" t="str">
        <x:v>进入以A为对象的账号举报</x:v>
      </x:c>
      <x:c r="L1509" s="10" t="str"/>
      <x:c r="M1509" s="10" t="str">
        <x:v>未测</x:v>
      </x:c>
      <x:c r="N1509" s="10" t="str"/>
      <x:c r="O1509" s="9" t="str">
        <x:v>1. 来源（当前证据）：liveshow-proto/MainBasis/统一需求文档.md；位置：行1800、行1796
2. 规则：BR-ee10f4c8d97b9dd3
3. 未动态验证</x:v>
      </x:c>
    </x:row>
    <x:row r="1510" ht="85" customHeight="1">
      <x:c r="A1510" s="10" t="n">
        <x:v>1509</x:v>
      </x:c>
      <x:c r="B1510" s="10" t="str">
        <x:v>USER-03-0398</x:v>
      </x:c>
      <x:c r="C1510" s="10" t="str">
        <x:v>直播</x:v>
      </x:c>
      <x:c r="D1510" s="10" t="str">
        <x:v>连麦主播（本场主播视角）</x:v>
      </x:c>
      <x:c r="E1510" s="10" t="str">
        <x:v>功能需求</x:v>
      </x:c>
      <x:c r="F1510" s="10" t="str">
        <x:v>P2</x:v>
      </x:c>
      <x:c r="G1510" s="9" t="str">
        <x:v>验证连麦列表可邀请状态</x:v>
      </x:c>
      <x:c r="H1510" s="9" t="str">
        <x:v>连麦邀请状态展示</x:v>
      </x:c>
      <x:c r="I1510" s="9" t="str">
        <x:v>1. 执行角色为本场主播；当前处于连麦主播页面
2. 当前与主播B的邀请实际状态为可邀请</x:v>
      </x:c>
      <x:c r="J1510" s="9" t="str">
        <x:v>1. 查看B邀请状态</x:v>
      </x:c>
      <x:c r="K1510" s="9" t="str">
        <x:v>显示可邀请</x:v>
      </x:c>
      <x:c r="L1510" s="10" t="str"/>
      <x:c r="M1510" s="10" t="str">
        <x:v>未测</x:v>
      </x:c>
      <x:c r="N1510" s="10" t="str"/>
      <x:c r="O1510" s="9" t="str">
        <x:v>1. 来源（当前证据）：liveshow-proto/MainBasis/统一需求文档.md；位置：行1825、行1823
2. 规则：BR-9b495152b644d812
3. 未动态验证</x:v>
      </x:c>
    </x:row>
    <x:row r="1511" ht="85" customHeight="1">
      <x:c r="A1511" s="10" t="n">
        <x:v>1510</x:v>
      </x:c>
      <x:c r="B1511" s="10" t="str">
        <x:v>USER-03-0399</x:v>
      </x:c>
      <x:c r="C1511" s="10" t="str">
        <x:v>直播</x:v>
      </x:c>
      <x:c r="D1511" s="10" t="str">
        <x:v>连麦主播（本场主播视角）</x:v>
      </x:c>
      <x:c r="E1511" s="10" t="str">
        <x:v>功能需求</x:v>
      </x:c>
      <x:c r="F1511" s="10" t="str">
        <x:v>P2</x:v>
      </x:c>
      <x:c r="G1511" s="9" t="str">
        <x:v>验证连麦列表邀请中状态</x:v>
      </x:c>
      <x:c r="H1511" s="9" t="str">
        <x:v>连麦邀请状态展示</x:v>
      </x:c>
      <x:c r="I1511" s="9" t="str">
        <x:v>1. 执行角色为本场主播；当前处于连麦主播页面
2. 当前与主播B的邀请实际状态为邀请中</x:v>
      </x:c>
      <x:c r="J1511" s="9" t="str">
        <x:v>1. 查看B邀请状态</x:v>
      </x:c>
      <x:c r="K1511" s="9" t="str">
        <x:v>显示邀请中</x:v>
      </x:c>
      <x:c r="L1511" s="10" t="str"/>
      <x:c r="M1511" s="10" t="str">
        <x:v>未测</x:v>
      </x:c>
      <x:c r="N1511" s="10" t="str"/>
      <x:c r="O1511" s="9" t="str">
        <x:v>1. 来源（当前证据）：liveshow-proto/MainBasis/统一需求文档.md；位置：行1825、行1823
2. 规则：BR-356820b8884bd773
3. 未动态验证</x:v>
      </x:c>
    </x:row>
    <x:row r="1512" ht="85" customHeight="1">
      <x:c r="A1512" s="10" t="n">
        <x:v>1511</x:v>
      </x:c>
      <x:c r="B1512" s="10" t="str">
        <x:v>USER-03-0400</x:v>
      </x:c>
      <x:c r="C1512" s="10" t="str">
        <x:v>直播</x:v>
      </x:c>
      <x:c r="D1512" s="10" t="str">
        <x:v>连麦主播（本场主播视角）</x:v>
      </x:c>
      <x:c r="E1512" s="10" t="str">
        <x:v>功能需求</x:v>
      </x:c>
      <x:c r="F1512" s="10" t="str">
        <x:v>P2</x:v>
      </x:c>
      <x:c r="G1512" s="9" t="str">
        <x:v>验证连麦列表已接受状态</x:v>
      </x:c>
      <x:c r="H1512" s="9" t="str">
        <x:v>连麦邀请状态展示</x:v>
      </x:c>
      <x:c r="I1512" s="9" t="str">
        <x:v>1. 执行角色为本场主播；当前处于连麦主播页面
2. 当前与主播B的邀请实际状态为已接受</x:v>
      </x:c>
      <x:c r="J1512" s="9" t="str">
        <x:v>1. 查看B邀请状态</x:v>
      </x:c>
      <x:c r="K1512" s="9" t="str">
        <x:v>显示已接受</x:v>
      </x:c>
      <x:c r="L1512" s="10" t="str"/>
      <x:c r="M1512" s="10" t="str">
        <x:v>未测</x:v>
      </x:c>
      <x:c r="N1512" s="10" t="str"/>
      <x:c r="O1512" s="9" t="str">
        <x:v>1. 来源（当前证据）：liveshow-proto/MainBasis/统一需求文档.md；位置：行1825、行1823
2. 规则：BR-73a4f597fc63df4a
3. 未动态验证</x:v>
      </x:c>
    </x:row>
    <x:row r="1513" ht="85" customHeight="1">
      <x:c r="A1513" s="10" t="n">
        <x:v>1512</x:v>
      </x:c>
      <x:c r="B1513" s="10" t="str">
        <x:v>USER-03-0401</x:v>
      </x:c>
      <x:c r="C1513" s="10" t="str">
        <x:v>直播</x:v>
      </x:c>
      <x:c r="D1513" s="10" t="str">
        <x:v>连麦主播（本场主播视角）</x:v>
      </x:c>
      <x:c r="E1513" s="10" t="str">
        <x:v>功能需求</x:v>
      </x:c>
      <x:c r="F1513" s="10" t="str">
        <x:v>P2</x:v>
      </x:c>
      <x:c r="G1513" s="9" t="str">
        <x:v>验证连麦列表已拒绝状态</x:v>
      </x:c>
      <x:c r="H1513" s="9" t="str">
        <x:v>连麦邀请状态展示</x:v>
      </x:c>
      <x:c r="I1513" s="9" t="str">
        <x:v>1. 执行角色为本场主播；当前处于连麦主播页面
2. 当前与主播B的邀请实际状态为已拒绝</x:v>
      </x:c>
      <x:c r="J1513" s="9" t="str">
        <x:v>1. 查看B邀请状态</x:v>
      </x:c>
      <x:c r="K1513" s="9" t="str">
        <x:v>显示已拒绝</x:v>
      </x:c>
      <x:c r="L1513" s="10" t="str"/>
      <x:c r="M1513" s="10" t="str">
        <x:v>未测</x:v>
      </x:c>
      <x:c r="N1513" s="10" t="str"/>
      <x:c r="O1513" s="9" t="str">
        <x:v>1. 来源（当前证据）：liveshow-proto/MainBasis/统一需求文档.md；位置：行1825、行1823
2. 规则：BR-5c95e10a0d25cb83
3. 未动态验证</x:v>
      </x:c>
    </x:row>
    <x:row r="1514" ht="85" customHeight="1">
      <x:c r="A1514" s="10" t="n">
        <x:v>1513</x:v>
      </x:c>
      <x:c r="B1514" s="10" t="str">
        <x:v>USER-03-0402</x:v>
      </x:c>
      <x:c r="C1514" s="10" t="str">
        <x:v>直播</x:v>
      </x:c>
      <x:c r="D1514" s="10" t="str">
        <x:v>连麦主播（本场主播视角）</x:v>
      </x:c>
      <x:c r="E1514" s="10" t="str">
        <x:v>功能需求</x:v>
      </x:c>
      <x:c r="F1514" s="10" t="str">
        <x:v>P2</x:v>
      </x:c>
      <x:c r="G1514" s="9" t="str">
        <x:v>验证连麦列表已失效状态</x:v>
      </x:c>
      <x:c r="H1514" s="9" t="str">
        <x:v>连麦邀请状态展示</x:v>
      </x:c>
      <x:c r="I1514" s="9" t="str">
        <x:v>1. 执行角色为本场主播；当前处于连麦主播页面
2. 当前与主播B的邀请实际状态为已失效</x:v>
      </x:c>
      <x:c r="J1514" s="9" t="str">
        <x:v>1. 查看B邀请状态</x:v>
      </x:c>
      <x:c r="K1514" s="9" t="str">
        <x:v>显示已失效</x:v>
      </x:c>
      <x:c r="L1514" s="10" t="str"/>
      <x:c r="M1514" s="10" t="str">
        <x:v>未测</x:v>
      </x:c>
      <x:c r="N1514" s="10" t="str"/>
      <x:c r="O1514" s="9" t="str">
        <x:v>1. 来源（当前证据）：liveshow-proto/MainBasis/统一需求文档.md；位置：行1825、行1823
2. 规则：BR-9b80093eb0d0773b
3. 未动态验证</x:v>
      </x:c>
    </x:row>
    <x:row r="1515" ht="85" customHeight="1">
      <x:c r="A1515" s="10" t="n">
        <x:v>1514</x:v>
      </x:c>
      <x:c r="B1515" s="10" t="str">
        <x:v>USER-03-0403</x:v>
      </x:c>
      <x:c r="C1515" s="10" t="str">
        <x:v>直播</x:v>
      </x:c>
      <x:c r="D1515" s="10" t="str">
        <x:v>更多功能（本场主播视角）</x:v>
      </x:c>
      <x:c r="E1515" s="10" t="str">
        <x:v>功能需求</x:v>
      </x:c>
      <x:c r="F1515" s="10" t="str">
        <x:v>P2</x:v>
      </x:c>
      <x:c r="G1515" s="9" t="str">
        <x:v>验证更多美颜入口</x:v>
      </x:c>
      <x:c r="H1515" s="9" t="str">
        <x:v>展示内容</x:v>
      </x:c>
      <x:c r="I1515" s="9" t="str">
        <x:v>1. 执行角色为本场主播；当前处于更多功能页面
2. 当前正在普通房独立直播</x:v>
      </x:c>
      <x:c r="J1515" s="9" t="str">
        <x:v>1. 点击美颜</x:v>
      </x:c>
      <x:c r="K1515" s="9" t="str">
        <x:v>打开美颜视图</x:v>
      </x:c>
      <x:c r="L1515" s="10" t="str"/>
      <x:c r="M1515" s="10" t="str">
        <x:v>未测</x:v>
      </x:c>
      <x:c r="N1515" s="10" t="str"/>
      <x:c r="O1515" s="9" t="str">
        <x:v>1. 来源（当前证据）：liveshow-proto/MainBasis/统一需求文档.md；位置：行1861、行1856
2. 规则：BR-fcf61d3d68ab491e
3. 未动态验证</x:v>
      </x:c>
    </x:row>
    <x:row r="1516" ht="85" customHeight="1">
      <x:c r="A1516" s="10" t="n">
        <x:v>1515</x:v>
      </x:c>
      <x:c r="B1516" s="10" t="str">
        <x:v>USER-03-0404</x:v>
      </x:c>
      <x:c r="C1516" s="10" t="str">
        <x:v>直播</x:v>
      </x:c>
      <x:c r="D1516" s="10" t="str">
        <x:v>更多功能（本场主播视角）</x:v>
      </x:c>
      <x:c r="E1516" s="10" t="str">
        <x:v>功能需求</x:v>
      </x:c>
      <x:c r="F1516" s="10" t="str">
        <x:v>P2</x:v>
      </x:c>
      <x:c r="G1516" s="9" t="str">
        <x:v>验证更多禁用用户入口</x:v>
      </x:c>
      <x:c r="H1516" s="9" t="str">
        <x:v>展示内容</x:v>
      </x:c>
      <x:c r="I1516" s="9" t="str">
        <x:v>1. 执行角色为本场主播；当前处于更多功能页面
2. 当前正在普通房独立直播</x:v>
      </x:c>
      <x:c r="J1516" s="9" t="str">
        <x:v>1. 点击禁用用户</x:v>
      </x:c>
      <x:c r="K1516" s="9" t="str">
        <x:v>打开当前场次禁言列表</x:v>
      </x:c>
      <x:c r="L1516" s="10" t="str"/>
      <x:c r="M1516" s="10" t="str">
        <x:v>未测</x:v>
      </x:c>
      <x:c r="N1516" s="10" t="str"/>
      <x:c r="O1516" s="9" t="str">
        <x:v>1. 来源（当前证据）：liveshow-proto/MainBasis/统一需求文档.md；位置：行1861、行1856
2. 规则：BR-1197779a2274120c
3. 未动态验证</x:v>
      </x:c>
    </x:row>
    <x:row r="1517" ht="85" customHeight="1">
      <x:c r="A1517" s="10" t="n">
        <x:v>1516</x:v>
      </x:c>
      <x:c r="B1517" s="10" t="str">
        <x:v>USER-03-0405</x:v>
      </x:c>
      <x:c r="C1517" s="10" t="str">
        <x:v>直播</x:v>
      </x:c>
      <x:c r="D1517" s="10" t="str">
        <x:v>更多功能（本场主播视角）</x:v>
      </x:c>
      <x:c r="E1517" s="10" t="str">
        <x:v>功能需求</x:v>
      </x:c>
      <x:c r="F1517" s="10" t="str">
        <x:v>P2</x:v>
      </x:c>
      <x:c r="G1517" s="9" t="str">
        <x:v>验证更多转发入口</x:v>
      </x:c>
      <x:c r="H1517" s="9" t="str">
        <x:v>展示内容</x:v>
      </x:c>
      <x:c r="I1517" s="9" t="str">
        <x:v>1. 执行角色为本场主播；当前处于更多功能页面
2. 当前正在普通房独立直播</x:v>
      </x:c>
      <x:c r="J1517" s="9" t="str">
        <x:v>1. 点击转发</x:v>
      </x:c>
      <x:c r="K1517" s="9" t="str">
        <x:v>打开接收对象视图</x:v>
      </x:c>
      <x:c r="L1517" s="10" t="str"/>
      <x:c r="M1517" s="10" t="str">
        <x:v>未测</x:v>
      </x:c>
      <x:c r="N1517" s="10" t="str"/>
      <x:c r="O1517" s="9" t="str">
        <x:v>1. 来源（当前证据）：liveshow-proto/MainBasis/统一需求文档.md；位置：行1861、行1856
2. 规则：BR-d7b7e7069003da09
3. 未动态验证</x:v>
      </x:c>
    </x:row>
    <x:row r="1518" ht="85" customHeight="1">
      <x:c r="A1518" s="10" t="n">
        <x:v>1517</x:v>
      </x:c>
      <x:c r="B1518" s="10" t="str">
        <x:v>USER-03-0406</x:v>
      </x:c>
      <x:c r="C1518" s="10" t="str">
        <x:v>直播</x:v>
      </x:c>
      <x:c r="D1518" s="10" t="str">
        <x:v>更多功能（本场主播视角）</x:v>
      </x:c>
      <x:c r="E1518" s="10" t="str">
        <x:v>功能需求</x:v>
      </x:c>
      <x:c r="F1518" s="10" t="str">
        <x:v>P2</x:v>
      </x:c>
      <x:c r="G1518" s="9" t="str">
        <x:v>验证更多关闭返回直播</x:v>
      </x:c>
      <x:c r="H1518" s="9" t="str">
        <x:v>页面去向</x:v>
      </x:c>
      <x:c r="I1518" s="9" t="str">
        <x:v>1. 执行角色为本场主播；当前处于更多功能页面
2. 当前正在普通房独立直播
3. 更多操作视图已展开</x:v>
      </x:c>
      <x:c r="J1518" s="9" t="str">
        <x:v>1. 点击关闭</x:v>
      </x:c>
      <x:c r="K1518" s="9" t="str">
        <x:v>返回当前直播间</x:v>
      </x:c>
      <x:c r="L1518" s="10" t="str"/>
      <x:c r="M1518" s="10" t="str">
        <x:v>未测</x:v>
      </x:c>
      <x:c r="N1518" s="10" t="str"/>
      <x:c r="O1518" s="9" t="str">
        <x:v>1. 来源（当前证据）：liveshow-proto/MainBasis/统一需求文档.md；位置：行1861、行1856
2. 规则：BR-e59ef452a5caa774
3. 未动态验证</x:v>
      </x:c>
    </x:row>
    <x:row r="1519" ht="85" customHeight="1">
      <x:c r="A1519" s="10" t="n">
        <x:v>1518</x:v>
      </x:c>
      <x:c r="B1519" s="10" t="str">
        <x:v>USER-03-0407</x:v>
      </x:c>
      <x:c r="C1519" s="10" t="str">
        <x:v>直播</x:v>
      </x:c>
      <x:c r="D1519" s="10" t="str">
        <x:v>更多功能（本场主播视角）</x:v>
      </x:c>
      <x:c r="E1519" s="10" t="str">
        <x:v>功能需求</x:v>
      </x:c>
      <x:c r="F1519" s="10" t="str">
        <x:v>P2</x:v>
      </x:c>
      <x:c r="G1519" s="9" t="str">
        <x:v>验证更多美颜入口</x:v>
      </x:c>
      <x:c r="H1519" s="9" t="str">
        <x:v>展示内容</x:v>
      </x:c>
      <x:c r="I1519" s="9" t="str">
        <x:v>1. 执行角色为本场主播；当前处于更多功能页面
2. 当前正在密码房直播</x:v>
      </x:c>
      <x:c r="J1519" s="9" t="str">
        <x:v>1. 点击美颜</x:v>
      </x:c>
      <x:c r="K1519" s="9" t="str">
        <x:v>打开美颜视图</x:v>
      </x:c>
      <x:c r="L1519" s="10" t="str"/>
      <x:c r="M1519" s="10" t="str">
        <x:v>未测</x:v>
      </x:c>
      <x:c r="N1519" s="10" t="str"/>
      <x:c r="O1519" s="9" t="str">
        <x:v>1. 来源（当前证据）：liveshow-proto/MainBasis/统一需求文档.md；位置：行1871、行1873、行1869
2. 规则：BR-37989198d829aa37
3. 未动态验证</x:v>
      </x:c>
    </x:row>
    <x:row r="1520" ht="85" customHeight="1">
      <x:c r="A1520" s="10" t="n">
        <x:v>1519</x:v>
      </x:c>
      <x:c r="B1520" s="10" t="str">
        <x:v>USER-03-0408</x:v>
      </x:c>
      <x:c r="C1520" s="10" t="str">
        <x:v>直播</x:v>
      </x:c>
      <x:c r="D1520" s="10" t="str">
        <x:v>更多功能（本场主播视角）</x:v>
      </x:c>
      <x:c r="E1520" s="10" t="str">
        <x:v>功能需求</x:v>
      </x:c>
      <x:c r="F1520" s="10" t="str">
        <x:v>P2</x:v>
      </x:c>
      <x:c r="G1520" s="9" t="str">
        <x:v>验证更多禁用用户入口</x:v>
      </x:c>
      <x:c r="H1520" s="9" t="str">
        <x:v>展示内容</x:v>
      </x:c>
      <x:c r="I1520" s="9" t="str">
        <x:v>1. 执行角色为本场主播；当前处于更多功能页面
2. 当前正在密码房直播</x:v>
      </x:c>
      <x:c r="J1520" s="9" t="str">
        <x:v>1. 点击禁用用户</x:v>
      </x:c>
      <x:c r="K1520" s="9" t="str">
        <x:v>打开当前场次禁言列表</x:v>
      </x:c>
      <x:c r="L1520" s="10" t="str"/>
      <x:c r="M1520" s="10" t="str">
        <x:v>未测</x:v>
      </x:c>
      <x:c r="N1520" s="10" t="str"/>
      <x:c r="O1520" s="9" t="str">
        <x:v>1. 来源（当前证据）：liveshow-proto/MainBasis/统一需求文档.md；位置：行1871、行1873、行1869
2. 规则：BR-ce8faad4fc041ae8
3. 未动态验证</x:v>
      </x:c>
    </x:row>
    <x:row r="1521" ht="85" customHeight="1">
      <x:c r="A1521" s="10" t="n">
        <x:v>1520</x:v>
      </x:c>
      <x:c r="B1521" s="10" t="str">
        <x:v>USER-03-0409</x:v>
      </x:c>
      <x:c r="C1521" s="10" t="str">
        <x:v>直播</x:v>
      </x:c>
      <x:c r="D1521" s="10" t="str">
        <x:v>更多功能（本场主播视角）</x:v>
      </x:c>
      <x:c r="E1521" s="10" t="str">
        <x:v>功能需求</x:v>
      </x:c>
      <x:c r="F1521" s="10" t="str">
        <x:v>P2</x:v>
      </x:c>
      <x:c r="G1521" s="9" t="str">
        <x:v>验证更多房间密码入口</x:v>
      </x:c>
      <x:c r="H1521" s="9" t="str">
        <x:v>房间密码编辑入口</x:v>
      </x:c>
      <x:c r="I1521" s="9" t="str">
        <x:v>1. 执行角色为本场主播；当前处于更多功能页面
2. 当前正在密码房直播</x:v>
      </x:c>
      <x:c r="J1521" s="9" t="str">
        <x:v>1. 点击房间密码</x:v>
      </x:c>
      <x:c r="K1521" s="9" t="str">
        <x:v>打开本场密码修改视图</x:v>
      </x:c>
      <x:c r="L1521" s="10" t="str"/>
      <x:c r="M1521" s="10" t="str">
        <x:v>未测</x:v>
      </x:c>
      <x:c r="N1521" s="10" t="str"/>
      <x:c r="O1521" s="9" t="str">
        <x:v>1. 来源（当前证据）：liveshow-proto/MainBasis/统一需求文档.md；位置：行1871、行1873、行1869
2. 规则：BR-9e84514b527c40fd
3. 未动态验证</x:v>
      </x:c>
    </x:row>
    <x:row r="1522" ht="85" customHeight="1">
      <x:c r="A1522" s="10" t="n">
        <x:v>1521</x:v>
      </x:c>
      <x:c r="B1522" s="10" t="str">
        <x:v>USER-03-0410</x:v>
      </x:c>
      <x:c r="C1522" s="10" t="str">
        <x:v>直播</x:v>
      </x:c>
      <x:c r="D1522" s="10" t="str">
        <x:v>更多功能（本场主播视角）</x:v>
      </x:c>
      <x:c r="E1522" s="10" t="str">
        <x:v>功能需求</x:v>
      </x:c>
      <x:c r="F1522" s="10" t="str">
        <x:v>P2</x:v>
      </x:c>
      <x:c r="G1522" s="9" t="str">
        <x:v>验证更多访问范围入口</x:v>
      </x:c>
      <x:c r="H1522" s="9" t="str">
        <x:v>展示内容</x:v>
      </x:c>
      <x:c r="I1522" s="9" t="str">
        <x:v>1. 执行角色为本场主播；当前处于更多功能页面
2. 当前正在密码房直播</x:v>
      </x:c>
      <x:c r="J1522" s="9" t="str">
        <x:v>1. 点击访问范围</x:v>
      </x:c>
      <x:c r="K1522" s="9" t="str">
        <x:v>打开访问范围视图</x:v>
      </x:c>
      <x:c r="L1522" s="10" t="str"/>
      <x:c r="M1522" s="10" t="str">
        <x:v>未测</x:v>
      </x:c>
      <x:c r="N1522" s="10" t="str"/>
      <x:c r="O1522" s="9" t="str">
        <x:v>1. 来源（当前证据）：liveshow-proto/MainBasis/统一需求文档.md；位置：行1871、行1873、行1869
2. 规则：BR-56bced719444c0e0
3. 未动态验证</x:v>
      </x:c>
    </x:row>
    <x:row r="1523" ht="85" customHeight="1">
      <x:c r="A1523" s="10" t="n">
        <x:v>1522</x:v>
      </x:c>
      <x:c r="B1523" s="10" t="str">
        <x:v>USER-03-0411</x:v>
      </x:c>
      <x:c r="C1523" s="10" t="str">
        <x:v>直播</x:v>
      </x:c>
      <x:c r="D1523" s="10" t="str">
        <x:v>更多功能（本场主播视角）</x:v>
      </x:c>
      <x:c r="E1523" s="10" t="str">
        <x:v>功能需求</x:v>
      </x:c>
      <x:c r="F1523" s="10" t="str">
        <x:v>P2</x:v>
      </x:c>
      <x:c r="G1523" s="9" t="str">
        <x:v>验证更多转发入口</x:v>
      </x:c>
      <x:c r="H1523" s="9" t="str">
        <x:v>展示内容</x:v>
      </x:c>
      <x:c r="I1523" s="9" t="str">
        <x:v>1. 执行角色为本场主播；当前处于更多功能页面
2. 当前正在密码房直播</x:v>
      </x:c>
      <x:c r="J1523" s="9" t="str">
        <x:v>1. 点击转发</x:v>
      </x:c>
      <x:c r="K1523" s="9" t="str">
        <x:v>打开接收对象视图</x:v>
      </x:c>
      <x:c r="L1523" s="10" t="str"/>
      <x:c r="M1523" s="10" t="str">
        <x:v>未测</x:v>
      </x:c>
      <x:c r="N1523" s="10" t="str"/>
      <x:c r="O1523" s="9" t="str">
        <x:v>1. 来源（当前证据）：liveshow-proto/MainBasis/统一需求文档.md；位置：行1871、行1873、行1869
2. 规则：BR-1b91469249c7afe4
3. 未动态验证</x:v>
      </x:c>
    </x:row>
    <x:row r="1524" ht="85" customHeight="1">
      <x:c r="A1524" s="10" t="n">
        <x:v>1523</x:v>
      </x:c>
      <x:c r="B1524" s="10" t="str">
        <x:v>USER-03-0412</x:v>
      </x:c>
      <x:c r="C1524" s="10" t="str">
        <x:v>直播</x:v>
      </x:c>
      <x:c r="D1524" s="10" t="str">
        <x:v>更多功能（本场主播视角）</x:v>
      </x:c>
      <x:c r="E1524" s="10" t="str">
        <x:v>功能需求</x:v>
      </x:c>
      <x:c r="F1524" s="10" t="str">
        <x:v>P2</x:v>
      </x:c>
      <x:c r="G1524" s="9" t="str">
        <x:v>验证更多关闭返回直播</x:v>
      </x:c>
      <x:c r="H1524" s="9" t="str">
        <x:v>页面去向</x:v>
      </x:c>
      <x:c r="I1524" s="9" t="str">
        <x:v>1. 执行角色为本场主播；当前处于更多功能页面
2. 当前正在密码房直播
3. 更多操作视图已展开</x:v>
      </x:c>
      <x:c r="J1524" s="9" t="str">
        <x:v>1. 点击关闭</x:v>
      </x:c>
      <x:c r="K1524" s="9" t="str">
        <x:v>返回当前直播间</x:v>
      </x:c>
      <x:c r="L1524" s="10" t="str"/>
      <x:c r="M1524" s="10" t="str">
        <x:v>未测</x:v>
      </x:c>
      <x:c r="N1524" s="10" t="str"/>
      <x:c r="O1524" s="9" t="str">
        <x:v>1. 来源（当前证据）：liveshow-proto/MainBasis/统一需求文档.md；位置：行1871、行1873、行1869
2. 规则：BR-9c4ba6fb0c1cb698
3. 未动态验证</x:v>
      </x:c>
    </x:row>
    <x:row r="1525" ht="85" customHeight="1">
      <x:c r="A1525" s="10" t="n">
        <x:v>1524</x:v>
      </x:c>
      <x:c r="B1525" s="10" t="str">
        <x:v>USER-03-0413</x:v>
      </x:c>
      <x:c r="C1525" s="10" t="str">
        <x:v>直播</x:v>
      </x:c>
      <x:c r="D1525" s="10" t="str">
        <x:v>更多功能（本场主播视角）</x:v>
      </x:c>
      <x:c r="E1525" s="10" t="str">
        <x:v>功能需求</x:v>
      </x:c>
      <x:c r="F1525" s="10" t="str">
        <x:v>P2</x:v>
      </x:c>
      <x:c r="G1525" s="9" t="str">
        <x:v>验证更多美颜入口</x:v>
      </x:c>
      <x:c r="H1525" s="9" t="str">
        <x:v>展示内容</x:v>
      </x:c>
      <x:c r="I1525" s="9" t="str">
        <x:v>1. 执行角色为本场主播；当前处于更多功能页面
2. 当前正在与另一主播连麦</x:v>
      </x:c>
      <x:c r="J1525" s="9" t="str">
        <x:v>1. 点击美颜</x:v>
      </x:c>
      <x:c r="K1525" s="9" t="str">
        <x:v>打开美颜视图</x:v>
      </x:c>
      <x:c r="L1525" s="10" t="str"/>
      <x:c r="M1525" s="10" t="str">
        <x:v>未测</x:v>
      </x:c>
      <x:c r="N1525" s="10" t="str"/>
      <x:c r="O1525" s="9" t="str">
        <x:v>1. 来源（当前证据）：liveshow-proto/MainBasis/统一需求文档.md；位置：行1892、行1891
2. 规则：BR-271315791f7ab579
3. 未动态验证</x:v>
      </x:c>
    </x:row>
    <x:row r="1526" ht="85" customHeight="1">
      <x:c r="A1526" s="10" t="n">
        <x:v>1525</x:v>
      </x:c>
      <x:c r="B1526" s="10" t="str">
        <x:v>USER-03-0414</x:v>
      </x:c>
      <x:c r="C1526" s="10" t="str">
        <x:v>直播</x:v>
      </x:c>
      <x:c r="D1526" s="10" t="str">
        <x:v>更多功能（本场主播视角）</x:v>
      </x:c>
      <x:c r="E1526" s="10" t="str">
        <x:v>功能需求</x:v>
      </x:c>
      <x:c r="F1526" s="10" t="str">
        <x:v>P2</x:v>
      </x:c>
      <x:c r="G1526" s="9" t="str">
        <x:v>验证更多观众管理入口</x:v>
      </x:c>
      <x:c r="H1526" s="9" t="str">
        <x:v>展示内容</x:v>
      </x:c>
      <x:c r="I1526" s="9" t="str">
        <x:v>1. 执行角色为本场主播；当前处于更多功能页面
2. 当前正在与另一主播连麦</x:v>
      </x:c>
      <x:c r="J1526" s="9" t="str">
        <x:v>1. 点击观众管理</x:v>
      </x:c>
      <x:c r="K1526" s="9" t="str">
        <x:v>打开本场观众管理</x:v>
      </x:c>
      <x:c r="L1526" s="10" t="str"/>
      <x:c r="M1526" s="10" t="str">
        <x:v>未测</x:v>
      </x:c>
      <x:c r="N1526" s="10" t="str"/>
      <x:c r="O1526" s="9" t="str">
        <x:v>1. 来源（当前证据）：liveshow-proto/MainBasis/统一需求文档.md；位置：行1892、行1891
2. 规则：BR-f00a89b8ed0bdb25
3. 未动态验证</x:v>
      </x:c>
    </x:row>
    <x:row r="1527" ht="85" customHeight="1">
      <x:c r="A1527" s="10" t="n">
        <x:v>1526</x:v>
      </x:c>
      <x:c r="B1527" s="10" t="str">
        <x:v>USER-03-0415</x:v>
      </x:c>
      <x:c r="C1527" s="10" t="str">
        <x:v>直播</x:v>
      </x:c>
      <x:c r="D1527" s="10" t="str">
        <x:v>更多功能（本场主播视角）</x:v>
      </x:c>
      <x:c r="E1527" s="10" t="str">
        <x:v>功能需求</x:v>
      </x:c>
      <x:c r="F1527" s="10" t="str">
        <x:v>P2</x:v>
      </x:c>
      <x:c r="G1527" s="9" t="str">
        <x:v>验证更多转发入口</x:v>
      </x:c>
      <x:c r="H1527" s="9" t="str">
        <x:v>展示内容</x:v>
      </x:c>
      <x:c r="I1527" s="9" t="str">
        <x:v>1. 执行角色为本场主播；当前处于更多功能页面
2. 当前正在与另一主播连麦</x:v>
      </x:c>
      <x:c r="J1527" s="9" t="str">
        <x:v>1. 点击转发</x:v>
      </x:c>
      <x:c r="K1527" s="9" t="str">
        <x:v>打开接收对象视图</x:v>
      </x:c>
      <x:c r="L1527" s="10" t="str"/>
      <x:c r="M1527" s="10" t="str">
        <x:v>未测</x:v>
      </x:c>
      <x:c r="N1527" s="10" t="str"/>
      <x:c r="O1527" s="9" t="str">
        <x:v>1. 来源（当前证据）：liveshow-proto/MainBasis/统一需求文档.md；位置：行1892、行1891
2. 规则：BR-98c5503e372b0505
3. 未动态验证</x:v>
      </x:c>
    </x:row>
    <x:row r="1528" ht="85" customHeight="1">
      <x:c r="A1528" s="10" t="n">
        <x:v>1527</x:v>
      </x:c>
      <x:c r="B1528" s="10" t="str">
        <x:v>USER-03-0416</x:v>
      </x:c>
      <x:c r="C1528" s="10" t="str">
        <x:v>直播</x:v>
      </x:c>
      <x:c r="D1528" s="10" t="str">
        <x:v>更多功能（本场主播视角）</x:v>
      </x:c>
      <x:c r="E1528" s="10" t="str">
        <x:v>功能需求</x:v>
      </x:c>
      <x:c r="F1528" s="10" t="str">
        <x:v>P2</x:v>
      </x:c>
      <x:c r="G1528" s="9" t="str">
        <x:v>验证更多关闭返回直播</x:v>
      </x:c>
      <x:c r="H1528" s="9" t="str">
        <x:v>页面去向</x:v>
      </x:c>
      <x:c r="I1528" s="9" t="str">
        <x:v>1. 执行角色为本场主播；当前处于更多功能页面
2. 当前正在与另一主播连麦
3. 更多操作视图已展开</x:v>
      </x:c>
      <x:c r="J1528" s="9" t="str">
        <x:v>1. 点击关闭</x:v>
      </x:c>
      <x:c r="K1528" s="9" t="str">
        <x:v>返回当前直播间</x:v>
      </x:c>
      <x:c r="L1528" s="10" t="str"/>
      <x:c r="M1528" s="10" t="str">
        <x:v>未测</x:v>
      </x:c>
      <x:c r="N1528" s="10" t="str"/>
      <x:c r="O1528" s="9" t="str">
        <x:v>1. 来源（当前证据）：liveshow-proto/MainBasis/统一需求文档.md；位置：行1892、行1891
2. 规则：BR-1d4f408e036fab08
3. 未动态验证</x:v>
      </x:c>
    </x:row>
    <x:row r="1529" ht="85" customHeight="1">
      <x:c r="A1529" s="10" t="n">
        <x:v>1528</x:v>
      </x:c>
      <x:c r="B1529" s="10" t="str">
        <x:v>USER-03-0417</x:v>
      </x:c>
      <x:c r="C1529" s="10" t="str">
        <x:v>直播</x:v>
      </x:c>
      <x:c r="D1529" s="10" t="str">
        <x:v>访问范围（密码房主播视角）</x:v>
      </x:c>
      <x:c r="E1529" s="10" t="str">
        <x:v>功能需求</x:v>
      </x:c>
      <x:c r="F1529" s="10" t="str">
        <x:v>P2</x:v>
      </x:c>
      <x:c r="G1529" s="9" t="str">
        <x:v>验证直播中访问范围读取广场值</x:v>
      </x:c>
      <x:c r="H1529" s="9" t="str">
        <x:v>展示内容</x:v>
      </x:c>
      <x:c r="I1529" s="9" t="str">
        <x:v>1. 执行角色为密码房主播；当前处于访问范围页面
2. 当前场次确认的广场展示为关闭、仅团成员为开启；当前仍有有效粉丝团</x:v>
      </x:c>
      <x:c r="J1529" s="9" t="str">
        <x:v>1. 查看广场展示</x:v>
      </x:c>
      <x:c r="K1529" s="9" t="str">
        <x:v>为关闭</x:v>
      </x:c>
      <x:c r="L1529" s="10" t="str"/>
      <x:c r="M1529" s="10" t="str">
        <x:v>未测</x:v>
      </x:c>
      <x:c r="N1529" s="10" t="str"/>
      <x:c r="O1529" s="9" t="str">
        <x:v>1. 来源（当前证据）：liveshow-proto/MainBasis/统一需求文档.md；位置：行1883、行1882
2. 规则：BR-917ca04cc392616b
3. 未动态验证</x:v>
      </x:c>
    </x:row>
    <x:row r="1530" ht="85" customHeight="1">
      <x:c r="A1530" s="10" t="n">
        <x:v>1529</x:v>
      </x:c>
      <x:c r="B1530" s="10" t="str">
        <x:v>USER-03-0418</x:v>
      </x:c>
      <x:c r="C1530" s="10" t="str">
        <x:v>直播</x:v>
      </x:c>
      <x:c r="D1530" s="10" t="str">
        <x:v>访问范围（密码房主播视角）</x:v>
      </x:c>
      <x:c r="E1530" s="10" t="str">
        <x:v>功能需求</x:v>
      </x:c>
      <x:c r="F1530" s="10" t="str">
        <x:v>P2</x:v>
      </x:c>
      <x:c r="G1530" s="9" t="str">
        <x:v>验证直播中访问范围读取成员值</x:v>
      </x:c>
      <x:c r="H1530" s="9" t="str">
        <x:v>展示内容</x:v>
      </x:c>
      <x:c r="I1530" s="9" t="str">
        <x:v>1. 执行角色为密码房主播；当前处于访问范围页面
2. 当前场次确认的广场展示为关闭、仅团成员为开启；当前仍有有效粉丝团</x:v>
      </x:c>
      <x:c r="J1530" s="9" t="str">
        <x:v>1. 查看仅粉丝团成员开关</x:v>
      </x:c>
      <x:c r="K1530" s="9" t="str">
        <x:v>为开启</x:v>
      </x:c>
      <x:c r="L1530" s="10" t="str"/>
      <x:c r="M1530" s="10" t="str">
        <x:v>未测</x:v>
      </x:c>
      <x:c r="N1530" s="10" t="str"/>
      <x:c r="O1530" s="9" t="str">
        <x:v>1. 来源（当前证据）：liveshow-proto/MainBasis/统一需求文档.md；位置：行1884、行1882
2. 规则：BR-c2af96e5ecfae60f
3. 未动态验证</x:v>
      </x:c>
    </x:row>
    <x:row r="1531" ht="85" customHeight="1">
      <x:c r="A1531" s="10" t="n">
        <x:v>1530</x:v>
      </x:c>
      <x:c r="B1531" s="10" t="str">
        <x:v>USER-04-0215</x:v>
      </x:c>
      <x:c r="C1531" s="10" t="str">
        <x:v>消息与社交</x:v>
      </x:c>
      <x:c r="D1531" s="10" t="str">
        <x:v>好友（用户A视角）</x:v>
      </x:c>
      <x:c r="E1531" s="10" t="str">
        <x:v>功能需求</x:v>
      </x:c>
      <x:c r="F1531" s="10" t="str">
        <x:v>P2</x:v>
      </x:c>
      <x:c r="G1531" s="9" t="str">
        <x:v>验证好友资料沿用目标账号：头像来源</x:v>
      </x:c>
      <x:c r="H1531" s="9" t="str">
        <x:v>头像来源</x:v>
      </x:c>
      <x:c r="I1531" s="9" t="str">
        <x:v>1. 执行角色为用户A；当前处于好友页面
2. 当前好友B头像P、昵称QB</x:v>
      </x:c>
      <x:c r="J1531" s="9" t="str">
        <x:v>1. 查看B账号资料</x:v>
      </x:c>
      <x:c r="K1531" s="9" t="str">
        <x:v>显示头像P</x:v>
      </x:c>
      <x:c r="L1531" s="10" t="str"/>
      <x:c r="M1531" s="10" t="str">
        <x:v>未测</x:v>
      </x:c>
      <x:c r="N1531" s="10" t="str"/>
      <x:c r="O1531" s="9" t="str">
        <x:v>1. 来源（当前证据）：liveshow-proto/MainBasis/统一需求文档.md；位置：行1933、行1931
2. 规则：BR-6a9373c11b68bc9e
3. 未动态验证</x:v>
      </x:c>
    </x:row>
    <x:row r="1532" ht="85" customHeight="1">
      <x:c r="A1532" s="10" t="n">
        <x:v>1531</x:v>
      </x:c>
      <x:c r="B1532" s="10" t="str">
        <x:v>USER-04-0216</x:v>
      </x:c>
      <x:c r="C1532" s="10" t="str">
        <x:v>消息与社交</x:v>
      </x:c>
      <x:c r="D1532" s="10" t="str">
        <x:v>好友（用户A视角）</x:v>
      </x:c>
      <x:c r="E1532" s="10" t="str">
        <x:v>功能需求</x:v>
      </x:c>
      <x:c r="F1532" s="10" t="str">
        <x:v>P2</x:v>
      </x:c>
      <x:c r="G1532" s="9" t="str">
        <x:v>验证好友资料沿用目标账号：昵称来源</x:v>
      </x:c>
      <x:c r="H1532" s="9" t="str">
        <x:v>昵称来源</x:v>
      </x:c>
      <x:c r="I1532" s="9" t="str">
        <x:v>1. 执行角色为用户A；当前处于好友页面
2. 当前好友B头像P、昵称QB</x:v>
      </x:c>
      <x:c r="J1532" s="9" t="str">
        <x:v>1. 查看B账号资料</x:v>
      </x:c>
      <x:c r="K1532" s="9" t="str">
        <x:v>显示昵称QB</x:v>
      </x:c>
      <x:c r="L1532" s="10" t="str"/>
      <x:c r="M1532" s="10" t="str">
        <x:v>未测</x:v>
      </x:c>
      <x:c r="N1532" s="10" t="str"/>
      <x:c r="O1532" s="9" t="str">
        <x:v>1. 来源（当前证据）：liveshow-proto/MainBasis/统一需求文档.md；位置：行1933、行1931
2. 规则：BR-cca9b9f2deb0154c
3. 未动态验证</x:v>
      </x:c>
    </x:row>
    <x:row r="1533" ht="85" customHeight="1">
      <x:c r="A1533" s="10" t="n">
        <x:v>1532</x:v>
      </x:c>
      <x:c r="B1533" s="10" t="str">
        <x:v>USER-04-0217</x:v>
      </x:c>
      <x:c r="C1533" s="10" t="str">
        <x:v>消息与社交</x:v>
      </x:c>
      <x:c r="D1533" s="10" t="str">
        <x:v>拉黑（用户A视角）</x:v>
      </x:c>
      <x:c r="E1533" s="10" t="str">
        <x:v>功能需求</x:v>
      </x:c>
      <x:c r="F1533" s="10" t="str">
        <x:v>P2</x:v>
      </x:c>
      <x:c r="G1533" s="9" t="str">
        <x:v>验证拉黑状态资料仍属目标：头像来源</x:v>
      </x:c>
      <x:c r="H1533" s="9" t="str">
        <x:v>头像来源</x:v>
      </x:c>
      <x:c r="I1533" s="9" t="str">
        <x:v>1. 执行角色为用户A；当前处于拉黑页面
2. A已拉黑B，B头像P、昵称QB</x:v>
      </x:c>
      <x:c r="J1533" s="9" t="str">
        <x:v>1. 查看B账号资料</x:v>
      </x:c>
      <x:c r="K1533" s="9" t="str">
        <x:v>显示头像P</x:v>
      </x:c>
      <x:c r="L1533" s="10" t="str"/>
      <x:c r="M1533" s="10" t="str">
        <x:v>未测</x:v>
      </x:c>
      <x:c r="N1533" s="10" t="str"/>
      <x:c r="O1533" s="9" t="str">
        <x:v>1. 来源（当前证据）：liveshow-proto/MainBasis/统一需求文档.md；位置：行1943、行1941
2. 规则：BR-0a6f0b918a245f6b
3. 未动态验证</x:v>
      </x:c>
    </x:row>
    <x:row r="1534" ht="85" customHeight="1">
      <x:c r="A1534" s="10" t="n">
        <x:v>1533</x:v>
      </x:c>
      <x:c r="B1534" s="10" t="str">
        <x:v>USER-04-0218</x:v>
      </x:c>
      <x:c r="C1534" s="10" t="str">
        <x:v>消息与社交</x:v>
      </x:c>
      <x:c r="D1534" s="10" t="str">
        <x:v>拉黑（用户A视角）</x:v>
      </x:c>
      <x:c r="E1534" s="10" t="str">
        <x:v>功能需求</x:v>
      </x:c>
      <x:c r="F1534" s="10" t="str">
        <x:v>P2</x:v>
      </x:c>
      <x:c r="G1534" s="9" t="str">
        <x:v>验证拉黑状态资料仍属目标：昵称来源</x:v>
      </x:c>
      <x:c r="H1534" s="9" t="str">
        <x:v>昵称来源</x:v>
      </x:c>
      <x:c r="I1534" s="9" t="str">
        <x:v>1. 执行角色为用户A；当前处于拉黑页面
2. A已拉黑B，B头像P、昵称QB</x:v>
      </x:c>
      <x:c r="J1534" s="9" t="str">
        <x:v>1. 查看B账号资料</x:v>
      </x:c>
      <x:c r="K1534" s="9" t="str">
        <x:v>显示昵称QB</x:v>
      </x:c>
      <x:c r="L1534" s="10" t="str"/>
      <x:c r="M1534" s="10" t="str">
        <x:v>未测</x:v>
      </x:c>
      <x:c r="N1534" s="10" t="str"/>
      <x:c r="O1534" s="9" t="str">
        <x:v>1. 来源（当前证据）：liveshow-proto/MainBasis/统一需求文档.md；位置：行1943、行1941
2. 规则：BR-89187d53e97feefe
3. 未动态验证</x:v>
      </x:c>
    </x:row>
    <x:row r="1535" ht="85" customHeight="1">
      <x:c r="A1535" s="10" t="n">
        <x:v>1534</x:v>
      </x:c>
      <x:c r="B1535" s="10" t="str">
        <x:v>USER-04-0219</x:v>
      </x:c>
      <x:c r="C1535" s="10" t="str">
        <x:v>消息与社交</x:v>
      </x:c>
      <x:c r="D1535" s="10" t="str">
        <x:v>拉黑确认（用户A视角）</x:v>
      </x:c>
      <x:c r="E1535" s="10" t="str">
        <x:v>功能需求</x:v>
      </x:c>
      <x:c r="F1535" s="10" t="str">
        <x:v>P2</x:v>
      </x:c>
      <x:c r="G1535" s="9" t="str">
        <x:v>验证拉黑确认对象昵称</x:v>
      </x:c>
      <x:c r="H1535" s="9" t="str">
        <x:v>确认对象昵称</x:v>
      </x:c>
      <x:c r="I1535" s="9" t="str">
        <x:v>1. 执行角色为用户A；当前处于拉黑确认页面
2. 当前拉黑目标为昵称QB的账号B
3. 确认弹窗来自普通用户主页</x:v>
      </x:c>
      <x:c r="J1535" s="9" t="str">
        <x:v>1. 查看确认对象</x:v>
      </x:c>
      <x:c r="K1535" s="9" t="str">
        <x:v>显示QB</x:v>
      </x:c>
      <x:c r="L1535" s="10" t="str"/>
      <x:c r="M1535" s="10" t="str">
        <x:v>未测</x:v>
      </x:c>
      <x:c r="N1535" s="10" t="str"/>
      <x:c r="O1535" s="9" t="str">
        <x:v>1. 来源（当前证据）：liveshow-proto/MainBasis/统一需求文档.md；位置：行1953、行1951
2. 规则：BR-7cccfc8e6c614313
3. 未动态验证</x:v>
      </x:c>
    </x:row>
    <x:row r="1536" ht="85" customHeight="1">
      <x:c r="A1536" s="10" t="n">
        <x:v>1535</x:v>
      </x:c>
      <x:c r="B1536" s="10" t="str">
        <x:v>USER-04-0220</x:v>
      </x:c>
      <x:c r="C1536" s="10" t="str">
        <x:v>消息与社交</x:v>
      </x:c>
      <x:c r="D1536" s="10" t="str">
        <x:v>拉黑确认（用户A视角）</x:v>
      </x:c>
      <x:c r="E1536" s="10" t="str">
        <x:v>功能需求</x:v>
      </x:c>
      <x:c r="F1536" s="10" t="str">
        <x:v>P2</x:v>
      </x:c>
      <x:c r="G1536" s="9" t="str">
        <x:v>验证拉黑确认后果说明</x:v>
      </x:c>
      <x:c r="H1536" s="9" t="str">
        <x:v>拉黑后果说明</x:v>
      </x:c>
      <x:c r="I1536" s="9" t="str">
        <x:v>1. 执行角色为用户A；当前处于拉黑确认页面
2. 当前拉黑目标为昵称QB的账号B
3. 确认弹窗来自普通用户主页</x:v>
      </x:c>
      <x:c r="J1536" s="9" t="str">
        <x:v>1. 查看后果说明</x:v>
      </x:c>
      <x:c r="K1536" s="9" t="str">
        <x:v>说明拉黑后的关系解除及聊天限制</x:v>
      </x:c>
      <x:c r="L1536" s="10" t="str"/>
      <x:c r="M1536" s="10" t="str">
        <x:v>未测</x:v>
      </x:c>
      <x:c r="N1536" s="10" t="str"/>
      <x:c r="O1536" s="9" t="str">
        <x:v>1. 来源（当前证据）：liveshow-proto/MainBasis/统一需求文档.md；位置：行1954、行1951
2. 规则：BR-e41ef85aa4c501bc
3. 未动态验证</x:v>
      </x:c>
    </x:row>
    <x:row r="1537" ht="85" customHeight="1">
      <x:c r="A1537" s="10" t="n">
        <x:v>1536</x:v>
      </x:c>
      <x:c r="B1537" s="10" t="str">
        <x:v>USER-04-0221</x:v>
      </x:c>
      <x:c r="C1537" s="10" t="str">
        <x:v>消息与社交</x:v>
      </x:c>
      <x:c r="D1537" s="10" t="str">
        <x:v>拉黑确认（用户A视角）</x:v>
      </x:c>
      <x:c r="E1537" s="10" t="str">
        <x:v>功能需求</x:v>
      </x:c>
      <x:c r="F1537" s="10" t="str">
        <x:v>P2</x:v>
      </x:c>
      <x:c r="G1537" s="9" t="str">
        <x:v>验证拉黑确认对象昵称</x:v>
      </x:c>
      <x:c r="H1537" s="9" t="str">
        <x:v>确认对象昵称</x:v>
      </x:c>
      <x:c r="I1537" s="9" t="str">
        <x:v>1. 执行角色为用户A；当前处于拉黑确认页面
2. 当前拉黑目标为昵称QB的账号B
3. 确认弹窗来自主播主页</x:v>
      </x:c>
      <x:c r="J1537" s="9" t="str">
        <x:v>1. 查看确认对象</x:v>
      </x:c>
      <x:c r="K1537" s="9" t="str">
        <x:v>显示QB</x:v>
      </x:c>
      <x:c r="L1537" s="10" t="str"/>
      <x:c r="M1537" s="10" t="str">
        <x:v>未测</x:v>
      </x:c>
      <x:c r="N1537" s="10" t="str"/>
      <x:c r="O1537" s="9" t="str">
        <x:v>1. 来源（当前证据）：liveshow-proto/MainBasis/统一需求文档.md；位置：行1961、行1959
2. 规则：BR-83b4c0c561813d36
3. 未动态验证</x:v>
      </x:c>
    </x:row>
    <x:row r="1538" ht="85" customHeight="1">
      <x:c r="A1538" s="10" t="n">
        <x:v>1537</x:v>
      </x:c>
      <x:c r="B1538" s="10" t="str">
        <x:v>USER-04-0222</x:v>
      </x:c>
      <x:c r="C1538" s="10" t="str">
        <x:v>消息与社交</x:v>
      </x:c>
      <x:c r="D1538" s="10" t="str">
        <x:v>拉黑确认（用户A视角）</x:v>
      </x:c>
      <x:c r="E1538" s="10" t="str">
        <x:v>功能需求</x:v>
      </x:c>
      <x:c r="F1538" s="10" t="str">
        <x:v>P2</x:v>
      </x:c>
      <x:c r="G1538" s="9" t="str">
        <x:v>验证拉黑确认后果说明</x:v>
      </x:c>
      <x:c r="H1538" s="9" t="str">
        <x:v>拉黑后果说明</x:v>
      </x:c>
      <x:c r="I1538" s="9" t="str">
        <x:v>1. 执行角色为用户A；当前处于拉黑确认页面
2. 当前拉黑目标为昵称QB的账号B
3. 确认弹窗来自主播主页</x:v>
      </x:c>
      <x:c r="J1538" s="9" t="str">
        <x:v>1. 查看后果说明</x:v>
      </x:c>
      <x:c r="K1538" s="9" t="str">
        <x:v>说明拉黑后的关系解除及聊天限制</x:v>
      </x:c>
      <x:c r="L1538" s="10" t="str"/>
      <x:c r="M1538" s="10" t="str">
        <x:v>未测</x:v>
      </x:c>
      <x:c r="N1538" s="10" t="str"/>
      <x:c r="O1538" s="9" t="str">
        <x:v>1. 来源（当前证据）：liveshow-proto/MainBasis/统一需求文档.md；位置：行1962、行1959
2. 规则：BR-966820a49f602340
3. 未动态验证</x:v>
      </x:c>
    </x:row>
    <x:row r="1539" ht="85" customHeight="1">
      <x:c r="A1539" s="10" t="n">
        <x:v>1538</x:v>
      </x:c>
      <x:c r="B1539" s="10" t="str">
        <x:v>USER-04-0223</x:v>
      </x:c>
      <x:c r="C1539" s="10" t="str">
        <x:v>消息与社交</x:v>
      </x:c>
      <x:c r="D1539" s="10" t="str">
        <x:v>拉黑确认（用户A视角）</x:v>
      </x:c>
      <x:c r="E1539" s="10" t="str">
        <x:v>功能需求</x:v>
      </x:c>
      <x:c r="F1539" s="10" t="str">
        <x:v>P2</x:v>
      </x:c>
      <x:c r="G1539" s="9" t="str">
        <x:v>验证拉黑确认对象昵称</x:v>
      </x:c>
      <x:c r="H1539" s="9" t="str">
        <x:v>确认对象昵称</x:v>
      </x:c>
      <x:c r="I1539" s="9" t="str">
        <x:v>1. 执行角色为用户A；当前处于拉黑确认页面
2. 当前拉黑目标为昵称QB的账号B
3. 确认弹窗来自聊天设置</x:v>
      </x:c>
      <x:c r="J1539" s="9" t="str">
        <x:v>1. 查看确认对象</x:v>
      </x:c>
      <x:c r="K1539" s="9" t="str">
        <x:v>显示QB</x:v>
      </x:c>
      <x:c r="L1539" s="10" t="str"/>
      <x:c r="M1539" s="10" t="str">
        <x:v>未测</x:v>
      </x:c>
      <x:c r="N1539" s="10" t="str"/>
      <x:c r="O1539" s="9" t="str">
        <x:v>1. 来源（当前证据）：liveshow-proto/MainBasis/统一需求文档.md；位置：行1970、行1967
2. 规则：BR-d5040c51e397f014
3. 未动态验证</x:v>
      </x:c>
    </x:row>
    <x:row r="1540" ht="85" customHeight="1">
      <x:c r="A1540" s="10" t="n">
        <x:v>1539</x:v>
      </x:c>
      <x:c r="B1540" s="10" t="str">
        <x:v>USER-04-0224</x:v>
      </x:c>
      <x:c r="C1540" s="10" t="str">
        <x:v>消息与社交</x:v>
      </x:c>
      <x:c r="D1540" s="10" t="str">
        <x:v>拉黑确认（用户A视角）</x:v>
      </x:c>
      <x:c r="E1540" s="10" t="str">
        <x:v>功能需求</x:v>
      </x:c>
      <x:c r="F1540" s="10" t="str">
        <x:v>P2</x:v>
      </x:c>
      <x:c r="G1540" s="9" t="str">
        <x:v>验证拉黑确认后果说明</x:v>
      </x:c>
      <x:c r="H1540" s="9" t="str">
        <x:v>拉黑后果说明</x:v>
      </x:c>
      <x:c r="I1540" s="9" t="str">
        <x:v>1. 执行角色为用户A；当前处于拉黑确认页面
2. 当前拉黑目标为昵称QB的账号B
3. 确认弹窗来自聊天设置</x:v>
      </x:c>
      <x:c r="J1540" s="9" t="str">
        <x:v>1. 查看后果说明</x:v>
      </x:c>
      <x:c r="K1540" s="9" t="str">
        <x:v>说明拉黑后的关系解除及聊天限制</x:v>
      </x:c>
      <x:c r="L1540" s="10" t="str"/>
      <x:c r="M1540" s="10" t="str">
        <x:v>未测</x:v>
      </x:c>
      <x:c r="N1540" s="10" t="str"/>
      <x:c r="O1540" s="9" t="str">
        <x:v>1. 来源（当前证据）：liveshow-proto/MainBasis/统一需求文档.md；位置：行1970、行1967
2. 规则：BR-e2b54f7b22608a8a
3. 未动态验证</x:v>
      </x:c>
    </x:row>
    <x:row r="1541" ht="85" customHeight="1">
      <x:c r="A1541" s="10" t="n">
        <x:v>1540</x:v>
      </x:c>
      <x:c r="B1541" s="10" t="str">
        <x:v>USER-07-0183</x:v>
      </x:c>
      <x:c r="C1541" s="10" t="str">
        <x:v>主播中心</x:v>
      </x:c>
      <x:c r="D1541" s="10" t="str">
        <x:v>房型（门票房）（门票房主播视角）</x:v>
      </x:c>
      <x:c r="E1541" s="10" t="str">
        <x:v>功能需求</x:v>
      </x:c>
      <x:c r="F1541" s="10" t="str">
        <x:v>P2</x:v>
      </x:c>
      <x:c r="G1541" s="9" t="str">
        <x:v>验证门票档位修改不改本场</x:v>
      </x:c>
      <x:c r="H1541" s="9" t="str">
        <x:v>资产数值</x:v>
      </x:c>
      <x:c r="I1541" s="9" t="str">
        <x:v>1. 执行角色为门票房主播；当前处于房型（门票房）页面
2. 本场已按10金币创建；后台随后将新开播可选档位调整为20金币</x:v>
      </x:c>
      <x:c r="J1541" s="9" t="str">
        <x:v>1. 查看当前场次门票价格</x:v>
      </x:c>
      <x:c r="K1541" s="9" t="str">
        <x:v>本场价格仍为10金币</x:v>
      </x:c>
      <x:c r="L1541" s="10" t="str"/>
      <x:c r="M1541" s="10" t="str">
        <x:v>未测</x:v>
      </x:c>
      <x:c r="N1541" s="10" t="str"/>
      <x:c r="O1541" s="9" t="str">
        <x:v>1. 来源（当前证据）：liveshow-proto/MainBasis/统一需求文档.md；位置：行1996、行1992
2. 规则：BR-ffb2e0d949f6fc4c
3. 未动态验证</x:v>
      </x:c>
    </x:row>
    <x:row r="1542" ht="85" customHeight="1">
      <x:c r="A1542" s="10" t="n">
        <x:v>1541</x:v>
      </x:c>
      <x:c r="B1542" s="10" t="str">
        <x:v>USER-07-0184</x:v>
      </x:c>
      <x:c r="C1542" s="10" t="str">
        <x:v>主播中心</x:v>
      </x:c>
      <x:c r="D1542" s="10" t="str">
        <x:v>美颜设置（主播视角）</x:v>
      </x:c>
      <x:c r="E1542" s="10" t="str">
        <x:v>功能需求</x:v>
      </x:c>
      <x:c r="F1542" s="10" t="str">
        <x:v>P2</x:v>
      </x:c>
      <x:c r="G1542" s="9" t="str">
        <x:v>验证美颜项目单选</x:v>
      </x:c>
      <x:c r="H1542" s="9" t="str">
        <x:v>展示内容</x:v>
      </x:c>
      <x:c r="I1542" s="9" t="str">
        <x:v>1. 执行角色为主播；当前处于美颜设置页面
2. 当前已选美颜模式的磨皮项目</x:v>
      </x:c>
      <x:c r="J1542" s="9" t="str">
        <x:v>1. 选择美白项目</x:v>
      </x:c>
      <x:c r="K1542" s="9" t="str">
        <x:v>当前调整项仅为美白</x:v>
      </x:c>
      <x:c r="L1542" s="10" t="str"/>
      <x:c r="M1542" s="10" t="str">
        <x:v>未测</x:v>
      </x:c>
      <x:c r="N1542" s="10" t="str"/>
      <x:c r="O1542" s="9" t="str">
        <x:v>1. 来源（当前证据）：liveshow-proto/MainBasis/统一需求文档.md；位置：行2018、行2015
2. 规则：BR-82ce409890ebfd48
3. 未动态验证</x:v>
      </x:c>
    </x:row>
    <x:row r="1543" ht="85" customHeight="1">
      <x:c r="A1543" s="10" t="n">
        <x:v>1542</x:v>
      </x:c>
      <x:c r="B1543" s="10" t="str">
        <x:v>USER-07-0185</x:v>
      </x:c>
      <x:c r="C1543" s="10" t="str">
        <x:v>主播中心</x:v>
      </x:c>
      <x:c r="D1543" s="10" t="str">
        <x:v>美颜设置（主播视角）</x:v>
      </x:c>
      <x:c r="E1543" s="10" t="str">
        <x:v>功能需求</x:v>
      </x:c>
      <x:c r="F1543" s="10" t="str">
        <x:v>P2</x:v>
      </x:c>
      <x:c r="G1543" s="9" t="str">
        <x:v>验证美颜不改变上传封面</x:v>
      </x:c>
      <x:c r="H1543" s="9" t="str">
        <x:v>展示内容</x:v>
      </x:c>
      <x:c r="I1543" s="9" t="str">
        <x:v>1. 执行角色为主播；当前处于美颜设置页面
2. 本次已上传封面P；历史场次封面Q</x:v>
      </x:c>
      <x:c r="J1543" s="9" t="str">
        <x:v>1. 修改美颜参数为60
2. 返回开播设置</x:v>
      </x:c>
      <x:c r="K1543" s="9" t="str">
        <x:v>上传封面仍为P</x:v>
      </x:c>
      <x:c r="L1543" s="10" t="str"/>
      <x:c r="M1543" s="10" t="str">
        <x:v>未测</x:v>
      </x:c>
      <x:c r="N1543" s="10" t="str"/>
      <x:c r="O1543" s="9" t="str">
        <x:v>1. 来源（当前证据）：liveshow-proto/MainBasis/统一需求文档.md；位置：行2020、行1857、行2015
2. 规则：BR-956fcf27380578ee
3. 未动态验证</x:v>
      </x:c>
    </x:row>
    <x:row r="1544" ht="85" customHeight="1">
      <x:c r="A1544" s="10" t="n">
        <x:v>1543</x:v>
      </x:c>
      <x:c r="B1544" s="10" t="str">
        <x:v>USER-07-0186</x:v>
      </x:c>
      <x:c r="C1544" s="10" t="str">
        <x:v>主播中心</x:v>
      </x:c>
      <x:c r="D1544" s="10" t="str">
        <x:v>美颜设置（主播视角）</x:v>
      </x:c>
      <x:c r="E1544" s="10" t="str">
        <x:v>功能需求</x:v>
      </x:c>
      <x:c r="F1544" s="10" t="str">
        <x:v>P2</x:v>
      </x:c>
      <x:c r="G1544" s="9" t="str">
        <x:v>验证美颜不改历史封面</x:v>
      </x:c>
      <x:c r="H1544" s="9" t="str">
        <x:v>展示内容</x:v>
      </x:c>
      <x:c r="I1544" s="9" t="str">
        <x:v>1. 执行角色为主播；当前处于美颜设置页面
2. 本次已上传封面P；历史场次封面Q</x:v>
      </x:c>
      <x:c r="J1544" s="9" t="str">
        <x:v>1. 修改美颜参数为60
2. 进入直播记录
3. 查看该历史场次</x:v>
      </x:c>
      <x:c r="K1544" s="9" t="str">
        <x:v>历史封面仍为Q</x:v>
      </x:c>
      <x:c r="L1544" s="10" t="str"/>
      <x:c r="M1544" s="10" t="str">
        <x:v>未测</x:v>
      </x:c>
      <x:c r="N1544" s="10" t="str"/>
      <x:c r="O1544" s="9" t="str">
        <x:v>1. 来源（当前证据）：liveshow-proto/MainBasis/统一需求文档.md；位置：行2020、行2015
2. 规则：BR-cc1d5ec9757829e6
3. 未动态验证</x:v>
      </x:c>
    </x:row>
    <x:row r="1545" ht="85" customHeight="1">
      <x:c r="A1545" s="10" t="n">
        <x:v>1544</x:v>
      </x:c>
      <x:c r="B1545" s="10" t="str">
        <x:v>USER-08-0067</x:v>
      </x:c>
      <x:c r="C1545" s="10" t="str">
        <x:v>钱包与账单</x:v>
      </x:c>
      <x:c r="D1545" s="10" t="str">
        <x:v>支出订单详情（真实金币用户视角）</x:v>
      </x:c>
      <x:c r="E1545" s="10" t="str">
        <x:v>功能需求</x:v>
      </x:c>
      <x:c r="F1545" s="10" t="str">
        <x:v>P2</x:v>
      </x:c>
      <x:c r="G1545" s="9" t="str">
        <x:v>验证礼物下架保留消费记录</x:v>
      </x:c>
      <x:c r="H1545" s="9" t="str">
        <x:v>数据保持</x:v>
      </x:c>
      <x:c r="I1545" s="9" t="str">
        <x:v>1. 执行角色为真实金币用户；当前处于支出订单详情页面
2. 已成功赠送礼物A并完成开奖、扣款；随后礼物A下架</x:v>
      </x:c>
      <x:c r="J1545" s="9" t="str">
        <x:v>1. 查看本次礼物支出详情</x:v>
      </x:c>
      <x:c r="K1545" s="9" t="str">
        <x:v>已完成的支出订单及原支付金额保留</x:v>
      </x:c>
      <x:c r="L1545" s="10" t="str"/>
      <x:c r="M1545" s="10" t="str">
        <x:v>未测</x:v>
      </x:c>
      <x:c r="N1545" s="10" t="str"/>
      <x:c r="O1545" s="9" t="str">
        <x:v>1. 来源（当前证据）：liveshow-proto/MainBasis/统一需求文档.md；位置：行337、行1333
2. 规则：BR-d114efce16a84d35
3. 未动态验证</x:v>
      </x:c>
    </x:row>
    <x:row r="1546" ht="85" customHeight="1">
      <x:c r="A1546" s="10" t="n">
        <x:v>1545</x:v>
      </x:c>
      <x:c r="B1546" s="10" t="str">
        <x:v>USER-05-0261</x:v>
      </x:c>
      <x:c r="C1546" s="10" t="str">
        <x:v>我的</x:v>
      </x:c>
      <x:c r="D1546" s="10" t="str">
        <x:v>我的关注（用户A视角）</x:v>
      </x:c>
      <x:c r="E1546" s="10" t="str">
        <x:v>功能需求</x:v>
      </x:c>
      <x:c r="F1546" s="10" t="str">
        <x:v>P2</x:v>
      </x:c>
      <x:c r="G1546" s="9" t="str">
        <x:v>验证关注后本人关注数增加</x:v>
      </x:c>
      <x:c r="H1546" s="9" t="str">
        <x:v>关注人数统计</x:v>
      </x:c>
      <x:c r="I1546" s="9" t="str">
        <x:v>1. 执行角色为用户A；当前处于我的关注页面
2. A原关注3人；刚在B主页成功关注B</x:v>
      </x:c>
      <x:c r="J1546" s="9" t="str">
        <x:v>1. 查看关注列表总数</x:v>
      </x:c>
      <x:c r="K1546" s="9" t="str">
        <x:v>关注数为4</x:v>
      </x:c>
      <x:c r="L1546" s="10" t="str"/>
      <x:c r="M1546" s="10" t="str">
        <x:v>未测</x:v>
      </x:c>
      <x:c r="N1546" s="10" t="str"/>
      <x:c r="O1546" s="9" t="str">
        <x:v>1. 来源（当前证据）：liveshow-proto/MainBasis/统一需求文档.md；位置：行237、行718
2. 规则：BR-0420721842b84401
3. 未动态验证</x:v>
      </x:c>
    </x:row>
    <x:row r="1547" ht="85" customHeight="1">
      <x:c r="A1547" s="10" t="n">
        <x:v>1546</x:v>
      </x:c>
      <x:c r="B1547" s="10" t="str">
        <x:v>USER-05-0262</x:v>
      </x:c>
      <x:c r="C1547" s="10" t="str">
        <x:v>我的</x:v>
      </x:c>
      <x:c r="D1547" s="10" t="str">
        <x:v>我的（主播B视角）</x:v>
      </x:c>
      <x:c r="E1547" s="10" t="str">
        <x:v>功能需求</x:v>
      </x:c>
      <x:c r="F1547" s="10" t="str">
        <x:v>P2</x:v>
      </x:c>
      <x:c r="G1547" s="9" t="str">
        <x:v>验证被关注后粉丝数增加</x:v>
      </x:c>
      <x:c r="H1547" s="9" t="str">
        <x:v>粉丝人数统计</x:v>
      </x:c>
      <x:c r="I1547" s="9" t="str">
        <x:v>1. 执行角色为主播B；当前处于我的页面
2. 原粉丝数3；账号A刚成功关注B</x:v>
      </x:c>
      <x:c r="J1547" s="9" t="str">
        <x:v>1. 刷新我的页面</x:v>
      </x:c>
      <x:c r="K1547" s="9" t="str">
        <x:v>粉丝数为4</x:v>
      </x:c>
      <x:c r="L1547" s="10" t="str"/>
      <x:c r="M1547" s="10" t="str">
        <x:v>未测</x:v>
      </x:c>
      <x:c r="N1547" s="10" t="str"/>
      <x:c r="O1547" s="9" t="str">
        <x:v>1. 来源（当前证据）：liveshow-proto/MainBasis/统一需求文档.md；位置：行237、行676
2. 规则：BR-a9c58cc115222276
3. 未动态验证</x:v>
      </x:c>
    </x:row>
    <x:row r="1548" ht="85" customHeight="1">
      <x:c r="A1548" s="10" t="n">
        <x:v>1547</x:v>
      </x:c>
      <x:c r="B1548" s="10" t="str">
        <x:v>USER-04-0225</x:v>
      </x:c>
      <x:c r="C1548" s="10" t="str">
        <x:v>消息与社交</x:v>
      </x:c>
      <x:c r="D1548" s="10" t="str">
        <x:v>系统通知（用户A视角）</x:v>
      </x:c>
      <x:c r="E1548" s="10" t="str">
        <x:v>功能需求</x:v>
      </x:c>
      <x:c r="F1548" s="10" t="str">
        <x:v>P2</x:v>
      </x:c>
      <x:c r="G1548" s="9" t="str">
        <x:v>验证关注主播开播提醒</x:v>
      </x:c>
      <x:c r="H1548" s="9" t="str">
        <x:v>关注主播开播通知</x:v>
      </x:c>
      <x:c r="I1548" s="9" t="str">
        <x:v>1. 执行角色为用户A；当前处于系统通知页面
2. A已关注主播B，系统通知权限和开播提醒偏好均开启，B刚开始直播</x:v>
      </x:c>
      <x:c r="J1548" s="9" t="str">
        <x:v>1. 查看设备收到的开播通知</x:v>
      </x:c>
      <x:c r="K1548" s="9" t="str">
        <x:v>收到B本次开播提醒</x:v>
      </x:c>
      <x:c r="L1548" s="10" t="str"/>
      <x:c r="M1548" s="10" t="str">
        <x:v>未测</x:v>
      </x:c>
      <x:c r="N1548" s="10" t="str"/>
      <x:c r="O1548" s="9" t="str">
        <x:v>1. 来源（当前证据）：liveshow-proto/MainBasis/统一需求文档.md；位置：行237、行666
2. 规则：BR-7894b4e25e859170
3. 未动态验证</x:v>
      </x:c>
    </x:row>
    <x:row r="1549" ht="85" customHeight="1">
      <x:c r="A1549" s="10" t="n">
        <x:v>1548</x:v>
      </x:c>
      <x:c r="B1549" s="10" t="str">
        <x:v>USER-04-0226</x:v>
      </x:c>
      <x:c r="C1549" s="10" t="str">
        <x:v>消息与社交</x:v>
      </x:c>
      <x:c r="D1549" s="10" t="str">
        <x:v>互动通知（好友申请接收用户B视角）</x:v>
      </x:c>
      <x:c r="E1549" s="10" t="str">
        <x:v>功能需求</x:v>
      </x:c>
      <x:c r="F1549" s="10" t="str">
        <x:v>P2</x:v>
      </x:c>
      <x:c r="G1549" s="9" t="str">
        <x:v>验证好友申请通知接收</x:v>
      </x:c>
      <x:c r="H1549" s="9" t="str">
        <x:v>好友申请消息</x:v>
      </x:c>
      <x:c r="I1549" s="9" t="str">
        <x:v>1. 执行角色为好友申请接收用户B；当前处于互动通知页面
2. A刚向B成功发送好友申请，二者原非好友</x:v>
      </x:c>
      <x:c r="J1549" s="9" t="str">
        <x:v>1. 刷新互动通知</x:v>
      </x:c>
      <x:c r="K1549" s="9" t="str">
        <x:v>出现来自A的待处理好友申请</x:v>
      </x:c>
      <x:c r="L1549" s="10" t="str"/>
      <x:c r="M1549" s="10" t="str">
        <x:v>未测</x:v>
      </x:c>
      <x:c r="N1549" s="10" t="str"/>
      <x:c r="O1549" s="9" t="str">
        <x:v>1. 来源（当前证据）：liveshow-proto/MainBasis/统一需求文档.md；位置：行238、行870
2. 规则：BR-f132628936572254
3. 未动态验证</x:v>
      </x:c>
    </x:row>
    <x:row r="1550" ht="85" customHeight="1">
      <x:c r="A1550" s="10" t="n">
        <x:v>1549</x:v>
      </x:c>
      <x:c r="B1550" s="10" t="str">
        <x:v>USER-03-0419</x:v>
      </x:c>
      <x:c r="C1550" s="10" t="str">
        <x:v>直播</x:v>
      </x:c>
      <x:c r="D1550" s="10" t="str">
        <x:v>礼物（真实金币观众视角）</x:v>
      </x:c>
      <x:c r="E1550" s="10" t="str">
        <x:v>功能需求</x:v>
      </x:c>
      <x:c r="F1550" s="10" t="str">
        <x:v>P2</x:v>
      </x:c>
      <x:c r="G1550" s="9" t="str">
        <x:v>验证定制礼物开始时间之前</x:v>
      </x:c>
      <x:c r="H1550" s="9" t="str">
        <x:v>入口可用性</x:v>
      </x:c>
      <x:c r="I1550" s="9" t="str">
        <x:v>1. 执行角色为真实金币观众；当前处于礼物页面
2. 定制礼物配置有效时间窗口，当前为开始时间之前；余额足够且房间正在直播</x:v>
      </x:c>
      <x:c r="J1550" s="9" t="str">
        <x:v>1. 查看所选定制礼物
2. 尝试点击赠送</x:v>
      </x:c>
      <x:c r="K1550" s="9" t="str">
        <x:v>不能赠送该定制礼物</x:v>
      </x:c>
      <x:c r="L1550" s="10" t="str"/>
      <x:c r="M1550" s="10" t="str">
        <x:v>未测</x:v>
      </x:c>
      <x:c r="N1550" s="10" t="str"/>
      <x:c r="O1550" s="9" t="str">
        <x:v>1. 来源（当前证据）：liveshow-proto/MainBasis/统一需求文档.md；位置：行333、行1574
2. 规则：BR-e0fcc10e10713a13
3. 未动态验证</x:v>
      </x:c>
    </x:row>
    <x:row r="1551" ht="100" customHeight="1">
      <x:c r="A1551" s="10" t="n">
        <x:v>1550</x:v>
      </x:c>
      <x:c r="B1551" s="10" t="str">
        <x:v>USER-03-0420</x:v>
      </x:c>
      <x:c r="C1551" s="10" t="str">
        <x:v>直播</x:v>
      </x:c>
      <x:c r="D1551" s="10" t="str">
        <x:v>礼物（真实金币观众视角）</x:v>
      </x:c>
      <x:c r="E1551" s="10" t="str">
        <x:v>功能需求</x:v>
      </x:c>
      <x:c r="F1551" s="10" t="str">
        <x:v>P2</x:v>
      </x:c>
      <x:c r="G1551" s="9" t="str">
        <x:v>验证定制礼物已过开始时间且未到结束时间</x:v>
      </x:c>
      <x:c r="H1551" s="9" t="str">
        <x:v>定制礼物有效期资格</x:v>
      </x:c>
      <x:c r="I1551" s="9" t="str">
        <x:v>1. 执行角色为真实金币观众；当前处于礼物页面
2. 定制礼物配置有效时间窗口，当前为已过开始时间且未到结束时间；余额足够且房间正在直播</x:v>
      </x:c>
      <x:c r="J1551" s="9" t="str">
        <x:v>1. 查看所选定制礼物
2. 尝试点击赠送</x:v>
      </x:c>
      <x:c r="K1551" s="9" t="str">
        <x:v>可以成功赠送该定制礼物</x:v>
      </x:c>
      <x:c r="L1551" s="10" t="str"/>
      <x:c r="M1551" s="10" t="str">
        <x:v>未测</x:v>
      </x:c>
      <x:c r="N1551" s="10" t="str"/>
      <x:c r="O1551" s="9" t="str">
        <x:v>1. 来源（当前证据）：liveshow-proto/MainBasis/统一需求文档.md；位置：行333、行1574
2. 规则：BR-a040b53692394366
3. 未动态验证</x:v>
      </x:c>
    </x:row>
    <x:row r="1552" ht="85" customHeight="1">
      <x:c r="A1552" s="10" t="n">
        <x:v>1551</x:v>
      </x:c>
      <x:c r="B1552" s="10" t="str">
        <x:v>USER-03-0421</x:v>
      </x:c>
      <x:c r="C1552" s="10" t="str">
        <x:v>直播</x:v>
      </x:c>
      <x:c r="D1552" s="10" t="str">
        <x:v>礼物（真实金币观众视角）</x:v>
      </x:c>
      <x:c r="E1552" s="10" t="str">
        <x:v>功能需求</x:v>
      </x:c>
      <x:c r="F1552" s="10" t="str">
        <x:v>P2</x:v>
      </x:c>
      <x:c r="G1552" s="9" t="str">
        <x:v>验证定制礼物已过结束时间</x:v>
      </x:c>
      <x:c r="H1552" s="9" t="str">
        <x:v>入口可用性</x:v>
      </x:c>
      <x:c r="I1552" s="9" t="str">
        <x:v>1. 执行角色为真实金币观众；当前处于礼物页面
2. 定制礼物配置有效时间窗口，当前为已过结束时间；余额足够且房间正在直播</x:v>
      </x:c>
      <x:c r="J1552" s="9" t="str">
        <x:v>1. 查看所选定制礼物
2. 尝试点击赠送</x:v>
      </x:c>
      <x:c r="K1552" s="9" t="str">
        <x:v>不能赠送该定制礼物</x:v>
      </x:c>
      <x:c r="L1552" s="10" t="str"/>
      <x:c r="M1552" s="10" t="str">
        <x:v>未测</x:v>
      </x:c>
      <x:c r="N1552" s="10" t="str"/>
      <x:c r="O1552" s="9" t="str">
        <x:v>1. 来源（当前证据）：liveshow-proto/MainBasis/统一需求文档.md；位置：行333、行1574
2. 规则：BR-4c06ff3710c5870b
3. 未动态验证</x:v>
      </x:c>
    </x:row>
    <x:row r="1553" ht="130" customHeight="1">
      <x:c r="A1553" s="10" t="n">
        <x:v>1552</x:v>
      </x:c>
      <x:c r="B1553" s="10" t="str">
        <x:v>USER-07-0187</x:v>
      </x:c>
      <x:c r="C1553" s="10" t="str">
        <x:v>主播中心</x:v>
      </x:c>
      <x:c r="D1553" s="10" t="str">
        <x:v>主播中心（当前主播视角）</x:v>
      </x:c>
      <x:c r="E1553" s="10" t="str">
        <x:v>功能需求</x:v>
      </x:c>
      <x:c r="F1553" s="10" t="str">
        <x:v>P2</x:v>
      </x:c>
      <x:c r="G1553" s="9" t="str">
        <x:v>验证今日主播收益类型汇总</x:v>
      </x:c>
      <x:c r="H1553" s="9" t="str">
        <x:v>资产数值</x:v>
      </x:c>
      <x:c r="I1553" s="9" t="str">
        <x:v>1. 执行角色为当前主播；当前处于主播中心页面
2. 所选今日范围内普通礼物100金币、定制礼物200金币、门票50金币、幸运礼物送出价值1000金币；幸运比例1%；另有虚拟礼物1000及失败消费100，无其他收益</x:v>
      </x:c>
      <x:c r="J1553" s="9" t="str">
        <x:v>1. 选择今日
2. 查看收益</x:v>
      </x:c>
      <x:c r="K1553" s="9" t="str">
        <x:v>收益为360金币（计算结果 = 360 金币）</x:v>
      </x:c>
      <x:c r="L1553" s="10" t="str"/>
      <x:c r="M1553" s="10" t="str">
        <x:v>未测</x:v>
      </x:c>
      <x:c r="N1553" s="10" t="str"/>
      <x:c r="O1553" s="9" t="str">
        <x:v>1. 来源（当前证据）：liveshow-proto/MainBasis/统一需求文档.md；位置：行1131、行1121
2. 规则：BR-60539e77b7fa8a7b
3. 未动态验证</x:v>
      </x:c>
    </x:row>
    <x:row r="1554" ht="130" customHeight="1">
      <x:c r="A1554" s="10" t="n">
        <x:v>1553</x:v>
      </x:c>
      <x:c r="B1554" s="10" t="str">
        <x:v>USER-07-0188</x:v>
      </x:c>
      <x:c r="C1554" s="10" t="str">
        <x:v>主播中心</x:v>
      </x:c>
      <x:c r="D1554" s="10" t="str">
        <x:v>主播中心（当前主播视角）</x:v>
      </x:c>
      <x:c r="E1554" s="10" t="str">
        <x:v>功能需求</x:v>
      </x:c>
      <x:c r="F1554" s="10" t="str">
        <x:v>P2</x:v>
      </x:c>
      <x:c r="G1554" s="9" t="str">
        <x:v>验证本月主播收益类型汇总</x:v>
      </x:c>
      <x:c r="H1554" s="9" t="str">
        <x:v>资产数值</x:v>
      </x:c>
      <x:c r="I1554" s="9" t="str">
        <x:v>1. 执行角色为当前主播；当前处于主播中心页面
2. 所选本月范围内普通礼物100金币、定制礼物200金币、门票50金币、幸运礼物送出价值1000金币；幸运比例1%；另有虚拟礼物1000及失败消费100，无其他收益</x:v>
      </x:c>
      <x:c r="J1554" s="9" t="str">
        <x:v>1. 选择本月
2. 查看收益</x:v>
      </x:c>
      <x:c r="K1554" s="9" t="str">
        <x:v>收益为360金币（计算结果 = 360 金币）</x:v>
      </x:c>
      <x:c r="L1554" s="10" t="str"/>
      <x:c r="M1554" s="10" t="str">
        <x:v>未测</x:v>
      </x:c>
      <x:c r="N1554" s="10" t="str"/>
      <x:c r="O1554" s="9" t="str">
        <x:v>1. 来源（当前证据）：liveshow-proto/MainBasis/统一需求文档.md；位置：行1131、行1121
2. 规则：BR-04795a63a781c6ad
3. 未动态验证</x:v>
      </x:c>
    </x:row>
    <x:row r="1555" ht="85" customHeight="1">
      <x:c r="A1555" s="10" t="n">
        <x:v>1554</x:v>
      </x:c>
      <x:c r="B1555" s="10" t="str">
        <x:v>USER-04-0227</x:v>
      </x:c>
      <x:c r="C1555" s="10" t="str">
        <x:v>消息与社交</x:v>
      </x:c>
      <x:c r="D1555" s="10" t="str">
        <x:v>粉丝团群聊（粉丝团成员视角）</x:v>
      </x:c>
      <x:c r="E1555" s="10" t="str">
        <x:v>功能需求</x:v>
      </x:c>
      <x:c r="F1555" s="10" t="str">
        <x:v>P2</x:v>
      </x:c>
      <x:c r="G1555" s="9" t="str">
        <x:v>验证粉丝群会话同时间排序</x:v>
      </x:c>
      <x:c r="H1555" s="9" t="str">
        <x:v>排列次序</x:v>
      </x:c>
      <x:c r="I1555" s="9" t="str">
        <x:v>1. 执行角色为粉丝团成员；当前处于粉丝团群聊页面
2. 有效团籍对应G1和G2会话，最后消息同一时间，G1会话ID100、G2为101</x:v>
      </x:c>
      <x:c r="J1555" s="9" t="str">
        <x:v>1. 查看粉丝群会话顺序</x:v>
      </x:c>
      <x:c r="K1555" s="9" t="str">
        <x:v>G2排在G1前</x:v>
      </x:c>
      <x:c r="L1555" s="10" t="str"/>
      <x:c r="M1555" s="10" t="str">
        <x:v>未测</x:v>
      </x:c>
      <x:c r="N1555" s="10" t="str"/>
      <x:c r="O1555" s="9" t="str">
        <x:v>1. 来源（当前证据）：liveshow-proto/MainBasis/统一需求文档.md；位置：行1927、行1922
2. 规则：BR-50ded0446ac88079
3. 未动态验证</x:v>
      </x:c>
    </x:row>
    <x:row r="1556" ht="85" customHeight="1">
      <x:c r="A1556" s="10" t="n">
        <x:v>1555</x:v>
      </x:c>
      <x:c r="B1556" s="10" t="str">
        <x:v>USER-04-0228</x:v>
      </x:c>
      <x:c r="C1556" s="10" t="str">
        <x:v>消息与社交</x:v>
      </x:c>
      <x:c r="D1556" s="10" t="str">
        <x:v>粉丝团群聊（粉丝团成员视角）</x:v>
      </x:c>
      <x:c r="E1556" s="10" t="str">
        <x:v>功能需求</x:v>
      </x:c>
      <x:c r="F1556" s="10" t="str">
        <x:v>P2</x:v>
      </x:c>
      <x:c r="G1556" s="9" t="str">
        <x:v>验证粉丝群会话时间排序</x:v>
      </x:c>
      <x:c r="H1556" s="9" t="str">
        <x:v>排列次序</x:v>
      </x:c>
      <x:c r="I1556" s="9" t="str">
        <x:v>1. 执行角色为粉丝团成员；当前处于粉丝团群聊页面
2. G1最后消息10:00、G2为11:00，两群团籍均有效；原群G3团籍失效</x:v>
      </x:c>
      <x:c r="J1556" s="9" t="str">
        <x:v>1. 查看粉丝群会话顺序</x:v>
      </x:c>
      <x:c r="K1556" s="9" t="str">
        <x:v>G2排在G1前</x:v>
      </x:c>
      <x:c r="L1556" s="10" t="str"/>
      <x:c r="M1556" s="10" t="str">
        <x:v>未测</x:v>
      </x:c>
      <x:c r="N1556" s="10" t="str"/>
      <x:c r="O1556" s="9" t="str">
        <x:v>1. 来源（当前证据）：liveshow-proto/MainBasis/统一需求文档.md；位置：行1927、行1922
2. 规则：BR-92ba49be22a8a85b
3. 未动态验证</x:v>
      </x:c>
    </x:row>
    <x:row r="1557" ht="85" customHeight="1">
      <x:c r="A1557" s="10" t="n">
        <x:v>1556</x:v>
      </x:c>
      <x:c r="B1557" s="10" t="str">
        <x:v>USER-04-0229</x:v>
      </x:c>
      <x:c r="C1557" s="10" t="str">
        <x:v>消息与社交</x:v>
      </x:c>
      <x:c r="D1557" s="10" t="str">
        <x:v>粉丝团群聊（粉丝团成员视角）</x:v>
      </x:c>
      <x:c r="E1557" s="10" t="str">
        <x:v>功能需求</x:v>
      </x:c>
      <x:c r="F1557" s="10" t="str">
        <x:v>P2</x:v>
      </x:c>
      <x:c r="G1557" s="9" t="str">
        <x:v>验证粉丝群会话有效团籍范围</x:v>
      </x:c>
      <x:c r="H1557" s="9" t="str">
        <x:v>展示内容</x:v>
      </x:c>
      <x:c r="I1557" s="9" t="str">
        <x:v>1. 执行角色为粉丝团成员；当前处于粉丝团群聊页面
2. G1最后消息10:00、G2为11:00，两群团籍均有效；原群G3团籍失效</x:v>
      </x:c>
      <x:c r="J1557" s="9" t="str">
        <x:v>1. 查看粉丝群会话</x:v>
      </x:c>
      <x:c r="K1557" s="9" t="str">
        <x:v>不展示团籍失效的G3</x:v>
      </x:c>
      <x:c r="L1557" s="10" t="str"/>
      <x:c r="M1557" s="10" t="str">
        <x:v>未测</x:v>
      </x:c>
      <x:c r="N1557" s="10" t="str"/>
      <x:c r="O1557" s="9" t="str">
        <x:v>1. 来源（当前证据）：liveshow-proto/MainBasis/统一需求文档.md；位置：行1927、行1922
2. 规则：BR-c271694e1285e58b
3. 未动态验证</x:v>
      </x:c>
    </x:row>
    <x:row r="1558" ht="85" customHeight="1">
      <x:c r="A1558" s="10" t="n">
        <x:v>1557</x:v>
      </x:c>
      <x:c r="B1558" s="10" t="str">
        <x:v>USER-02-0179</x:v>
      </x:c>
      <x:c r="C1558" s="10" t="str">
        <x:v>首页与福利</x:v>
      </x:c>
      <x:c r="D1558" s="10" t="str">
        <x:v>充值福利-已领取（用户A视角）</x:v>
      </x:c>
      <x:c r="E1558" s="10" t="str">
        <x:v>功能需求</x:v>
      </x:c>
      <x:c r="F1558" s="10" t="str">
        <x:v>P2</x:v>
      </x:c>
      <x:c r="G1558" s="9" t="str">
        <x:v>验证已领取奖励账号隔离</x:v>
      </x:c>
      <x:c r="H1558" s="9" t="str">
        <x:v>展示内容</x:v>
      </x:c>
      <x:c r="I1558" s="9" t="str">
        <x:v>1. 执行角色为用户A；当前处于充值福利-已领取页面
2. A已领取签到及任务奖励；B有另外一笔已领取奖励，A并未领取该笔</x:v>
      </x:c>
      <x:c r="J1558" s="9" t="str">
        <x:v>1. 查看已领取奖励</x:v>
      </x:c>
      <x:c r="K1558" s="9" t="str">
        <x:v>仅展示属于A的签到及任务奖励</x:v>
      </x:c>
      <x:c r="L1558" s="10" t="str"/>
      <x:c r="M1558" s="10" t="str">
        <x:v>未测</x:v>
      </x:c>
      <x:c r="N1558" s="10" t="str"/>
      <x:c r="O1558" s="9" t="str">
        <x:v>1. 来源（当前证据）：liveshow-proto/MainBasis/统一需求文档.md；位置：行1904、行1902
2. 规则：BR-5313cd1760078a7f
3. 未动态验证</x:v>
      </x:c>
    </x:row>
  </x:sheetData>
  <x:dataValidations count="3">
    <x:dataValidation type="list" sqref="E2:E1558">
      <x:formula1>"功能需求,业务流程,逻辑校验,异常用例"</x:formula1>
    </x:dataValidation>
    <x:dataValidation type="list" sqref="F2:F1558">
      <x:formula1>"P0,P1,P2,P3"</x:formula1>
    </x:dataValidation>
    <x:dataValidation type="list" sqref="M2:M1558">
      <x:formula1>"未测,通过,不通过,阻塞,不适用"</x:formula1>
    </x:dataValidation>
  </x:dataValidations>
  <x:pageMargins left="0.7" right="0.7" top="0.75" bottom="0.75" header="0.3" footer="0.3"/>
  <x:tableParts count="1">
    <x:tablePart xmlns:r="http://schemas.openxmlformats.org/officeDocument/2006/relationships" r:id="R1043b4ac53714a50"/>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0" hidden="0" customWidth="1"/>
    <x:col min="5" max="5" width="11" hidden="0" customWidth="1"/>
    <x:col min="6" max="6" width="12" hidden="0" customWidth="1"/>
    <x:col min="7" max="7" width="28" hidden="0" customWidth="1"/>
    <x:col min="8" max="8" width="18" hidden="0" customWidth="1"/>
    <x:col min="9" max="9" width="34" hidden="0" customWidth="1"/>
    <x:col min="10" max="10" width="45" hidden="0" customWidth="1"/>
    <x:col min="11" max="11" width="36" hidden="0" customWidth="1"/>
    <x:col min="12" max="12" width="12" hidden="0" customWidth="1"/>
    <x:col min="13" max="13" width="24" hidden="0" customWidth="1"/>
    <x:col min="14" max="14" width="34" hidden="0" customWidth="1"/>
    <x:col min="15" max="15" width="30" hidden="0" customWidth="1"/>
    <x:col min="16" max="16" width="20" hidden="0" customWidth="1"/>
    <x:col min="17" max="17" width="30" hidden="0" customWidth="1"/>
    <x:col min="18" max="18" width="12" hidden="0" customWidth="1"/>
    <x:col min="19" max="19" width="21" hidden="0" customWidth="1"/>
    <x:col min="20" max="20" width="12" hidden="0"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145" customHeight="1">
      <x:c r="A2" s="10" t="str">
        <x:v>Q-001</x:v>
      </x:c>
      <x:c r="B2" s="10" t="str">
        <x:v>RQ-001</x:v>
      </x:c>
      <x:c r="C2" s="10" t="str"/>
      <x:c r="D2" s="10" t="str"/>
      <x:c r="E2" s="10" t="str">
        <x:v>部分阻塞</x:v>
      </x:c>
      <x:c r="F2" s="10" t="str">
        <x:v>我的</x:v>
      </x:c>
      <x:c r="G2" s="9" t="str">
        <x:v>个人中心开播入口</x:v>
      </x:c>
      <x:c r="H2" s="9" t="str">
        <x:v>角色与权限</x:v>
      </x:c>
      <x:c r="I2" s="9" t="str">
        <x:v>已认证主播点击个人中心开始直播，直接进入开播设置还是先进入主播中心？</x:v>
      </x:c>
      <x:c r="J2" s="9" t="str">
        <x:v>A. 直接进入开播设置
B. 先进入主播中心</x:v>
      </x:c>
      <x:c r="K2" s="9" t="str">
        <x:v>请明确个人中心开播入口的唯一口径及适用范围；确认前不将候选方案作为确定性预期。</x:v>
      </x:c>
      <x:c r="L2" s="12" t="str"/>
      <x:c r="M2" s="12" t="str"/>
      <x:c r="N2" s="10" t="str">
        <x:v>1. liveshow-proto/MainBasis/需求待确认清单.md：行6；- [PENDING-profile-live-entry] 个人中心开播入口：已认证主播点击个人中心开始直播，直接进入开播设置还是先进入主播中心？ 选项：A. 直接进入开播设置；B. 先进入主播中心。影响端：用户App。依据：AN-52423cc339e3。</x:v>
      </x:c>
      <x:c r="O2" s="9" t="str">
        <x:v>1. 我的
2. 仅隔离个人中心开播入口相关的未确认分支；已确认功能继续测试</x:v>
      </x:c>
      <x:c r="P2" s="9" t="str"/>
      <x:c r="Q2" s="9" t="str">
        <x:v>1. 个人中心开播入口的选定规则主流程
2. 个人中心开播入口的边界及失败分支</x:v>
      </x:c>
      <x:c r="R2" s="9" t="str">
        <x:v>产品</x:v>
      </x:c>
      <x:c r="S2" s="9" t="str">
        <x:v>相关功能验收前</x:v>
      </x:c>
      <x:c r="T2" s="9" t="str">
        <x:v>待确认</x:v>
      </x:c>
    </x:row>
    <x:row r="3" ht="145" customHeight="1">
      <x:c r="A3" s="10" t="str">
        <x:v>Q-002</x:v>
      </x:c>
      <x:c r="B3" s="10" t="str">
        <x:v>RQ-002</x:v>
      </x:c>
      <x:c r="C3" s="10" t="str"/>
      <x:c r="D3" s="10" t="str"/>
      <x:c r="E3" s="10" t="str">
        <x:v>部分阻塞</x:v>
      </x:c>
      <x:c r="F3" s="10" t="str">
        <x:v>我的、消息与社交、直播</x:v>
      </x:c>
      <x:c r="G3" s="9" t="str">
        <x:v>等级勋章展示位置</x:v>
      </x:c>
      <x:c r="H3" s="9" t="str">
        <x:v>计算与统计口径</x:v>
      </x:c>
      <x:c r="I3" s="9" t="str">
        <x:v>等级勋章在用户App的哪些位置展示？</x:v>
      </x:c>
      <x:c r="J3" s="9" t="str">
        <x:v>A. 仅个人主页等级区域
B. 个人主页及直播资料卡等级区域
C. 复用现有已佩戴勋章区域</x:v>
      </x:c>
      <x:c r="K3" s="9" t="str">
        <x:v>请明确等级勋章展示位置的唯一口径及适用范围；确认前不将候选方案作为确定性预期。</x:v>
      </x:c>
      <x:c r="L3" s="12" t="str"/>
      <x:c r="M3" s="12" t="str"/>
      <x:c r="N3" s="10" t="str">
        <x:v>1. liveshow-proto/MainBasis/需求待确认清单.md：行10；- [PENDING-badge-location] 等级勋章展示位置：等级勋章在用户App的哪些位置展示？ 选项：A. 仅个人主页等级区域；B. 个人主页及直播资料卡等级区域；C. 复用现有已佩戴勋章区域。影响端：用户App、管理后台。依据：AN-f205606825f1。</x:v>
      </x:c>
      <x:c r="O3" s="9" t="str">
        <x:v>1. 我的、消息与社交、直播
2. 仅隔离等级勋章展示位置相关的未确认分支；已确认功能继续测试</x:v>
      </x:c>
      <x:c r="P3" s="9" t="str"/>
      <x:c r="Q3" s="9" t="str">
        <x:v>1. 等级勋章展示位置的选定规则主流程
2. 等级勋章展示位置的边界及失败分支</x:v>
      </x:c>
      <x:c r="R3" s="9" t="str">
        <x:v>多方确认</x:v>
      </x:c>
      <x:c r="S3" s="9" t="str">
        <x:v>相关功能验收前</x:v>
      </x:c>
      <x:c r="T3" s="9" t="str">
        <x:v>待确认</x:v>
      </x:c>
    </x:row>
    <x:row r="4" ht="130" customHeight="1">
      <x:c r="A4" s="10" t="str">
        <x:v>Q-003</x:v>
      </x:c>
      <x:c r="B4" s="10" t="str">
        <x:v>RQ-003</x:v>
      </x:c>
      <x:c r="C4" s="10" t="str"/>
      <x:c r="D4" s="10" t="str"/>
      <x:c r="E4" s="10" t="str">
        <x:v>部分阻塞</x:v>
      </x:c>
      <x:c r="F4" s="10" t="str">
        <x:v>我的</x:v>
      </x:c>
      <x:c r="G4" s="9" t="str">
        <x:v>升级勋章自动替换</x:v>
      </x:c>
      <x:c r="H4" s="9" t="str">
        <x:v>业务规则</x:v>
      </x:c>
      <x:c r="I4" s="9" t="str">
        <x:v>等级变化后是否自动替换该类型勋章？</x:v>
      </x:c>
      <x:c r="J4" s="9" t="str">
        <x:v>A. 立即自动替换
B. 获得新勋章后保留原佩戴状态</x:v>
      </x:c>
      <x:c r="K4" s="9" t="str">
        <x:v>请明确升级勋章自动替换的唯一口径及适用范围；确认前不将候选方案作为确定性预期。</x:v>
      </x:c>
      <x:c r="L4" s="12" t="str"/>
      <x:c r="M4" s="12" t="str"/>
      <x:c r="N4" s="10" t="str">
        <x:v>1. liveshow-proto/MainBasis/需求待确认清单.md：行14；- [PENDING-badge-auto] 升级勋章自动替换：等级变化后是否自动替换该类型勋章？ 选项：A. 立即自动替换；B. 获得新勋章后保留原佩戴状态。影响端：用户App、管理后台。依据：AN-f205606825f1。</x:v>
      </x:c>
      <x:c r="O4" s="9" t="str">
        <x:v>1. 我的
2. 仅隔离升级勋章自动替换相关的未确认分支；已确认功能继续测试</x:v>
      </x:c>
      <x:c r="P4" s="9" t="str"/>
      <x:c r="Q4" s="9" t="str">
        <x:v>1. 升级勋章自动替换的选定规则主流程
2. 升级勋章自动替换的边界及失败分支</x:v>
      </x:c>
      <x:c r="R4" s="9" t="str">
        <x:v>产品</x:v>
      </x:c>
      <x:c r="S4" s="9" t="str">
        <x:v>相关功能验收前</x:v>
      </x:c>
      <x:c r="T4" s="9" t="str">
        <x:v>待确认</x:v>
      </x:c>
    </x:row>
    <x:row r="5" ht="130" customHeight="1">
      <x:c r="A5" s="10" t="str">
        <x:v>Q-004</x:v>
      </x:c>
      <x:c r="B5" s="10" t="str">
        <x:v>RQ-004</x:v>
      </x:c>
      <x:c r="C5" s="10" t="str"/>
      <x:c r="D5" s="10" t="str"/>
      <x:c r="E5" s="10" t="str">
        <x:v>部分阻塞</x:v>
      </x:c>
      <x:c r="F5" s="10" t="str">
        <x:v>我的</x:v>
      </x:c>
      <x:c r="G5" s="9" t="str">
        <x:v>等级勋章手动佩戴</x:v>
      </x:c>
      <x:c r="H5" s="9" t="str">
        <x:v>计算与统计口径</x:v>
      </x:c>
      <x:c r="I5" s="9" t="str">
        <x:v>等级勋章是否允许用户手动佩戴和卸下？</x:v>
      </x:c>
      <x:c r="J5" s="9" t="str">
        <x:v>A. 自动展示且不能手动操作
B. 可手动佩戴和卸下</x:v>
      </x:c>
      <x:c r="K5" s="9" t="str">
        <x:v>请明确等级勋章手动佩戴的唯一口径及适用范围；确认前不将候选方案作为确定性预期。</x:v>
      </x:c>
      <x:c r="L5" s="12" t="str"/>
      <x:c r="M5" s="12" t="str"/>
      <x:c r="N5" s="10" t="str">
        <x:v>1. liveshow-proto/MainBasis/需求待确认清单.md：行18；- [PENDING-badge-wear] 等级勋章手动佩戴：等级勋章是否允许用户手动佩戴和卸下？ 选项：A. 自动展示且不能手动操作；B. 可手动佩戴和卸下。影响端：用户App、管理后台。依据：AN-f205606825f1。</x:v>
      </x:c>
      <x:c r="O5" s="9" t="str">
        <x:v>1. 我的
2. 仅隔离等级勋章手动佩戴相关的未确认分支；已确认功能继续测试</x:v>
      </x:c>
      <x:c r="P5" s="9" t="str"/>
      <x:c r="Q5" s="9" t="str">
        <x:v>1. 等级勋章手动佩戴的选定规则主流程
2. 等级勋章手动佩戴的边界及失败分支</x:v>
      </x:c>
      <x:c r="R5" s="9" t="str">
        <x:v>多方确认</x:v>
      </x:c>
      <x:c r="S5" s="9" t="str">
        <x:v>相关功能验收前</x:v>
      </x:c>
      <x:c r="T5" s="9" t="str">
        <x:v>待确认</x:v>
      </x:c>
    </x:row>
    <x:row r="6" ht="175" customHeight="1">
      <x:c r="A6" s="10" t="str">
        <x:v>Q-005</x:v>
      </x:c>
      <x:c r="B6" s="10" t="str">
        <x:v>RQ-005</x:v>
      </x:c>
      <x:c r="C6" s="10" t="str"/>
      <x:c r="D6" s="10" t="str"/>
      <x:c r="E6" s="10" t="str">
        <x:v>部分阻塞</x:v>
      </x:c>
      <x:c r="F6" s="10" t="str">
        <x:v>首页与福利、我的</x:v>
      </x:c>
      <x:c r="G6" s="9" t="str">
        <x:v>任务道具奖励冲突</x:v>
      </x:c>
      <x:c r="H6" s="9" t="str">
        <x:v>业务规则</x:v>
      </x:c>
      <x:c r="I6" s="9" t="str">
        <x:v>任务配置及福利页说明仅奖励金币，但已领取视图仍写道具入背包；本期是否允许任务奖励道具？</x:v>
      </x:c>
      <x:c r="J6" s="9" t="str">
        <x:v>A. 本期只支持金币并修正领取视图
B. 增加道具奖励并补充后台配置规则</x:v>
      </x:c>
      <x:c r="K6" s="9" t="str">
        <x:v>请明确任务道具奖励冲突的唯一口径及适用范围；确认前不将候选方案作为确定性预期。</x:v>
      </x:c>
      <x:c r="L6" s="12" t="str"/>
      <x:c r="M6" s="12" t="str"/>
      <x:c r="N6" s="10" t="str">
        <x:v>1. liveshow-proto/MainBasis/需求待确认清单.md：行22；-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x:v>
      </x:c>
      <x:c r="O6" s="9" t="str">
        <x:v>1. 首页与福利、我的
2. 仅隔离任务道具奖励冲突相关的未确认分支；已确认功能继续测试</x:v>
      </x:c>
      <x:c r="P6" s="9" t="str"/>
      <x:c r="Q6" s="9" t="str">
        <x:v>1. 任务道具奖励冲突的选定规则主流程
2. 任务道具奖励冲突的边界及失败分支</x:v>
      </x:c>
      <x:c r="R6" s="9" t="str">
        <x:v>产品</x:v>
      </x:c>
      <x:c r="S6" s="9" t="str">
        <x:v>相关功能验收前</x:v>
      </x:c>
      <x:c r="T6" s="9" t="str">
        <x:v>待确认</x:v>
      </x:c>
    </x:row>
    <x:row r="7" ht="175" customHeight="1">
      <x:c r="A7" s="10" t="str">
        <x:v>Q-006</x:v>
      </x:c>
      <x:c r="B7" s="10" t="str">
        <x:v>RQ-006</x:v>
      </x:c>
      <x:c r="C7" s="10" t="str"/>
      <x:c r="D7" s="10" t="str"/>
      <x:c r="E7" s="10" t="str">
        <x:v>部分阻塞</x:v>
      </x:c>
      <x:c r="F7" s="10" t="str">
        <x:v>首页与福利、直播</x:v>
      </x:c>
      <x:c r="G7" s="9" t="str">
        <x:v>虚拟金币榜单范围</x:v>
      </x:c>
      <x:c r="H7" s="9" t="str">
        <x:v>业务规则</x:v>
      </x:c>
      <x:c r="I7" s="9" t="str">
        <x:v>系统概要允许虚拟赠礼计入榜单展示，具体适用于哪些榜单？</x:v>
      </x:c>
      <x:c r="J7" s="9" t="str">
        <x:v>A. 仅本场氛围榜
B. 本场榜及平台双榜
C. 由后台逐榜配置</x:v>
      </x:c>
      <x:c r="K7" s="9" t="str">
        <x:v>请明确虚拟金币榜单范围的唯一口径及适用范围；确认前不将候选方案作为确定性预期。</x:v>
      </x:c>
      <x:c r="L7" s="12" t="str"/>
      <x:c r="M7" s="12" t="str"/>
      <x:c r="N7" s="10" t="str">
        <x:v>1. liveshow-proto/MainBasis/需求待确认清单.md：行26；-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x:v>
      </x:c>
      <x:c r="O7" s="9" t="str">
        <x:v>1. 首页与福利、直播
2. 仅隔离虚拟金币榜单范围相关的未确认分支；已确认功能继续测试</x:v>
      </x:c>
      <x:c r="P7" s="9" t="str"/>
      <x:c r="Q7" s="9" t="str">
        <x:v>1. 虚拟金币榜单范围的选定规则主流程
2. 虚拟金币榜单范围的边界及失败分支</x:v>
      </x:c>
      <x:c r="R7" s="9" t="str">
        <x:v>产品</x:v>
      </x:c>
      <x:c r="S7" s="9" t="str">
        <x:v>相关功能验收前</x:v>
      </x:c>
      <x:c r="T7" s="9" t="str">
        <x:v>待确认</x:v>
      </x:c>
    </x:row>
    <x:row r="8" ht="145" customHeight="1">
      <x:c r="A8" s="10" t="str">
        <x:v>Q-007</x:v>
      </x:c>
      <x:c r="B8" s="10" t="str">
        <x:v>RQ-007</x:v>
      </x:c>
      <x:c r="C8" s="10" t="str"/>
      <x:c r="D8" s="10" t="str"/>
      <x:c r="E8" s="10" t="str">
        <x:v>部分阻塞</x:v>
      </x:c>
      <x:c r="F8" s="10" t="str">
        <x:v>首页与福利</x:v>
      </x:c>
      <x:c r="G8" s="9" t="str">
        <x:v>搜索结果优先级</x:v>
      </x:c>
      <x:c r="H8" s="9" t="str">
        <x:v>业务规则</x:v>
      </x:c>
      <x:c r="I8" s="9" t="str">
        <x:v>昵称、用户 ID、房间号同时命中时，搜索结果按什么优先级排序？</x:v>
      </x:c>
      <x:c r="J8" s="9" t="str">
        <x:v>A. 精确匹配优先再按账号 ID
B. 直播中优先再按匹配程度
C. 按后台搜索权重</x:v>
      </x:c>
      <x:c r="K8" s="9" t="str">
        <x:v>请明确搜索结果优先级的唯一口径及适用范围；确认前不将候选方案作为确定性预期。</x:v>
      </x:c>
      <x:c r="L8" s="12" t="str"/>
      <x:c r="M8" s="12" t="str"/>
      <x:c r="N8" s="10" t="str">
        <x:v>1. liveshow-proto/MainBasis/需求待确认清单.md：行30；- [PENDING-search-sort] 搜索结果优先级：昵称、用户 ID、房间号同时命中时，搜索结果按什么优先级排序？ 选项：A. 精确匹配优先再按账号 ID；B. 直播中优先再按匹配程度；C. 按后台搜索权重。影响端：用户App。依据：AN-8adebba29dc6。</x:v>
      </x:c>
      <x:c r="O8" s="9" t="str">
        <x:v>1. 首页与福利
2. 仅隔离搜索结果优先级相关的未确认分支；已确认功能继续测试</x:v>
      </x:c>
      <x:c r="P8" s="9" t="str"/>
      <x:c r="Q8" s="9" t="str">
        <x:v>1. 搜索结果优先级的选定规则主流程
2. 搜索结果优先级的边界及失败分支</x:v>
      </x:c>
      <x:c r="R8" s="9" t="str">
        <x:v>产品</x:v>
      </x:c>
      <x:c r="S8" s="9" t="str">
        <x:v>相关功能验收前</x:v>
      </x:c>
      <x:c r="T8" s="9" t="str">
        <x:v>待确认</x:v>
      </x:c>
    </x:row>
    <x:row r="9" ht="145" customHeight="1">
      <x:c r="A9" s="10" t="str">
        <x:v>Q-008</x:v>
      </x:c>
      <x:c r="B9" s="10" t="str">
        <x:v>RQ-008</x:v>
      </x:c>
      <x:c r="C9" s="10" t="str"/>
      <x:c r="D9" s="10" t="str"/>
      <x:c r="E9" s="10" t="str">
        <x:v>部分阻塞</x:v>
      </x:c>
      <x:c r="F9" s="10" t="str">
        <x:v>消息与社交、主播中心</x:v>
      </x:c>
      <x:c r="G9" s="9" t="str">
        <x:v>粉丝列表排序</x:v>
      </x:c>
      <x:c r="H9" s="9" t="str">
        <x:v>计算与统计口径</x:v>
      </x:c>
      <x:c r="I9" s="9" t="str">
        <x:v>粉丝列表按哪个字段排序及处理相同值？</x:v>
      </x:c>
      <x:c r="J9" s="9" t="str">
        <x:v>A. 关注时间倒序后按 ID
B. 昵称升序后按 ID
C. 财富等级倒序后按 ID</x:v>
      </x:c>
      <x:c r="K9" s="9" t="str">
        <x:v>请明确粉丝列表排序的唯一口径及适用范围；确认前不将候选方案作为确定性预期。</x:v>
      </x:c>
      <x:c r="L9" s="12" t="str"/>
      <x:c r="M9" s="12" t="str"/>
      <x:c r="N9" s="10" t="str">
        <x:v>1. liveshow-proto/MainBasis/需求待确认清单.md：行34；- [PENDING-follower-sort] 粉丝列表排序：粉丝列表按哪个字段排序及处理相同值？ 选项：A. 关注时间倒序后按 ID；B. 昵称升序后按 ID；C. 财富等级倒序后按 ID。影响端：用户App。依据：AN-0a26d56ce987、AN-8adb4ebc8fae。</x:v>
      </x:c>
      <x:c r="O9" s="9" t="str">
        <x:v>1. 消息与社交、主播中心
2. 仅隔离粉丝列表排序相关的未确认分支；已确认功能继续测试</x:v>
      </x:c>
      <x:c r="P9" s="9" t="str"/>
      <x:c r="Q9" s="9" t="str">
        <x:v>1. 粉丝列表排序的选定规则主流程
2. 粉丝列表排序的边界及失败分支</x:v>
      </x:c>
      <x:c r="R9" s="9" t="str">
        <x:v>多方确认</x:v>
      </x:c>
      <x:c r="S9" s="9" t="str">
        <x:v>相关功能验收前</x:v>
      </x:c>
      <x:c r="T9" s="9" t="str">
        <x:v>待确认</x:v>
      </x:c>
    </x:row>
    <x:row r="10" ht="130" customHeight="1">
      <x:c r="A10" s="10" t="str">
        <x:v>Q-009</x:v>
      </x:c>
      <x:c r="B10" s="10" t="str">
        <x:v>RQ-009</x:v>
      </x:c>
      <x:c r="C10" s="10" t="str"/>
      <x:c r="D10" s="10" t="str"/>
      <x:c r="E10" s="10" t="str">
        <x:v>部分阻塞</x:v>
      </x:c>
      <x:c r="F10" s="10" t="str">
        <x:v>消息与社交</x:v>
      </x:c>
      <x:c r="G10" s="9" t="str">
        <x:v>好友列表排序</x:v>
      </x:c>
      <x:c r="H10" s="9" t="str">
        <x:v>计算与统计口径</x:v>
      </x:c>
      <x:c r="I10" s="9" t="str">
        <x:v>好友列表采用什么排序？</x:v>
      </x:c>
      <x:c r="J10" s="9" t="str">
        <x:v>A. 成为好友时间倒序后按 ID
B. 昵称升序后按 ID
C. 最近互动时间倒序后按 ID</x:v>
      </x:c>
      <x:c r="K10" s="9" t="str">
        <x:v>请明确好友列表排序的唯一口径及适用范围；确认前不将候选方案作为确定性预期。</x:v>
      </x:c>
      <x:c r="L10" s="12" t="str"/>
      <x:c r="M10" s="12" t="str"/>
      <x:c r="N10" s="10" t="str">
        <x:v>1. liveshow-proto/MainBasis/需求待确认清单.md：行38；- [PENDING-friend-sort] 好友列表排序：好友列表采用什么排序？ 选项：A. 成为好友时间倒序后按 ID；B. 昵称升序后按 ID；C. 最近互动时间倒序后按 ID。影响端：用户App。依据：AN-67388dbeec3b。</x:v>
      </x:c>
      <x:c r="O10" s="9" t="str">
        <x:v>1. 消息与社交
2. 仅隔离好友列表排序相关的未确认分支；已确认功能继续测试</x:v>
      </x:c>
      <x:c r="P10" s="9" t="str"/>
      <x:c r="Q10" s="9" t="str">
        <x:v>1. 好友列表排序的选定规则主流程
2. 好友列表排序的边界及失败分支</x:v>
      </x:c>
      <x:c r="R10" s="9" t="str">
        <x:v>多方确认</x:v>
      </x:c>
      <x:c r="S10" s="9" t="str">
        <x:v>相关功能验收前</x:v>
      </x:c>
      <x:c r="T10" s="9" t="str">
        <x:v>待确认</x:v>
      </x:c>
    </x:row>
    <x:row r="11" ht="130" customHeight="1">
      <x:c r="A11" s="10" t="str">
        <x:v>Q-010</x:v>
      </x:c>
      <x:c r="B11" s="10" t="str">
        <x:v>RQ-010</x:v>
      </x:c>
      <x:c r="C11" s="10" t="str"/>
      <x:c r="D11" s="10" t="str"/>
      <x:c r="E11" s="10" t="str">
        <x:v>部分阻塞</x:v>
      </x:c>
      <x:c r="F11" s="10" t="str">
        <x:v>消息与社交</x:v>
      </x:c>
      <x:c r="G11" s="9" t="str">
        <x:v>他人主页的粉丝团顺序</x:v>
      </x:c>
      <x:c r="H11" s="9" t="str">
        <x:v>计算与统计口径</x:v>
      </x:c>
      <x:c r="I11" s="9" t="str">
        <x:v>他人主页展示多个粉丝团时如何排序？</x:v>
      </x:c>
      <x:c r="J11" s="9" t="str">
        <x:v>A. 最近加入优先
B. 贡献最高优先
C. 粉丝等级最高优先</x:v>
      </x:c>
      <x:c r="K11" s="9" t="str">
        <x:v>请明确他人主页的粉丝团顺序的唯一口径及适用范围；确认前不将候选方案作为确定性预期。</x:v>
      </x:c>
      <x:c r="L11" s="12" t="str"/>
      <x:c r="M11" s="12" t="str"/>
      <x:c r="N11" s="10" t="str">
        <x:v>1. liveshow-proto/MainBasis/需求待确认清单.md：行42；- [PENDING-profile-clubs-sort] 他人主页的粉丝团顺序：他人主页展示多个粉丝团时如何排序？ 选项：A. 最近加入优先；B. 贡献最高优先；C. 粉丝等级最高优先。影响端：用户App。依据：AN-d6f642464ad5。</x:v>
      </x:c>
      <x:c r="O11" s="9" t="str">
        <x:v>1. 消息与社交
2. 仅隔离他人主页的粉丝团顺序相关的未确认分支；已确认功能继续测试</x:v>
      </x:c>
      <x:c r="P11" s="9" t="str"/>
      <x:c r="Q11" s="9" t="str">
        <x:v>1. 他人主页的粉丝团顺序的选定规则主流程
2. 他人主页的粉丝团顺序的边界及失败分支</x:v>
      </x:c>
      <x:c r="R11" s="9" t="str">
        <x:v>多方确认</x:v>
      </x:c>
      <x:c r="S11" s="9" t="str">
        <x:v>相关功能验收前</x:v>
      </x:c>
      <x:c r="T11" s="9" t="str">
        <x:v>待确认</x:v>
      </x:c>
    </x:row>
    <x:row r="12" ht="115" customHeight="1">
      <x:c r="A12" s="10" t="str">
        <x:v>Q-011</x:v>
      </x:c>
      <x:c r="B12" s="10" t="str">
        <x:v>RQ-011</x:v>
      </x:c>
      <x:c r="C12" s="10" t="str"/>
      <x:c r="D12" s="10" t="str"/>
      <x:c r="E12" s="10" t="str">
        <x:v>部分阻塞</x:v>
      </x:c>
      <x:c r="F12" s="10" t="str">
        <x:v>主播中心、直播</x:v>
      </x:c>
      <x:c r="G12" s="9" t="str">
        <x:v>房管列表排序</x:v>
      </x:c>
      <x:c r="H12" s="9" t="str">
        <x:v>计算与统计口径</x:v>
      </x:c>
      <x:c r="I12" s="9" t="str">
        <x:v>房管列表以什么顺序展示？</x:v>
      </x:c>
      <x:c r="J12" s="9" t="str">
        <x:v>A. 授权时间倒序
B. 授权时间正序
C. 账号 ID 升序</x:v>
      </x:c>
      <x:c r="K12" s="9" t="str">
        <x:v>请明确房管列表排序的唯一口径及适用范围；确认前不将候选方案作为确定性预期。</x:v>
      </x:c>
      <x:c r="L12" s="12" t="str"/>
      <x:c r="M12" s="12" t="str"/>
      <x:c r="N12" s="10" t="str">
        <x:v>1. liveshow-proto/MainBasis/需求待确认清单.md：行46；- [PENDING-moderator-sort] 房管列表排序：房管列表以什么顺序展示？ 选项：A. 授权时间倒序；B. 授权时间正序；C. 账号 ID 升序。影响端：用户App。依据：AN-6b663b6d1503。</x:v>
      </x:c>
      <x:c r="O12" s="9" t="str">
        <x:v>1. 主播中心、直播
2. 仅隔离房管列表排序相关的未确认分支；已确认功能继续测试</x:v>
      </x:c>
      <x:c r="P12" s="9" t="str"/>
      <x:c r="Q12" s="9" t="str">
        <x:v>1. 房管列表排序的选定规则主流程
2. 房管列表排序的边界及失败分支</x:v>
      </x:c>
      <x:c r="R12" s="9" t="str">
        <x:v>多方确认</x:v>
      </x:c>
      <x:c r="S12" s="9" t="str">
        <x:v>相关功能验收前</x:v>
      </x:c>
      <x:c r="T12" s="9" t="str">
        <x:v>待确认</x:v>
      </x:c>
    </x:row>
    <x:row r="13" ht="130" customHeight="1">
      <x:c r="A13" s="10" t="str">
        <x:v>Q-012</x:v>
      </x:c>
      <x:c r="B13" s="10" t="str">
        <x:v>RQ-012</x:v>
      </x:c>
      <x:c r="C13" s="10" t="str"/>
      <x:c r="D13" s="10" t="str"/>
      <x:c r="E13" s="10" t="str">
        <x:v>部分阻塞</x:v>
      </x:c>
      <x:c r="F13" s="10" t="str">
        <x:v>主播中心</x:v>
      </x:c>
      <x:c r="G13" s="9" t="str">
        <x:v>公会通知顺序</x:v>
      </x:c>
      <x:c r="H13" s="9" t="str">
        <x:v>计算与统计口径</x:v>
      </x:c>
      <x:c r="I13" s="9" t="str">
        <x:v>主播端公会通知列表如何排序？</x:v>
      </x:c>
      <x:c r="J13" s="9" t="str">
        <x:v>A. 生成时间倒序
B. 未读优先再按生成时间倒序</x:v>
      </x:c>
      <x:c r="K13" s="9" t="str">
        <x:v>请明确公会通知顺序的唯一口径及适用范围；确认前不将候选方案作为确定性预期。</x:v>
      </x:c>
      <x:c r="L13" s="12" t="str"/>
      <x:c r="M13" s="12" t="str"/>
      <x:c r="N13" s="10" t="str">
        <x:v>1. liveshow-proto/MainBasis/需求待确认清单.md：行50；- [PENDING-guild-notice-sort] 公会通知顺序：主播端公会通知列表如何排序？ 选项：A. 生成时间倒序；B. 未读优先再按生成时间倒序。影响端：用户App、公会App。依据：AN-205fe7899e2d。</x:v>
      </x:c>
      <x:c r="O13" s="9" t="str">
        <x:v>1. 主播中心
2. 仅隔离公会通知顺序相关的未确认分支；已确认功能继续测试</x:v>
      </x:c>
      <x:c r="P13" s="9" t="str"/>
      <x:c r="Q13" s="9" t="str">
        <x:v>1. 公会通知顺序的选定规则主流程
2. 公会通知顺序的边界及失败分支</x:v>
      </x:c>
      <x:c r="R13" s="9" t="str">
        <x:v>多方确认</x:v>
      </x:c>
      <x:c r="S13" s="9" t="str">
        <x:v>相关功能验收前</x:v>
      </x:c>
      <x:c r="T13" s="9" t="str">
        <x:v>待确认</x:v>
      </x:c>
    </x:row>
    <x:row r="14" ht="130" customHeight="1">
      <x:c r="A14" s="10" t="str">
        <x:v>Q-013</x:v>
      </x:c>
      <x:c r="B14" s="10" t="str">
        <x:v>RQ-013</x:v>
      </x:c>
      <x:c r="C14" s="10" t="str"/>
      <x:c r="D14" s="10" t="str"/>
      <x:c r="E14" s="10" t="str">
        <x:v>部分阻塞</x:v>
      </x:c>
      <x:c r="F14" s="10" t="str">
        <x:v>主播中心</x:v>
      </x:c>
      <x:c r="G14" s="9" t="str">
        <x:v>成员列表同值排序</x:v>
      </x:c>
      <x:c r="H14" s="9" t="str">
        <x:v>计算与统计口径</x:v>
      </x:c>
      <x:c r="I14" s="9" t="str">
        <x:v>粉丝团管理的贡献或加入时间相同时，使用什么次序？</x:v>
      </x:c>
      <x:c r="J14" s="9" t="str">
        <x:v>A. 用户 ID 升序
B. 另一贡献字段倒序后按 ID</x:v>
      </x:c>
      <x:c r="K14" s="9" t="str">
        <x:v>请明确成员列表同值排序的唯一口径及适用范围；确认前不将候选方案作为确定性预期。</x:v>
      </x:c>
      <x:c r="L14" s="12" t="str"/>
      <x:c r="M14" s="12" t="str"/>
      <x:c r="N14" s="10" t="str">
        <x:v>1. liveshow-proto/MainBasis/需求待确认清单.md：行54；- [PENDING-fan-tie] 成员列表同值排序：粉丝团管理的贡献或加入时间相同时，使用什么次序？ 选项：A. 用户 ID 升序；B. 另一贡献字段倒序后按 ID。影响端：用户App。依据：AN-ef6b1570b239。</x:v>
      </x:c>
      <x:c r="O14" s="9" t="str">
        <x:v>1. 主播中心
2. 仅隔离成员列表同值排序相关的未确认分支；已确认功能继续测试</x:v>
      </x:c>
      <x:c r="P14" s="9" t="str"/>
      <x:c r="Q14" s="9" t="str">
        <x:v>1. 成员列表同值排序的选定规则主流程
2. 成员列表同值排序的边界及失败分支</x:v>
      </x:c>
      <x:c r="R14" s="9" t="str">
        <x:v>多方确认</x:v>
      </x:c>
      <x:c r="S14" s="9" t="str">
        <x:v>相关功能验收前</x:v>
      </x:c>
      <x:c r="T14" s="9" t="str">
        <x:v>待确认</x:v>
      </x:c>
    </x:row>
    <x:row r="15" ht="130" customHeight="1">
      <x:c r="A15" s="10" t="str">
        <x:v>Q-014</x:v>
      </x:c>
      <x:c r="B15" s="10" t="str">
        <x:v>RQ-014</x:v>
      </x:c>
      <x:c r="C15" s="10" t="str"/>
      <x:c r="D15" s="10" t="str"/>
      <x:c r="E15" s="10" t="str">
        <x:v>部分阻塞</x:v>
      </x:c>
      <x:c r="F15" s="10" t="str">
        <x:v>主播中心</x:v>
      </x:c>
      <x:c r="G15" s="9" t="str">
        <x:v>直播数据明细排序</x:v>
      </x:c>
      <x:c r="H15" s="9" t="str">
        <x:v>计算与统计口径</x:v>
      </x:c>
      <x:c r="I15" s="9" t="str">
        <x:v>直播数据的日和月明细按什么顺序排列？</x:v>
      </x:c>
      <x:c r="J15" s="9" t="str">
        <x:v>A. 日期倒序
B. 日期正序</x:v>
      </x:c>
      <x:c r="K15" s="9" t="str">
        <x:v>请明确直播数据明细排序的唯一口径及适用范围；确认前不将候选方案作为确定性预期。</x:v>
      </x:c>
      <x:c r="L15" s="12" t="str"/>
      <x:c r="M15" s="12" t="str"/>
      <x:c r="N15" s="10" t="str">
        <x:v>1. liveshow-proto/MainBasis/需求待确认清单.md：行58；- [PENDING-live-detail-sort] 直播数据明细排序：直播数据的日和月明细按什么顺序排列？ 选项：A. 日期倒序；B. 日期正序。影响端：用户App。依据：AN-4a3fca14d996、AN-b6f8607b601f。</x:v>
      </x:c>
      <x:c r="O15" s="9" t="str">
        <x:v>1. 主播中心
2. 仅隔离直播数据明细排序相关的未确认分支；已确认功能继续测试</x:v>
      </x:c>
      <x:c r="P15" s="9" t="str"/>
      <x:c r="Q15" s="9" t="str">
        <x:v>1. 直播数据明细排序的选定规则主流程
2. 直播数据明细排序的边界及失败分支</x:v>
      </x:c>
      <x:c r="R15" s="9" t="str">
        <x:v>多方确认</x:v>
      </x:c>
      <x:c r="S15" s="9" t="str">
        <x:v>相关功能验收前</x:v>
      </x:c>
      <x:c r="T15" s="9" t="str">
        <x:v>待确认</x:v>
      </x:c>
    </x:row>
    <x:row r="16" ht="130" customHeight="1">
      <x:c r="A16" s="10" t="str">
        <x:v>Q-015</x:v>
      </x:c>
      <x:c r="B16" s="10" t="str">
        <x:v>RQ-015</x:v>
      </x:c>
      <x:c r="C16" s="10" t="str"/>
      <x:c r="D16" s="10" t="str"/>
      <x:c r="E16" s="10" t="str">
        <x:v>部分阻塞</x:v>
      </x:c>
      <x:c r="F16" s="10" t="str">
        <x:v>系统入口</x:v>
      </x:c>
      <x:c r="G16" s="9" t="str">
        <x:v>区号列表顺序</x:v>
      </x:c>
      <x:c r="H16" s="9" t="str">
        <x:v>计算与统计口径</x:v>
      </x:c>
      <x:c r="I16" s="9" t="str">
        <x:v>国家和地区区号列表按什么规则排序？</x:v>
      </x:c>
      <x:c r="J16" s="9" t="str">
        <x:v>A. 当前语言名称升序
B. 英文名称升序
C. 国际区号升序</x:v>
      </x:c>
      <x:c r="K16" s="9" t="str">
        <x:v>请明确区号列表顺序的唯一口径及适用范围；确认前不将候选方案作为确定性预期。</x:v>
      </x:c>
      <x:c r="L16" s="12" t="str"/>
      <x:c r="M16" s="12" t="str"/>
      <x:c r="N16" s="10" t="str">
        <x:v>1. liveshow-proto/MainBasis/需求待确认清单.md：行62；- [PENDING-country-sort] 区号列表顺序：国家和地区区号列表按什么规则排序？ 选项：A. 当前语言名称升序；B. 英文名称升序；C. 国际区号升序。影响端：用户App。依据：AN-5f1c2d451728。</x:v>
      </x:c>
      <x:c r="O16" s="9" t="str">
        <x:v>1. 系统入口
2. 仅隔离区号列表顺序相关的未确认分支；已确认功能继续测试</x:v>
      </x:c>
      <x:c r="P16" s="9" t="str"/>
      <x:c r="Q16" s="9" t="str">
        <x:v>1. 区号列表顺序的选定规则主流程
2. 区号列表顺序的边界及失败分支</x:v>
      </x:c>
      <x:c r="R16" s="9" t="str">
        <x:v>多方确认</x:v>
      </x:c>
      <x:c r="S16" s="9" t="str">
        <x:v>相关功能验收前</x:v>
      </x:c>
      <x:c r="T16" s="9" t="str">
        <x:v>待确认</x:v>
      </x:c>
    </x:row>
    <x:row r="17" ht="160" customHeight="1">
      <x:c r="A17" s="10" t="str">
        <x:v>Q-016</x:v>
      </x:c>
      <x:c r="B17" s="10" t="str">
        <x:v>RQ-016</x:v>
      </x:c>
      <x:c r="C17" s="10" t="str"/>
      <x:c r="D17" s="10" t="str"/>
      <x:c r="E17" s="10" t="str">
        <x:v>部分阻塞</x:v>
      </x:c>
      <x:c r="F17" s="10" t="str">
        <x:v>系统入口</x:v>
      </x:c>
      <x:c r="G17" s="9" t="str">
        <x:v>运营账号登录格式</x:v>
      </x:c>
      <x:c r="H17" s="9" t="str">
        <x:v>角色与权限</x:v>
      </x:c>
      <x:c r="I17" s="9" t="str">
        <x:v>运营账号必须是可接收验证码的邮箱，还是允许普通登录名？</x:v>
      </x:c>
      <x:c r="J17" s="9" t="str">
        <x:v>A. 必须为有效邮箱地址
B. 允许普通登录名并使用密码登录</x:v>
      </x:c>
      <x:c r="K17" s="9" t="str">
        <x:v>请明确运营账号登录格式的唯一口径及适用范围；确认前不将候选方案作为确定性预期。</x:v>
      </x:c>
      <x:c r="L17" s="12" t="str"/>
      <x:c r="M17" s="12" t="str"/>
      <x:c r="N17" s="10" t="str">
        <x:v>1. liveshow-proto/MainBasis/需求待确认清单.md：行66；-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x:v>
      </x:c>
      <x:c r="O17" s="9" t="str">
        <x:v>1. 系统入口
2. 仅隔离运营账号登录格式相关的未确认分支；已确认功能继续测试</x:v>
      </x:c>
      <x:c r="P17" s="9" t="str"/>
      <x:c r="Q17" s="9" t="str">
        <x:v>1. 运营账号登录格式的选定规则主流程
2. 运营账号登录格式的边界及失败分支</x:v>
      </x:c>
      <x:c r="R17" s="9" t="str">
        <x:v>产品</x:v>
      </x:c>
      <x:c r="S17" s="9" t="str">
        <x:v>相关功能验收前</x:v>
      </x:c>
      <x:c r="T17" s="9" t="str">
        <x:v>待确认</x:v>
      </x:c>
    </x:row>
    <x:row r="18" ht="130" customHeight="1">
      <x:c r="A18" s="10" t="str">
        <x:v>Q-017</x:v>
      </x:c>
      <x:c r="B18" s="10" t="str">
        <x:v>RQ-017</x:v>
      </x:c>
      <x:c r="C18" s="10" t="str"/>
      <x:c r="D18" s="10" t="str"/>
      <x:c r="E18" s="10" t="str">
        <x:v>部分阻塞</x:v>
      </x:c>
      <x:c r="F18" s="10" t="str">
        <x:v>我的、消息与社交、直播、主播中心</x:v>
      </x:c>
      <x:c r="G18" s="9" t="str">
        <x:v>亲密度计算</x:v>
      </x:c>
      <x:c r="H18" s="9" t="str">
        <x:v>业务规则</x:v>
      </x:c>
      <x:c r="I18" s="9" t="str">
        <x:v>亲密度由哪些行为累计，采用什么单位？</x:v>
      </x:c>
      <x:c r="J18" s="9" t="str">
        <x:v>A. 有效送礼金币累计
B. 按行为配置独立积分</x:v>
      </x:c>
      <x:c r="K18" s="9" t="str">
        <x:v>请明确亲密度计算的唯一口径及适用范围；确认前不将候选方案作为确定性预期。</x:v>
      </x:c>
      <x:c r="L18" s="12" t="str"/>
      <x:c r="M18" s="12" t="str"/>
      <x:c r="N18" s="10" t="str">
        <x:v>1. liveshow-proto/MainBasis/需求待确认清单.md：行70；- [PENDING-intimacy] 亲密度计算：亲密度由哪些行为累计，采用什么单位？ 选项：A. 有效送礼金币累计；B. 按行为配置独立积分。影响端：用户App、管理后台。依据：AN-88f3346c11fe、AN-73b3892baa6f。</x:v>
      </x:c>
      <x:c r="O18" s="9" t="str">
        <x:v>1. 我的、消息与社交、直播、主播中心
2. 仅隔离亲密度计算相关的未确认分支；已确认功能继续测试</x:v>
      </x:c>
      <x:c r="P18" s="9" t="str"/>
      <x:c r="Q18" s="9" t="str">
        <x:v>1. 亲密度计算的选定规则主流程
2. 亲密度计算的边界及失败分支</x:v>
      </x:c>
      <x:c r="R18" s="9" t="str">
        <x:v>产品</x:v>
      </x:c>
      <x:c r="S18" s="9" t="str">
        <x:v>相关功能验收前</x:v>
      </x:c>
      <x:c r="T18" s="9" t="str">
        <x:v>待确认</x:v>
      </x:c>
    </x:row>
    <x:row r="19" ht="130" customHeight="1">
      <x:c r="A19" s="10" t="str">
        <x:v>Q-018</x:v>
      </x:c>
      <x:c r="B19" s="10" t="str">
        <x:v>RQ-018</x:v>
      </x:c>
      <x:c r="C19" s="10" t="str"/>
      <x:c r="D19" s="10" t="str"/>
      <x:c r="E19" s="10" t="str">
        <x:v>部分阻塞</x:v>
      </x:c>
      <x:c r="F19" s="10" t="str">
        <x:v>我的、消息与社交、直播、主播中心</x:v>
      </x:c>
      <x:c r="G19" s="9" t="str">
        <x:v>亲密度衰减</x:v>
      </x:c>
      <x:c r="H19" s="9" t="str">
        <x:v>业务规则</x:v>
      </x:c>
      <x:c r="I19" s="9" t="str">
        <x:v>除退团清零外，是否按不活跃时间衰减亲密度？</x:v>
      </x:c>
      <x:c r="J19" s="9" t="str">
        <x:v>A. 不衰减
B. 按配置的不活跃周期衰减</x:v>
      </x:c>
      <x:c r="K19" s="9" t="str">
        <x:v>请明确亲密度衰减的唯一口径及适用范围；确认前不将候选方案作为确定性预期。</x:v>
      </x:c>
      <x:c r="L19" s="12" t="str"/>
      <x:c r="M19" s="12" t="str"/>
      <x:c r="N19" s="10" t="str">
        <x:v>1. liveshow-proto/MainBasis/需求待确认清单.md：行74；- [PENDING-intimacy-decay] 亲密度衰减：除退团清零外，是否按不活跃时间衰减亲密度？ 选项：A. 不衰减；B. 按配置的不活跃周期衰减。影响端：用户App、管理后台。依据：AN-88f3346c11fe。</x:v>
      </x:c>
      <x:c r="O19" s="9" t="str">
        <x:v>1. 我的、消息与社交、直播、主播中心
2. 仅隔离亲密度衰减相关的未确认分支；已确认功能继续测试</x:v>
      </x:c>
      <x:c r="P19" s="9" t="str"/>
      <x:c r="Q19" s="9" t="str">
        <x:v>1. 亲密度衰减的选定规则主流程
2. 亲密度衰减的边界及失败分支</x:v>
      </x:c>
      <x:c r="R19" s="9" t="str">
        <x:v>产品</x:v>
      </x:c>
      <x:c r="S19" s="9" t="str">
        <x:v>相关功能验收前</x:v>
      </x:c>
      <x:c r="T19" s="9" t="str">
        <x:v>待确认</x:v>
      </x:c>
    </x:row>
    <x:row r="20" ht="115" customHeight="1">
      <x:c r="A20" s="10" t="str">
        <x:v>Q-019</x:v>
      </x:c>
      <x:c r="B20" s="10" t="str">
        <x:v>RQ-019</x:v>
      </x:c>
      <x:c r="C20" s="10" t="str"/>
      <x:c r="D20" s="10" t="str"/>
      <x:c r="E20" s="10" t="str">
        <x:v>部分阻塞</x:v>
      </x:c>
      <x:c r="F20" s="10" t="str">
        <x:v>我的</x:v>
      </x:c>
      <x:c r="G20" s="9" t="str">
        <x:v>未上榜提示</x:v>
      </x:c>
      <x:c r="H20" s="9" t="str">
        <x:v>交互与文案规则</x:v>
      </x:c>
      <x:c r="I20" s="9" t="str">
        <x:v>不在粉丝团贡献榜前 99 名时，本人排名显示什么？</x:v>
      </x:c>
      <x:c r="J20" s="9" t="str">
        <x:v>A. 显示真实名次
B. 显示未上榜</x:v>
      </x:c>
      <x:c r="K20" s="9" t="str">
        <x:v>请明确未上榜提示的唯一口径及适用范围；确认前不将候选方案作为确定性预期。</x:v>
      </x:c>
      <x:c r="L20" s="12" t="str"/>
      <x:c r="M20" s="12" t="str"/>
      <x:c r="N20" s="10" t="str">
        <x:v>1. liveshow-proto/MainBasis/需求待确认清单.md：行78；- [PENDING-rank-unlisted] 未上榜提示：不在粉丝团贡献榜前 99 名时，本人排名显示什么？ 选项：A. 显示真实名次；B. 显示未上榜。影响端：用户App。依据：AN-13788c4bdaec。</x:v>
      </x:c>
      <x:c r="O20" s="9" t="str">
        <x:v>1. 我的
2. 仅隔离未上榜提示相关的未确认分支；已确认功能继续测试</x:v>
      </x:c>
      <x:c r="P20" s="9" t="str"/>
      <x:c r="Q20" s="9" t="str">
        <x:v>1. 未上榜提示的选定规则主流程
2. 未上榜提示的边界及失败分支</x:v>
      </x:c>
      <x:c r="R20" s="9" t="str">
        <x:v>交互</x:v>
      </x:c>
      <x:c r="S20" s="9" t="str">
        <x:v>相关功能验收前</x:v>
      </x:c>
      <x:c r="T20" s="9" t="str">
        <x:v>待确认</x:v>
      </x:c>
    </x:row>
    <x:row r="21" ht="130" customHeight="1">
      <x:c r="A21" s="10" t="str">
        <x:v>Q-020</x:v>
      </x:c>
      <x:c r="B21" s="10" t="str">
        <x:v>RQ-020</x:v>
      </x:c>
      <x:c r="C21" s="10" t="str"/>
      <x:c r="D21" s="10" t="str"/>
      <x:c r="E21" s="10" t="str">
        <x:v>部分阻塞</x:v>
      </x:c>
      <x:c r="F21" s="10" t="str">
        <x:v>我的</x:v>
      </x:c>
      <x:c r="G21" s="9" t="str">
        <x:v>贡献数据缺失</x:v>
      </x:c>
      <x:c r="H21" s="9" t="str">
        <x:v>计算与统计口径</x:v>
      </x:c>
      <x:c r="I21" s="9" t="str">
        <x:v>贡献数据无法取得时如何区分零贡献和加载失败？</x:v>
      </x:c>
      <x:c r="J21" s="9" t="str">
        <x:v>A. 保留上次数据并提示失败
B. 显示独立缺失态并允许重试</x:v>
      </x:c>
      <x:c r="K21" s="9" t="str">
        <x:v>请明确贡献数据缺失的唯一口径及适用范围；确认前不将候选方案作为确定性预期。</x:v>
      </x:c>
      <x:c r="L21" s="12" t="str"/>
      <x:c r="M21" s="12" t="str"/>
      <x:c r="N21" s="10" t="str">
        <x:v>1. liveshow-proto/MainBasis/需求待确认清单.md：行82；- [PENDING-rank-missing] 贡献数据缺失：贡献数据无法取得时如何区分零贡献和加载失败？ 选项：A. 保留上次数据并提示失败；B. 显示独立缺失态并允许重试。影响端：用户App。依据：AN-13788c4bdaec。</x:v>
      </x:c>
      <x:c r="O21" s="9" t="str">
        <x:v>1. 我的
2. 仅隔离贡献数据缺失相关的未确认分支；已确认功能继续测试</x:v>
      </x:c>
      <x:c r="P21" s="9" t="str"/>
      <x:c r="Q21" s="9" t="str">
        <x:v>1. 贡献数据缺失的选定规则主流程
2. 贡献数据缺失的边界及失败分支</x:v>
      </x:c>
      <x:c r="R21" s="9" t="str">
        <x:v>多方确认</x:v>
      </x:c>
      <x:c r="S21" s="9" t="str">
        <x:v>相关功能验收前</x:v>
      </x:c>
      <x:c r="T21" s="9" t="str">
        <x:v>待确认</x:v>
      </x:c>
    </x:row>
    <x:row r="22" ht="115" customHeight="1">
      <x:c r="A22" s="10" t="str">
        <x:v>Q-021</x:v>
      </x:c>
      <x:c r="B22" s="10" t="str">
        <x:v>RQ-021</x:v>
      </x:c>
      <x:c r="C22" s="10" t="str"/>
      <x:c r="D22" s="10" t="str"/>
      <x:c r="E22" s="10" t="str">
        <x:v>部分阻塞</x:v>
      </x:c>
      <x:c r="F22" s="10" t="str">
        <x:v>首页与福利</x:v>
      </x:c>
      <x:c r="G22" s="9" t="str">
        <x:v>补签</x:v>
      </x:c>
      <x:c r="H22" s="9" t="str">
        <x:v>业务规则</x:v>
      </x:c>
      <x:c r="I22" s="9" t="str">
        <x:v>是否支持对漏签日期进行补签？</x:v>
      </x:c>
      <x:c r="J22" s="9" t="str">
        <x:v>A. 不支持补签
B. 支持按配置补签</x:v>
      </x:c>
      <x:c r="K22" s="9" t="str">
        <x:v>请明确补签的唯一口径及适用范围；确认前不将候选方案作为确定性预期。</x:v>
      </x:c>
      <x:c r="L22" s="12" t="str"/>
      <x:c r="M22" s="12" t="str"/>
      <x:c r="N22" s="10" t="str">
        <x:v>1. liveshow-proto/MainBasis/需求待确认清单.md：行86；- [PENDING-checkin-repair] 补签：是否支持对漏签日期进行补签？ 选项：A. 不支持补签；B. 支持按配置补签。影响端：用户App、管理后台。依据：AN-5ea05985e150。</x:v>
      </x:c>
      <x:c r="O22" s="9" t="str">
        <x:v>1. 首页与福利
2. 仅隔离补签相关的未确认分支；已确认功能继续测试</x:v>
      </x:c>
      <x:c r="P22" s="9" t="str"/>
      <x:c r="Q22" s="9" t="str">
        <x:v>1. 补签的选定规则主流程
2. 补签的边界及失败分支</x:v>
      </x:c>
      <x:c r="R22" s="9" t="str">
        <x:v>产品</x:v>
      </x:c>
      <x:c r="S22" s="9" t="str">
        <x:v>相关功能验收前</x:v>
      </x:c>
      <x:c r="T22" s="9" t="str">
        <x:v>待确认</x:v>
      </x:c>
    </x:row>
    <x:row r="23" ht="175" customHeight="1">
      <x:c r="A23" s="10" t="str">
        <x:v>Q-022</x:v>
      </x:c>
      <x:c r="B23" s="10" t="str">
        <x:v>RQ-022</x:v>
      </x:c>
      <x:c r="C23" s="10" t="str"/>
      <x:c r="D23" s="10" t="str"/>
      <x:c r="E23" s="10" t="str">
        <x:v>部分阻塞</x:v>
      </x:c>
      <x:c r="F23" s="10" t="str">
        <x:v>首页与福利、直播、主播中心</x:v>
      </x:c>
      <x:c r="G23" s="9" t="str">
        <x:v>业务时区</x:v>
      </x:c>
      <x:c r="H23" s="9" t="str">
        <x:v>计算与统计口径</x:v>
      </x:c>
      <x:c r="I23" s="9" t="str">
        <x:v>签到、任务、榜单、有效天和报表采用哪种业务时区策略？</x:v>
      </x:c>
      <x:c r="J23" s="9" t="str">
        <x:v>A. 全部统一Asia/Jakarta（UTC+7）
B. 全部读取服务端同一业务时区配置</x:v>
      </x:c>
      <x:c r="K23" s="9" t="str">
        <x:v>建议A，印尼业务日易于核对；如产品已有统一可读取配置则选择B。</x:v>
      </x:c>
      <x:c r="L23" s="12" t="str"/>
      <x:c r="M23" s="12" t="str"/>
      <x:c r="N23" s="10" t="str">
        <x: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3" s="9" t="str">
        <x:v>1. 首页与福利、直播、主播中心
2. 仅隔离业务时区相关的未确认分支；已确认功能继续测试</x:v>
      </x:c>
      <x:c r="P23" s="9" t="str"/>
      <x:c r="Q23" s="9" t="str">
        <x:v>1. 业务时区的选定规则主流程
2. 业务时区的边界及失败分支</x:v>
      </x:c>
      <x:c r="R23" s="9" t="str">
        <x:v>多方确认</x:v>
      </x:c>
      <x:c r="S23" s="9" t="str">
        <x:v>相关功能验收前</x:v>
      </x:c>
      <x:c r="T23" s="9" t="str">
        <x:v>待确认</x:v>
      </x:c>
    </x:row>
    <x:row r="24" ht="175" customHeight="1">
      <x:c r="A24" s="10" t="str">
        <x:v>Q-023</x:v>
      </x:c>
      <x:c r="B24" s="10" t="str">
        <x:v>RQ-022</x:v>
      </x:c>
      <x:c r="C24" s="10" t="str"/>
      <x:c r="D24" s="10" t="str"/>
      <x:c r="E24" s="10" t="str">
        <x:v>部分阻塞</x:v>
      </x:c>
      <x:c r="F24" s="10" t="str">
        <x:v>首页与福利、直播、主播中心</x:v>
      </x:c>
      <x:c r="G24" s="9" t="str">
        <x:v>任务周起始日</x:v>
      </x:c>
      <x:c r="H24" s="9" t="str">
        <x:v>业务规则</x:v>
      </x:c>
      <x:c r="I24" s="9" t="str">
        <x:v>周期任务的周起始日采用哪种策略？</x:v>
      </x:c>
      <x:c r="J24" s="9" t="str">
        <x:v>A. 全部以业务时区周一00:00开始
B. 全部读取各任务可查询的周起始日配置</x:v>
      </x:c>
      <x:c r="K24" s="9" t="str">
        <x:v>请明确任务周起始日的唯一口径及适用范围；确认前不将候选方案作为确定性预期。</x:v>
      </x:c>
      <x:c r="L24" s="12" t="str"/>
      <x:c r="M24" s="12" t="str"/>
      <x:c r="N24" s="10" t="str">
        <x: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x:v>
      </x:c>
      <x:c r="O24" s="9" t="str">
        <x:v>1. 首页与福利、直播、主播中心
2. 仅隔离任务周起始日相关的未确认分支；已确认功能继续测试</x:v>
      </x:c>
      <x:c r="P24" s="9" t="str"/>
      <x:c r="Q24" s="9" t="str">
        <x:v>1. 任务周起始日的选定规则主流程
2. 任务周起始日的边界及失败分支</x:v>
      </x:c>
      <x:c r="R24" s="9" t="str">
        <x:v>产品</x:v>
      </x:c>
      <x:c r="S24" s="9" t="str">
        <x:v>相关功能验收前</x:v>
      </x:c>
      <x:c r="T24" s="9" t="str">
        <x:v>待确认</x:v>
      </x:c>
    </x:row>
    <x:row r="25" ht="160" customHeight="1">
      <x:c r="A25" s="10" t="str">
        <x:v>Q-024</x:v>
      </x:c>
      <x:c r="B25" s="10" t="str">
        <x:v>RQ-023</x:v>
      </x:c>
      <x:c r="C25" s="10" t="str"/>
      <x:c r="D25" s="10" t="str"/>
      <x:c r="E25" s="10" t="str">
        <x:v>部分阻塞</x:v>
      </x:c>
      <x:c r="F25" s="10" t="str">
        <x:v>首页与福利</x:v>
      </x:c>
      <x:c r="G25" s="9" t="str">
        <x:v>任务关闭后的待领奖励</x:v>
      </x:c>
      <x:c r="H25" s="9" t="str">
        <x:v>业务规则</x:v>
      </x:c>
      <x:c r="I25" s="9" t="str">
        <x:v>任务到期或停用时，当天已达成且未超过领取截止时间的奖励是否还能领取？</x:v>
      </x:c>
      <x:c r="J25" s="9" t="str">
        <x:v>A. 仍可在原截止时间前领取
B. 任务到期或停用立即失效</x:v>
      </x:c>
      <x:c r="K25" s="9" t="str">
        <x:v>请明确任务关闭后的待领奖励的唯一口径及适用范围；确认前不将候选方案作为确定性预期。</x:v>
      </x:c>
      <x:c r="L25" s="12" t="str"/>
      <x:c r="M25" s="12" t="str"/>
      <x:c r="N25" s="10" t="str">
        <x:v>1. liveshow-proto/MainBasis/需求待确认清单.md：行94；- [PENDING-reward-disabled] 任务关闭后的待领奖励：任务到期或停用时，当天已达成且未超过领取截止时间的奖励是否还能领取？ 选项：A. 仍可在原截止时间前领取；B. 任务到期或停用立即失效。影响端：用户App、管理后台。依据：AN-6162c5b34166。</x:v>
      </x:c>
      <x:c r="O25" s="9" t="str">
        <x:v>1. 首页与福利
2. 仅隔离任务关闭后的待领奖励相关的未确认分支；已确认功能继续测试</x:v>
      </x:c>
      <x:c r="P25" s="9" t="str"/>
      <x:c r="Q25" s="9" t="str">
        <x:v>1. 任务关闭后的待领奖励的选定规则主流程
2. 任务关闭后的待领奖励的边界及失败分支</x:v>
      </x:c>
      <x:c r="R25" s="9" t="str">
        <x:v>产品</x:v>
      </x:c>
      <x:c r="S25" s="9" t="str">
        <x:v>相关功能验收前</x:v>
      </x:c>
      <x:c r="T25" s="9" t="str">
        <x:v>待确认</x:v>
      </x:c>
    </x:row>
    <x:row r="26" ht="145" customHeight="1">
      <x:c r="A26" s="10" t="str">
        <x:v>Q-025</x:v>
      </x:c>
      <x:c r="B26" s="10" t="str">
        <x:v>RQ-024</x:v>
      </x:c>
      <x:c r="C26" s="10" t="str"/>
      <x:c r="D26" s="10" t="str"/>
      <x:c r="E26" s="10" t="str">
        <x:v>部分阻塞</x:v>
      </x:c>
      <x:c r="F26" s="10" t="str">
        <x:v>主播中心</x:v>
      </x:c>
      <x:c r="G26" s="9" t="str">
        <x:v>有效时长排除条件</x:v>
      </x:c>
      <x:c r="H26" s="9" t="str">
        <x:v>计算与统计口径</x:v>
      </x:c>
      <x:c r="I26" s="9" t="str">
        <x:v>断流、后台挂起和暂停期间哪些时长计入每日 3 小时门槛？</x:v>
      </x:c>
      <x:c r="J26" s="9" t="str">
        <x:v>A. 仅连续成功推流时长
B. 会话持续时长扣除配置的无效区间</x:v>
      </x:c>
      <x:c r="K26" s="9" t="str">
        <x:v>请明确有效时长排除条件的唯一口径及适用范围；确认前不将候选方案作为确定性预期。</x:v>
      </x:c>
      <x:c r="L26" s="12" t="str"/>
      <x:c r="M26" s="12" t="str"/>
      <x:c r="N26" s="10" t="str">
        <x:v>1. liveshow-proto/MainBasis/需求待确认清单.md：行98；- [PENDING-effective-duration] 有效时长排除条件：断流、后台挂起和暂停期间哪些时长计入每日 3 小时门槛？ 选项：A. 仅连续成功推流时长；B. 会话持续时长扣除配置的无效区间。影响端：用户App、公会App、管理后台。依据：AN-2d643ddb84e1。</x:v>
      </x:c>
      <x:c r="O26" s="9" t="str">
        <x:v>1. 主播中心
2. 仅隔离有效时长排除条件相关的未确认分支；已确认功能继续测试</x:v>
      </x:c>
      <x:c r="P26" s="9" t="str"/>
      <x:c r="Q26" s="9" t="str">
        <x:v>1. 有效时长排除条件的选定规则主流程
2. 有效时长排除条件的边界及失败分支</x:v>
      </x:c>
      <x:c r="R26" s="9" t="str">
        <x:v>多方确认</x:v>
      </x:c>
      <x:c r="S26" s="9" t="str">
        <x:v>相关功能验收前</x:v>
      </x:c>
      <x:c r="T26" s="9" t="str">
        <x:v>待确认</x:v>
      </x:c>
    </x:row>
    <x:row r="27" ht="145" customHeight="1">
      <x:c r="A27" s="10" t="str">
        <x:v>Q-026</x:v>
      </x:c>
      <x:c r="B27" s="10" t="str">
        <x:v>RQ-025</x:v>
      </x:c>
      <x:c r="C27" s="10" t="str"/>
      <x:c r="D27" s="10" t="str"/>
      <x:c r="E27" s="10" t="str">
        <x:v>部分阻塞</x:v>
      </x:c>
      <x:c r="F27" s="10" t="str">
        <x:v>主播中心</x:v>
      </x:c>
      <x:c r="G27" s="9" t="str">
        <x:v>跨日直播有效时长归属</x:v>
      </x:c>
      <x:c r="H27" s="9" t="str">
        <x:v>计算与统计口径</x:v>
      </x:c>
      <x:c r="I27" s="9" t="str">
        <x:v>跨自然日场次的有效时长如何归属到业务日？</x:v>
      </x:c>
      <x:c r="J27" s="9" t="str">
        <x:v>A. 按实际发生时间切分到各日
B. 全部归入开播日</x:v>
      </x:c>
      <x:c r="K27" s="9" t="str">
        <x:v>请明确跨日直播有效时长归属的唯一口径及适用范围；确认前不将候选方案作为确定性预期。</x:v>
      </x:c>
      <x:c r="L27" s="12" t="str"/>
      <x:c r="M27" s="12" t="str"/>
      <x:c r="N27" s="10" t="str">
        <x: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x:v>
      </x:c>
      <x:c r="O27" s="9" t="str">
        <x:v>1. 主播中心
2. 仅隔离跨日直播有效时长归属相关的未确认分支；已确认功能继续测试</x:v>
      </x:c>
      <x:c r="P27" s="9" t="str"/>
      <x:c r="Q27" s="9" t="str">
        <x:v>1. 跨日直播有效时长归属的选定规则主流程
2. 跨日直播有效时长归属的边界及失败分支</x:v>
      </x:c>
      <x:c r="R27" s="9" t="str">
        <x:v>多方确认</x:v>
      </x:c>
      <x:c r="S27" s="9" t="str">
        <x:v>相关功能验收前</x:v>
      </x:c>
      <x:c r="T27" s="9" t="str">
        <x:v>待确认</x:v>
      </x:c>
    </x:row>
    <x:row r="28" ht="145" customHeight="1">
      <x:c r="A28" s="10" t="str">
        <x:v>Q-027</x:v>
      </x:c>
      <x:c r="B28" s="10" t="str">
        <x:v>RQ-025</x:v>
      </x:c>
      <x:c r="C28" s="10" t="str"/>
      <x:c r="D28" s="10" t="str"/>
      <x:c r="E28" s="10" t="str">
        <x:v>部分阻塞</x:v>
      </x:c>
      <x:c r="F28" s="10" t="str">
        <x:v>主播中心</x:v>
      </x:c>
      <x:c r="G28" s="9" t="str">
        <x:v>跨日直播收益归属</x:v>
      </x:c>
      <x:c r="H28" s="9" t="str">
        <x:v>业务规则</x:v>
      </x:c>
      <x:c r="I28" s="9" t="str">
        <x:v>跨自然日场次的收益如何归属到业务日？</x:v>
      </x:c>
      <x:c r="J28" s="9" t="str">
        <x:v>A. 按实际发生时间切分到各日
B. 全部归入开播日</x:v>
      </x:c>
      <x:c r="K28" s="9" t="str">
        <x:v>请明确跨日直播收益归属的唯一口径及适用范围；确认前不将候选方案作为确定性预期。</x:v>
      </x:c>
      <x:c r="L28" s="12" t="str"/>
      <x:c r="M28" s="12" t="str"/>
      <x:c r="N28" s="10" t="str">
        <x: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x:v>
      </x:c>
      <x:c r="O28" s="9" t="str">
        <x:v>1. 主播中心
2. 仅隔离跨日直播收益归属相关的未确认分支；已确认功能继续测试</x:v>
      </x:c>
      <x:c r="P28" s="9" t="str"/>
      <x:c r="Q28" s="9" t="str">
        <x:v>1. 跨日直播收益归属的选定规则主流程
2. 跨日直播收益归属的边界及失败分支</x:v>
      </x:c>
      <x:c r="R28" s="9" t="str">
        <x:v>产品</x:v>
      </x:c>
      <x:c r="S28" s="9" t="str">
        <x:v>相关功能验收前</x:v>
      </x:c>
      <x:c r="T28" s="9" t="str">
        <x:v>待确认</x:v>
      </x:c>
    </x:row>
    <x:row r="29" ht="145" customHeight="1">
      <x:c r="A29" s="10" t="str">
        <x:v>Q-028</x:v>
      </x:c>
      <x:c r="B29" s="10" t="str">
        <x:v>RQ-026</x:v>
      </x:c>
      <x:c r="C29" s="10" t="str"/>
      <x:c r="D29" s="10" t="str"/>
      <x:c r="E29" s="10" t="str">
        <x:v>部分阻塞</x:v>
      </x:c>
      <x:c r="F29" s="10" t="str">
        <x:v>主播中心、直播、我的</x:v>
      </x:c>
      <x:c r="G29" s="9" t="str">
        <x:v>指标刷新时效</x:v>
      </x:c>
      <x:c r="H29" s="9" t="str">
        <x:v>业务规则</x:v>
      </x:c>
      <x:c r="I29" s="9" t="str">
        <x:v>用户App直播、收益和等级指标采用哪种更新时效？</x:v>
      </x:c>
      <x:c r="J29" s="9" t="str">
        <x:v>A. 每次变动后5秒内更新
B. 按业务自然分钟汇总，变动后60秒内更新</x:v>
      </x:c>
      <x:c r="K29" s="9" t="str">
        <x:v>建议A用于可即时观察的指标；两项均为待评估候选时限，请技术确认可行性后由产品选择，当前不作为正式验收值。</x:v>
      </x:c>
      <x:c r="L29" s="12" t="str"/>
      <x:c r="M29" s="12" t="str"/>
      <x:c r="N29" s="10" t="str">
        <x:v>1. liveshow-proto/MainBasis/需求待确认清单.md：行106；- [PENDING-metric-latency] 指标刷新时效：直播、收益和等级变动后，各端指标最迟何时应更新？ 选项：A. 实时更新并指定秒级上限；B. 按固定汇总周期更新。影响端：用户App、公会App、管理后台。依据：AN-2d643ddb84e1、AN-4c265a228f16。</x:v>
      </x:c>
      <x:c r="O29" s="9" t="str">
        <x:v>1. 主播中心、直播、我的
2. 仅隔离指标刷新时效相关的未确认分支；已确认功能继续测试</x:v>
      </x:c>
      <x:c r="P29" s="9" t="str"/>
      <x:c r="Q29" s="9" t="str">
        <x:v>1. 指标刷新时效的选定规则主流程
2. 指标刷新时效的边界及失败分支</x:v>
      </x:c>
      <x:c r="R29" s="9" t="str">
        <x:v>多方确认</x:v>
      </x:c>
      <x:c r="S29" s="9" t="str">
        <x:v>相关功能验收前</x:v>
      </x:c>
      <x:c r="T29" s="9" t="str">
        <x:v>待确认</x:v>
      </x:c>
    </x:row>
    <x:row r="30" ht="130" customHeight="1">
      <x:c r="A30" s="10" t="str">
        <x:v>Q-029</x:v>
      </x:c>
      <x:c r="B30" s="10" t="str">
        <x:v>RQ-027</x:v>
      </x:c>
      <x:c r="C30" s="10" t="str"/>
      <x:c r="D30" s="10" t="str"/>
      <x:c r="E30" s="10" t="str">
        <x:v>部分阻塞</x:v>
      </x:c>
      <x:c r="F30" s="10" t="str">
        <x:v>钱包与账单</x:v>
      </x:c>
      <x:c r="G30" s="9" t="str">
        <x:v>首充资格</x:v>
      </x:c>
      <x:c r="H30" s="9" t="str">
        <x:v>业务规则</x:v>
      </x:c>
      <x:c r="I30" s="9" t="str">
        <x:v>首充资格按哪种充值成功记录判定？</x:v>
      </x:c>
      <x:c r="J30" s="9" t="str">
        <x:v>A. 账号首次任意渠道成功充值
B. 各活动分别以首次购买判定</x:v>
      </x:c>
      <x:c r="K30" s="9" t="str">
        <x:v>请明确首充资格的唯一口径及适用范围；确认前不将候选方案作为确定性预期。</x:v>
      </x:c>
      <x:c r="L30" s="12" t="str"/>
      <x:c r="M30" s="12" t="str"/>
      <x:c r="N30" s="10" t="str">
        <x:v>1. liveshow-proto/MainBasis/需求待确认清单.md：行110；- [PENDING-first-recharge] 首充资格：首充资格按哪种充值成功记录判定？ 选项：A. 账号首次任意渠道成功充值；B. 各活动分别以首次购买判定。影响端：用户App、管理后台。依据：AN-b13d526e82bf。</x:v>
      </x:c>
      <x:c r="O30" s="9" t="str">
        <x:v>1. 钱包与账单
2. 仅隔离首充资格相关的未确认分支；已确认功能继续测试</x:v>
      </x:c>
      <x:c r="P30" s="9" t="str"/>
      <x:c r="Q30" s="9" t="str">
        <x:v>1. 首充资格的选定规则主流程
2. 首充资格的边界及失败分支</x:v>
      </x:c>
      <x:c r="R30" s="9" t="str">
        <x:v>产品</x:v>
      </x:c>
      <x:c r="S30" s="9" t="str">
        <x:v>相关功能验收前</x:v>
      </x:c>
      <x:c r="T30" s="9" t="str">
        <x:v>待确认</x:v>
      </x:c>
    </x:row>
    <x:row r="31" ht="130" customHeight="1">
      <x:c r="A31" s="10" t="str">
        <x:v>Q-030</x:v>
      </x:c>
      <x:c r="B31" s="10" t="str">
        <x:v>RQ-028</x:v>
      </x:c>
      <x:c r="C31" s="10" t="str"/>
      <x:c r="D31" s="10" t="str"/>
      <x:c r="E31" s="10" t="str">
        <x:v>部分阻塞</x:v>
      </x:c>
      <x:c r="F31" s="10" t="str">
        <x:v>钱包与账单</x:v>
      </x:c>
      <x:c r="G31" s="9" t="str">
        <x:v>首充购买后的展示</x:v>
      </x:c>
      <x:c r="H31" s="9" t="str">
        <x:v>业务规则</x:v>
      </x:c>
      <x:c r="I31" s="9" t="str">
        <x:v>首充套餐成功购买后，是否继续展示？</x:v>
      </x:c>
      <x:c r="J31" s="9" t="str">
        <x:v>A. 隐藏该套餐
B. 保留套餐并显示不可购买</x:v>
      </x:c>
      <x:c r="K31" s="9" t="str">
        <x:v>请明确首充购买后的展示的唯一口径及适用范围；确认前不将候选方案作为确定性预期。</x:v>
      </x:c>
      <x:c r="L31" s="12" t="str"/>
      <x:c r="M31" s="12" t="str"/>
      <x:c r="N31" s="10" t="str">
        <x:v>1. liveshow-proto/MainBasis/需求待确认清单.md：行114；- [PENDING-first-recharge-hide] 首充购买后的展示：首充套餐成功购买后，是否继续展示？ 选项：A. 隐藏该套餐；B. 保留套餐并显示不可购买。影响端：用户App。依据：AN-b13d526e82bf。</x:v>
      </x:c>
      <x:c r="O31" s="9" t="str">
        <x:v>1. 钱包与账单
2. 仅隔离首充购买后的展示相关的未确认分支；已确认功能继续测试</x:v>
      </x:c>
      <x:c r="P31" s="9" t="str"/>
      <x:c r="Q31" s="9" t="str">
        <x:v>1. 首充购买后的展示的选定规则主流程
2. 首充购买后的展示的边界及失败分支</x:v>
      </x:c>
      <x:c r="R31" s="9" t="str">
        <x:v>产品</x:v>
      </x:c>
      <x:c r="S31" s="9" t="str">
        <x:v>相关功能验收前</x:v>
      </x:c>
      <x:c r="T31" s="9" t="str">
        <x:v>待确认</x:v>
      </x:c>
    </x:row>
    <x:row r="32" ht="145" customHeight="1">
      <x:c r="A32" s="10" t="str">
        <x:v>Q-031</x:v>
      </x:c>
      <x:c r="B32" s="10" t="str">
        <x:v>RQ-029</x:v>
      </x:c>
      <x:c r="C32" s="10" t="str"/>
      <x:c r="D32" s="10" t="str"/>
      <x:c r="E32" s="10" t="str">
        <x:v>部分阻塞</x:v>
      </x:c>
      <x:c r="F32" s="10" t="str">
        <x:v>钱包与账单、直播</x:v>
      </x:c>
      <x:c r="G32" s="9" t="str">
        <x:v>支付中套餐过期</x:v>
      </x:c>
      <x:c r="H32" s="9" t="str">
        <x:v>业务规则</x:v>
      </x:c>
      <x:c r="I32" s="9" t="str">
        <x:v>支付已经发起但尚未完成时套餐过期，订单能否按快照继续完成？</x:v>
      </x:c>
      <x:c r="J32" s="9" t="str">
        <x:v>A. 在原订单有效期内继续支付
B. 过期即取消未支付订单</x:v>
      </x:c>
      <x:c r="K32" s="9" t="str">
        <x:v>请明确支付中套餐过期的唯一口径及适用范围；确认前不将候选方案作为确定性预期。</x:v>
      </x:c>
      <x:c r="L32" s="12" t="str"/>
      <x:c r="M32" s="12" t="str"/>
      <x:c r="N32" s="10" t="str">
        <x:v>1. liveshow-proto/MainBasis/需求待确认清单.md：行118；- [PENDING-recharge-expiry] 支付中套餐过期：支付已经发起但尚未完成时套餐过期，订单能否按快照继续完成？ 选项：A. 在原订单有效期内继续支付；B. 过期即取消未支付订单。影响端：用户App、管理后台。依据：AN-b13d526e82bf。</x:v>
      </x:c>
      <x:c r="O32" s="9" t="str">
        <x:v>1. 钱包与账单、直播
2. 仅隔离支付中套餐过期相关的未确认分支；已确认功能继续测试</x:v>
      </x:c>
      <x:c r="P32" s="9" t="str"/>
      <x:c r="Q32" s="9" t="str">
        <x:v>1. 支付中套餐过期的选定规则主流程
2. 支付中套餐过期的边界及失败分支</x:v>
      </x:c>
      <x:c r="R32" s="9" t="str">
        <x:v>产品</x:v>
      </x:c>
      <x:c r="S32" s="9" t="str">
        <x:v>相关功能验收前</x:v>
      </x:c>
      <x:c r="T32" s="9" t="str">
        <x:v>待确认</x:v>
      </x:c>
    </x:row>
    <x:row r="33" ht="130" customHeight="1">
      <x:c r="A33" s="10" t="str">
        <x:v>Q-032</x:v>
      </x:c>
      <x:c r="B33" s="10" t="str">
        <x:v>RQ-030</x:v>
      </x:c>
      <x:c r="C33" s="10" t="str"/>
      <x:c r="D33" s="10" t="str"/>
      <x:c r="E33" s="10" t="str">
        <x:v>部分阻塞</x:v>
      </x:c>
      <x:c r="F33" s="10" t="str">
        <x:v>钱包与账单、直播</x:v>
      </x:c>
      <x:c r="G33" s="9" t="str">
        <x:v>无可购套餐</x:v>
      </x:c>
      <x:c r="H33" s="9" t="str">
        <x:v>业务规则</x:v>
      </x:c>
      <x:c r="I33" s="9" t="str">
        <x:v>没有可购充值套餐时页面如何展示并引导？</x:v>
      </x:c>
      <x:c r="J33" s="9" t="str">
        <x:v>A. 空态且不可发起支付
B. 展示下架套餐但不可购买</x:v>
      </x:c>
      <x:c r="K33" s="9" t="str">
        <x:v>请明确无可购套餐的唯一口径及适用范围；确认前不将候选方案作为确定性预期。</x:v>
      </x:c>
      <x:c r="L33" s="12" t="str"/>
      <x:c r="M33" s="12" t="str"/>
      <x:c r="N33" s="10" t="str">
        <x:v>1. liveshow-proto/MainBasis/需求待确认清单.md：行122；- [PENDING-recharge-empty] 无可购套餐：没有可购充值套餐时页面如何展示并引导？ 选项：A. 空态且不可发起支付；B. 展示下架套餐但不可购买。影响端：用户App。依据：AN-b13d526e82bf。</x:v>
      </x:c>
      <x:c r="O33" s="9" t="str">
        <x:v>1. 钱包与账单、直播
2. 仅隔离无可购套餐相关的未确认分支；已确认功能继续测试</x:v>
      </x:c>
      <x:c r="P33" s="9" t="str"/>
      <x:c r="Q33" s="9" t="str">
        <x:v>1. 无可购套餐的选定规则主流程
2. 无可购套餐的边界及失败分支</x:v>
      </x:c>
      <x:c r="R33" s="9" t="str">
        <x:v>产品</x:v>
      </x:c>
      <x:c r="S33" s="9" t="str">
        <x:v>相关功能验收前</x:v>
      </x:c>
      <x:c r="T33" s="9" t="str">
        <x:v>待确认</x:v>
      </x:c>
    </x:row>
    <x:row r="34" ht="160" customHeight="1">
      <x:c r="A34" s="10" t="str">
        <x:v>Q-033</x:v>
      </x:c>
      <x:c r="B34" s="10" t="str">
        <x:v>RQ-031</x:v>
      </x:c>
      <x:c r="C34" s="10" t="str"/>
      <x:c r="D34" s="10" t="str"/>
      <x:c r="E34" s="10" t="str">
        <x:v>部分阻塞</x:v>
      </x:c>
      <x:c r="F34" s="10" t="str">
        <x:v>我的、直播、主播中心</x:v>
      </x:c>
      <x:c r="G34" s="9" t="str">
        <x:v>财富等级礼物计入口径</x:v>
      </x:c>
      <x:c r="H34" s="9" t="str">
        <x:v>计算与统计口径</x:v>
      </x:c>
      <x:c r="I34" s="9" t="str">
        <x:v>财富等级是否计入幸运礼物？</x:v>
      </x:c>
      <x:c r="J34" s="9" t="str">
        <x:v>A. 仅计入普通和定制礼物
B. 普通、定制和幸运礼物均计入</x:v>
      </x:c>
      <x:c r="K34" s="9" t="str">
        <x:v>建议B，礼物范围完整；幸运礼物的计入金额由对应追问单独确认。</x:v>
      </x:c>
      <x:c r="L34" s="12" t="str"/>
      <x:c r="M34" s="12" t="str"/>
      <x:c r="N34"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4" s="9" t="str">
        <x:v>1. 我的、直播、主播中心
2. 仅隔离财富等级礼物计入口径相关的未确认分支；已确认功能继续测试</x:v>
      </x:c>
      <x:c r="P34" s="9" t="str"/>
      <x:c r="Q34" s="9" t="str">
        <x:v>1. 财富等级礼物计入口径的选定规则主流程
2. 财富等级礼物计入口径的边界及失败分支</x:v>
      </x:c>
      <x:c r="R34" s="9" t="str">
        <x:v>多方确认</x:v>
      </x:c>
      <x:c r="S34" s="9" t="str">
        <x:v>相关功能验收前</x:v>
      </x:c>
      <x:c r="T34" s="9" t="str">
        <x:v>待确认</x:v>
      </x:c>
    </x:row>
    <x:row r="35" ht="160" hidden="1" customHeight="1">
      <x:c r="A35" s="23" t="str">
        <x:v>Q-033-01</x:v>
      </x:c>
      <x:c r="B35" s="10" t="str">
        <x:v>RQ-031</x:v>
      </x:c>
      <x:c r="C35" s="10" t="str">
        <x:v>Q-033</x:v>
      </x:c>
      <x:c r="D35" s="23" t="str">
        <x:v>Q-033选择B时</x:v>
      </x:c>
      <x:c r="E35" s="10" t="str">
        <x:v>部分阻塞</x:v>
      </x:c>
      <x:c r="F35" s="10" t="str">
        <x:v>我的、直播、主播中心</x:v>
      </x:c>
      <x:c r="G35" s="9" t="str">
        <x:v>财富等级中的幸运礼物计入金额</x:v>
      </x:c>
      <x:c r="H35" s="9" t="str">
        <x:v>计算与统计口径</x:v>
      </x:c>
      <x:c r="I35" s="9" t="str">
        <x:v>幸运礼物按什么金额计入财富等级？</x:v>
      </x:c>
      <x:c r="J35" s="9" t="str">
        <x:v>A. 按成功送出价值计入，不扣返奖
B. 按送出价值减返奖后的净消耗计入</x:v>
      </x:c>
      <x:c r="K35" s="9" t="str">
        <x:v>建议A，与已确认的贡献榜计入口径一致；等级口径仍须单独确认。</x:v>
      </x:c>
      <x:c r="L35" s="12" t="str"/>
      <x:c r="M35" s="12" t="str"/>
      <x:c r="N35"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5" s="9" t="str">
        <x:v>1. 我的、直播、主播中心
2. 仅隔离财富等级礼物计入口径相关的未确认分支；已确认功能继续测试</x:v>
      </x:c>
      <x:c r="P35" s="9" t="str"/>
      <x:c r="Q35" s="9" t="str">
        <x:v>1. 财富等级礼物计入口径的选定规则主流程
2. 财富等级礼物计入口径的边界及失败分支</x:v>
      </x:c>
      <x:c r="R35" s="9" t="str">
        <x:v>多方确认</x:v>
      </x:c>
      <x:c r="S35" s="9" t="str">
        <x:v>相关功能验收前</x:v>
      </x:c>
      <x:c r="T35" s="9" t="str">
        <x:v>待前置结论</x:v>
      </x:c>
    </x:row>
    <x:row r="36" ht="160" customHeight="1">
      <x:c r="A36" s="10" t="str">
        <x:v>Q-034</x:v>
      </x:c>
      <x:c r="B36" s="10" t="str">
        <x:v>RQ-031</x:v>
      </x:c>
      <x:c r="C36" s="10" t="str"/>
      <x:c r="D36" s="10" t="str"/>
      <x:c r="E36" s="10" t="str">
        <x:v>部分阻塞</x:v>
      </x:c>
      <x:c r="F36" s="10" t="str">
        <x:v>我的、直播、主播中心</x:v>
      </x:c>
      <x:c r="G36" s="9" t="str">
        <x:v>粉丝等级礼物计入口径</x:v>
      </x:c>
      <x:c r="H36" s="9" t="str">
        <x:v>计算与统计口径</x:v>
      </x:c>
      <x:c r="I36" s="9" t="str">
        <x:v>粉丝等级是否计入幸运礼物？</x:v>
      </x:c>
      <x:c r="J36" s="9" t="str">
        <x:v>A. 仅计入普通和定制礼物
B. 普通、定制和幸运礼物均计入</x:v>
      </x:c>
      <x:c r="K36" s="9" t="str">
        <x:v>建议B，礼物范围完整；幸运礼物的计入金额由对应追问单独确认。</x:v>
      </x:c>
      <x:c r="L36" s="12" t="str"/>
      <x:c r="M36" s="12" t="str"/>
      <x:c r="N36"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6" s="9" t="str">
        <x:v>1. 我的、直播、主播中心
2. 仅隔离粉丝等级礼物计入口径相关的未确认分支；已确认功能继续测试</x:v>
      </x:c>
      <x:c r="P36" s="9" t="str"/>
      <x:c r="Q36" s="9" t="str">
        <x:v>1. 粉丝等级礼物计入口径的选定规则主流程
2. 粉丝等级礼物计入口径的边界及失败分支</x:v>
      </x:c>
      <x:c r="R36" s="9" t="str">
        <x:v>多方确认</x:v>
      </x:c>
      <x:c r="S36" s="9" t="str">
        <x:v>相关功能验收前</x:v>
      </x:c>
      <x:c r="T36" s="9" t="str">
        <x:v>待确认</x:v>
      </x:c>
    </x:row>
    <x:row r="37" ht="160" hidden="1" customHeight="1">
      <x:c r="A37" s="23" t="str">
        <x:v>Q-034-01</x:v>
      </x:c>
      <x:c r="B37" s="10" t="str">
        <x:v>RQ-031</x:v>
      </x:c>
      <x:c r="C37" s="10" t="str">
        <x:v>Q-034</x:v>
      </x:c>
      <x:c r="D37" s="23" t="str">
        <x:v>Q-034选择B时</x:v>
      </x:c>
      <x:c r="E37" s="10" t="str">
        <x:v>部分阻塞</x:v>
      </x:c>
      <x:c r="F37" s="10" t="str">
        <x:v>我的、直播、主播中心</x:v>
      </x:c>
      <x:c r="G37" s="9" t="str">
        <x:v>粉丝等级中的幸运礼物计入金额</x:v>
      </x:c>
      <x:c r="H37" s="9" t="str">
        <x:v>计算与统计口径</x:v>
      </x:c>
      <x:c r="I37" s="9" t="str">
        <x:v>幸运礼物按什么金额计入粉丝等级？</x:v>
      </x:c>
      <x:c r="J37" s="9" t="str">
        <x:v>A. 按成功送出价值计入，不扣返奖
B. 按送出价值减返奖后的净消耗计入</x:v>
      </x:c>
      <x:c r="K37" s="9" t="str">
        <x:v>建议A，与已确认的贡献榜计入口径一致；等级口径仍须单独确认。</x:v>
      </x:c>
      <x:c r="L37" s="12" t="str"/>
      <x:c r="M37" s="12" t="str"/>
      <x:c r="N37" s="10" t="str">
        <x: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x:v>
      </x:c>
      <x:c r="O37" s="9" t="str">
        <x:v>1. 我的、直播、主播中心
2. 仅隔离粉丝等级礼物计入口径相关的未确认分支；已确认功能继续测试</x:v>
      </x:c>
      <x:c r="P37" s="9" t="str"/>
      <x:c r="Q37" s="9" t="str">
        <x:v>1. 粉丝等级礼物计入口径的选定规则主流程
2. 粉丝等级礼物计入口径的边界及失败分支</x:v>
      </x:c>
      <x:c r="R37" s="9" t="str">
        <x:v>多方确认</x:v>
      </x:c>
      <x:c r="S37" s="9" t="str">
        <x:v>相关功能验收前</x:v>
      </x:c>
      <x:c r="T37" s="9" t="str">
        <x:v>待前置结论</x:v>
      </x:c>
    </x:row>
    <x:row r="38" ht="145" customHeight="1">
      <x:c r="A38" s="10" t="str">
        <x:v>Q-035</x:v>
      </x:c>
      <x:c r="B38" s="10" t="str">
        <x:v>RQ-032</x:v>
      </x:c>
      <x:c r="C38" s="10" t="str"/>
      <x:c r="D38" s="10" t="str"/>
      <x:c r="E38" s="10" t="str">
        <x:v>部分阻塞</x:v>
      </x:c>
      <x:c r="F38" s="10" t="str">
        <x:v>我的、主播中心</x:v>
      </x:c>
      <x:c r="G38" s="9" t="str">
        <x:v>粉丝团累计收礼归属</x:v>
      </x:c>
      <x:c r="H38" s="9" t="str">
        <x:v>业务规则</x:v>
      </x:c>
      <x:c r="I38" s="9" t="str">
        <x:v>粉丝团等级累计收礼是否只计有效团员在入团期间的赠礼？</x:v>
      </x:c>
      <x:c r="J38" s="9" t="str">
        <x:v>A. 只计有效团员在团期间赠礼
B. 计入该主播的全部有效收礼</x:v>
      </x:c>
      <x:c r="K38" s="9" t="str">
        <x:v>请明确粉丝团累计收礼归属的唯一口径及适用范围；确认前不将候选方案作为确定性预期。</x:v>
      </x:c>
      <x:c r="L38" s="12" t="str"/>
      <x:c r="M38" s="12" t="str"/>
      <x:c r="N38" s="10" t="str">
        <x:v>1. liveshow-proto/MainBasis/需求待确认清单.md：行130；- [PENDING-club-level-attribution] 粉丝团累计收礼归属：粉丝团等级累计收礼是否只计有效团员在入团期间的赠礼？ 选项：A. 只计有效团员在团期间赠礼；B. 计入该主播的全部有效收礼。影响端：用户App、管理后台。依据：AN-3839cfde3299。</x:v>
      </x:c>
      <x:c r="O38" s="9" t="str">
        <x:v>1. 我的、主播中心
2. 仅隔离粉丝团累计收礼归属相关的未确认分支；已确认功能继续测试</x:v>
      </x:c>
      <x:c r="P38" s="9" t="str"/>
      <x:c r="Q38" s="9" t="str">
        <x:v>1. 粉丝团累计收礼归属的选定规则主流程
2. 粉丝团累计收礼归属的边界及失败分支</x:v>
      </x:c>
      <x:c r="R38" s="9" t="str">
        <x:v>产品</x:v>
      </x:c>
      <x:c r="S38" s="9" t="str">
        <x:v>相关功能验收前</x:v>
      </x:c>
      <x:c r="T38" s="9" t="str">
        <x:v>待确认</x:v>
      </x:c>
    </x:row>
    <x:row r="39" ht="160" customHeight="1">
      <x:c r="A39" s="10" t="str">
        <x:v>Q-036</x:v>
      </x:c>
      <x:c r="B39" s="10" t="str">
        <x:v>RQ-033</x:v>
      </x:c>
      <x:c r="C39" s="10" t="str"/>
      <x:c r="D39" s="10" t="str"/>
      <x:c r="E39" s="10" t="str">
        <x:v>部分阻塞</x:v>
      </x:c>
      <x:c r="F39" s="10" t="str">
        <x:v>钱包与账单、直播、主播中心</x:v>
      </x:c>
      <x:c r="G39" s="9" t="str">
        <x:v>小数收益存储精度</x:v>
      </x:c>
      <x:c r="H39" s="9" t="str">
        <x:v>计算与统计口径</x:v>
      </x:c>
      <x:c r="I39" s="9" t="str">
        <x:v>不足1金币的单笔幸运礼物收益如何存储？</x:v>
      </x:c>
      <x:c r="J39" s="9" t="str">
        <x:v>A. 保存整数，截去不足1金币部分
B. 保存两位小数，截去其后位数
C. 保存两位小数，按第三位四舍五入</x:v>
      </x:c>
      <x:c r="K39" s="9" t="str">
        <x:v>请明确小数收益存储精度的唯一口径及适用范围；确认前不将候选方案作为确定性预期。</x:v>
      </x:c>
      <x:c r="L39" s="12" t="str"/>
      <x:c r="M39" s="12" t="str"/>
      <x:c r="N39"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39" s="9" t="str">
        <x:v>1. 钱包与账单、直播、主播中心
2. 仅隔离小数收益存储精度相关的未确认分支；已确认功能继续测试</x:v>
      </x:c>
      <x:c r="P39" s="9" t="str"/>
      <x:c r="Q39" s="9" t="str">
        <x:v>1. 小数收益存储精度的选定规则主流程
2. 小数收益存储精度的边界及失败分支</x:v>
      </x:c>
      <x:c r="R39" s="9" t="str">
        <x:v>多方确认</x:v>
      </x:c>
      <x:c r="S39" s="9" t="str">
        <x:v>相关功能验收前</x:v>
      </x:c>
      <x:c r="T39" s="9" t="str">
        <x:v>待确认</x:v>
      </x:c>
    </x:row>
    <x:row r="40" ht="160" hidden="1" customHeight="1">
      <x:c r="A40" s="23" t="str">
        <x:v>Q-036-01</x:v>
      </x:c>
      <x:c r="B40" s="10" t="str">
        <x:v>RQ-033</x:v>
      </x:c>
      <x:c r="C40" s="10" t="str">
        <x:v>Q-036</x:v>
      </x:c>
      <x:c r="D40" s="23" t="str">
        <x:v>Q-036选择B或C（保存两位小数）时</x:v>
      </x:c>
      <x:c r="E40" s="10" t="str">
        <x:v>部分阻塞</x:v>
      </x:c>
      <x:c r="F40" s="10" t="str">
        <x:v>钱包与账单、直播、主播中心</x:v>
      </x:c>
      <x:c r="G40" s="9" t="str">
        <x:v>小数收益展示</x:v>
      </x:c>
      <x:c r="H40" s="9" t="str">
        <x:v>业务规则</x:v>
      </x:c>
      <x:c r="I40" s="9" t="str">
        <x:v>客户端展示小数收益时采用什么规则？</x:v>
      </x:c>
      <x:c r="J40" s="9" t="str">
        <x:v>A. 按存储值显示两位小数
B. 四舍五入显示整数
C. 截断显示整数</x:v>
      </x:c>
      <x:c r="K40" s="9" t="str">
        <x:v>请明确小数收益展示的唯一口径及适用范围；确认前不将候选方案作为确定性预期。</x:v>
      </x:c>
      <x:c r="L40" s="12" t="str"/>
      <x:c r="M40" s="12" t="str"/>
      <x:c r="N40"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40" s="9" t="str">
        <x:v>1. 钱包与账单、直播、主播中心
2. 仅隔离小数收益展示相关的未确认分支；已确认功能继续测试</x:v>
      </x:c>
      <x:c r="P40" s="9" t="str"/>
      <x:c r="Q40" s="9" t="str">
        <x:v>1. 小数收益展示的选定规则主流程
2. 小数收益展示的边界及失败分支</x:v>
      </x:c>
      <x:c r="R40" s="9" t="str">
        <x:v>产品</x:v>
      </x:c>
      <x:c r="S40" s="9" t="str">
        <x:v>相关功能验收前</x:v>
      </x:c>
      <x:c r="T40" s="9" t="str">
        <x:v>待前置结论</x:v>
      </x:c>
    </x:row>
    <x:row r="41" ht="160" customHeight="1">
      <x:c r="A41" s="10" t="str">
        <x:v>Q-037</x:v>
      </x:c>
      <x:c r="B41" s="10" t="str">
        <x:v>RQ-033</x:v>
      </x:c>
      <x:c r="C41" s="10" t="str"/>
      <x:c r="D41" s="10" t="str"/>
      <x:c r="E41" s="10" t="str">
        <x:v>部分阻塞</x:v>
      </x:c>
      <x:c r="F41" s="10" t="str">
        <x:v>钱包与账单、直播、主播中心</x:v>
      </x:c>
      <x:c r="G41" s="9" t="str">
        <x:v>小数收益累计顺序</x:v>
      </x:c>
      <x:c r="H41" s="9" t="str">
        <x:v>计算与统计口径</x:v>
      </x:c>
      <x:c r="I41" s="9" t="str">
        <x:v>小数收益先逐笔处理精度再累计，还是先累计再处理精度？</x:v>
      </x:c>
      <x:c r="J41" s="9" t="str">
        <x:v>A. 逐笔处理精度后相加
B. 保留原精度相加后统一处理</x:v>
      </x:c>
      <x:c r="K41" s="9" t="str">
        <x:v>请明确小数收益累计顺序的唯一口径及适用范围；确认前不将候选方案作为确定性预期。</x:v>
      </x:c>
      <x:c r="L41" s="12" t="str"/>
      <x:c r="M41" s="12" t="str"/>
      <x:c r="N41" s="10" t="str">
        <x: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x:v>
      </x:c>
      <x:c r="O41" s="9" t="str">
        <x:v>1. 钱包与账单、直播、主播中心
2. 仅隔离小数收益累计顺序相关的未确认分支；已确认功能继续测试</x:v>
      </x:c>
      <x:c r="P41" s="9" t="str"/>
      <x:c r="Q41" s="9" t="str">
        <x:v>1. 小数收益累计顺序的选定规则主流程
2. 小数收益累计顺序的边界及失败分支</x:v>
      </x:c>
      <x:c r="R41" s="9" t="str">
        <x:v>多方确认</x:v>
      </x:c>
      <x:c r="S41" s="9" t="str">
        <x:v>相关功能验收前</x:v>
      </x:c>
      <x:c r="T41" s="9" t="str">
        <x:v>待确认</x:v>
      </x:c>
    </x:row>
    <x:row r="42" ht="145" customHeight="1">
      <x:c r="A42" s="10" t="str">
        <x:v>Q-038</x:v>
      </x:c>
      <x:c r="B42" s="10" t="str">
        <x:v>RQ-034</x:v>
      </x:c>
      <x:c r="C42" s="10" t="str"/>
      <x:c r="D42" s="10" t="str"/>
      <x:c r="E42" s="10" t="str">
        <x:v>部分阻塞</x:v>
      </x:c>
      <x:c r="F42" s="10" t="str">
        <x:v>我的、主播中心</x:v>
      </x:c>
      <x:c r="G42" s="9" t="str">
        <x:v>等级冲正与降级</x:v>
      </x:c>
      <x:c r="H42" s="9" t="str">
        <x:v>计算与统计口径</x:v>
      </x:c>
      <x:c r="I42" s="9" t="str">
        <x:v>充值退款、消费冲正或撤销分别是否回扣成长值，以及是否降级？</x:v>
      </x:c>
      <x:c r="J42" s="9" t="str">
        <x:v>A. 按被撤销的有效赠礼回扣并重算等级
B. 回扣成长值但保留已达等级</x:v>
      </x:c>
      <x:c r="K42" s="9" t="str">
        <x:v>请明确等级冲正与降级的唯一口径及适用范围；确认前不将候选方案作为确定性预期。</x:v>
      </x:c>
      <x:c r="L42" s="12" t="str"/>
      <x:c r="M42" s="12" t="str"/>
      <x:c r="N42" s="10" t="str">
        <x:v>1. liveshow-proto/MainBasis/需求待确认清单.md：行138；- [PENDING-level-reversal] 等级冲正与降级：充值退款、消费冲正或撤销分别是否回扣成长值，以及是否降级？ 选项：A. 按被撤销的有效赠礼回扣并重算等级；B. 回扣成长值但保留已达等级。影响端：用户App、管理后台。依据：AN-4c265a228f16。</x:v>
      </x:c>
      <x:c r="O42" s="9" t="str">
        <x:v>1. 我的、主播中心
2. 仅隔离等级冲正与降级相关的未确认分支；已确认功能继续测试</x:v>
      </x:c>
      <x:c r="P42" s="9" t="str"/>
      <x:c r="Q42" s="9" t="str">
        <x:v>1. 等级冲正与降级的选定规则主流程
2. 等级冲正与降级的边界及失败分支</x:v>
      </x:c>
      <x:c r="R42" s="9" t="str">
        <x:v>多方确认</x:v>
      </x:c>
      <x:c r="S42" s="9" t="str">
        <x:v>相关功能验收前</x:v>
      </x:c>
      <x:c r="T42" s="9" t="str">
        <x:v>待确认</x:v>
      </x:c>
    </x:row>
    <x:row r="43" ht="130" customHeight="1">
      <x:c r="A43" s="10" t="str">
        <x:v>Q-039</x:v>
      </x:c>
      <x:c r="B43" s="10" t="str">
        <x:v>RQ-035</x:v>
      </x:c>
      <x:c r="C43" s="10" t="str"/>
      <x:c r="D43" s="10" t="str"/>
      <x:c r="E43" s="10" t="str">
        <x:v>部分阻塞</x:v>
      </x:c>
      <x:c r="F43" s="10" t="str">
        <x:v>我的、消息与社交、直播、主播中心</x:v>
      </x:c>
      <x:c r="G43" s="9" t="str">
        <x:v>历史等级快照</x:v>
      </x:c>
      <x:c r="H43" s="9" t="str">
        <x:v>计算与统计口径</x:v>
      </x:c>
      <x:c r="I43" s="9" t="str">
        <x:v>调整等级阈值后历史记录展示原等级还是重算等级？</x:v>
      </x:c>
      <x:c r="J43" s="9" t="str">
        <x:v>A. 保留事件发生时等级
B. 显示当前重算等级</x:v>
      </x:c>
      <x:c r="K43" s="9" t="str">
        <x:v>请明确历史等级快照的唯一口径及适用范围；确认前不将候选方案作为确定性预期。</x:v>
      </x:c>
      <x:c r="L43" s="12" t="str"/>
      <x:c r="M43" s="12" t="str"/>
      <x:c r="N43" s="10" t="str">
        <x:v>1. liveshow-proto/MainBasis/需求待确认清单.md：行142；- [PENDING-level-history] 历史等级快照：调整等级阈值后历史记录展示原等级还是重算等级？ 选项：A. 保留事件发生时等级；B. 显示当前重算等级。影响端：用户App、公会App、管理后台。依据：AN-10e4cbde5c33。</x:v>
      </x:c>
      <x:c r="O43" s="9" t="str">
        <x:v>1. 我的、消息与社交、直播、主播中心
2. 仅隔离历史等级快照相关的未确认分支；已确认功能继续测试</x:v>
      </x:c>
      <x:c r="P43" s="9" t="str"/>
      <x:c r="Q43" s="9" t="str">
        <x:v>1. 历史等级快照的选定规则主流程
2. 历史等级快照的边界及失败分支</x:v>
      </x:c>
      <x:c r="R43" s="9" t="str">
        <x:v>多方确认</x:v>
      </x:c>
      <x:c r="S43" s="9" t="str">
        <x:v>相关功能验收前</x:v>
      </x:c>
      <x:c r="T43" s="9" t="str">
        <x:v>待确认</x:v>
      </x:c>
    </x:row>
    <x:row r="44" ht="145" customHeight="1">
      <x:c r="A44" s="10" t="str">
        <x:v>Q-040</x:v>
      </x:c>
      <x:c r="B44" s="10" t="str">
        <x:v>RQ-036</x:v>
      </x:c>
      <x:c r="C44" s="10" t="str"/>
      <x:c r="D44" s="10" t="str"/>
      <x:c r="E44" s="10" t="str">
        <x:v>部分阻塞</x:v>
      </x:c>
      <x:c r="F44" s="10" t="str">
        <x:v>我的、消息与社交、直播</x:v>
      </x:c>
      <x:c r="G44" s="9" t="str">
        <x:v>等级勋章图刷新</x:v>
      </x:c>
      <x:c r="H44" s="9" t="str">
        <x:v>计算与统计口径</x:v>
      </x:c>
      <x:c r="I44" s="9" t="str">
        <x:v>后台修改等级勋章图后，客户端何时刷新？</x:v>
      </x:c>
      <x:c r="J44" s="9" t="str">
        <x:v>A. 下一次加载资料时更新
B. 重新登录后更新
C. 图片缓存5分钟，到期后下一次加载更新</x:v>
      </x:c>
      <x:c r="K44" s="9" t="str">
        <x:v>请明确等级勋章图刷新的唯一口径及适用范围；确认前不将候选方案作为确定性预期。</x:v>
      </x:c>
      <x:c r="L44" s="12" t="str"/>
      <x:c r="M44" s="12" t="str"/>
      <x:c r="N44" s="10" t="str">
        <x:v>1. liveshow-proto/MainBasis/需求待确认清单.md：行146；- [PENDING-badge-refresh] 等级勋章图刷新：后台修改等级勋章图后，客户端何时刷新？ 选项：A. 下一次加载资料时更新；B. 重新登录后更新；C. 按明确缓存有效期更新。影响端：用户App、管理后台。依据：AN-10e4cbde5c33。</x:v>
      </x:c>
      <x:c r="O44" s="9" t="str">
        <x:v>1. 我的、消息与社交、直播
2. 仅隔离等级勋章图刷新相关的未确认分支；已确认功能继续测试</x:v>
      </x:c>
      <x:c r="P44" s="9" t="str"/>
      <x:c r="Q44" s="9" t="str">
        <x:v>1. 等级勋章图刷新的选定规则主流程
2. 等级勋章图刷新的边界及失败分支</x:v>
      </x:c>
      <x:c r="R44" s="9" t="str">
        <x:v>多方确认</x:v>
      </x:c>
      <x:c r="S44" s="9" t="str">
        <x:v>相关功能验收前</x:v>
      </x:c>
      <x:c r="T44" s="9" t="str">
        <x:v>待确认</x:v>
      </x:c>
    </x:row>
    <x:row r="45" ht="130" customHeight="1">
      <x:c r="A45" s="10" t="str">
        <x:v>Q-041</x:v>
      </x:c>
      <x:c r="B45" s="10" t="str">
        <x:v>RQ-037</x:v>
      </x:c>
      <x:c r="C45" s="10" t="str"/>
      <x:c r="D45" s="10" t="str"/>
      <x:c r="E45" s="10" t="str">
        <x:v>部分阻塞</x:v>
      </x:c>
      <x:c r="F45" s="10" t="str">
        <x:v>我的、消息与社交、直播</x:v>
      </x:c>
      <x:c r="G45" s="9" t="str">
        <x:v>等级勋章图片缺失</x:v>
      </x:c>
      <x:c r="H45" s="9" t="str">
        <x:v>计算与统计口径</x:v>
      </x:c>
      <x:c r="I45" s="9" t="str">
        <x:v>等级勋章图无法加载时客户端显示什么？</x:v>
      </x:c>
      <x:c r="J45" s="9" t="str">
        <x:v>A. 显示默认等级图
B. 只显示等级文字</x:v>
      </x:c>
      <x:c r="K45" s="9" t="str">
        <x:v>请明确等级勋章图片缺失的唯一口径及适用范围；确认前不将候选方案作为确定性预期。</x:v>
      </x:c>
      <x:c r="L45" s="12" t="str"/>
      <x:c r="M45" s="12" t="str"/>
      <x:c r="N45" s="10" t="str">
        <x:v>1. liveshow-proto/MainBasis/需求待确认清单.md：行150；- [PENDING-badge-fallback] 等级勋章图片缺失：等级勋章图无法加载时客户端显示什么？ 选项：A. 显示默认等级图；B. 只显示等级文字。影响端：用户App、管理后台。依据：AN-d8d7a1c44fc2。</x:v>
      </x:c>
      <x:c r="O45" s="9" t="str">
        <x:v>1. 我的、消息与社交、直播
2. 仅隔离等级勋章图片缺失相关的未确认分支；已确认功能继续测试</x:v>
      </x:c>
      <x:c r="P45" s="9" t="str"/>
      <x:c r="Q45" s="9" t="str">
        <x:v>1. 等级勋章图片缺失的选定规则主流程
2. 等级勋章图片缺失的边界及失败分支</x:v>
      </x:c>
      <x:c r="R45" s="9" t="str">
        <x:v>多方确认</x:v>
      </x:c>
      <x:c r="S45" s="9" t="str">
        <x:v>相关功能验收前</x:v>
      </x:c>
      <x:c r="T45" s="9" t="str">
        <x:v>待确认</x:v>
      </x:c>
    </x:row>
    <x:row r="46" ht="130" customHeight="1">
      <x:c r="A46" s="10" t="str">
        <x:v>Q-042</x:v>
      </x:c>
      <x:c r="B46" s="10" t="str">
        <x:v>RQ-038</x:v>
      </x:c>
      <x:c r="C46" s="10" t="str"/>
      <x:c r="D46" s="10" t="str"/>
      <x:c r="E46" s="10" t="str">
        <x:v>部分阻塞</x:v>
      </x:c>
      <x:c r="F46" s="10" t="str">
        <x:v>主播中心</x:v>
      </x:c>
      <x:c r="G46" s="9" t="str">
        <x:v>分成记录详情</x:v>
      </x:c>
      <x:c r="H46" s="9" t="str">
        <x:v>业务规则</x:v>
      </x:c>
      <x:c r="I46" s="9" t="str">
        <x:v>点击主播分成记录后，本期是否提供独立详情页？</x:v>
      </x:c>
      <x:c r="J46" s="9" t="str">
        <x:v>A. 仅保留当前只读列表
B. 新增该笔分成详情页</x:v>
      </x:c>
      <x:c r="K46" s="9" t="str">
        <x:v>请明确分成记录详情的唯一口径及适用范围；确认前不将候选方案作为确定性预期。</x:v>
      </x:c>
      <x:c r="L46" s="12" t="str"/>
      <x:c r="M46" s="12" t="str"/>
      <x:c r="N46" s="10" t="str">
        <x:v>1. liveshow-proto/MainBasis/需求待确认清单.md：行154；- [PENDING-share-detail] 分成记录详情：主播点击分成日期记录后是否提供可操作的详情页，详情包含哪些内容？ 选项：A. 仅保留当前只读列表；B. 新增该笔分成详情页。影响端：用户App。依据：AN-7fdf6bcdd026。</x:v>
      </x:c>
      <x:c r="O46" s="9" t="str">
        <x:v>1. 主播中心
2. 仅隔离分成记录详情相关的未确认分支；已确认功能继续测试</x:v>
      </x:c>
      <x:c r="P46" s="9" t="str"/>
      <x:c r="Q46" s="9" t="str">
        <x:v>1. 分成记录详情的选定规则主流程
2. 分成记录详情的边界及失败分支</x:v>
      </x:c>
      <x:c r="R46" s="9" t="str">
        <x:v>产品</x:v>
      </x:c>
      <x:c r="S46" s="9" t="str">
        <x:v>相关功能验收前</x:v>
      </x:c>
      <x:c r="T46" s="9" t="str">
        <x:v>待确认</x:v>
      </x:c>
    </x:row>
    <x:row r="47" ht="145" customHeight="1">
      <x:c r="A47" s="10" t="str">
        <x:v>Q-043</x:v>
      </x:c>
      <x:c r="B47" s="10" t="str">
        <x:v>RQ-039</x:v>
      </x:c>
      <x:c r="C47" s="10" t="str"/>
      <x:c r="D47" s="10" t="str"/>
      <x:c r="E47" s="10" t="str">
        <x:v>部分阻塞</x:v>
      </x:c>
      <x:c r="F47" s="10" t="str">
        <x:v>消息与社交</x:v>
      </x:c>
      <x:c r="G47" s="9" t="str">
        <x:v>粉丝群举报对象</x:v>
      </x:c>
      <x:c r="H47" s="9" t="str">
        <x:v>角色与权限</x:v>
      </x:c>
      <x:c r="I47" s="9" t="str">
        <x:v>群管理的举报针对群、群主还是具体消息？</x:v>
      </x:c>
      <x:c r="J47" s="9" t="str">
        <x:v>A. 举报群主账号
B. 举报指定消息及其发送者
C. 单独举报粉丝群</x:v>
      </x:c>
      <x:c r="K47" s="9" t="str">
        <x:v>请明确粉丝群举报对象的唯一口径及适用范围；确认前不将候选方案作为确定性预期。</x:v>
      </x:c>
      <x:c r="L47" s="12" t="str"/>
      <x:c r="M47" s="12" t="str"/>
      <x:c r="N47" s="10" t="str">
        <x:v>1. liveshow-proto/MainBasis/需求待确认清单.md：行158；- [PENDING-group-report] 粉丝群举报对象：群管理的举报针对群、群主还是具体消息？ 选项：A. 举报群主账号；B. 举报指定消息及其发送者；C. 单独举报粉丝群。影响端：用户App、管理后台。依据：AN-3bc6aef15073。</x:v>
      </x:c>
      <x:c r="O47" s="9" t="str">
        <x:v>1. 消息与社交
2. 仅隔离粉丝群举报对象相关的未确认分支；已确认功能继续测试</x:v>
      </x:c>
      <x:c r="P47" s="9" t="str"/>
      <x:c r="Q47" s="9" t="str">
        <x:v>1. 粉丝群举报对象的选定规则主流程
2. 粉丝群举报对象的边界及失败分支</x:v>
      </x:c>
      <x:c r="R47" s="9" t="str">
        <x:v>产品</x:v>
      </x:c>
      <x:c r="S47" s="9" t="str">
        <x:v>相关功能验收前</x:v>
      </x:c>
      <x:c r="T47" s="9" t="str">
        <x:v>待确认</x:v>
      </x:c>
    </x:row>
    <x:row r="48" ht="115" customHeight="1">
      <x:c r="A48" s="10" t="str">
        <x:v>Q-044</x:v>
      </x:c>
      <x:c r="B48" s="10" t="str">
        <x:v>RQ-040</x:v>
      </x:c>
      <x:c r="C48" s="10" t="str"/>
      <x:c r="D48" s="10" t="str"/>
      <x:c r="E48" s="10" t="str">
        <x:v>部分阻塞</x:v>
      </x:c>
      <x:c r="F48" s="10" t="str">
        <x:v>首页与福利</x:v>
      </x:c>
      <x:c r="G48" s="9" t="str">
        <x:v>去完成入口</x:v>
      </x:c>
      <x:c r="H48" s="9" t="str">
        <x:v>流程与状态</x:v>
      </x:c>
      <x:c r="I48" s="9" t="str">
        <x:v>全部任务中点击“去完成”，各任务分别直接跳转到哪个入口，哪些任务只显示路径提示？</x:v>
      </x:c>
      <x:c r="J48" s="9" t="str">
        <x:v>A. 各任务均直接跳转（补充任务与入口对应关系）
B. 各任务均仅提示完成路径
C. 按任务分别指定跳转或路径提示</x:v>
      </x:c>
      <x:c r="K48" s="9" t="str">
        <x:v>条款只写进入对应功能或提示前往路径，未区分各任务的唯一去向；保留问题，避免一个预期包含互斥结果。</x:v>
      </x:c>
      <x:c r="L48" s="12" t="str"/>
      <x:c r="M48" s="12" t="str"/>
      <x:c r="N48" s="10" t="str">
        <x:v>1. liveshow-proto/MainBasis/统一需求文档.md：行635；- [REQ-29668ff3f5d8] 点击去完成 -&gt; 进入对应功能或提示前往路径。〔来源：AN-8c95e92c24b3；liveshow-proto/prototype/annotations/user.js；all-tasks.html/交互/1〕</x:v>
      </x:c>
      <x:c r="O48" s="9" t="str">
        <x:v>1. 首页与福利
2. 全部任务</x:v>
      </x:c>
      <x:c r="P48" s="9" t="str"/>
      <x:c r="Q48" s="9" t="str">
        <x:v>1. 各任务去完成按钮的唯一去向
2. 不能跳转的任务所需路径提示</x:v>
      </x:c>
      <x:c r="R48" s="9" t="str">
        <x:v>产品</x:v>
      </x:c>
      <x:c r="S48" s="9" t="str">
        <x:v>相关功能验收前</x:v>
      </x:c>
      <x:c r="T48" s="9" t="str">
        <x:v>待确认</x:v>
      </x:c>
    </x:row>
    <x:row r="49" ht="145" customHeight="1">
      <x:c r="A49" s="10" t="str">
        <x:v>Q-045</x:v>
      </x:c>
      <x:c r="B49" s="10" t="str">
        <x:v>RQ-041</x:v>
      </x:c>
      <x:c r="C49" s="10" t="str"/>
      <x:c r="D49" s="10" t="str"/>
      <x:c r="E49" s="10" t="str">
        <x:v>部分阻塞</x:v>
      </x:c>
      <x:c r="F49" s="10" t="str">
        <x:v>钱包与账单</x:v>
      </x:c>
      <x:c r="G49" s="9" t="str">
        <x:v>有效对象可进入</x:v>
      </x:c>
      <x:c r="H49" s="9" t="str">
        <x:v>流程与状态</x:v>
      </x:c>
      <x:c r="I49" s="9" t="str">
        <x:v>用户点击支出详情的业务对象后，各消费类型应进入主播主页还是具体场次信息？</x:v>
      </x:c>
      <x:c r="J49" s="9" t="str">
        <x:v>A. 全部进入消费对应主播主页
B. 全部进入对应场次信息
C. 按消费类型分别指定去向（补充对应关系）</x:v>
      </x:c>
      <x:c r="K49" s="9" t="str">
        <x:v>条款未明确不同支出类型点击业务对象后进入主播主页还是场次信息；保留问题，不能任意选择其中一个结果。</x:v>
      </x:c>
      <x:c r="L49" s="12" t="str"/>
      <x:c r="M49" s="12" t="str"/>
      <x:c r="N49" s="10" t="str">
        <x:v>1. liveshow-proto/MainBasis/统一需求文档.md：行1344；- [REQ-c8634d02c96a] 点击业务对象 -&gt; 进入仍可访问的主播或场次信息；对象已失效时仅保留订单快照，不重新发起消费。〔来源：AN-ab67735e782c；liveshow-proto/prototype/annotations/user.js；order-expense-detail.html/交互/1〕</x:v>
      </x:c>
      <x:c r="O49" s="9" t="str">
        <x:v>1. 钱包与账单
2. 支出订单详情</x:v>
      </x:c>
      <x:c r="P49" s="9" t="str"/>
      <x:c r="Q49" s="9" t="str">
        <x:v>1. 各消费类型的对象详情唯一去向
2. 目标账号或场次失效时的入口处理</x:v>
      </x:c>
      <x:c r="R49" s="9" t="str">
        <x:v>产品</x:v>
      </x:c>
      <x:c r="S49" s="9" t="str">
        <x:v>相关功能验收前</x:v>
      </x:c>
      <x:c r="T49" s="9" t="str">
        <x:v>待确认</x:v>
      </x:c>
    </x:row>
    <x:row r="50" ht="70" customHeight="1">
      <x:c r="A50" s="10" t="str">
        <x:v>Q-046</x:v>
      </x:c>
      <x:c r="B50" s="10" t="str">
        <x:v>RQ-042</x:v>
      </x:c>
      <x:c r="C50" s="10" t="str"/>
      <x:c r="D50" s="10" t="str"/>
      <x:c r="E50" s="10" t="str">
        <x:v>部分阻塞</x:v>
      </x:c>
      <x:c r="F50" s="10" t="str">
        <x:v>直播</x:v>
      </x:c>
      <x:c r="G50" s="9" t="str">
        <x:v>直播点赞</x:v>
      </x:c>
      <x:c r="H50" s="9" t="str">
        <x:v>流程与状态</x:v>
      </x:c>
      <x:c r="I50" s="9" t="str">
        <x:v>直播点赞通过哪个用户端入口触发？</x:v>
      </x:c>
      <x:c r="J50" s="9" t="str">
        <x:v>A. 双击直播画面
B. 独立点赞按钮
C. 同时提供双击和按钮</x:v>
      </x:c>
      <x:c r="K50" s="9" t="str">
        <x:v>当前两份MainBasis只有系统概要列出的点赞能力，未给出该项入口与反馈契约。明确后再补可执行用例，不能以常见直播产品行为作为确定预期。</x:v>
      </x:c>
      <x:c r="L50" s="12" t="str"/>
      <x:c r="M50" s="12" t="str"/>
      <x:c r="N50" s="10" t="str">
        <x:v>1. liveshow-proto/MainBasis/统一需求文档.md：行39；|直播互动|发送公屏消息、点赞、关注和分享直播。|</x:v>
      </x:c>
      <x:c r="O50" s="9" t="str">
        <x:v>1. 直播
2. 直播点赞流程；公屏、送礼、关注和分享的已确认分支不受影响</x:v>
      </x:c>
      <x:c r="P50" s="9" t="str"/>
      <x:c r="Q50" s="9" t="str">
        <x:v>1. 已确认点赞入口的触发操作</x:v>
      </x:c>
      <x:c r="R50" s="9" t="str">
        <x:v>产品</x:v>
      </x:c>
      <x:c r="S50" s="9" t="str">
        <x:v>相关功能验收前</x:v>
      </x:c>
      <x:c r="T50" s="9" t="str">
        <x:v>待确认</x:v>
      </x:c>
    </x:row>
    <x:row r="51" ht="70" customHeight="1">
      <x:c r="A51" s="10" t="str">
        <x:v>Q-047</x:v>
      </x:c>
      <x:c r="B51" s="10" t="str">
        <x:v>RQ-043</x:v>
      </x:c>
      <x:c r="C51" s="10" t="str"/>
      <x:c r="D51" s="10" t="str"/>
      <x:c r="E51" s="10" t="str">
        <x:v>部分阻塞</x:v>
      </x:c>
      <x:c r="F51" s="10" t="str">
        <x:v>直播</x:v>
      </x:c>
      <x:c r="G51" s="9" t="str">
        <x:v>直播点赞</x:v>
      </x:c>
      <x:c r="H51" s="9" t="str">
        <x:v>流程与状态</x:v>
      </x:c>
      <x:c r="I51" s="9" t="str">
        <x:v>点赞成功后用户应能观察到哪种结果？</x:v>
      </x:c>
      <x:c r="J51" s="9" t="str">
        <x:v>A. 仅互动动画
B. 仅点赞数量变化
C. 互动动画和数量变化</x:v>
      </x:c>
      <x:c r="K51" s="9" t="str">
        <x:v>当前两份MainBasis只有系统概要列出的点赞能力，未给出该项入口与反馈契约。明确后再补可执行用例，不能以常见直播产品行为作为确定预期。</x:v>
      </x:c>
      <x:c r="L51" s="12" t="str"/>
      <x:c r="M51" s="12" t="str"/>
      <x:c r="N51" s="10" t="str">
        <x:v>1. liveshow-proto/MainBasis/统一需求文档.md：行39；|直播互动|发送公屏消息、点赞、关注和分享直播。|</x:v>
      </x:c>
      <x:c r="O51" s="9" t="str">
        <x:v>1. 直播
2. 直播点赞流程；公屏、送礼、关注和分享的已确认分支不受影响</x:v>
      </x:c>
      <x:c r="P51" s="9" t="str"/>
      <x:c r="Q51" s="9" t="str">
        <x:v>1. 已确认点赞成功后的可观察反馈</x:v>
      </x:c>
      <x:c r="R51" s="9" t="str">
        <x:v>产品</x:v>
      </x:c>
      <x:c r="S51" s="9" t="str">
        <x:v>相关功能验收前</x:v>
      </x:c>
      <x:c r="T51" s="9" t="str">
        <x:v>待确认</x:v>
      </x:c>
    </x:row>
    <x:row r="52" ht="115" customHeight="1">
      <x:c r="A52" s="10" t="str">
        <x:v>Q-048</x:v>
      </x:c>
      <x:c r="B52" s="10" t="str">
        <x:v>RQ-044</x:v>
      </x:c>
      <x:c r="C52" s="10" t="str"/>
      <x:c r="D52" s="10" t="str"/>
      <x:c r="E52" s="10" t="str">
        <x:v>部分阻塞</x:v>
      </x:c>
      <x:c r="F52" s="10" t="str">
        <x:v>我的、主播中心</x:v>
      </x:c>
      <x:c r="G52" s="9" t="str">
        <x:v>粉丝团贡献榜的已注销成员</x:v>
      </x:c>
      <x:c r="H52" s="9" t="str">
        <x:v>业务规则</x:v>
      </x:c>
      <x:c r="I52" s="9" t="str">
        <x:v>粉丝团贡献榜仅展示有效团籍，但注销会解除团籍；已注销成员应继续显示历史贡献行吗？</x:v>
      </x:c>
      <x:c r="J52" s="9" t="str">
        <x:v>A. 排除已注销成员，历史数值仅保留在统计记录
B. 保留已注销成员历史贡献行，名称为账号已注销且禁止访问主页</x:v>
      </x:c>
      <x:c r="K52" s="9" t="str">
        <x:v>建议A，与仅显示有效团籍一致；若需要历史成员榜单则选择B，并明确这是对有效团籍过滤的例外。</x:v>
      </x:c>
      <x:c r="L52" s="12" t="str"/>
      <x:c r="M52" s="12" t="str"/>
      <x:c r="N52" s="10" t="str">
        <x:v>1. liveshow-proto/MainBasis/统一需求文档.md：行1116；账号注销后保留历史数值，名称显示“账号已注销”，不可进入主页。
2. 同文档REQ-1804ee8d77c7限定当前有效团籍，COMMON-fan-exit说明注销解除关系</x:v>
      </x:c>
      <x:c r="O52" s="9" t="str">
        <x:v>1. 用户App粉丝团贡献榜的注销成员过滤、名称及主页入口</x:v>
      </x:c>
      <x:c r="P52" s="9" t="str"/>
      <x:c r="Q52" s="9" t="str">
        <x:v>1. 注销成员榜单过滤及历史贡献显示
2. 注销成员主页访问限制</x:v>
      </x:c>
      <x:c r="R52" s="9" t="str">
        <x:v>产品</x:v>
      </x:c>
      <x:c r="S52" s="9" t="str">
        <x:v>相关功能验收前</x:v>
      </x:c>
      <x:c r="T52" s="9" t="str">
        <x:v>待确认</x:v>
      </x:c>
    </x:row>
    <x:row r="53" ht="70" customHeight="1">
      <x:c r="A53" s="10" t="str">
        <x:v>Q-049</x:v>
      </x:c>
      <x:c r="B53" s="10" t="str">
        <x:v>RQ-045</x:v>
      </x:c>
      <x:c r="C53" s="10" t="str"/>
      <x:c r="D53" s="10" t="str"/>
      <x:c r="E53" s="10" t="str">
        <x:v>部分阻塞</x:v>
      </x:c>
      <x:c r="F53" s="10" t="str">
        <x:v>我的、主播中心</x:v>
      </x:c>
      <x:c r="G53" s="9" t="str">
        <x:v>重新入团后的粉丝等级初始值</x:v>
      </x:c>
      <x:c r="H53" s="9" t="str">
        <x:v>业务规则</x:v>
      </x:c>
      <x:c r="I53" s="9" t="str">
        <x:v>重新入团后粉丝等级应显示0级还是1级？</x:v>
      </x:c>
      <x:c r="J53" s="9" t="str">
        <x:v>A. 各页面统一显示0级，新团籍从0开始累计
B. 成长值清零，各页面最低显示1级</x:v>
      </x:c>
      <x:c r="K53" s="9" t="str">
        <x:v>建议B，区分成长值清零与等级下限；需产品明确后再生成初始等级展示用例。</x:v>
      </x:c>
      <x:c r="L53" s="12" t="str"/>
      <x:c r="M53" s="12" t="str"/>
      <x:c r="N53" s="10" t="str">
        <x:v>1. 统一需求文档.md：REQ-91d599404b3b、REQ-0f1b9b9f419d说明重新加入从0开始；REQ-d76a006722e5规定粉丝等级最低1级</x:v>
      </x:c>
      <x:c r="O53" s="9" t="str">
        <x:v>1. 用户App重新加入粉丝团后的卡片、直播资料及贡献榜粉丝等级</x:v>
      </x:c>
      <x:c r="P53" s="9" t="str"/>
      <x:c r="Q53" s="9" t="str">
        <x:v>1. 重新入团初始粉丝等级
2. 粉丝等级下限在各页面一致</x:v>
      </x:c>
      <x:c r="R53" s="9" t="str">
        <x:v>产品</x:v>
      </x:c>
      <x:c r="S53" s="9" t="str">
        <x:v>相关功能验收前</x:v>
      </x:c>
      <x:c r="T53" s="9" t="str">
        <x:v>待确认</x:v>
      </x:c>
    </x:row>
  </x:sheetData>
  <x:dataValidations count="5">
    <x:dataValidation type="list" sqref="E2:E53">
      <x:formula1>"阻塞测试,部分阻塞,不阻塞"</x:formula1>
    </x:dataValidation>
    <x:dataValidation type="list" sqref="H2:H53">
      <x:formula1>"需求范围,业务规则,角色与权限,流程与状态,字段与数据校验,计算与统计口径,异常处理,跨端与跨模块一致性,配置和历史数据影响,交互与文案规则"</x:formula1>
    </x:dataValidation>
    <x:dataValidation type="list" sqref="L2:L53">
      <x:formula1>"A,B,C,D,其他"</x:formula1>
    </x:dataValidation>
    <x:dataValidation type="list" sqref="R2:R53">
      <x:formula1>"产品,交互,技术,多方确认"</x:formula1>
    </x:dataValidation>
    <x:dataValidation type="list" sqref="T2:T53">
      <x:formula1>"待前置结论,待确认,确认中,已确认,无需处理"</x:formula1>
    </x:dataValidation>
  </x:dataValidations>
  <x:pageMargins left="0.7" right="0.7" top="0.75" bottom="0.75" header="0.3" footer="0.3"/>
  <x:tableParts count="1">
    <x:tablePart xmlns:r="http://schemas.openxmlformats.org/officeDocument/2006/relationships" r:id="Ra1cb37f3602747ff"/>
  </x:tableParts>
</x:worksheet>
</file>